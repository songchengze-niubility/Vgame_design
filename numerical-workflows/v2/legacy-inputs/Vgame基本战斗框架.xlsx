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901" activeTab="4"/>
  </bookViews>
  <sheets>
    <sheet name="战斗属性" sheetId="1" r:id="rId1"/>
    <sheet name="战斗公式" sheetId="2" r:id="rId2"/>
    <sheet name="标准模型" sheetId="3" r:id="rId3"/>
    <sheet name="怪物标准模型" sheetId="7" r:id="rId4"/>
    <sheet name="技能系数" sheetId="4" r:id="rId5"/>
    <sheet name="Boss技能系数" sheetId="5" r:id="rId6"/>
    <sheet name="草稿-技能系数公式" sheetId="6" r:id="rId7"/>
    <sheet name="怪物标准模型-可视版" sheetId="8" r:id="rId8"/>
    <sheet name="怪物标准模型趋势" sheetId="9" r:id="rId9"/>
    <sheet name="玩家战力曲线" sheetId="10" r:id="rId10"/>
    <sheet name="参考-养成属性规划（从养成属性复制）" sheetId="11" r:id="rId11"/>
    <sheet name="主角等级（从新手引导复制） " sheetId="12" r:id="rId12"/>
    <sheet name="玩家等级对应关卡（从新手节奏复制）" sheetId="13" r:id="rId13"/>
    <sheet name="爬塔难度线" sheetId="14" r:id="rId14"/>
    <sheet name="玩法难度线" sheetId="15" r:id="rId15"/>
    <sheet name="无限挑战难度线" sheetId="16" r:id="rId16"/>
  </sheets>
  <definedNames>
    <definedName name="_xlnm._FilterDatabase" localSheetId="5" hidden="1">Boss技能系数!$A$15:$AD$60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<sst xmlns="http://schemas.openxmlformats.org/spreadsheetml/2006/main" count="1299" uniqueCount="747">
  <si>
    <t>属性类别</t>
  </si>
  <si>
    <t>具体属性</t>
  </si>
  <si>
    <t>属性说明</t>
  </si>
  <si>
    <t>数据类型</t>
  </si>
  <si>
    <t>默认值</t>
  </si>
  <si>
    <t>展示位置</t>
  </si>
  <si>
    <t>备注</t>
  </si>
  <si>
    <t>基础属性</t>
  </si>
  <si>
    <t>生命</t>
  </si>
  <si>
    <t>角色生命值，生命值为0角色死亡</t>
  </si>
  <si>
    <t>int</t>
  </si>
  <si>
    <t>分为裸体属性和额外属性，裸体属性只包含角色基础、角色升级、角色能效</t>
  </si>
  <si>
    <t>攻击</t>
  </si>
  <si>
    <t>影响战斗中角色物理伤害</t>
  </si>
  <si>
    <t>影响战斗中角色魔法伤害</t>
  </si>
  <si>
    <t>防御力</t>
  </si>
  <si>
    <t>影响战斗中减伤效果</t>
  </si>
  <si>
    <t>战斗属性</t>
  </si>
  <si>
    <t>能量上限</t>
  </si>
  <si>
    <t>能量值上限，能量达到上限角色即可释放必杀技</t>
  </si>
  <si>
    <t>建议展示在必杀技能中</t>
  </si>
  <si>
    <t>达到该值时，角色可以释放必杀，建议配置在角色表</t>
  </si>
  <si>
    <t>能量初始值</t>
  </si>
  <si>
    <t>角色进入战斗时初始的能量值</t>
  </si>
  <si>
    <t>角色进入战斗时初始的能量值，建议配置在角色表</t>
  </si>
  <si>
    <t>能量回复速度</t>
  </si>
  <si>
    <t>角色每秒获取的能量值</t>
  </si>
  <si>
    <t>float</t>
  </si>
  <si>
    <t>进阶属性</t>
  </si>
  <si>
    <t>每秒能量的回复值</t>
  </si>
  <si>
    <t>暴击</t>
  </si>
  <si>
    <t>影响战斗中造成暴击的概率</t>
  </si>
  <si>
    <t>暴击伤害</t>
  </si>
  <si>
    <t>影响战斗中造成暴击的伤害倍数</t>
  </si>
  <si>
    <t>闪避</t>
  </si>
  <si>
    <t>降低战斗中受到伤害的概率</t>
  </si>
  <si>
    <t>暂时只在角色技能和被动中投放</t>
  </si>
  <si>
    <t>命中</t>
  </si>
  <si>
    <t>影响战斗中造成伤害的概率</t>
  </si>
  <si>
    <t>效果命中</t>
  </si>
  <si>
    <t>提高战斗中负面效果命中概率，暂时不使用，可以忽略</t>
  </si>
  <si>
    <t>效果抵抗</t>
  </si>
  <si>
    <t>降低战斗中负面效果命中概率，暂时不使用，可以忽略</t>
  </si>
  <si>
    <t>无视防御</t>
  </si>
  <si>
    <t>降低战斗中对方的防御效果</t>
  </si>
  <si>
    <t>面板不显示</t>
  </si>
  <si>
    <t>最多100%</t>
  </si>
  <si>
    <t>普攻攻击速度</t>
  </si>
  <si>
    <t>影响战斗中角色每秒发射的普攻，例如3点攻速代表1秒发射3次普攻</t>
  </si>
  <si>
    <t>每个角色不同</t>
  </si>
  <si>
    <t>英雄普攻1秒进行打X个子弹，计算方式为x*(1+攻速加成%)=最终攻速
例如该角色1s释放2次普攻，攻击速度加成为100%，则该角色显示的攻速为4
另外建议每个角色的攻击速度单独配置在角色表中</t>
  </si>
  <si>
    <t>伤害加成</t>
  </si>
  <si>
    <t>增加战斗中造成的伤害（所有的伤害加成属于同一乘区）</t>
  </si>
  <si>
    <t>物理伤害加成</t>
  </si>
  <si>
    <t>增加战斗中造成的物理伤害</t>
  </si>
  <si>
    <t>魔法伤害加成</t>
  </si>
  <si>
    <t>增加战斗中造成的魔法伤害</t>
  </si>
  <si>
    <t>普攻伤害加成</t>
  </si>
  <si>
    <t>增加战斗中普攻造成的伤害</t>
  </si>
  <si>
    <t>面板显示</t>
  </si>
  <si>
    <t>技能伤害加成</t>
  </si>
  <si>
    <t>增加战斗中技能造成的伤害</t>
  </si>
  <si>
    <t>必杀伤害加成</t>
  </si>
  <si>
    <t>增加战斗中必杀造成的伤害</t>
  </si>
  <si>
    <t>单体伤害加成</t>
  </si>
  <si>
    <t>增加战斗中穿单体果造成的伤害</t>
  </si>
  <si>
    <t>穿透伤害加成</t>
  </si>
  <si>
    <t>增加战斗中穿透效果造成的伤害</t>
  </si>
  <si>
    <t>范围伤害加成</t>
  </si>
  <si>
    <t>增加战斗中范围效果造成的伤害</t>
  </si>
  <si>
    <t>持续伤害加成</t>
  </si>
  <si>
    <t>增加战斗中持续效果造成的伤害（包括流血、灼烧、中毒）</t>
  </si>
  <si>
    <t>流血伤害加成</t>
  </si>
  <si>
    <t>增加战斗中流血效果造成的伤害</t>
  </si>
  <si>
    <t>灼烧伤害加成</t>
  </si>
  <si>
    <t>增加战斗中持续效果造成的伤害</t>
  </si>
  <si>
    <t>中毒伤害加成</t>
  </si>
  <si>
    <t>伤害减免</t>
  </si>
  <si>
    <t>减免战斗中造成的伤害</t>
  </si>
  <si>
    <t>治疗加成</t>
  </si>
  <si>
    <t>治疗时，调整治疗值</t>
  </si>
  <si>
    <t>受到伤害增加</t>
  </si>
  <si>
    <t>增加战斗中受到的伤害</t>
  </si>
  <si>
    <t>受治疗加成</t>
  </si>
  <si>
    <t>受到治疗时，调整治疗值</t>
  </si>
  <si>
    <t>施加护盾加成</t>
  </si>
  <si>
    <t>战斗中释放护盾时，数值加成</t>
  </si>
  <si>
    <t>受到护盾加成</t>
  </si>
  <si>
    <t>战斗中受到护盾时，数值加成</t>
  </si>
  <si>
    <t>释放盾牌加成</t>
  </si>
  <si>
    <t>战斗中释放护盾时，盾牌生命数值加成</t>
  </si>
  <si>
    <t>格挡</t>
  </si>
  <si>
    <t>受到伤害时，触发格挡的概率</t>
  </si>
  <si>
    <t>格挡强度</t>
  </si>
  <si>
    <t>触发格挡时，受到的最终伤害</t>
  </si>
  <si>
    <t>破击</t>
  </si>
  <si>
    <t>降低敌方触发格挡的概率</t>
  </si>
  <si>
    <t>冷却缩减</t>
  </si>
  <si>
    <t>释放技能的冷却缩减</t>
  </si>
  <si>
    <t>角色技能释放的技能间隔缩减，最高上限为75%，可拉出来配置
例如一个角色的技能间隔为5s，获得20%的技能冷却缩减，则技能间隔变为4s</t>
  </si>
  <si>
    <t>玩法伤害加成</t>
  </si>
  <si>
    <t>增加战斗中造成的伤害</t>
  </si>
  <si>
    <t>玩法中才会投放，和伤害加成和减免不是一个乘区</t>
  </si>
  <si>
    <t>玩法伤害减免</t>
  </si>
  <si>
    <t>百分比加成属性</t>
  </si>
  <si>
    <t>生命%</t>
  </si>
  <si>
    <t>加成角色基础生命的百分比</t>
  </si>
  <si>
    <t>只计算角色裸体属性，后端需要计算完传给前端</t>
  </si>
  <si>
    <t>攻击%</t>
  </si>
  <si>
    <t>加成角色攻击的百分比</t>
  </si>
  <si>
    <t>防御力%</t>
  </si>
  <si>
    <t>加成角色防御的百分比</t>
  </si>
  <si>
    <t>攻击速度%</t>
  </si>
  <si>
    <t>加成角色基础攻速的百分比</t>
  </si>
  <si>
    <t>后端只需要将这个值传给前端，战斗中前端自己计算</t>
  </si>
  <si>
    <t>能量回复%</t>
  </si>
  <si>
    <t>加成角色基础能量回复速度的百分比</t>
  </si>
  <si>
    <t>等级属性</t>
  </si>
  <si>
    <t>暴击等级</t>
  </si>
  <si>
    <t>加成角色暴击几率的等级，通关一套公式转化为加成的暴击几率</t>
  </si>
  <si>
    <t>后端需要计算完传给前端</t>
  </si>
  <si>
    <t>暴击伤害等级</t>
  </si>
  <si>
    <t>加成角色暴击伤害的等级，通关一套公式转化为加成的暴击伤害</t>
  </si>
  <si>
    <t>能量回复等级</t>
  </si>
  <si>
    <t>加成角色能量回复%的等级，通关一套公式转化为加成的能量回复%</t>
  </si>
  <si>
    <t>技能冷却等级</t>
  </si>
  <si>
    <t>加成角色技能冷却的等级，通关一套公式转化为加成的技能冷却</t>
  </si>
  <si>
    <t>格挡等级</t>
  </si>
  <si>
    <t>加成格挡率的等级，通关一套公式转化为加成的格挡率</t>
  </si>
  <si>
    <t>战斗内属性计算逻辑</t>
  </si>
  <si>
    <t>游戏中不同系统模块的同一种属性的加成方式用加法,比如模块A提供10%暴击，B模块提供20%暴击，则合并计算为10%+20%=30%暴击，其他数值以此类推</t>
  </si>
  <si>
    <t>战斗外成长系统得到各属性初始值，进入战斗后，初始属性可被buff修改</t>
  </si>
  <si>
    <t>buff对int属性的修改：</t>
  </si>
  <si>
    <t>最终属性=进入战斗时初始属性数值 * （1 + 所有buff乘法计算数值和） + 所有buff加法计算数值和 ，其中buff的数值是根据单位buff情况实时变化的</t>
  </si>
  <si>
    <t>另外，战斗内外的百分比属性需要分开计算</t>
  </si>
  <si>
    <t>例如：角色在外部养成有1000点攻击和50%的攻击加成，局内又吃到了1000点的固定攻击buff和20%的攻击加成buff</t>
  </si>
  <si>
    <t>进入战斗时初始攻击=1000*1.5=1500</t>
  </si>
  <si>
    <t>最终攻击=1500*1.2+1000=2800</t>
  </si>
  <si>
    <t>buff对float属性的修改：</t>
  </si>
  <si>
    <t>最终属性=进入战斗时初始属性数值+所有buff属性之和</t>
  </si>
  <si>
    <t>例如：角色在外部养成有50%暴击几率，局内又吃到了20%暴击加成buff</t>
  </si>
  <si>
    <t>最终暴击率=50%+20%=70%</t>
  </si>
  <si>
    <t>等级属性计算</t>
  </si>
  <si>
    <t>计算公式</t>
  </si>
  <si>
    <t>加成属性</t>
  </si>
  <si>
    <t>=</t>
  </si>
  <si>
    <t>等级属性/转化参数</t>
  </si>
  <si>
    <t>例如</t>
  </si>
  <si>
    <t>一个角色的暴击等级为100，转化参数为5000，由暴击等级提供的暴击几率为2%</t>
  </si>
  <si>
    <t>面板属性计算</t>
  </si>
  <si>
    <t>【生命】</t>
  </si>
  <si>
    <t>英雄裸体生命=[英雄初始生命+英雄等级生命+英雄星盘生命+英雄突破生命]*当前品阶系数，面板显示四舍五入</t>
  </si>
  <si>
    <t>面板生命=英雄裸体生命*（1+装备百分比生命+宝石百分比生命+天赋百分比生命+……+各来源百分比生命）+装备生命+宝石生命+天赋生命+……+各来源生命</t>
  </si>
  <si>
    <t>【攻击】——统一攻击算法</t>
  </si>
  <si>
    <t>英雄裸体攻击=[英雄初始攻击+英雄等级攻击+英雄星盘攻击+英雄突破攻击]*当前品阶系数，面板显示四舍五入</t>
  </si>
  <si>
    <t>面板攻击=英雄裸体攻击*（1+装备百分比攻击+宝石百分比攻击+天赋百分比攻击+……+各来源百分比攻击）+装备攻击+宝石攻击+天赋攻击+……+各来源攻击</t>
  </si>
  <si>
    <t>【防御】</t>
  </si>
  <si>
    <t>英雄裸体防御=[英雄初始防御+英雄等级防御+英雄星盘防御+英雄突破防御]*当前品阶系数，面板显示四舍五入</t>
  </si>
  <si>
    <t>面板防御=英雄裸体防御*（1+装备百分比防御+宝石百分比防御+天赋百分比防御+……+各来源百分比防御）+装备防御+宝石防御+天赋防御+……+各来源防御</t>
  </si>
  <si>
    <t>【能量回复速度】</t>
  </si>
  <si>
    <t>角色基础能量回复速度，角色最终能量回复速度=角色基础能量回复速度*（1+能量回复速度%）</t>
  </si>
  <si>
    <t>【能量回复速度%】</t>
  </si>
  <si>
    <t>装备能量回复速度%+宝石能量回复速度%+天赋能量回复速度%+……+各来源能量回复速度%</t>
  </si>
  <si>
    <t>【暴击】</t>
  </si>
  <si>
    <t>面板暴击=英雄基础暴击+装备暴击+宝石暴击+天赋暴击+……+各来源暴击</t>
  </si>
  <si>
    <t>【暴击伤害】</t>
  </si>
  <si>
    <t>面板暴击伤害=英雄基础暴击伤害+装备暴击伤害+宝石暴击伤害+天赋暴击伤害+……+各来源暴击伤害</t>
  </si>
  <si>
    <t>【闪避】</t>
  </si>
  <si>
    <t>面板闪避=英雄基础闪避+装备闪避+宝石闪避+天赋闪避+……+各来源闪避</t>
  </si>
  <si>
    <t>【命中】</t>
  </si>
  <si>
    <t>面板命中=英雄基础命中+装备命中+宝石命中+天赋命中+……+各来源命中</t>
  </si>
  <si>
    <t>【效果命中】</t>
  </si>
  <si>
    <t>面板效果命中=英雄基础效果命中+装备效果命中+宝石效果命中+天赋效果命中+……+各来源效果命中</t>
  </si>
  <si>
    <t>【效果抵抗】</t>
  </si>
  <si>
    <t>面板效果抵抗=英雄基础效果抵抗+装备效果抵抗+宝石效果抵抗+天赋效果抵抗+……+各来源效果抵抗</t>
  </si>
  <si>
    <t>【无视防御】</t>
  </si>
  <si>
    <t>面板无视防御=英雄基础无视防御+装备无视防御+宝石无视防御+天赋无视防御+……+各来源无视防御</t>
  </si>
  <si>
    <t>【攻击速度】</t>
  </si>
  <si>
    <t>角色基础攻击速度</t>
  </si>
  <si>
    <t>【攻击速度%】</t>
  </si>
  <si>
    <t>装备攻击速度%+宝石攻击速度%+天赋攻击速度%+……+各来源攻击速度%</t>
  </si>
  <si>
    <t>【伤害加成】</t>
  </si>
  <si>
    <t>所有伤害加成和这个同理</t>
  </si>
  <si>
    <t>面板伤害加成=英雄基础伤害加成+装备伤害加成+宝石伤害加成+天赋伤害加成+……+各来源伤害加成</t>
  </si>
  <si>
    <t>【伤害减免】</t>
  </si>
  <si>
    <t>面板伤害减免=英雄基础伤害减免+装备伤害减免+宝石伤害减免+天赋伤害减免+……+各来源伤害减免</t>
  </si>
  <si>
    <t>【治疗加成】</t>
  </si>
  <si>
    <t>面板治疗加成=英雄基础治疗加成+装备治疗加成+宝石治疗加成+天赋治疗加成+……+各来源治疗加成</t>
  </si>
  <si>
    <t>【受到伤害增加】</t>
  </si>
  <si>
    <t>面板受到伤害增加=英雄基础受到伤害增加+装备受到伤害增加+宝石受到伤害增加+天赋受到伤害增加+……+各来源受到伤害增加</t>
  </si>
  <si>
    <t>【受治疗加成】</t>
  </si>
  <si>
    <t>面板受治疗加成=英雄基础受治疗加成+装备受治疗加成+宝石受治疗加成+天赋受治疗加成+……+各来源受治疗加成</t>
  </si>
  <si>
    <t>【施加护盾加成】</t>
  </si>
  <si>
    <t>面板施加护盾加成=英雄基础施加护盾加成+装备施加护盾加成+宝石施加护盾加成+天赋施加护盾加成+……+各来源施加护盾加成</t>
  </si>
  <si>
    <t>【受到护盾加成】</t>
  </si>
  <si>
    <t>面板受到护盾加成=英雄基础受到护盾加成+装备受到护盾加成+宝石受到护盾加成+天赋受到护盾加成+……+各来源受到护盾加成</t>
  </si>
  <si>
    <t>【施加盾牌加成】</t>
  </si>
  <si>
    <t>面板施加盾牌加成=英雄基础施加盾牌加成+装备施加盾牌加成+宝石施加盾牌加成+天赋施加盾牌加成+……+各来源施加盾牌加成</t>
  </si>
  <si>
    <t>【格挡】</t>
  </si>
  <si>
    <t>面板格挡=英雄基础格挡+装备格挡+宝石格挡+天赋格挡+……+各来源格挡</t>
  </si>
  <si>
    <t>【格挡强度】</t>
  </si>
  <si>
    <t>面板格挡强度=英雄基础格挡强度+装备格挡强度+宝石格挡强度+天赋格挡强度+……+各来源格挡强度</t>
  </si>
  <si>
    <t>【破击】</t>
  </si>
  <si>
    <t>面板破击=英雄基础破击+装备破击+宝石破击+天赋破击+……+各来源破击</t>
  </si>
  <si>
    <t>【技能冷却缩减】</t>
  </si>
  <si>
    <t>面板技能冷却缩减=英雄基础技能冷却缩减+装备技能冷却缩减+宝石技能冷却缩减+天赋技能冷却缩减+……+各来源技能冷却缩减</t>
  </si>
  <si>
    <t>【玩法伤害加成】</t>
  </si>
  <si>
    <t>面板玩法伤害加成=英雄基础玩法伤害加成+装备玩法伤害加成+宝石玩法伤害加成+天赋玩法伤害加成+……+各来源玩法伤害加成</t>
  </si>
  <si>
    <t>【玩法伤害减免】</t>
  </si>
  <si>
    <t>面板玩法伤害减免=英雄基础玩法伤害减免+装备玩法伤害减免+宝石玩法伤害减免+天赋玩法伤害减免+……+各来源玩法伤害减免</t>
  </si>
  <si>
    <t>【冷却缩减】</t>
  </si>
  <si>
    <t>面板冷却缩减=英雄基础冷却缩减+装备冷却缩减+宝石冷却缩减+天赋冷却缩减+……+各来源冷却缩减</t>
  </si>
  <si>
    <t>战斗计算规则</t>
  </si>
  <si>
    <t>攻击行为</t>
  </si>
  <si>
    <t>流程1</t>
  </si>
  <si>
    <t>每次攻击先判定是否命中</t>
  </si>
  <si>
    <t>命中概率为=（攻击者命中 - 受击者闪避）， 如果数值大于等于1则必然命中，数值小于等于X则取最小命中概率X，在0-1之间随机，X为10%</t>
  </si>
  <si>
    <t>技能未命中的情况默认不触发后续机制，除非有特殊说明</t>
  </si>
  <si>
    <t>流程2</t>
  </si>
  <si>
    <t>进行伤害类型的判断</t>
  </si>
  <si>
    <t>真实伤害</t>
  </si>
  <si>
    <t>不进行伤害公式计算，不受护盾影响，直接扣除给定数值的生命（百分比or固定值）</t>
  </si>
  <si>
    <t>物理伤害or魔法伤害</t>
  </si>
  <si>
    <t>走以下伤害数值的计算</t>
  </si>
  <si>
    <t>流程3</t>
  </si>
  <si>
    <t>计算初步伤害数值</t>
  </si>
  <si>
    <t>伤害基数=带入伤害公式的数值，在子弹或攻击组件中计算得出</t>
  </si>
  <si>
    <t>物理伤害/魔法伤害取决于伤害组件的配置，公式相同，作为逻辑标签使用</t>
  </si>
  <si>
    <t>伤害=伤害基数*[（1-(受击者 防御*（1 - 攻击者 无视防御）/【(受击者 防御 *（1- 攻击者 无视防御）+X)】，X为常数根据需求调整（可配置在全局表中），最低伤害保底：伤害基数 * 5%</t>
  </si>
  <si>
    <t>X的值为</t>
  </si>
  <si>
    <t>流程4</t>
  </si>
  <si>
    <t>判断是否暴击</t>
  </si>
  <si>
    <t>由攻击者 暴击率 属性决定 ，数值大于等于1必暴击，数值小于等于0必不暴击</t>
  </si>
  <si>
    <t>命中后判定暴击</t>
  </si>
  <si>
    <t>如果勾选必定暴击，则判断为暴击，如果没勾选，则进行随机</t>
  </si>
  <si>
    <t>如果暴击</t>
  </si>
  <si>
    <t>暴击伤害 = 伤害 * 攻击者暴击伤害</t>
  </si>
  <si>
    <t>流程5</t>
  </si>
  <si>
    <t>判断是否格挡</t>
  </si>
  <si>
    <t>如果既格挡又暴击，则在表现上只显示格挡</t>
  </si>
  <si>
    <t>由攻击者 破击率 属性决定和防御者格挡率决定是否触发格挡</t>
  </si>
  <si>
    <t>格挡概率=受击者格挡率-攻击者破击率，最低为0，最高为1</t>
  </si>
  <si>
    <t>如果格挡</t>
  </si>
  <si>
    <t>格挡后伤害=计算暴击后的伤害*(1-基础格挡伤害X-格挡强度）</t>
  </si>
  <si>
    <t>X</t>
  </si>
  <si>
    <t>格挡强度∈【0,1】</t>
  </si>
  <si>
    <t>举例</t>
  </si>
  <si>
    <t>受击者的格挡强度为20%，受击者计算完暴击后，应该受到的伤害为1000，此时触发了格挡</t>
  </si>
  <si>
    <t>触发格挡后，受到的伤害为1000*（1-50-20%）=300</t>
  </si>
  <si>
    <t>流程6</t>
  </si>
  <si>
    <t>计算最终伤害</t>
  </si>
  <si>
    <t>最终伤害 =</t>
  </si>
  <si>
    <t>计算完暴击、格挡后伤害 *（1+ 攻击者 伤害加成）*（1 - 受击者 伤害减免）*（1 + 受击者受到伤害增加）*（1+ 攻击者 玩法伤害加成）*（1 - 受击者 玩法伤害减免）</t>
  </si>
  <si>
    <t>所有类型的伤害加成的乘区相同</t>
  </si>
  <si>
    <t>例如：A角色拥有10%伤害增加，20%单体伤害增加，30%群体伤害增加，40%技能伤害增加，50%必杀伤害增加，60%的物理伤害增加和70%的魔法伤害增加</t>
  </si>
  <si>
    <t>那么他放单体物理技能时的伤害增加值为10%+20%+40%+60%=130%</t>
  </si>
  <si>
    <t>那么他放群体魔法必杀时的伤害增加值为10%+30%+50%+70%=160%</t>
  </si>
  <si>
    <t>公式中 受击者 伤害减免属性 计算结果 最大不超过X%，X为75</t>
  </si>
  <si>
    <t>最终伤害数值保底为X,X为1</t>
  </si>
  <si>
    <t>物理伤害或魔法伤害可被护盾吸收，优先扣除护盾值，再扣除生命</t>
  </si>
  <si>
    <t>加血行为</t>
  </si>
  <si>
    <t>治疗or恢复 的标签 取决于治疗组件的配置，公式相同，作为逻辑标签使用</t>
  </si>
  <si>
    <t>加血数值 = 加血基数 * （ 1 + 治疗者 治疗加成 + 被治疗者 受治疗加成） 计算结果保底为 1</t>
  </si>
  <si>
    <t>如果是治疗标签，则要判定是否暴击，恢复标签不会暴击</t>
  </si>
  <si>
    <t>设计预期治疗可以投固定值，恢复则是百分比</t>
  </si>
  <si>
    <t>由治疗者 暴击率 属性决定 ，数值大于等于1必暴击，数值小于等于0必不暴击，在0-1之间随机</t>
  </si>
  <si>
    <t>如果暴击 加血数值 = 加血数值 * 治疗者 暴击伤害 计算结果保底为 1</t>
  </si>
  <si>
    <t>护盾行为</t>
  </si>
  <si>
    <t>释放盾牌or加护盾</t>
  </si>
  <si>
    <t>均不用判定是否暴击</t>
  </si>
  <si>
    <t>护盾数值=护盾基数*（ 1 + 护盾释放者 施加护盾加成 + 护盾受到者 受到护盾加成）</t>
  </si>
  <si>
    <t>盾牌血量数值=盾牌血量基数*（ 1 + 盾牌释放者 释放盾牌加成）</t>
  </si>
  <si>
    <t>战斗节奏</t>
  </si>
  <si>
    <t>整场战斗时间</t>
  </si>
  <si>
    <t>前期</t>
  </si>
  <si>
    <t>中期</t>
  </si>
  <si>
    <t>后期</t>
  </si>
  <si>
    <t>总体战斗时长（秒）</t>
  </si>
  <si>
    <t>boss战时长占比</t>
  </si>
  <si>
    <t>boss战时长（秒）</t>
  </si>
  <si>
    <t>在标准模型下预估整场boss战的时长和节奏,以3人放普攻、5人放必杀</t>
  </si>
  <si>
    <t>考虑主要的是pve体验，玩家的生命值和防御主要决定有效生命值，实际表现为挨怪物多少下打会死，攻击力主要表现为打怪物的时间</t>
  </si>
  <si>
    <t>理论上怪攻击击和同等级的玩家应该相同，所以玩家的攻防血比应该就是怪攻击击自己多少下会死</t>
  </si>
  <si>
    <t>假设怪物的dps系数为</t>
  </si>
  <si>
    <t>攻击力/s</t>
  </si>
  <si>
    <t>实际血攻防投放比例比</t>
  </si>
  <si>
    <t>防御</t>
  </si>
  <si>
    <t>基础属性组成</t>
  </si>
  <si>
    <t>裸体属性</t>
  </si>
  <si>
    <t>初始属性</t>
  </si>
  <si>
    <t>升级属性</t>
  </si>
  <si>
    <t>升阶属性</t>
  </si>
  <si>
    <t>星盘属性的固定值</t>
  </si>
  <si>
    <t>专武属性</t>
  </si>
  <si>
    <t>旅券</t>
  </si>
  <si>
    <t>主角装备属性</t>
  </si>
  <si>
    <t>角色基础属性拍定</t>
  </si>
  <si>
    <t>角色基础属性投放预计</t>
  </si>
  <si>
    <t>额外属性</t>
  </si>
  <si>
    <t>星盘属性</t>
  </si>
  <si>
    <t>裸体总和</t>
  </si>
  <si>
    <t>额外总和</t>
  </si>
  <si>
    <t>基础属性投放系数</t>
  </si>
  <si>
    <t>初始标准人属性</t>
  </si>
  <si>
    <t>减伤率</t>
  </si>
  <si>
    <t>eHP</t>
  </si>
  <si>
    <t>ttk</t>
  </si>
  <si>
    <t>秒</t>
  </si>
  <si>
    <t>无百分比标准人属性</t>
  </si>
  <si>
    <t>额外基础属性</t>
  </si>
  <si>
    <t>总基础属性</t>
  </si>
  <si>
    <t>攻防百分比投放</t>
  </si>
  <si>
    <t>有百分比标准人属性</t>
  </si>
  <si>
    <t>暴击率</t>
  </si>
  <si>
    <t>攻击力百分比</t>
  </si>
  <si>
    <t>防御力百分比</t>
  </si>
  <si>
    <t>攻击提升</t>
  </si>
  <si>
    <t>总投放攻击力百分比等价</t>
  </si>
  <si>
    <t>实际必杀释放速度</t>
  </si>
  <si>
    <t>s</t>
  </si>
  <si>
    <t>怪物伤害</t>
  </si>
  <si>
    <t>%攻击力</t>
  </si>
  <si>
    <t>玩家吃到伤害比例</t>
  </si>
  <si>
    <t>BOSS战斗系数组成</t>
  </si>
  <si>
    <t>单必杀范围内玩家吃到伤害</t>
  </si>
  <si>
    <t>标准必杀回血系数</t>
  </si>
  <si>
    <t>秒伤害系数</t>
  </si>
  <si>
    <t>普攻</t>
  </si>
  <si>
    <t>/s</t>
  </si>
  <si>
    <t>boss对战能量上限</t>
  </si>
  <si>
    <t>普攻伤害</t>
  </si>
  <si>
    <t>必杀</t>
  </si>
  <si>
    <t>必杀能量上限</t>
  </si>
  <si>
    <t>必杀回复速度</t>
  </si>
  <si>
    <t>必杀系数</t>
  </si>
  <si>
    <t>技能</t>
  </si>
  <si>
    <t>技能释放间隔</t>
  </si>
  <si>
    <t>技能伤害</t>
  </si>
  <si>
    <t>以攻击百分比为基准为定价</t>
  </si>
  <si>
    <t>美化</t>
  </si>
  <si>
    <t>总和</t>
  </si>
  <si>
    <t>技能系数</t>
  </si>
  <si>
    <t>攻击百分比</t>
  </si>
  <si>
    <t>技能数量</t>
  </si>
  <si>
    <t>防御百分比</t>
  </si>
  <si>
    <t>单个技能系数</t>
  </si>
  <si>
    <t>生命百分比</t>
  </si>
  <si>
    <t>提升比例</t>
  </si>
  <si>
    <t>天赋</t>
  </si>
  <si>
    <t>普攻速度百分比</t>
  </si>
  <si>
    <t>专武技能/天赋</t>
  </si>
  <si>
    <t>旅券技能</t>
  </si>
  <si>
    <t>技能拆分系数</t>
  </si>
  <si>
    <t>主角装备技能</t>
  </si>
  <si>
    <t>星盘天赋</t>
  </si>
  <si>
    <t>各种伤害增加</t>
  </si>
  <si>
    <t>总提升比例</t>
  </si>
  <si>
    <t>无天赋总提升比例</t>
  </si>
  <si>
    <t>治疗率</t>
  </si>
  <si>
    <t>普攻量级总和</t>
  </si>
  <si>
    <t>必杀量级总和</t>
  </si>
  <si>
    <t>技能量级总和</t>
  </si>
  <si>
    <t>伤害量级总和</t>
  </si>
  <si>
    <t>后期属性投放值</t>
  </si>
  <si>
    <t>普攻速度提升</t>
  </si>
  <si>
    <t>格挡率</t>
  </si>
  <si>
    <t>增伤乘区预计投放值</t>
  </si>
  <si>
    <t>后期输出标准人相对于无百分比标准人提升值</t>
  </si>
  <si>
    <t>暴击乘区</t>
  </si>
  <si>
    <t>攻击力乘区</t>
  </si>
  <si>
    <t>普攻乘区</t>
  </si>
  <si>
    <t>必杀乘区</t>
  </si>
  <si>
    <t>增伤乘区</t>
  </si>
  <si>
    <t>技能乘区</t>
  </si>
  <si>
    <t>MAX单体每秒伤害</t>
  </si>
  <si>
    <t>5人每秒伤害</t>
  </si>
  <si>
    <t>后期标准boss属性</t>
  </si>
  <si>
    <t>生命值放大倍率</t>
  </si>
  <si>
    <t>中期标准boss属性</t>
  </si>
  <si>
    <t>英雄职业规划</t>
  </si>
  <si>
    <t>职业</t>
  </si>
  <si>
    <t>坦克</t>
  </si>
  <si>
    <t>输出</t>
  </si>
  <si>
    <t>辅助</t>
  </si>
  <si>
    <t>怪物标准模型等级</t>
  </si>
  <si>
    <t>普攻系数倍率</t>
  </si>
  <si>
    <t>技能系数倍率</t>
  </si>
  <si>
    <t>必杀系数倍率</t>
  </si>
  <si>
    <t>战斗支持倍率</t>
  </si>
  <si>
    <t>人数系数</t>
  </si>
  <si>
    <t>攻击系数修正</t>
  </si>
  <si>
    <t>BOSS生命系数修正</t>
  </si>
  <si>
    <t>小怪生命系数修正</t>
  </si>
  <si>
    <t>小怪攻击系数修正</t>
  </si>
  <si>
    <t>最低</t>
  </si>
  <si>
    <t>最高</t>
  </si>
  <si>
    <t>曲率</t>
  </si>
  <si>
    <t>普通怪</t>
  </si>
  <si>
    <t>普通盾怪</t>
  </si>
  <si>
    <t>2级普通怪</t>
  </si>
  <si>
    <t>站桩怪</t>
  </si>
  <si>
    <t>炮灰怪</t>
  </si>
  <si>
    <t>精英怪</t>
  </si>
  <si>
    <t>精英盾怪</t>
  </si>
  <si>
    <t>BOSS</t>
  </si>
  <si>
    <t>装备副本BOSS</t>
  </si>
  <si>
    <t>小怪</t>
  </si>
  <si>
    <t>TTK时间</t>
  </si>
  <si>
    <t>裸体基础属性</t>
  </si>
  <si>
    <t>基础属性百分比</t>
  </si>
  <si>
    <t>算百分比后基础</t>
  </si>
  <si>
    <t>生命放大倍率</t>
  </si>
  <si>
    <t>最终基础属性</t>
  </si>
  <si>
    <t>单位秒，最终基础属性</t>
  </si>
  <si>
    <t>等级</t>
  </si>
  <si>
    <t>无必杀增伤倍率</t>
  </si>
  <si>
    <t>有必杀增伤倍率</t>
  </si>
  <si>
    <t>ehp</t>
  </si>
  <si>
    <t>无必杀TTK（单位/秒）</t>
  </si>
  <si>
    <t>TTK（单位/秒）</t>
  </si>
  <si>
    <t>技能系数计算</t>
  </si>
  <si>
    <t>拆分系数</t>
  </si>
  <si>
    <t>品质系数</t>
  </si>
  <si>
    <t>攻血比</t>
  </si>
  <si>
    <t>技能当前品质</t>
  </si>
  <si>
    <t>R</t>
  </si>
  <si>
    <t>单体伤害</t>
  </si>
  <si>
    <t>基础技能系数</t>
  </si>
  <si>
    <t>血量</t>
  </si>
  <si>
    <t>单体系数</t>
  </si>
  <si>
    <t>基础冷却时间</t>
  </si>
  <si>
    <t>SR</t>
  </si>
  <si>
    <t>实际冷却时间</t>
  </si>
  <si>
    <t>SSR</t>
  </si>
  <si>
    <t>攻速</t>
  </si>
  <si>
    <t>最终技能系数</t>
  </si>
  <si>
    <t>伤害系数</t>
  </si>
  <si>
    <t>普攻基础系数</t>
  </si>
  <si>
    <t>必杀基础系数</t>
  </si>
  <si>
    <t>穿透子弹</t>
  </si>
  <si>
    <t>穿透子弹系数</t>
  </si>
  <si>
    <t>跟踪子弹</t>
  </si>
  <si>
    <t>普攻、必杀系数</t>
  </si>
  <si>
    <t>跟踪子弹系数</t>
  </si>
  <si>
    <t>%/</t>
  </si>
  <si>
    <t>%</t>
  </si>
  <si>
    <t>AOE子弹</t>
  </si>
  <si>
    <t>AOE系数</t>
  </si>
  <si>
    <t>标准范围半径</t>
  </si>
  <si>
    <t>实际范围半径（标准倍数）</t>
  </si>
  <si>
    <t>衰减系数</t>
  </si>
  <si>
    <t>DOT</t>
  </si>
  <si>
    <t>DOT系数</t>
  </si>
  <si>
    <t>DOT持续时间</t>
  </si>
  <si>
    <t>DOT标准持续时间</t>
  </si>
  <si>
    <t>DOT持续系数</t>
  </si>
  <si>
    <t>DOT标准最大层数</t>
  </si>
  <si>
    <t>DOT最大层数</t>
  </si>
  <si>
    <t>DOT最大层数系数</t>
  </si>
  <si>
    <t>DOT单层系数</t>
  </si>
  <si>
    <t>回血</t>
  </si>
  <si>
    <t>回血系数</t>
  </si>
  <si>
    <t>回血人数</t>
  </si>
  <si>
    <t>标准回血人数</t>
  </si>
  <si>
    <t>人数衰减系数</t>
  </si>
  <si>
    <t>最终回血系数</t>
  </si>
  <si>
    <t>护盾</t>
  </si>
  <si>
    <t>护盾系数</t>
  </si>
  <si>
    <t>护盾人数</t>
  </si>
  <si>
    <t>标准护盾人数</t>
  </si>
  <si>
    <t>护盾持续时间</t>
  </si>
  <si>
    <t>护盾持续上限</t>
  </si>
  <si>
    <t>护盾持续下限</t>
  </si>
  <si>
    <t>最终持续时间</t>
  </si>
  <si>
    <t>标准护盾持续时间</t>
  </si>
  <si>
    <t>时间衰减系数</t>
  </si>
  <si>
    <t>最终护盾系数</t>
  </si>
  <si>
    <t>眩晕</t>
  </si>
  <si>
    <t>控制系数</t>
  </si>
  <si>
    <t>标准控制秒数</t>
  </si>
  <si>
    <t>控制人数</t>
  </si>
  <si>
    <t>标准控制人数</t>
  </si>
  <si>
    <t>控制人数系数</t>
  </si>
  <si>
    <t>实际控制秒数</t>
  </si>
  <si>
    <t>冰冻</t>
  </si>
  <si>
    <t>沉默</t>
  </si>
  <si>
    <t>Boss技能系数测算</t>
  </si>
  <si>
    <t>基础参数</t>
  </si>
  <si>
    <t>数值</t>
  </si>
  <si>
    <t>说明</t>
  </si>
  <si>
    <t>技能档位</t>
  </si>
  <si>
    <t>基准倍率</t>
  </si>
  <si>
    <t>默认CD(s)</t>
  </si>
  <si>
    <t>释放屏蔽</t>
  </si>
  <si>
    <t>倍率</t>
  </si>
  <si>
    <t>范围类型</t>
  </si>
  <si>
    <t>穿透类型</t>
  </si>
  <si>
    <t>最终TTK(s)</t>
  </si>
  <si>
    <t>100%命中下后期Boss目标击杀时间</t>
  </si>
  <si>
    <t>高频稳定压血</t>
  </si>
  <si>
    <t>不屏蔽</t>
  </si>
  <si>
    <t>不挤占其他行为</t>
  </si>
  <si>
    <t>单体</t>
  </si>
  <si>
    <t>单目标</t>
  </si>
  <si>
    <t>不穿透</t>
  </si>
  <si>
    <t>命中后停止</t>
  </si>
  <si>
    <t>普攻基准倍率</t>
  </si>
  <si>
    <t>单次普攻伤害基准</t>
  </si>
  <si>
    <t>中技能</t>
  </si>
  <si>
    <t>核心威胁，承接普通Boss机制</t>
  </si>
  <si>
    <t>屏蔽普攻</t>
  </si>
  <si>
    <t>释放期间替代部分普攻</t>
  </si>
  <si>
    <t>直线</t>
  </si>
  <si>
    <t>直线/矩形路径</t>
  </si>
  <si>
    <t>穿透</t>
  </si>
  <si>
    <t>可命中多目标/多次</t>
  </si>
  <si>
    <t>中技能基准倍率</t>
  </si>
  <si>
    <t>单次中技能伤害基准</t>
  </si>
  <si>
    <t>阶段大招/高压窗口</t>
  </si>
  <si>
    <t>屏蔽中技能</t>
  </si>
  <si>
    <t>释放期间替代部分技能</t>
  </si>
  <si>
    <t>扇形</t>
  </si>
  <si>
    <t>前方扇形</t>
  </si>
  <si>
    <t>无限穿透</t>
  </si>
  <si>
    <t>不受命中次数限制，激光类型</t>
  </si>
  <si>
    <t>必杀基准倍率</t>
  </si>
  <si>
    <t>单次必杀伤害基准</t>
  </si>
  <si>
    <t>屏蔽全部</t>
  </si>
  <si>
    <t>大招占用完整行为窗</t>
  </si>
  <si>
    <t>圆形</t>
  </si>
  <si>
    <t>地面圆形区域</t>
  </si>
  <si>
    <t>每秒致死预算系数</t>
  </si>
  <si>
    <t>用于把最终技能系数换算为TTK压力</t>
  </si>
  <si>
    <t>环形</t>
  </si>
  <si>
    <t>内外圈区域</t>
  </si>
  <si>
    <t>范围大小每单位系数</t>
  </si>
  <si>
    <t>范围每超出标准1单位，提升5%威胁；低于标准最低按0.85</t>
  </si>
  <si>
    <t>全屏</t>
  </si>
  <si>
    <t>全场范围</t>
  </si>
  <si>
    <t>额外弹体系数</t>
  </si>
  <si>
    <t>每多1个弹体，降低提升8%威胁</t>
  </si>
  <si>
    <t>额外波次系数</t>
  </si>
  <si>
    <t>每多1波，降低12%威胁</t>
  </si>
  <si>
    <t>持续命中系数</t>
  </si>
  <si>
    <t>持续技能按可命中段数追加威胁</t>
  </si>
  <si>
    <t>控制每秒系数</t>
  </si>
  <si>
    <t>控制越久，威胁越高</t>
  </si>
  <si>
    <t>填写说明：黄色为可调输入；绿色为公式。最终技能系数 = 基准倍率 × 参数综合系数；100%命中掉血占比 = 最终技能系数 ÷ 最终TTK。</t>
  </si>
  <si>
    <t>Boss名</t>
  </si>
  <si>
    <t>技能名</t>
  </si>
  <si>
    <t>CD(s)</t>
  </si>
  <si>
    <t>屏蔽系数</t>
  </si>
  <si>
    <t>范围类型系数</t>
  </si>
  <si>
    <t>范围半径/宽度</t>
  </si>
  <si>
    <t>标准范围</t>
  </si>
  <si>
    <t>范围大小系数</t>
  </si>
  <si>
    <t>穿透系数</t>
  </si>
  <si>
    <t>弹体数</t>
  </si>
  <si>
    <t>弹体系数</t>
  </si>
  <si>
    <t>波次数</t>
  </si>
  <si>
    <t>波次系数</t>
  </si>
  <si>
    <t>持续时间(s)</t>
  </si>
  <si>
    <t>命中间隔(s)</t>
  </si>
  <si>
    <t>持续系数</t>
  </si>
  <si>
    <t>控制时长(s)</t>
  </si>
  <si>
    <t>机制修正</t>
  </si>
  <si>
    <t>参数综合系数</t>
  </si>
  <si>
    <t>Boss模板</t>
  </si>
  <si>
    <t>扇形中技能</t>
  </si>
  <si>
    <t>多波必杀</t>
  </si>
  <si>
    <t>BOSS属性</t>
  </si>
  <si>
    <t>小怪基础属性</t>
  </si>
  <si>
    <t>以关卡进度做玩家战力预估</t>
  </si>
  <si>
    <t>基础进度</t>
  </si>
  <si>
    <t>角色等级进度</t>
  </si>
  <si>
    <t>星盘进度</t>
  </si>
  <si>
    <t>专武进度</t>
  </si>
  <si>
    <t>映射装备进度</t>
  </si>
  <si>
    <t>旅券进度</t>
  </si>
  <si>
    <t>预计bossTTK</t>
  </si>
  <si>
    <t>以主线作为标准</t>
  </si>
  <si>
    <t>起始进度</t>
  </si>
  <si>
    <t>主线章节总数</t>
  </si>
  <si>
    <t>结束进度</t>
  </si>
  <si>
    <t>主线关卡总数</t>
  </si>
  <si>
    <t>函数参数1</t>
  </si>
  <si>
    <t>单位时间伤害上限</t>
  </si>
  <si>
    <t>函数参数2</t>
  </si>
  <si>
    <t>函数参数3</t>
  </si>
  <si>
    <t>起始关卡</t>
  </si>
  <si>
    <t>战斗内效果</t>
  </si>
  <si>
    <t>玩家等级</t>
  </si>
  <si>
    <t>关卡id</t>
  </si>
  <si>
    <t>章节</t>
  </si>
  <si>
    <t>关卡</t>
  </si>
  <si>
    <t>队伍人数进度</t>
  </si>
  <si>
    <t>防御%</t>
  </si>
  <si>
    <t>角色天赋倍率</t>
  </si>
  <si>
    <t>星盘天赋倍率</t>
  </si>
  <si>
    <t>专武天赋倍率</t>
  </si>
  <si>
    <t>映射装备天赋倍率</t>
  </si>
  <si>
    <t>收容物天赋倍率</t>
  </si>
  <si>
    <t>战斗内总倍率</t>
  </si>
  <si>
    <t>攻速倍率</t>
  </si>
  <si>
    <t>技能倍率</t>
  </si>
  <si>
    <t>必杀倍率</t>
  </si>
  <si>
    <t>增伤倍率</t>
  </si>
  <si>
    <t>养成总倍率</t>
  </si>
  <si>
    <t>总单位时间伤害</t>
  </si>
  <si>
    <t>boss生命</t>
  </si>
  <si>
    <t>怪物等级</t>
  </si>
  <si>
    <t>养成模块数值概述</t>
  </si>
  <si>
    <t>概述为前期规划，具体数值请参照每个页签</t>
  </si>
  <si>
    <t>养成模块</t>
  </si>
  <si>
    <t>养成定位</t>
  </si>
  <si>
    <t>投放属性</t>
  </si>
  <si>
    <t>基础属性%</t>
  </si>
  <si>
    <t>技能等级</t>
  </si>
  <si>
    <t>普通二级属性</t>
  </si>
  <si>
    <t>角色裸体数值</t>
  </si>
  <si>
    <t>初始</t>
  </si>
  <si>
    <t>每个角色初始的属性</t>
  </si>
  <si>
    <t>√</t>
  </si>
  <si>
    <t>角色升级</t>
  </si>
  <si>
    <t>主要提供基础属性，线性成长，前中期主要属性来源</t>
  </si>
  <si>
    <t>角色升阶</t>
  </si>
  <si>
    <t>主要提供基础属性，线性成长，前中期主要属性来源
升阶主要去卡角色技能等级和星盘等级</t>
  </si>
  <si>
    <t>角色星盘</t>
  </si>
  <si>
    <t>稀有角色、活跃材料的投放和消耗点
普通养成行为无法点满，需要额外的稀有材料才能点满
投放一小部分基础属性，基础属性%，普通二级属性和天赋技能等级
投放的基础属性%和二级属性根据角色定位进行更改</t>
  </si>
  <si>
    <t>角色升星</t>
  </si>
  <si>
    <t>主要付费内容，解锁额外天赋（提升幅度需要够大），投放基础属性百分比和二级属性</t>
  </si>
  <si>
    <t>专武</t>
  </si>
  <si>
    <t>主要作用是承载一部分角色技能机制，同时提供一部分基础属性
或者普通二级属性</t>
  </si>
  <si>
    <t>4+2套装效果
等级上限低，相对于阴阳师，降低随机性，提高毕业预期</t>
  </si>
  <si>
    <t>主角装备</t>
  </si>
  <si>
    <t xml:space="preserve">后期终局玩法，极强的随机词条，承载后期玩家的日活和养成目标
主属性固定，副属性做强的词条与上下限随机
镶嵌的宝石相当于一个带一点随机性的进度类养成
</t>
  </si>
  <si>
    <t>角色全属性组成</t>
  </si>
  <si>
    <t>不能选择的</t>
  </si>
  <si>
    <t>可选择的</t>
  </si>
  <si>
    <t>映射装备副词条+宝石</t>
  </si>
  <si>
    <t>映射装备主词条</t>
  </si>
  <si>
    <t>养成模块数值分配</t>
  </si>
  <si>
    <t>这部分是每个角色不同的属性偏向，需要每个角色单独设计</t>
  </si>
  <si>
    <t>该表格决定属性数值分配值</t>
  </si>
  <si>
    <t>输出角色（攻击%+暴击爆伤）</t>
  </si>
  <si>
    <t>预计基础属性</t>
  </si>
  <si>
    <t>最终基础属性%</t>
  </si>
  <si>
    <t>预计全部基础属性%</t>
  </si>
  <si>
    <t>预计偏向全部二级属性</t>
  </si>
  <si>
    <t>预计偏向基础属性%+二级属性</t>
  </si>
  <si>
    <t>偏向值</t>
  </si>
  <si>
    <t>二级属性占比</t>
  </si>
  <si>
    <t>映射装备</t>
  </si>
  <si>
    <t>总普通投放</t>
  </si>
  <si>
    <t>总稀有投放</t>
  </si>
  <si>
    <t>总二级投放</t>
  </si>
  <si>
    <t>（以攻击力%为基准）</t>
  </si>
  <si>
    <t>以攻击百分比为基准的属性定价</t>
  </si>
  <si>
    <t>主角等级上限</t>
  </si>
  <si>
    <t>经验产出</t>
  </si>
  <si>
    <t>每级成长</t>
  </si>
  <si>
    <t>升级需要经验</t>
  </si>
  <si>
    <t>升级返还体力</t>
  </si>
  <si>
    <t>所需总经验</t>
  </si>
  <si>
    <t>实际所需总经验</t>
  </si>
  <si>
    <t>对应主线章节</t>
  </si>
  <si>
    <t>对应主线关卡</t>
  </si>
  <si>
    <t>主线章节</t>
  </si>
  <si>
    <t>章节关卡数</t>
  </si>
  <si>
    <t>主角等级预计</t>
  </si>
  <si>
    <t>对应天数</t>
  </si>
  <si>
    <t>来源</t>
  </si>
  <si>
    <t>每日产出</t>
  </si>
  <si>
    <t>核算经验</t>
  </si>
  <si>
    <t>自然回复</t>
  </si>
  <si>
    <t>每日任务</t>
  </si>
  <si>
    <t>购买体力1次</t>
  </si>
  <si>
    <t>购买体力2次</t>
  </si>
  <si>
    <t>购买体力3次</t>
  </si>
  <si>
    <t>购买体力4次</t>
  </si>
  <si>
    <t>购买体力5次</t>
  </si>
  <si>
    <t>购买体力6次</t>
  </si>
  <si>
    <t>购买体力7次</t>
  </si>
  <si>
    <t>购买体力8次</t>
  </si>
  <si>
    <t>小R</t>
  </si>
  <si>
    <t>中R</t>
  </si>
  <si>
    <t>大R</t>
  </si>
  <si>
    <t>天数</t>
  </si>
  <si>
    <t>所需经验</t>
  </si>
  <si>
    <t>每天经验</t>
  </si>
  <si>
    <t>总经验</t>
  </si>
  <si>
    <t>实际等级</t>
  </si>
  <si>
    <t>等级上限</t>
  </si>
  <si>
    <t>满级怪物等级</t>
  </si>
  <si>
    <t>主线最高怪物</t>
  </si>
  <si>
    <t>主线关卡最后等级</t>
  </si>
  <si>
    <t>层数类型</t>
  </si>
  <si>
    <t>层数</t>
  </si>
  <si>
    <t>系数</t>
  </si>
  <si>
    <t>小层</t>
  </si>
  <si>
    <t>中层</t>
  </si>
  <si>
    <t>大层</t>
  </si>
  <si>
    <t>层数预计</t>
  </si>
  <si>
    <t>难度概述：</t>
  </si>
  <si>
    <t>第一天层数</t>
  </si>
  <si>
    <t>保底层数</t>
  </si>
  <si>
    <t>开启天数</t>
  </si>
  <si>
    <t>预计打满天数</t>
  </si>
  <si>
    <t>预计打到保底天数</t>
  </si>
  <si>
    <t>初始怪物等级</t>
  </si>
  <si>
    <t>前10层等级减少</t>
  </si>
  <si>
    <t>前20层等级减少</t>
  </si>
  <si>
    <t>玩法线</t>
  </si>
  <si>
    <t>主线</t>
  </si>
  <si>
    <t>普通资源副本</t>
  </si>
  <si>
    <t>收容物本</t>
  </si>
  <si>
    <t>映射装备本</t>
  </si>
  <si>
    <t>无限挑战</t>
  </si>
  <si>
    <t>爬塔</t>
  </si>
  <si>
    <t>难度预计</t>
  </si>
  <si>
    <t>大秘境</t>
  </si>
  <si>
    <t>世界boss</t>
  </si>
  <si>
    <t>boss挑战</t>
  </si>
  <si>
    <t>PVPVE</t>
  </si>
  <si>
    <t>公会</t>
  </si>
  <si>
    <t>生命值系数</t>
  </si>
  <si>
    <t>攻击力系数</t>
  </si>
  <si>
    <t>困难主线</t>
  </si>
  <si>
    <t>金币副本、武将经验副本</t>
  </si>
  <si>
    <t>对应主角等级</t>
  </si>
  <si>
    <t>防御力系数</t>
  </si>
  <si>
    <t>对应怪物等级</t>
  </si>
  <si>
    <t>难度</t>
  </si>
  <si>
    <t>专武经验副本</t>
  </si>
  <si>
    <t>旅券副本</t>
  </si>
  <si>
    <t>主角装备本</t>
  </si>
  <si>
    <t>无限挑战关卡难度计算公式</t>
  </si>
  <si>
    <t>a=</t>
  </si>
  <si>
    <t>关卡小等级</t>
  </si>
  <si>
    <t>怪物等级=b+c*（n-1）/((n-1)+a)</t>
  </si>
  <si>
    <t>b=</t>
  </si>
  <si>
    <t>c=</t>
  </si>
  <si>
    <t>怪物等级上限</t>
  </si>
  <si>
    <t>关卡大波数</t>
  </si>
  <si>
    <t>关卡小波数</t>
  </si>
  <si>
    <t>怪物等级差</t>
  </si>
  <si>
    <t>以后每级属性系数乘以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</si>
</sst>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  <numFmt numFmtId="177" formatCode="0.0%"/>
    <numFmt numFmtId="178" formatCode="0.0_ "/>
    <numFmt numFmtId="179" formatCode="0.00_ "/>
  </numFmts>
  <fonts count="4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9"/>
      <color rgb="FF000000"/>
      <name val="Calibri"/>
      <charset val="134"/>
    </font>
    <font>
      <sz val="10"/>
      <color rgb="FFFF0000"/>
      <name val="微软雅黑"/>
      <charset val="134"/>
    </font>
    <font>
      <b/>
      <sz val="11"/>
      <name val="微软雅黑"/>
      <charset val="134"/>
    </font>
    <font>
      <b/>
      <sz val="11"/>
      <color theme="1"/>
      <name val="微软雅黑"/>
      <charset val="134"/>
    </font>
    <font>
      <b/>
      <sz val="14"/>
      <color theme="0"/>
      <name val="微软雅黑"/>
      <charset val="134"/>
    </font>
    <font>
      <sz val="11"/>
      <name val="微软雅黑"/>
      <charset val="134"/>
    </font>
    <font>
      <b/>
      <sz val="11"/>
      <color rgb="FFFF0000"/>
      <name val="微软雅黑"/>
      <charset val="134"/>
    </font>
    <font>
      <b/>
      <sz val="11"/>
      <color rgb="FF000000"/>
      <name val="微软雅黑"/>
      <charset val="134"/>
    </font>
    <font>
      <sz val="10"/>
      <color theme="1"/>
      <name val="Microsoft YaHei"/>
      <charset val="134"/>
    </font>
    <font>
      <b/>
      <sz val="16"/>
      <color rgb="FFFFFFFF"/>
      <name val="Microsoft YaHei"/>
      <charset val="134"/>
    </font>
    <font>
      <b/>
      <sz val="10"/>
      <color rgb="FFFFFFFF"/>
      <name val="Microsoft YaHei"/>
      <charset val="134"/>
    </font>
    <font>
      <sz val="10"/>
      <color rgb="FF0000FF"/>
      <name val="Microsoft YaHei"/>
      <charset val="134"/>
    </font>
    <font>
      <b/>
      <sz val="10"/>
      <color theme="1"/>
      <name val="Microsoft YaHei"/>
      <charset val="134"/>
    </font>
    <font>
      <sz val="10"/>
      <color rgb="FF000000"/>
      <name val="Microsoft YaHei"/>
      <charset val="134"/>
    </font>
    <font>
      <b/>
      <sz val="16"/>
      <color theme="1"/>
      <name val="微软雅黑"/>
      <charset val="134"/>
    </font>
    <font>
      <sz val="11"/>
      <color rgb="FF000000"/>
      <name val="微软雅黑"/>
      <charset val="134"/>
    </font>
    <font>
      <b/>
      <sz val="18"/>
      <color rgb="FF000000"/>
      <name val="微软雅黑"/>
      <charset val="134"/>
    </font>
    <font>
      <b/>
      <sz val="14"/>
      <color rgb="FF000000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微软雅黑"/>
      <charset val="134"/>
    </font>
    <font>
      <sz val="10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A63CD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auto="1"/>
      </left>
      <right style="thin">
        <color auto="1"/>
      </right>
      <top style="thin">
        <color rgb="FFDEE0E3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0" fillId="18" borderId="17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18">
      <alignment vertical="center"/>
    </xf>
    <xf numFmtId="0" fontId="31" fillId="0" borderId="18">
      <alignment vertical="center"/>
    </xf>
    <xf numFmtId="0" fontId="32" fillId="0" borderId="19">
      <alignment vertical="center"/>
    </xf>
    <xf numFmtId="0" fontId="32" fillId="0" borderId="0">
      <alignment vertical="center"/>
    </xf>
    <xf numFmtId="0" fontId="33" fillId="19" borderId="20">
      <alignment vertical="center"/>
    </xf>
    <xf numFmtId="0" fontId="34" fillId="20" borderId="21">
      <alignment vertical="center"/>
    </xf>
    <xf numFmtId="0" fontId="35" fillId="20" borderId="20">
      <alignment vertical="center"/>
    </xf>
    <xf numFmtId="0" fontId="36" fillId="21" borderId="22">
      <alignment vertical="center"/>
    </xf>
    <xf numFmtId="0" fontId="37" fillId="0" borderId="23">
      <alignment vertical="center"/>
    </xf>
    <xf numFmtId="0" fontId="38" fillId="0" borderId="24">
      <alignment vertical="center"/>
    </xf>
    <xf numFmtId="0" fontId="39" fillId="22" borderId="0">
      <alignment vertical="center"/>
    </xf>
    <xf numFmtId="0" fontId="40" fillId="23" borderId="0">
      <alignment vertical="center"/>
    </xf>
    <xf numFmtId="0" fontId="41" fillId="24" borderId="0">
      <alignment vertical="center"/>
    </xf>
    <xf numFmtId="0" fontId="42" fillId="25" borderId="0">
      <alignment vertical="center"/>
    </xf>
    <xf numFmtId="0" fontId="43" fillId="26" borderId="0">
      <alignment vertical="center"/>
    </xf>
    <xf numFmtId="0" fontId="43" fillId="27" borderId="0">
      <alignment vertical="center"/>
    </xf>
    <xf numFmtId="0" fontId="42" fillId="28" borderId="0">
      <alignment vertical="center"/>
    </xf>
    <xf numFmtId="0" fontId="42" fillId="29" borderId="0">
      <alignment vertical="center"/>
    </xf>
    <xf numFmtId="0" fontId="43" fillId="30" borderId="0">
      <alignment vertical="center"/>
    </xf>
    <xf numFmtId="0" fontId="43" fillId="31" borderId="0">
      <alignment vertical="center"/>
    </xf>
    <xf numFmtId="0" fontId="42" fillId="32" borderId="0">
      <alignment vertical="center"/>
    </xf>
    <xf numFmtId="0" fontId="42" fillId="33" borderId="0">
      <alignment vertical="center"/>
    </xf>
    <xf numFmtId="0" fontId="43" fillId="34" borderId="0">
      <alignment vertical="center"/>
    </xf>
    <xf numFmtId="0" fontId="43" fillId="35" borderId="0">
      <alignment vertical="center"/>
    </xf>
    <xf numFmtId="0" fontId="42" fillId="36" borderId="0">
      <alignment vertical="center"/>
    </xf>
    <xf numFmtId="0" fontId="42" fillId="4" borderId="0">
      <alignment vertical="center"/>
    </xf>
    <xf numFmtId="0" fontId="43" fillId="37" borderId="0">
      <alignment vertical="center"/>
    </xf>
    <xf numFmtId="0" fontId="43" fillId="38" borderId="0">
      <alignment vertical="center"/>
    </xf>
    <xf numFmtId="0" fontId="42" fillId="39" borderId="0">
      <alignment vertical="center"/>
    </xf>
    <xf numFmtId="0" fontId="42" fillId="40" borderId="0">
      <alignment vertical="center"/>
    </xf>
    <xf numFmtId="0" fontId="43" fillId="41" borderId="0">
      <alignment vertical="center"/>
    </xf>
    <xf numFmtId="0" fontId="43" fillId="42" borderId="0">
      <alignment vertical="center"/>
    </xf>
    <xf numFmtId="0" fontId="42" fillId="43" borderId="0">
      <alignment vertical="center"/>
    </xf>
    <xf numFmtId="0" fontId="42" fillId="44" borderId="0">
      <alignment vertical="center"/>
    </xf>
    <xf numFmtId="0" fontId="43" fillId="45" borderId="0">
      <alignment vertical="center"/>
    </xf>
    <xf numFmtId="0" fontId="43" fillId="46" borderId="0">
      <alignment vertical="center"/>
    </xf>
    <xf numFmtId="0" fontId="42" fillId="47" borderId="0">
      <alignment vertical="center"/>
    </xf>
  </cellStyleXfs>
  <cellXfs count="12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10" fontId="1" fillId="0" borderId="0" xfId="3" applyNumberFormat="1" applyFont="1" applyAlignment="1">
      <alignment horizontal="center" vertical="center"/>
    </xf>
    <xf numFmtId="9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center" vertical="center"/>
    </xf>
    <xf numFmtId="9" fontId="1" fillId="6" borderId="0" xfId="3" applyFont="1" applyFill="1" applyAlignment="1">
      <alignment horizontal="center" vertical="center"/>
    </xf>
    <xf numFmtId="9" fontId="1" fillId="0" borderId="0" xfId="3" applyFont="1" applyAlignment="1">
      <alignment vertical="center"/>
    </xf>
    <xf numFmtId="10" fontId="1" fillId="2" borderId="0" xfId="3" applyNumberFormat="1" applyFont="1" applyFill="1" applyAlignment="1">
      <alignment horizontal="center" vertical="center"/>
    </xf>
    <xf numFmtId="10" fontId="0" fillId="0" borderId="0" xfId="3" applyNumberFormat="1" applyAlignment="1">
      <alignment vertical="center"/>
    </xf>
    <xf numFmtId="0" fontId="10" fillId="6" borderId="2" xfId="0" applyFont="1" applyFill="1" applyBorder="1" applyAlignment="1"/>
    <xf numFmtId="9" fontId="1" fillId="0" borderId="0" xfId="3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76" fontId="1" fillId="0" borderId="0" xfId="3" applyNumberFormat="1" applyFont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1" fillId="0" borderId="0" xfId="3" applyNumberFormat="1" applyFont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vertical="center"/>
    </xf>
    <xf numFmtId="0" fontId="12" fillId="8" borderId="0" xfId="0" applyFont="1" applyFill="1" applyAlignment="1">
      <alignment horizontal="center" vertical="center"/>
    </xf>
    <xf numFmtId="0" fontId="13" fillId="8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2" fontId="14" fillId="9" borderId="5" xfId="0" applyNumberFormat="1" applyFont="1" applyFill="1" applyBorder="1" applyAlignment="1">
      <alignment vertical="center" wrapText="1"/>
    </xf>
    <xf numFmtId="0" fontId="11" fillId="10" borderId="5" xfId="0" applyFont="1" applyFill="1" applyBorder="1" applyAlignment="1">
      <alignment vertical="center" wrapText="1"/>
    </xf>
    <xf numFmtId="0" fontId="14" fillId="9" borderId="5" xfId="0" applyFont="1" applyFill="1" applyBorder="1" applyAlignment="1">
      <alignment vertical="center" wrapText="1"/>
    </xf>
    <xf numFmtId="0" fontId="15" fillId="11" borderId="5" xfId="0" applyFont="1" applyFill="1" applyBorder="1" applyAlignment="1">
      <alignment horizontal="center" vertical="center" wrapText="1"/>
    </xf>
    <xf numFmtId="0" fontId="0" fillId="0" borderId="6" xfId="0" applyBorder="1" applyAlignment="1"/>
    <xf numFmtId="0" fontId="0" fillId="0" borderId="7" xfId="0" applyBorder="1" applyAlignment="1"/>
    <xf numFmtId="2" fontId="16" fillId="10" borderId="5" xfId="0" applyNumberFormat="1" applyFont="1" applyFill="1" applyBorder="1" applyAlignment="1">
      <alignment vertical="center" wrapText="1"/>
    </xf>
    <xf numFmtId="2" fontId="14" fillId="12" borderId="5" xfId="0" applyNumberFormat="1" applyFont="1" applyFill="1" applyBorder="1" applyAlignment="1">
      <alignment vertical="center" wrapText="1"/>
    </xf>
    <xf numFmtId="2" fontId="16" fillId="6" borderId="5" xfId="0" applyNumberFormat="1" applyFont="1" applyFill="1" applyBorder="1" applyAlignment="1">
      <alignment vertical="center" wrapText="1"/>
    </xf>
    <xf numFmtId="177" fontId="16" fillId="10" borderId="5" xfId="0" applyNumberFormat="1" applyFont="1" applyFill="1" applyBorder="1" applyAlignment="1">
      <alignment vertical="center" wrapText="1"/>
    </xf>
    <xf numFmtId="9" fontId="1" fillId="2" borderId="0" xfId="3" applyFont="1" applyFill="1" applyAlignment="1">
      <alignment vertical="center"/>
    </xf>
    <xf numFmtId="0" fontId="1" fillId="6" borderId="8" xfId="0" applyFont="1" applyFill="1" applyBorder="1" applyAlignment="1">
      <alignment vertical="center"/>
    </xf>
    <xf numFmtId="177" fontId="1" fillId="0" borderId="0" xfId="3" applyNumberFormat="1" applyFont="1" applyAlignment="1">
      <alignment vertical="center"/>
    </xf>
    <xf numFmtId="0" fontId="1" fillId="13" borderId="8" xfId="0" applyFont="1" applyFill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9" fontId="1" fillId="0" borderId="10" xfId="0" applyNumberFormat="1" applyFont="1" applyBorder="1" applyAlignment="1">
      <alignment vertical="center"/>
    </xf>
    <xf numFmtId="0" fontId="1" fillId="14" borderId="8" xfId="0" applyFont="1" applyFill="1" applyBorder="1" applyAlignment="1">
      <alignment vertical="center"/>
    </xf>
    <xf numFmtId="0" fontId="1" fillId="5" borderId="8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vertical="center"/>
    </xf>
    <xf numFmtId="9" fontId="1" fillId="6" borderId="0" xfId="0" applyNumberFormat="1" applyFont="1" applyFill="1" applyAlignment="1">
      <alignment vertical="center"/>
    </xf>
    <xf numFmtId="177" fontId="1" fillId="2" borderId="0" xfId="3" applyNumberFormat="1" applyFont="1" applyFill="1" applyAlignment="1">
      <alignment vertical="center"/>
    </xf>
    <xf numFmtId="0" fontId="1" fillId="0" borderId="11" xfId="0" applyFont="1" applyBorder="1" applyAlignment="1">
      <alignment vertical="center"/>
    </xf>
    <xf numFmtId="177" fontId="1" fillId="6" borderId="12" xfId="0" applyNumberFormat="1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10" fillId="0" borderId="13" xfId="0" applyFont="1" applyBorder="1" applyAlignment="1">
      <alignment horizontal="left"/>
    </xf>
    <xf numFmtId="9" fontId="1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9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15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78" fontId="1" fillId="6" borderId="0" xfId="0" applyNumberFormat="1" applyFont="1" applyFill="1" applyAlignment="1">
      <alignment vertical="center"/>
    </xf>
    <xf numFmtId="179" fontId="1" fillId="6" borderId="0" xfId="0" applyNumberFormat="1" applyFont="1" applyFill="1" applyAlignment="1">
      <alignment vertical="center"/>
    </xf>
    <xf numFmtId="177" fontId="1" fillId="6" borderId="0" xfId="3" applyNumberFormat="1" applyFont="1" applyFill="1" applyAlignment="1">
      <alignment vertical="center"/>
    </xf>
    <xf numFmtId="0" fontId="18" fillId="0" borderId="13" xfId="0" applyFont="1" applyBorder="1" applyAlignment="1"/>
    <xf numFmtId="9" fontId="18" fillId="2" borderId="13" xfId="0" applyNumberFormat="1" applyFont="1" applyFill="1" applyBorder="1" applyAlignment="1">
      <alignment horizontal="right"/>
    </xf>
    <xf numFmtId="9" fontId="0" fillId="0" borderId="0" xfId="3" applyAlignment="1">
      <alignment vertical="center"/>
    </xf>
    <xf numFmtId="176" fontId="1" fillId="2" borderId="0" xfId="0" applyNumberFormat="1" applyFont="1" applyFill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13" xfId="0" applyFont="1" applyBorder="1" applyAlignment="1"/>
    <xf numFmtId="0" fontId="1" fillId="0" borderId="0" xfId="0" applyFont="1" applyAlignment="1"/>
    <xf numFmtId="0" fontId="6" fillId="0" borderId="13" xfId="0" applyFont="1" applyBorder="1" applyAlignment="1"/>
    <xf numFmtId="0" fontId="6" fillId="0" borderId="0" xfId="0" applyFont="1" applyAlignment="1"/>
    <xf numFmtId="9" fontId="1" fillId="0" borderId="0" xfId="3" applyFont="1" applyAlignment="1">
      <alignment horizontal="left" vertical="center"/>
    </xf>
    <xf numFmtId="9" fontId="1" fillId="16" borderId="0" xfId="3" applyFont="1" applyFill="1" applyAlignment="1">
      <alignment horizontal="left" vertical="center"/>
    </xf>
    <xf numFmtId="9" fontId="6" fillId="0" borderId="0" xfId="3" applyFont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9" fillId="0" borderId="13" xfId="0" applyFont="1" applyBorder="1" applyAlignment="1">
      <alignment horizontal="left"/>
    </xf>
    <xf numFmtId="0" fontId="20" fillId="6" borderId="13" xfId="0" applyFont="1" applyFill="1" applyBorder="1" applyAlignment="1"/>
    <xf numFmtId="0" fontId="20" fillId="0" borderId="13" xfId="0" applyFont="1" applyBorder="1" applyAlignment="1"/>
    <xf numFmtId="0" fontId="10" fillId="0" borderId="13" xfId="0" applyFont="1" applyBorder="1" applyAlignment="1"/>
    <xf numFmtId="0" fontId="21" fillId="0" borderId="13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10" fillId="0" borderId="0" xfId="0" applyFont="1" applyAlignment="1"/>
    <xf numFmtId="9" fontId="1" fillId="2" borderId="0" xfId="0" applyNumberFormat="1" applyFont="1" applyFill="1" applyAlignment="1">
      <alignment horizontal="left" vertical="center"/>
    </xf>
    <xf numFmtId="0" fontId="10" fillId="0" borderId="13" xfId="0" applyFont="1" applyBorder="1" applyAlignment="1">
      <alignment vertical="center"/>
    </xf>
    <xf numFmtId="0" fontId="22" fillId="6" borderId="13" xfId="0" applyFont="1" applyFill="1" applyBorder="1" applyAlignment="1">
      <alignment vertical="center"/>
    </xf>
    <xf numFmtId="0" fontId="7" fillId="3" borderId="13" xfId="0" applyFont="1" applyFill="1" applyBorder="1" applyAlignment="1">
      <alignment horizontal="center"/>
    </xf>
    <xf numFmtId="0" fontId="18" fillId="17" borderId="14" xfId="0" applyFont="1" applyFill="1" applyBorder="1" applyAlignment="1">
      <alignment horizontal="center" vertical="center"/>
    </xf>
    <xf numFmtId="0" fontId="10" fillId="17" borderId="2" xfId="0" applyFont="1" applyFill="1" applyBorder="1" applyAlignment="1"/>
    <xf numFmtId="0" fontId="18" fillId="17" borderId="13" xfId="0" applyFont="1" applyFill="1" applyBorder="1" applyAlignment="1"/>
    <xf numFmtId="0" fontId="18" fillId="17" borderId="13" xfId="0" applyFont="1" applyFill="1" applyBorder="1" applyAlignment="1">
      <alignment horizontal="center"/>
    </xf>
    <xf numFmtId="0" fontId="0" fillId="0" borderId="15" xfId="0" applyBorder="1" applyAlignment="1"/>
    <xf numFmtId="0" fontId="0" fillId="0" borderId="16" xfId="0" applyBorder="1" applyAlignment="1"/>
    <xf numFmtId="0" fontId="10" fillId="0" borderId="2" xfId="0" applyFont="1" applyBorder="1" applyAlignment="1"/>
    <xf numFmtId="0" fontId="18" fillId="0" borderId="13" xfId="0" applyFont="1" applyBorder="1" applyAlignment="1">
      <alignment vertical="center"/>
    </xf>
    <xf numFmtId="0" fontId="18" fillId="17" borderId="13" xfId="0" applyFont="1" applyFill="1" applyBorder="1" applyAlignment="1">
      <alignment horizontal="right"/>
    </xf>
    <xf numFmtId="9" fontId="18" fillId="17" borderId="13" xfId="0" applyNumberFormat="1" applyFont="1" applyFill="1" applyBorder="1" applyAlignment="1"/>
    <xf numFmtId="0" fontId="5" fillId="17" borderId="2" xfId="0" applyFont="1" applyFill="1" applyBorder="1" applyAlignment="1"/>
    <xf numFmtId="0" fontId="5" fillId="0" borderId="0" xfId="0" applyFont="1" applyAlignment="1">
      <alignment vertical="center"/>
    </xf>
    <xf numFmtId="0" fontId="5" fillId="0" borderId="2" xfId="0" applyFont="1" applyBorder="1" applyAlignment="1"/>
    <xf numFmtId="0" fontId="18" fillId="0" borderId="13" xfId="0" applyFont="1" applyBorder="1" applyAlignment="1">
      <alignment wrapText="1"/>
    </xf>
    <xf numFmtId="0" fontId="23" fillId="17" borderId="13" xfId="0" applyFont="1" applyFill="1" applyBorder="1" applyAlignment="1">
      <alignment vertical="center"/>
    </xf>
    <xf numFmtId="0" fontId="21" fillId="17" borderId="13" xfId="0" applyFont="1" applyFill="1" applyBorder="1" applyAlignment="1">
      <alignment vertical="center"/>
    </xf>
    <xf numFmtId="0" fontId="24" fillId="17" borderId="2" xfId="0" applyFont="1" applyFill="1" applyBorder="1" applyAlignment="1">
      <alignment vertical="center"/>
    </xf>
    <xf numFmtId="0" fontId="1" fillId="0" borderId="0" xfId="0" applyFont="1" applyAlignment="1">
      <alignment vertical="center" wrapText="1"/>
    </xf>
    <xf numFmtId="0" fontId="18" fillId="17" borderId="8" xfId="0" applyFont="1" applyFill="1" applyBorder="1" applyAlignment="1">
      <alignment horizontal="center" vertical="center"/>
    </xf>
    <xf numFmtId="0" fontId="10" fillId="17" borderId="13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  <a:prstDash val="solid"/>
        </a:ln>
      </c:spPr>
      <c:tx>
        <c:rich>
          <a:bodyPr/>
          <a:lstStyle/>
          <a:p>
            <a:pPr>
              <a:defRPr/>
            </a:pPr>
          </a:p>
        </c:rich>
      </c:tx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玩家战力曲线!$H$12:$H$116</c:f>
              <c:numCache>
                <c:formatCode>0.000%</c:formatCode>
                <c:ptCount val="1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0.0224011964656602</c:v>
                </c:pt>
                <c:pt idx="15">
                  <c:v>0.0441303570373506</c:v>
                </c:pt>
                <c:pt idx="16">
                  <c:v>0.0652076427918903</c:v>
                </c:pt>
                <c:pt idx="17">
                  <c:v>0.0856526099737937</c:v>
                </c:pt>
                <c:pt idx="18">
                  <c:v>0.10548422814024</c:v>
                </c:pt>
                <c:pt idx="19">
                  <c:v>0.124720897761693</c:v>
                </c:pt>
                <c:pt idx="20">
                  <c:v>0.143380467294503</c:v>
                </c:pt>
                <c:pt idx="21">
                  <c:v>0.161480249741328</c:v>
                </c:pt>
                <c:pt idx="22">
                  <c:v>0.179037038714748</c:v>
                </c:pt>
                <c:pt idx="23">
                  <c:v>0.196067124018966</c:v>
                </c:pt>
                <c:pt idx="24">
                  <c:v>0.212586306764057</c:v>
                </c:pt>
                <c:pt idx="25">
                  <c:v>0.228609914026796</c:v>
                </c:pt>
                <c:pt idx="26">
                  <c:v>0.244152813071652</c:v>
                </c:pt>
                <c:pt idx="27">
                  <c:v>0.259229425145162</c:v>
                </c:pt>
                <c:pt idx="28">
                  <c:v>0.273853738856468</c:v>
                </c:pt>
                <c:pt idx="29">
                  <c:v>0.288039323156434</c:v>
                </c:pt>
                <c:pt idx="30">
                  <c:v>0.301799339927401</c:v>
                </c:pt>
                <c:pt idx="31">
                  <c:v>0.315146556195239</c:v>
                </c:pt>
                <c:pt idx="32">
                  <c:v>0.328093355975042</c:v>
                </c:pt>
                <c:pt idx="33">
                  <c:v>0.340651751761451</c:v>
                </c:pt>
                <c:pt idx="34">
                  <c:v>0.352833395674268</c:v>
                </c:pt>
                <c:pt idx="35">
                  <c:v>0.3646495902697</c:v>
                </c:pt>
                <c:pt idx="36">
                  <c:v>0.376111299027269</c:v>
                </c:pt>
                <c:pt idx="37">
                  <c:v>0.387229156522111</c:v>
                </c:pt>
                <c:pt idx="38">
                  <c:v>0.398013478292108</c:v>
                </c:pt>
                <c:pt idx="39">
                  <c:v>0.408474270409005</c:v>
                </c:pt>
                <c:pt idx="40">
                  <c:v>0.418621238762395</c:v>
                </c:pt>
                <c:pt idx="41">
                  <c:v>0.428463798065184</c:v>
                </c:pt>
                <c:pt idx="42">
                  <c:v>0.438011080588888</c:v>
                </c:pt>
                <c:pt idx="43">
                  <c:v>0.447271944636882</c:v>
                </c:pt>
                <c:pt idx="44">
                  <c:v>0.456254982763435</c:v>
                </c:pt>
                <c:pt idx="45">
                  <c:v>0.464968529746193</c:v>
                </c:pt>
                <c:pt idx="46">
                  <c:v>0.473420670319467</c:v>
                </c:pt>
                <c:pt idx="47">
                  <c:v>0.481619246675543</c:v>
                </c:pt>
                <c:pt idx="48">
                  <c:v>0.489571865740937</c:v>
                </c:pt>
                <c:pt idx="49">
                  <c:v>0.497285906234369</c:v>
                </c:pt>
                <c:pt idx="50">
                  <c:v>0.504768525512998</c:v>
                </c:pt>
                <c:pt idx="51">
                  <c:v>0.512026666213268</c:v>
                </c:pt>
                <c:pt idx="52">
                  <c:v>0.519067062692531</c:v>
                </c:pt>
                <c:pt idx="53">
                  <c:v>0.525896247277415</c:v>
                </c:pt>
                <c:pt idx="54">
                  <c:v>0.532520556324753</c:v>
                </c:pt>
                <c:pt idx="55">
                  <c:v>0.53894613610067</c:v>
                </c:pt>
                <c:pt idx="56">
                  <c:v>0.54517894848331</c:v>
                </c:pt>
                <c:pt idx="57">
                  <c:v>0.551224776494471</c:v>
                </c:pt>
                <c:pt idx="58">
                  <c:v>0.557089229665297</c:v>
                </c:pt>
                <c:pt idx="59">
                  <c:v>0.562777749240999</c:v>
                </c:pt>
                <c:pt idx="60">
                  <c:v>0.568295613229429</c:v>
                </c:pt>
                <c:pt idx="61">
                  <c:v>0.573647941298206</c:v>
                </c:pt>
                <c:pt idx="62">
                  <c:v>0.57883969952492</c:v>
                </c:pt>
                <c:pt idx="63">
                  <c:v>0.583875705004833</c:v>
                </c:pt>
                <c:pt idx="64">
                  <c:v>0.588760630320348</c:v>
                </c:pt>
                <c:pt idx="65">
                  <c:v>0.593499007876398</c:v>
                </c:pt>
                <c:pt idx="66">
                  <c:v>0.598095234105766</c:v>
                </c:pt>
                <c:pt idx="67">
                  <c:v>0.602553573548253</c:v>
                </c:pt>
                <c:pt idx="68">
                  <c:v>0.606878162807466</c:v>
                </c:pt>
                <c:pt idx="69">
                  <c:v>0.611073014388902</c:v>
                </c:pt>
                <c:pt idx="70">
                  <c:v>0.615142020422895</c:v>
                </c:pt>
                <c:pt idx="71">
                  <c:v>0.619088956275868</c:v>
                </c:pt>
                <c:pt idx="72">
                  <c:v>0.622917484053253</c:v>
                </c:pt>
                <c:pt idx="73">
                  <c:v>0.626631155997315</c:v>
                </c:pt>
                <c:pt idx="74">
                  <c:v>0.630233417783056</c:v>
                </c:pt>
                <c:pt idx="75">
                  <c:v>0.633727611715224</c:v>
                </c:pt>
                <c:pt idx="76">
                  <c:v>0.637116979829428</c:v>
                </c:pt>
                <c:pt idx="77">
                  <c:v>0.640404666900205</c:v>
                </c:pt>
                <c:pt idx="78">
                  <c:v>0.643593723358859</c:v>
                </c:pt>
                <c:pt idx="79">
                  <c:v>0.646687108123754</c:v>
                </c:pt>
                <c:pt idx="80">
                  <c:v>0.649687691345701</c:v>
                </c:pt>
                <c:pt idx="81">
                  <c:v>0.65259825707099</c:v>
                </c:pt>
                <c:pt idx="82">
                  <c:v>0.655421505824521</c:v>
                </c:pt>
                <c:pt idx="83">
                  <c:v>0.658160057115445</c:v>
                </c:pt>
                <c:pt idx="84">
                  <c:v>0.660816451867642</c:v>
                </c:pt>
                <c:pt idx="85">
                  <c:v>0.663393154777273</c:v>
                </c:pt>
                <c:pt idx="86">
                  <c:v>0.665892556599615</c:v>
                </c:pt>
                <c:pt idx="87">
                  <c:v>0.668316976367287</c:v>
                </c:pt>
                <c:pt idx="88">
                  <c:v>0.670668663541928</c:v>
                </c:pt>
                <c:pt idx="89">
                  <c:v>0.672949800101331</c:v>
                </c:pt>
                <c:pt idx="90">
                  <c:v>0.675162502563951</c:v>
                </c:pt>
                <c:pt idx="91">
                  <c:v>0.677308823952693</c:v>
                </c:pt>
                <c:pt idx="92">
                  <c:v>0.679390755699772</c:v>
                </c:pt>
                <c:pt idx="93">
                  <c:v>0.681410229494439</c:v>
                </c:pt>
                <c:pt idx="94">
                  <c:v>0.683369119075266</c:v>
                </c:pt>
                <c:pt idx="95">
                  <c:v>0.685269241968668</c:v>
                </c:pt>
                <c:pt idx="96">
                  <c:v>0.687112361175268</c:v>
                </c:pt>
                <c:pt idx="97">
                  <c:v>0.68890018680567</c:v>
                </c:pt>
                <c:pt idx="98">
                  <c:v>0.690634377667161</c:v>
                </c:pt>
                <c:pt idx="99">
                  <c:v>0.692316542802806</c:v>
                </c:pt>
                <c:pt idx="100">
                  <c:v>0.693948242984382</c:v>
                </c:pt>
                <c:pt idx="101">
                  <c:v>0.695530992160511</c:v>
                </c:pt>
                <c:pt idx="102">
                  <c:v>0.697066258861356</c:v>
                </c:pt>
                <c:pt idx="103">
                  <c:v>0.698555467561175</c:v>
                </c:pt>
                <c:pt idx="104">
                  <c:v>0.7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58780093"/>
        <c:axId val="419665713"/>
      </c:lineChart>
      <c:catAx>
        <c:axId val="4587800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9665713"/>
        <c:crosses val="autoZero"/>
        <c:auto val="1"/>
        <c:lblAlgn val="ctr"/>
        <c:lblOffset val="100"/>
        <c:noMultiLvlLbl val="0"/>
      </c:catAx>
      <c:valAx>
        <c:axId val="4196657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0.000%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8780093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c08dc73-ce5b-4889-ac30-7b5841b4d41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天数难度曲线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爬塔难度线!$G$20:$G$79</c:f>
              <c:numCache>
                <c:formatCode>General</c:formatCode>
                <c:ptCount val="60"/>
                <c:pt idx="0">
                  <c:v>18</c:v>
                </c:pt>
                <c:pt idx="1">
                  <c:v>27</c:v>
                </c:pt>
                <c:pt idx="2">
                  <c:v>34</c:v>
                </c:pt>
                <c:pt idx="3">
                  <c:v>40</c:v>
                </c:pt>
                <c:pt idx="4">
                  <c:v>46</c:v>
                </c:pt>
                <c:pt idx="5">
                  <c:v>50</c:v>
                </c:pt>
                <c:pt idx="6">
                  <c:v>54</c:v>
                </c:pt>
                <c:pt idx="7">
                  <c:v>57</c:v>
                </c:pt>
                <c:pt idx="8">
                  <c:v>60</c:v>
                </c:pt>
                <c:pt idx="9">
                  <c:v>61</c:v>
                </c:pt>
                <c:pt idx="10">
                  <c:v>62</c:v>
                </c:pt>
                <c:pt idx="11">
                  <c:v>62</c:v>
                </c:pt>
                <c:pt idx="12">
                  <c:v>63</c:v>
                </c:pt>
                <c:pt idx="13">
                  <c:v>64</c:v>
                </c:pt>
                <c:pt idx="14">
                  <c:v>65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69</c:v>
                </c:pt>
                <c:pt idx="21">
                  <c:v>70</c:v>
                </c:pt>
                <c:pt idx="22">
                  <c:v>71</c:v>
                </c:pt>
                <c:pt idx="23">
                  <c:v>72</c:v>
                </c:pt>
                <c:pt idx="24">
                  <c:v>73</c:v>
                </c:pt>
                <c:pt idx="25">
                  <c:v>73</c:v>
                </c:pt>
                <c:pt idx="26">
                  <c:v>74</c:v>
                </c:pt>
                <c:pt idx="27">
                  <c:v>75</c:v>
                </c:pt>
                <c:pt idx="28">
                  <c:v>76</c:v>
                </c:pt>
                <c:pt idx="29">
                  <c:v>76</c:v>
                </c:pt>
                <c:pt idx="30">
                  <c:v>77</c:v>
                </c:pt>
                <c:pt idx="31">
                  <c:v>78</c:v>
                </c:pt>
                <c:pt idx="32">
                  <c:v>79</c:v>
                </c:pt>
                <c:pt idx="33">
                  <c:v>80</c:v>
                </c:pt>
                <c:pt idx="34">
                  <c:v>80</c:v>
                </c:pt>
                <c:pt idx="35">
                  <c:v>81</c:v>
                </c:pt>
                <c:pt idx="36">
                  <c:v>82</c:v>
                </c:pt>
                <c:pt idx="37">
                  <c:v>83</c:v>
                </c:pt>
                <c:pt idx="38">
                  <c:v>84</c:v>
                </c:pt>
                <c:pt idx="39">
                  <c:v>84</c:v>
                </c:pt>
                <c:pt idx="40">
                  <c:v>85</c:v>
                </c:pt>
                <c:pt idx="41">
                  <c:v>86</c:v>
                </c:pt>
                <c:pt idx="42">
                  <c:v>87</c:v>
                </c:pt>
                <c:pt idx="43">
                  <c:v>87</c:v>
                </c:pt>
                <c:pt idx="44">
                  <c:v>88</c:v>
                </c:pt>
                <c:pt idx="45">
                  <c:v>89</c:v>
                </c:pt>
                <c:pt idx="46">
                  <c:v>90</c:v>
                </c:pt>
                <c:pt idx="47">
                  <c:v>91</c:v>
                </c:pt>
                <c:pt idx="48">
                  <c:v>91</c:v>
                </c:pt>
                <c:pt idx="49">
                  <c:v>92</c:v>
                </c:pt>
                <c:pt idx="50">
                  <c:v>93</c:v>
                </c:pt>
                <c:pt idx="51">
                  <c:v>94</c:v>
                </c:pt>
                <c:pt idx="52">
                  <c:v>95</c:v>
                </c:pt>
                <c:pt idx="53">
                  <c:v>95</c:v>
                </c:pt>
                <c:pt idx="54">
                  <c:v>96</c:v>
                </c:pt>
                <c:pt idx="55">
                  <c:v>97</c:v>
                </c:pt>
                <c:pt idx="56">
                  <c:v>98</c:v>
                </c:pt>
                <c:pt idx="57">
                  <c:v>98</c:v>
                </c:pt>
                <c:pt idx="58">
                  <c:v>99</c:v>
                </c:pt>
                <c:pt idx="59">
                  <c:v>100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3737565"/>
        <c:axId val="297833199"/>
      </c:lineChart>
      <c:catAx>
        <c:axId val="3237375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7833199"/>
        <c:crosses val="autoZero"/>
        <c:auto val="1"/>
        <c:lblAlgn val="ctr"/>
        <c:lblOffset val="100"/>
        <c:noMultiLvlLbl val="0"/>
      </c:catAx>
      <c:valAx>
        <c:axId val="29783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3737565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517eca6-21ef-47d4-b14e-eb56193cfc9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关卡难度曲线</a:t>
            </a:r>
            <a:endParaRPr lang="en-US" altLang="zh-CN"/>
          </a:p>
        </c:rich>
      </c:tx>
      <c:layout>
        <c:manualLayout>
          <c:xMode val="edge"/>
          <c:yMode val="edge"/>
          <c:x val="0.408552631578947"/>
          <c:y val="0.0486111111111111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爬塔难度线!$V$20:$V$119</c:f>
              <c:numCache>
                <c:formatCode>General</c:formatCode>
                <c:ptCount val="100"/>
                <c:pt idx="0">
                  <c:v>20</c:v>
                </c:pt>
                <c:pt idx="1">
                  <c:v>23</c:v>
                </c:pt>
                <c:pt idx="2">
                  <c:v>26</c:v>
                </c:pt>
                <c:pt idx="3">
                  <c:v>29</c:v>
                </c:pt>
                <c:pt idx="4">
                  <c:v>41</c:v>
                </c:pt>
                <c:pt idx="5">
                  <c:v>44</c:v>
                </c:pt>
                <c:pt idx="6">
                  <c:v>47</c:v>
                </c:pt>
                <c:pt idx="7">
                  <c:v>50</c:v>
                </c:pt>
                <c:pt idx="8">
                  <c:v>53</c:v>
                </c:pt>
                <c:pt idx="9">
                  <c:v>78</c:v>
                </c:pt>
                <c:pt idx="10">
                  <c:v>81</c:v>
                </c:pt>
                <c:pt idx="11">
                  <c:v>84</c:v>
                </c:pt>
                <c:pt idx="12">
                  <c:v>87</c:v>
                </c:pt>
                <c:pt idx="13">
                  <c:v>90</c:v>
                </c:pt>
                <c:pt idx="14">
                  <c:v>102</c:v>
                </c:pt>
                <c:pt idx="15">
                  <c:v>105</c:v>
                </c:pt>
                <c:pt idx="16">
                  <c:v>108</c:v>
                </c:pt>
                <c:pt idx="17">
                  <c:v>111</c:v>
                </c:pt>
                <c:pt idx="18">
                  <c:v>114</c:v>
                </c:pt>
                <c:pt idx="19">
                  <c:v>138</c:v>
                </c:pt>
                <c:pt idx="20">
                  <c:v>141</c:v>
                </c:pt>
                <c:pt idx="21">
                  <c:v>144</c:v>
                </c:pt>
                <c:pt idx="22">
                  <c:v>147</c:v>
                </c:pt>
                <c:pt idx="23">
                  <c:v>150</c:v>
                </c:pt>
                <c:pt idx="24">
                  <c:v>161</c:v>
                </c:pt>
                <c:pt idx="25">
                  <c:v>164</c:v>
                </c:pt>
                <c:pt idx="26">
                  <c:v>167</c:v>
                </c:pt>
                <c:pt idx="27">
                  <c:v>170</c:v>
                </c:pt>
                <c:pt idx="28">
                  <c:v>173</c:v>
                </c:pt>
                <c:pt idx="29">
                  <c:v>195</c:v>
                </c:pt>
                <c:pt idx="30">
                  <c:v>196</c:v>
                </c:pt>
                <c:pt idx="31">
                  <c:v>197</c:v>
                </c:pt>
                <c:pt idx="32">
                  <c:v>198</c:v>
                </c:pt>
                <c:pt idx="33">
                  <c:v>199</c:v>
                </c:pt>
                <c:pt idx="34">
                  <c:v>205</c:v>
                </c:pt>
                <c:pt idx="35">
                  <c:v>206</c:v>
                </c:pt>
                <c:pt idx="36">
                  <c:v>207</c:v>
                </c:pt>
                <c:pt idx="37">
                  <c:v>208</c:v>
                </c:pt>
                <c:pt idx="38">
                  <c:v>209</c:v>
                </c:pt>
                <c:pt idx="39">
                  <c:v>221</c:v>
                </c:pt>
                <c:pt idx="40">
                  <c:v>222</c:v>
                </c:pt>
                <c:pt idx="41">
                  <c:v>223</c:v>
                </c:pt>
                <c:pt idx="42">
                  <c:v>224</c:v>
                </c:pt>
                <c:pt idx="43">
                  <c:v>225</c:v>
                </c:pt>
                <c:pt idx="44">
                  <c:v>229</c:v>
                </c:pt>
                <c:pt idx="45">
                  <c:v>230</c:v>
                </c:pt>
                <c:pt idx="46">
                  <c:v>231</c:v>
                </c:pt>
                <c:pt idx="47">
                  <c:v>232</c:v>
                </c:pt>
                <c:pt idx="48">
                  <c:v>233</c:v>
                </c:pt>
                <c:pt idx="49">
                  <c:v>241</c:v>
                </c:pt>
                <c:pt idx="50">
                  <c:v>242</c:v>
                </c:pt>
                <c:pt idx="51">
                  <c:v>243</c:v>
                </c:pt>
                <c:pt idx="52">
                  <c:v>244</c:v>
                </c:pt>
                <c:pt idx="53">
                  <c:v>245</c:v>
                </c:pt>
                <c:pt idx="54">
                  <c:v>248</c:v>
                </c:pt>
                <c:pt idx="55">
                  <c:v>249</c:v>
                </c:pt>
                <c:pt idx="56">
                  <c:v>250</c:v>
                </c:pt>
                <c:pt idx="57">
                  <c:v>251</c:v>
                </c:pt>
                <c:pt idx="58">
                  <c:v>252</c:v>
                </c:pt>
                <c:pt idx="59">
                  <c:v>258</c:v>
                </c:pt>
                <c:pt idx="60">
                  <c:v>259</c:v>
                </c:pt>
                <c:pt idx="61">
                  <c:v>260</c:v>
                </c:pt>
                <c:pt idx="62">
                  <c:v>261</c:v>
                </c:pt>
                <c:pt idx="63">
                  <c:v>262</c:v>
                </c:pt>
                <c:pt idx="64">
                  <c:v>268</c:v>
                </c:pt>
                <c:pt idx="65">
                  <c:v>269</c:v>
                </c:pt>
                <c:pt idx="66">
                  <c:v>270</c:v>
                </c:pt>
                <c:pt idx="67">
                  <c:v>271</c:v>
                </c:pt>
                <c:pt idx="68">
                  <c:v>272</c:v>
                </c:pt>
                <c:pt idx="69">
                  <c:v>283</c:v>
                </c:pt>
                <c:pt idx="70">
                  <c:v>284</c:v>
                </c:pt>
                <c:pt idx="71">
                  <c:v>285</c:v>
                </c:pt>
                <c:pt idx="72">
                  <c:v>286</c:v>
                </c:pt>
                <c:pt idx="73">
                  <c:v>287</c:v>
                </c:pt>
                <c:pt idx="74">
                  <c:v>290</c:v>
                </c:pt>
                <c:pt idx="75">
                  <c:v>291</c:v>
                </c:pt>
                <c:pt idx="76">
                  <c:v>292</c:v>
                </c:pt>
                <c:pt idx="77">
                  <c:v>293</c:v>
                </c:pt>
                <c:pt idx="78">
                  <c:v>294</c:v>
                </c:pt>
                <c:pt idx="79">
                  <c:v>301</c:v>
                </c:pt>
                <c:pt idx="80">
                  <c:v>301</c:v>
                </c:pt>
                <c:pt idx="81">
                  <c:v>301</c:v>
                </c:pt>
                <c:pt idx="82">
                  <c:v>301</c:v>
                </c:pt>
                <c:pt idx="83">
                  <c:v>301</c:v>
                </c:pt>
                <c:pt idx="84">
                  <c:v>303</c:v>
                </c:pt>
                <c:pt idx="85">
                  <c:v>303</c:v>
                </c:pt>
                <c:pt idx="86">
                  <c:v>303</c:v>
                </c:pt>
                <c:pt idx="87">
                  <c:v>303</c:v>
                </c:pt>
                <c:pt idx="88">
                  <c:v>303</c:v>
                </c:pt>
                <c:pt idx="89">
                  <c:v>307</c:v>
                </c:pt>
                <c:pt idx="90">
                  <c:v>307</c:v>
                </c:pt>
                <c:pt idx="91">
                  <c:v>307</c:v>
                </c:pt>
                <c:pt idx="92">
                  <c:v>307</c:v>
                </c:pt>
                <c:pt idx="93">
                  <c:v>307</c:v>
                </c:pt>
                <c:pt idx="94">
                  <c:v>309</c:v>
                </c:pt>
                <c:pt idx="95">
                  <c:v>309</c:v>
                </c:pt>
                <c:pt idx="96">
                  <c:v>309</c:v>
                </c:pt>
                <c:pt idx="97">
                  <c:v>309</c:v>
                </c:pt>
                <c:pt idx="98">
                  <c:v>309</c:v>
                </c:pt>
                <c:pt idx="99">
                  <c:v>313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58905280"/>
        <c:axId val="116150667"/>
      </c:lineChart>
      <c:catAx>
        <c:axId val="458905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6150667"/>
        <c:crosses val="autoZero"/>
        <c:auto val="1"/>
        <c:lblAlgn val="ctr"/>
        <c:lblOffset val="100"/>
        <c:noMultiLvlLbl val="0"/>
      </c:catAx>
      <c:valAx>
        <c:axId val="1161506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8905280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3e1bf6b-0c7b-43d0-9ad3-b482578c58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  <a:prstDash val="solid"/>
        </a:ln>
      </c:spPr>
      <c:tx>
        <c:rich>
          <a:bodyPr/>
          <a:lstStyle/>
          <a:p>
            <a:pPr>
              <a:defRPr/>
            </a:pPr>
          </a:p>
        </c:rich>
      </c:tx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无限挑战难度线!$C$11:$C$247</c:f>
              <c:numCache>
                <c:formatCode>General</c:formatCode>
                <c:ptCount val="237"/>
                <c:pt idx="0">
                  <c:v>27</c:v>
                </c:pt>
                <c:pt idx="1">
                  <c:v>53</c:v>
                </c:pt>
                <c:pt idx="2">
                  <c:v>77</c:v>
                </c:pt>
                <c:pt idx="3">
                  <c:v>100</c:v>
                </c:pt>
                <c:pt idx="4">
                  <c:v>122</c:v>
                </c:pt>
                <c:pt idx="5">
                  <c:v>143</c:v>
                </c:pt>
                <c:pt idx="6">
                  <c:v>163</c:v>
                </c:pt>
                <c:pt idx="7">
                  <c:v>183</c:v>
                </c:pt>
                <c:pt idx="8">
                  <c:v>201</c:v>
                </c:pt>
                <c:pt idx="9">
                  <c:v>218</c:v>
                </c:pt>
                <c:pt idx="10">
                  <c:v>235</c:v>
                </c:pt>
                <c:pt idx="11">
                  <c:v>251</c:v>
                </c:pt>
                <c:pt idx="12">
                  <c:v>267</c:v>
                </c:pt>
                <c:pt idx="13">
                  <c:v>282</c:v>
                </c:pt>
                <c:pt idx="14">
                  <c:v>296</c:v>
                </c:pt>
                <c:pt idx="15">
                  <c:v>310</c:v>
                </c:pt>
                <c:pt idx="16">
                  <c:v>323</c:v>
                </c:pt>
                <c:pt idx="17">
                  <c:v>336</c:v>
                </c:pt>
                <c:pt idx="18">
                  <c:v>348</c:v>
                </c:pt>
                <c:pt idx="19">
                  <c:v>360</c:v>
                </c:pt>
                <c:pt idx="20">
                  <c:v>372</c:v>
                </c:pt>
                <c:pt idx="21">
                  <c:v>383</c:v>
                </c:pt>
                <c:pt idx="22">
                  <c:v>394</c:v>
                </c:pt>
                <c:pt idx="23">
                  <c:v>404</c:v>
                </c:pt>
                <c:pt idx="24">
                  <c:v>414</c:v>
                </c:pt>
                <c:pt idx="25">
                  <c:v>424</c:v>
                </c:pt>
                <c:pt idx="26">
                  <c:v>433</c:v>
                </c:pt>
                <c:pt idx="27">
                  <c:v>442</c:v>
                </c:pt>
                <c:pt idx="28">
                  <c:v>451</c:v>
                </c:pt>
                <c:pt idx="29">
                  <c:v>460</c:v>
                </c:pt>
                <c:pt idx="30">
                  <c:v>468</c:v>
                </c:pt>
                <c:pt idx="31">
                  <c:v>476</c:v>
                </c:pt>
                <c:pt idx="32">
                  <c:v>484</c:v>
                </c:pt>
                <c:pt idx="33">
                  <c:v>492</c:v>
                </c:pt>
                <c:pt idx="34">
                  <c:v>499</c:v>
                </c:pt>
                <c:pt idx="35">
                  <c:v>500</c:v>
                </c:pt>
                <c:pt idx="36">
                  <c:v>500</c:v>
                </c:pt>
                <c:pt idx="37">
                  <c:v>500</c:v>
                </c:pt>
                <c:pt idx="38">
                  <c:v>500</c:v>
                </c:pt>
                <c:pt idx="39">
                  <c:v>500</c:v>
                </c:pt>
                <c:pt idx="40">
                  <c:v>500</c:v>
                </c:pt>
                <c:pt idx="41">
                  <c:v>500</c:v>
                </c:pt>
                <c:pt idx="42">
                  <c:v>500</c:v>
                </c:pt>
                <c:pt idx="43">
                  <c:v>500</c:v>
                </c:pt>
                <c:pt idx="44">
                  <c:v>500</c:v>
                </c:pt>
                <c:pt idx="45">
                  <c:v>500</c:v>
                </c:pt>
                <c:pt idx="46">
                  <c:v>500</c:v>
                </c:pt>
                <c:pt idx="47">
                  <c:v>500</c:v>
                </c:pt>
                <c:pt idx="48">
                  <c:v>500</c:v>
                </c:pt>
                <c:pt idx="49">
                  <c:v>500</c:v>
                </c:pt>
                <c:pt idx="50">
                  <c:v>500</c:v>
                </c:pt>
                <c:pt idx="51">
                  <c:v>500</c:v>
                </c:pt>
                <c:pt idx="52">
                  <c:v>500</c:v>
                </c:pt>
                <c:pt idx="53">
                  <c:v>500</c:v>
                </c:pt>
                <c:pt idx="54">
                  <c:v>500</c:v>
                </c:pt>
                <c:pt idx="55">
                  <c:v>500</c:v>
                </c:pt>
                <c:pt idx="56">
                  <c:v>500</c:v>
                </c:pt>
                <c:pt idx="57">
                  <c:v>500</c:v>
                </c:pt>
                <c:pt idx="58">
                  <c:v>500</c:v>
                </c:pt>
                <c:pt idx="59">
                  <c:v>500</c:v>
                </c:pt>
                <c:pt idx="60">
                  <c:v>500</c:v>
                </c:pt>
                <c:pt idx="61">
                  <c:v>500</c:v>
                </c:pt>
                <c:pt idx="62">
                  <c:v>500</c:v>
                </c:pt>
                <c:pt idx="63">
                  <c:v>500</c:v>
                </c:pt>
                <c:pt idx="64">
                  <c:v>500</c:v>
                </c:pt>
                <c:pt idx="65">
                  <c:v>500</c:v>
                </c:pt>
                <c:pt idx="66">
                  <c:v>500</c:v>
                </c:pt>
                <c:pt idx="67">
                  <c:v>500</c:v>
                </c:pt>
                <c:pt idx="68">
                  <c:v>500</c:v>
                </c:pt>
                <c:pt idx="69">
                  <c:v>500</c:v>
                </c:pt>
                <c:pt idx="70">
                  <c:v>500</c:v>
                </c:pt>
                <c:pt idx="71">
                  <c:v>500</c:v>
                </c:pt>
                <c:pt idx="72">
                  <c:v>500</c:v>
                </c:pt>
                <c:pt idx="73">
                  <c:v>500</c:v>
                </c:pt>
                <c:pt idx="74">
                  <c:v>500</c:v>
                </c:pt>
                <c:pt idx="75">
                  <c:v>500</c:v>
                </c:pt>
                <c:pt idx="76">
                  <c:v>500</c:v>
                </c:pt>
                <c:pt idx="77">
                  <c:v>500</c:v>
                </c:pt>
                <c:pt idx="78">
                  <c:v>500</c:v>
                </c:pt>
                <c:pt idx="79">
                  <c:v>500</c:v>
                </c:pt>
                <c:pt idx="80">
                  <c:v>500</c:v>
                </c:pt>
                <c:pt idx="81">
                  <c:v>500</c:v>
                </c:pt>
                <c:pt idx="82">
                  <c:v>500</c:v>
                </c:pt>
                <c:pt idx="83">
                  <c:v>500</c:v>
                </c:pt>
                <c:pt idx="84">
                  <c:v>500</c:v>
                </c:pt>
                <c:pt idx="85">
                  <c:v>500</c:v>
                </c:pt>
                <c:pt idx="86">
                  <c:v>500</c:v>
                </c:pt>
                <c:pt idx="87">
                  <c:v>500</c:v>
                </c:pt>
                <c:pt idx="88">
                  <c:v>500</c:v>
                </c:pt>
                <c:pt idx="89">
                  <c:v>500</c:v>
                </c:pt>
                <c:pt idx="90">
                  <c:v>500</c:v>
                </c:pt>
                <c:pt idx="91">
                  <c:v>500</c:v>
                </c:pt>
                <c:pt idx="92">
                  <c:v>500</c:v>
                </c:pt>
                <c:pt idx="93">
                  <c:v>500</c:v>
                </c:pt>
                <c:pt idx="94">
                  <c:v>500</c:v>
                </c:pt>
                <c:pt idx="95">
                  <c:v>500</c:v>
                </c:pt>
                <c:pt idx="96">
                  <c:v>500</c:v>
                </c:pt>
                <c:pt idx="97">
                  <c:v>500</c:v>
                </c:pt>
                <c:pt idx="98">
                  <c:v>500</c:v>
                </c:pt>
                <c:pt idx="99">
                  <c:v>500</c:v>
                </c:pt>
                <c:pt idx="100">
                  <c:v>500</c:v>
                </c:pt>
                <c:pt idx="101">
                  <c:v>500</c:v>
                </c:pt>
                <c:pt idx="102">
                  <c:v>500</c:v>
                </c:pt>
                <c:pt idx="103">
                  <c:v>500</c:v>
                </c:pt>
                <c:pt idx="104">
                  <c:v>500</c:v>
                </c:pt>
                <c:pt idx="105">
                  <c:v>500</c:v>
                </c:pt>
                <c:pt idx="106">
                  <c:v>500</c:v>
                </c:pt>
                <c:pt idx="107">
                  <c:v>500</c:v>
                </c:pt>
                <c:pt idx="108">
                  <c:v>500</c:v>
                </c:pt>
                <c:pt idx="109">
                  <c:v>500</c:v>
                </c:pt>
                <c:pt idx="110">
                  <c:v>500</c:v>
                </c:pt>
                <c:pt idx="111">
                  <c:v>500</c:v>
                </c:pt>
                <c:pt idx="112">
                  <c:v>500</c:v>
                </c:pt>
                <c:pt idx="113">
                  <c:v>500</c:v>
                </c:pt>
                <c:pt idx="114">
                  <c:v>500</c:v>
                </c:pt>
                <c:pt idx="115">
                  <c:v>500</c:v>
                </c:pt>
                <c:pt idx="116">
                  <c:v>500</c:v>
                </c:pt>
                <c:pt idx="117">
                  <c:v>500</c:v>
                </c:pt>
                <c:pt idx="118">
                  <c:v>500</c:v>
                </c:pt>
                <c:pt idx="119">
                  <c:v>500</c:v>
                </c:pt>
                <c:pt idx="120">
                  <c:v>500</c:v>
                </c:pt>
                <c:pt idx="121">
                  <c:v>500</c:v>
                </c:pt>
                <c:pt idx="122">
                  <c:v>500</c:v>
                </c:pt>
                <c:pt idx="123">
                  <c:v>500</c:v>
                </c:pt>
                <c:pt idx="124">
                  <c:v>500</c:v>
                </c:pt>
                <c:pt idx="125">
                  <c:v>500</c:v>
                </c:pt>
                <c:pt idx="126">
                  <c:v>500</c:v>
                </c:pt>
                <c:pt idx="127">
                  <c:v>500</c:v>
                </c:pt>
                <c:pt idx="128">
                  <c:v>500</c:v>
                </c:pt>
                <c:pt idx="129">
                  <c:v>500</c:v>
                </c:pt>
                <c:pt idx="130">
                  <c:v>500</c:v>
                </c:pt>
                <c:pt idx="131">
                  <c:v>500</c:v>
                </c:pt>
                <c:pt idx="132">
                  <c:v>500</c:v>
                </c:pt>
                <c:pt idx="133">
                  <c:v>500</c:v>
                </c:pt>
                <c:pt idx="134">
                  <c:v>500</c:v>
                </c:pt>
                <c:pt idx="135">
                  <c:v>500</c:v>
                </c:pt>
                <c:pt idx="136">
                  <c:v>500</c:v>
                </c:pt>
                <c:pt idx="137">
                  <c:v>500</c:v>
                </c:pt>
                <c:pt idx="138">
                  <c:v>500</c:v>
                </c:pt>
                <c:pt idx="139">
                  <c:v>500</c:v>
                </c:pt>
                <c:pt idx="140">
                  <c:v>500</c:v>
                </c:pt>
                <c:pt idx="141">
                  <c:v>500</c:v>
                </c:pt>
                <c:pt idx="142">
                  <c:v>500</c:v>
                </c:pt>
                <c:pt idx="143">
                  <c:v>500</c:v>
                </c:pt>
                <c:pt idx="144">
                  <c:v>500</c:v>
                </c:pt>
                <c:pt idx="145">
                  <c:v>500</c:v>
                </c:pt>
                <c:pt idx="146">
                  <c:v>500</c:v>
                </c:pt>
                <c:pt idx="147">
                  <c:v>500</c:v>
                </c:pt>
                <c:pt idx="148">
                  <c:v>500</c:v>
                </c:pt>
                <c:pt idx="149">
                  <c:v>500</c:v>
                </c:pt>
                <c:pt idx="150">
                  <c:v>500</c:v>
                </c:pt>
                <c:pt idx="151">
                  <c:v>500</c:v>
                </c:pt>
                <c:pt idx="152">
                  <c:v>500</c:v>
                </c:pt>
                <c:pt idx="153">
                  <c:v>500</c:v>
                </c:pt>
                <c:pt idx="154">
                  <c:v>500</c:v>
                </c:pt>
                <c:pt idx="155">
                  <c:v>500</c:v>
                </c:pt>
                <c:pt idx="156">
                  <c:v>500</c:v>
                </c:pt>
                <c:pt idx="157">
                  <c:v>500</c:v>
                </c:pt>
                <c:pt idx="158">
                  <c:v>500</c:v>
                </c:pt>
                <c:pt idx="159">
                  <c:v>500</c:v>
                </c:pt>
                <c:pt idx="160">
                  <c:v>500</c:v>
                </c:pt>
                <c:pt idx="161">
                  <c:v>500</c:v>
                </c:pt>
                <c:pt idx="162">
                  <c:v>500</c:v>
                </c:pt>
                <c:pt idx="163">
                  <c:v>500</c:v>
                </c:pt>
                <c:pt idx="164">
                  <c:v>500</c:v>
                </c:pt>
                <c:pt idx="165">
                  <c:v>500</c:v>
                </c:pt>
                <c:pt idx="166">
                  <c:v>500</c:v>
                </c:pt>
                <c:pt idx="167">
                  <c:v>500</c:v>
                </c:pt>
                <c:pt idx="168">
                  <c:v>500</c:v>
                </c:pt>
                <c:pt idx="169">
                  <c:v>500</c:v>
                </c:pt>
                <c:pt idx="170">
                  <c:v>500</c:v>
                </c:pt>
                <c:pt idx="171">
                  <c:v>500</c:v>
                </c:pt>
                <c:pt idx="172">
                  <c:v>500</c:v>
                </c:pt>
                <c:pt idx="173">
                  <c:v>500</c:v>
                </c:pt>
                <c:pt idx="174">
                  <c:v>500</c:v>
                </c:pt>
                <c:pt idx="175">
                  <c:v>500</c:v>
                </c:pt>
                <c:pt idx="176">
                  <c:v>500</c:v>
                </c:pt>
                <c:pt idx="177">
                  <c:v>500</c:v>
                </c:pt>
                <c:pt idx="178">
                  <c:v>500</c:v>
                </c:pt>
                <c:pt idx="179">
                  <c:v>500</c:v>
                </c:pt>
                <c:pt idx="180">
                  <c:v>500</c:v>
                </c:pt>
                <c:pt idx="181">
                  <c:v>500</c:v>
                </c:pt>
                <c:pt idx="182">
                  <c:v>500</c:v>
                </c:pt>
                <c:pt idx="183">
                  <c:v>500</c:v>
                </c:pt>
                <c:pt idx="184">
                  <c:v>500</c:v>
                </c:pt>
                <c:pt idx="185">
                  <c:v>500</c:v>
                </c:pt>
                <c:pt idx="186">
                  <c:v>500</c:v>
                </c:pt>
                <c:pt idx="187">
                  <c:v>500</c:v>
                </c:pt>
                <c:pt idx="188">
                  <c:v>500</c:v>
                </c:pt>
                <c:pt idx="189">
                  <c:v>500</c:v>
                </c:pt>
                <c:pt idx="190">
                  <c:v>500</c:v>
                </c:pt>
                <c:pt idx="191">
                  <c:v>500</c:v>
                </c:pt>
                <c:pt idx="192">
                  <c:v>500</c:v>
                </c:pt>
                <c:pt idx="193">
                  <c:v>500</c:v>
                </c:pt>
                <c:pt idx="194">
                  <c:v>500</c:v>
                </c:pt>
                <c:pt idx="195">
                  <c:v>500</c:v>
                </c:pt>
                <c:pt idx="196">
                  <c:v>500</c:v>
                </c:pt>
                <c:pt idx="197">
                  <c:v>500</c:v>
                </c:pt>
                <c:pt idx="198">
                  <c:v>500</c:v>
                </c:pt>
                <c:pt idx="199">
                  <c:v>500</c:v>
                </c:pt>
                <c:pt idx="200">
                  <c:v>500</c:v>
                </c:pt>
                <c:pt idx="201">
                  <c:v>500</c:v>
                </c:pt>
                <c:pt idx="202">
                  <c:v>500</c:v>
                </c:pt>
                <c:pt idx="203">
                  <c:v>500</c:v>
                </c:pt>
                <c:pt idx="204">
                  <c:v>500</c:v>
                </c:pt>
                <c:pt idx="205">
                  <c:v>500</c:v>
                </c:pt>
                <c:pt idx="206">
                  <c:v>500</c:v>
                </c:pt>
                <c:pt idx="207">
                  <c:v>500</c:v>
                </c:pt>
                <c:pt idx="208">
                  <c:v>500</c:v>
                </c:pt>
                <c:pt idx="209">
                  <c:v>500</c:v>
                </c:pt>
                <c:pt idx="210">
                  <c:v>500</c:v>
                </c:pt>
                <c:pt idx="211">
                  <c:v>500</c:v>
                </c:pt>
                <c:pt idx="212">
                  <c:v>500</c:v>
                </c:pt>
                <c:pt idx="213">
                  <c:v>500</c:v>
                </c:pt>
                <c:pt idx="214">
                  <c:v>500</c:v>
                </c:pt>
                <c:pt idx="215">
                  <c:v>500</c:v>
                </c:pt>
                <c:pt idx="216">
                  <c:v>500</c:v>
                </c:pt>
                <c:pt idx="217">
                  <c:v>500</c:v>
                </c:pt>
                <c:pt idx="218">
                  <c:v>500</c:v>
                </c:pt>
                <c:pt idx="219">
                  <c:v>500</c:v>
                </c:pt>
                <c:pt idx="220">
                  <c:v>500</c:v>
                </c:pt>
                <c:pt idx="221">
                  <c:v>500</c:v>
                </c:pt>
                <c:pt idx="222">
                  <c:v>500</c:v>
                </c:pt>
                <c:pt idx="223">
                  <c:v>500</c:v>
                </c:pt>
                <c:pt idx="224">
                  <c:v>500</c:v>
                </c:pt>
                <c:pt idx="225">
                  <c:v>500</c:v>
                </c:pt>
                <c:pt idx="226">
                  <c:v>500</c:v>
                </c:pt>
                <c:pt idx="227">
                  <c:v>500</c:v>
                </c:pt>
                <c:pt idx="228">
                  <c:v>500</c:v>
                </c:pt>
                <c:pt idx="229">
                  <c:v>500</c:v>
                </c:pt>
                <c:pt idx="230">
                  <c:v>500</c:v>
                </c:pt>
                <c:pt idx="231">
                  <c:v>500</c:v>
                </c:pt>
                <c:pt idx="232">
                  <c:v>500</c:v>
                </c:pt>
                <c:pt idx="233">
                  <c:v>500</c:v>
                </c:pt>
                <c:pt idx="234">
                  <c:v>500</c:v>
                </c:pt>
                <c:pt idx="235">
                  <c:v>500</c:v>
                </c:pt>
                <c:pt idx="236">
                  <c:v>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5757832"/>
        <c:axId val="16107694"/>
      </c:lineChart>
      <c:catAx>
        <c:axId val="775757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107694"/>
        <c:crosses val="autoZero"/>
        <c:auto val="1"/>
        <c:lblAlgn val="ctr"/>
        <c:lblOffset val="100"/>
        <c:noMultiLvlLbl val="0"/>
      </c:catAx>
      <c:valAx>
        <c:axId val="161076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5757832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fd1969-1196-4d21-9b86-646938ff164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488950</xdr:colOff>
      <xdr:row>0</xdr:row>
      <xdr:rowOff>79375</xdr:rowOff>
    </xdr:from>
    <xdr:to>
      <xdr:col>16</xdr:col>
      <xdr:colOff>85725</xdr:colOff>
      <xdr:row>13</xdr:row>
      <xdr:rowOff>98425</xdr:rowOff>
    </xdr:to>
    <xdr:graphicFrame>
      <xdr:nvGraphicFramePr>
        <xdr:cNvPr id="2" name="Chart 1"/>
        <xdr:cNvGraphicFramePr/>
      </xdr:nvGraphicFramePr>
      <xdr:xfrm>
        <a:off x="11547475" y="793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1039495</xdr:colOff>
      <xdr:row>0</xdr:row>
      <xdr:rowOff>96520</xdr:rowOff>
    </xdr:from>
    <xdr:to>
      <xdr:col>14</xdr:col>
      <xdr:colOff>674370</xdr:colOff>
      <xdr:row>13</xdr:row>
      <xdr:rowOff>115570</xdr:rowOff>
    </xdr:to>
    <xdr:graphicFrame>
      <xdr:nvGraphicFramePr>
        <xdr:cNvPr id="2" name="Chart 1"/>
        <xdr:cNvGraphicFramePr/>
      </xdr:nvGraphicFramePr>
      <xdr:xfrm>
        <a:off x="6764020" y="965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158750</xdr:colOff>
      <xdr:row>0</xdr:row>
      <xdr:rowOff>117475</xdr:rowOff>
    </xdr:from>
    <xdr:to>
      <xdr:col>20</xdr:col>
      <xdr:colOff>441325</xdr:colOff>
      <xdr:row>13</xdr:row>
      <xdr:rowOff>136525</xdr:rowOff>
    </xdr:to>
    <xdr:graphicFrame>
      <xdr:nvGraphicFramePr>
        <xdr:cNvPr id="3" name="Chart 2"/>
        <xdr:cNvGraphicFramePr/>
      </xdr:nvGraphicFramePr>
      <xdr:xfrm>
        <a:off x="11760200" y="1174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514350</xdr:colOff>
      <xdr:row>7</xdr:row>
      <xdr:rowOff>146050</xdr:rowOff>
    </xdr:from>
    <xdr:to>
      <xdr:col>17</xdr:col>
      <xdr:colOff>539750</xdr:colOff>
      <xdr:row>20</xdr:row>
      <xdr:rowOff>165100</xdr:rowOff>
    </xdr:to>
    <xdr:graphicFrame>
      <xdr:nvGraphicFramePr>
        <xdr:cNvPr id="2" name="Chart 1"/>
        <xdr:cNvGraphicFramePr/>
      </xdr:nvGraphicFramePr>
      <xdr:xfrm>
        <a:off x="8991600" y="16129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647700</xdr:colOff>
      <xdr:row>3</xdr:row>
      <xdr:rowOff>66675</xdr:rowOff>
    </xdr:from>
    <xdr:to>
      <xdr:col>4</xdr:col>
      <xdr:colOff>133350</xdr:colOff>
      <xdr:row>7</xdr:row>
      <xdr:rowOff>200025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7700" y="695325"/>
          <a:ext cx="2733675" cy="97155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74"/>
  <sheetViews>
    <sheetView topLeftCell="A67" workbookViewId="0">
      <selection activeCell="A70" sqref="$A1:$XFD1048576"/>
    </sheetView>
  </sheetViews>
  <sheetFormatPr defaultColWidth="9" defaultRowHeight="16.5" outlineLevelCol="7"/>
  <cols>
    <col min="1" max="1" width="9" style="1" customWidth="1"/>
    <col min="2" max="2" width="14.2583333333333" style="1" customWidth="1"/>
    <col min="3" max="3" width="13.75" style="1" customWidth="1"/>
    <col min="4" max="4" width="57" style="1" customWidth="1"/>
    <col min="5" max="5" width="11.25" style="1" customWidth="1"/>
    <col min="6" max="6" width="11.75" style="1" customWidth="1"/>
    <col min="7" max="7" width="19.875" style="1" customWidth="1"/>
    <col min="8" max="8" width="111.75" style="1" customWidth="1"/>
    <col min="9" max="16384" width="9" style="1" customWidth="1"/>
  </cols>
  <sheetData>
    <row r="2" ht="18.75" customHeight="1" spans="2:8">
      <c r="B2" s="103" t="s">
        <v>0</v>
      </c>
      <c r="C2" s="103" t="s">
        <v>1</v>
      </c>
      <c r="D2" s="103" t="s">
        <v>2</v>
      </c>
      <c r="E2" s="103" t="s">
        <v>3</v>
      </c>
      <c r="F2" s="103" t="s">
        <v>4</v>
      </c>
      <c r="G2" s="103" t="s">
        <v>5</v>
      </c>
      <c r="H2" s="103" t="s">
        <v>6</v>
      </c>
    </row>
    <row r="3" spans="2:8">
      <c r="B3" s="104" t="s">
        <v>7</v>
      </c>
      <c r="C3" s="105" t="s">
        <v>8</v>
      </c>
      <c r="D3" s="106" t="s">
        <v>9</v>
      </c>
      <c r="E3" s="106" t="s">
        <v>10</v>
      </c>
      <c r="F3" s="106">
        <v>0</v>
      </c>
      <c r="G3" s="107" t="s">
        <v>7</v>
      </c>
      <c r="H3" s="106" t="s">
        <v>11</v>
      </c>
    </row>
    <row r="4" spans="2:8">
      <c r="B4" s="108"/>
      <c r="C4" s="105" t="s">
        <v>12</v>
      </c>
      <c r="D4" s="106" t="s">
        <v>13</v>
      </c>
      <c r="E4" s="106" t="s">
        <v>10</v>
      </c>
      <c r="F4" s="106">
        <v>0</v>
      </c>
      <c r="G4" s="107" t="s">
        <v>7</v>
      </c>
      <c r="H4" s="106" t="s">
        <v>11</v>
      </c>
    </row>
    <row r="5" spans="2:8">
      <c r="B5" s="108"/>
      <c r="C5" s="105" t="s">
        <v>12</v>
      </c>
      <c r="D5" s="106" t="s">
        <v>14</v>
      </c>
      <c r="E5" s="106" t="s">
        <v>10</v>
      </c>
      <c r="F5" s="106">
        <v>0</v>
      </c>
      <c r="G5" s="107" t="s">
        <v>7</v>
      </c>
      <c r="H5" s="106" t="s">
        <v>11</v>
      </c>
    </row>
    <row r="6" spans="2:8">
      <c r="B6" s="108"/>
      <c r="C6" s="105" t="s">
        <v>15</v>
      </c>
      <c r="D6" s="106" t="s">
        <v>16</v>
      </c>
      <c r="E6" s="106" t="s">
        <v>10</v>
      </c>
      <c r="F6" s="106">
        <v>0</v>
      </c>
      <c r="G6" s="107" t="s">
        <v>7</v>
      </c>
      <c r="H6" s="106" t="s">
        <v>11</v>
      </c>
    </row>
    <row r="7" spans="2:8">
      <c r="B7" s="109"/>
    </row>
    <row r="8" spans="2:8">
      <c r="B8" s="104" t="s">
        <v>17</v>
      </c>
      <c r="C8" s="105" t="s">
        <v>18</v>
      </c>
      <c r="D8" s="106" t="s">
        <v>19</v>
      </c>
      <c r="E8" s="106" t="s">
        <v>10</v>
      </c>
      <c r="F8" s="106">
        <v>100</v>
      </c>
      <c r="G8" s="106" t="s">
        <v>20</v>
      </c>
      <c r="H8" s="106" t="s">
        <v>21</v>
      </c>
    </row>
    <row r="9" spans="2:8">
      <c r="B9" s="108"/>
      <c r="C9" s="110" t="s">
        <v>22</v>
      </c>
      <c r="D9" s="106" t="s">
        <v>23</v>
      </c>
      <c r="E9" s="106" t="s">
        <v>10</v>
      </c>
      <c r="F9" s="106">
        <v>0</v>
      </c>
      <c r="G9" s="106" t="s">
        <v>20</v>
      </c>
      <c r="H9" s="106" t="s">
        <v>24</v>
      </c>
    </row>
    <row r="10" spans="2:8">
      <c r="B10" s="108"/>
      <c r="C10" s="105" t="s">
        <v>25</v>
      </c>
      <c r="D10" s="111" t="s">
        <v>26</v>
      </c>
      <c r="E10" s="106" t="s">
        <v>27</v>
      </c>
      <c r="F10" s="112">
        <v>2.5</v>
      </c>
      <c r="G10" s="106" t="s">
        <v>28</v>
      </c>
      <c r="H10" s="106" t="s">
        <v>29</v>
      </c>
    </row>
    <row r="11" spans="2:8">
      <c r="B11" s="108"/>
      <c r="C11" s="105" t="s">
        <v>30</v>
      </c>
      <c r="D11" s="106" t="s">
        <v>31</v>
      </c>
      <c r="E11" s="106" t="s">
        <v>27</v>
      </c>
      <c r="F11" s="113">
        <v>0.05</v>
      </c>
      <c r="G11" s="106" t="s">
        <v>28</v>
      </c>
      <c r="H11" s="106"/>
    </row>
    <row r="12" spans="2:8">
      <c r="B12" s="108"/>
      <c r="C12" s="105" t="s">
        <v>32</v>
      </c>
      <c r="D12" s="106" t="s">
        <v>33</v>
      </c>
      <c r="E12" s="106" t="s">
        <v>27</v>
      </c>
      <c r="F12" s="113">
        <v>2</v>
      </c>
      <c r="G12" s="106" t="s">
        <v>28</v>
      </c>
      <c r="H12" s="106"/>
    </row>
    <row r="13" spans="2:8">
      <c r="B13" s="108"/>
      <c r="C13" s="114" t="s">
        <v>34</v>
      </c>
      <c r="D13" s="106" t="s">
        <v>35</v>
      </c>
      <c r="E13" s="106" t="s">
        <v>27</v>
      </c>
      <c r="F13" s="113">
        <v>0</v>
      </c>
      <c r="G13" s="106" t="s">
        <v>28</v>
      </c>
      <c r="H13" s="115" t="s">
        <v>36</v>
      </c>
    </row>
    <row r="14" spans="2:8">
      <c r="B14" s="108"/>
      <c r="C14" s="114" t="s">
        <v>37</v>
      </c>
      <c r="D14" s="106" t="s">
        <v>38</v>
      </c>
      <c r="E14" s="106" t="s">
        <v>27</v>
      </c>
      <c r="F14" s="113">
        <v>1</v>
      </c>
      <c r="G14" s="106" t="s">
        <v>28</v>
      </c>
      <c r="H14" s="115" t="s">
        <v>36</v>
      </c>
    </row>
    <row r="15" spans="2:8">
      <c r="B15" s="108"/>
      <c r="C15" s="105" t="s">
        <v>39</v>
      </c>
      <c r="D15" s="106" t="s">
        <v>40</v>
      </c>
      <c r="E15" s="106" t="s">
        <v>27</v>
      </c>
      <c r="F15" s="113">
        <v>0</v>
      </c>
      <c r="G15" s="106" t="s">
        <v>28</v>
      </c>
      <c r="H15" s="106"/>
    </row>
    <row r="16" spans="2:8">
      <c r="B16" s="108"/>
      <c r="C16" s="105" t="s">
        <v>41</v>
      </c>
      <c r="D16" s="106" t="s">
        <v>42</v>
      </c>
      <c r="E16" s="106" t="s">
        <v>27</v>
      </c>
      <c r="F16" s="113">
        <v>0</v>
      </c>
      <c r="G16" s="106" t="s">
        <v>28</v>
      </c>
      <c r="H16" s="106"/>
    </row>
    <row r="17" spans="2:8">
      <c r="B17" s="108"/>
      <c r="C17" s="105" t="s">
        <v>43</v>
      </c>
      <c r="D17" s="106" t="s">
        <v>44</v>
      </c>
      <c r="E17" s="106" t="s">
        <v>27</v>
      </c>
      <c r="F17" s="113">
        <v>0</v>
      </c>
      <c r="G17" s="106" t="s">
        <v>45</v>
      </c>
      <c r="H17" s="106" t="s">
        <v>46</v>
      </c>
    </row>
    <row r="18" ht="49.5" customHeight="1" spans="2:8">
      <c r="B18" s="108"/>
      <c r="C18" s="116" t="s">
        <v>47</v>
      </c>
      <c r="D18" s="80" t="s">
        <v>48</v>
      </c>
      <c r="E18" s="80" t="s">
        <v>27</v>
      </c>
      <c r="F18" s="80" t="s">
        <v>49</v>
      </c>
      <c r="G18" s="106" t="s">
        <v>28</v>
      </c>
      <c r="H18" s="117" t="s">
        <v>50</v>
      </c>
    </row>
    <row r="19" spans="2:8">
      <c r="B19" s="108"/>
      <c r="C19" s="31" t="s">
        <v>51</v>
      </c>
      <c r="D19" s="106" t="s">
        <v>52</v>
      </c>
      <c r="E19" s="106" t="s">
        <v>27</v>
      </c>
      <c r="F19" s="106">
        <v>0</v>
      </c>
      <c r="G19" s="118" t="s">
        <v>45</v>
      </c>
      <c r="H19" s="115" t="s">
        <v>36</v>
      </c>
    </row>
    <row r="20" spans="2:8">
      <c r="B20" s="108"/>
      <c r="C20" s="31" t="s">
        <v>53</v>
      </c>
      <c r="D20" s="106" t="s">
        <v>54</v>
      </c>
      <c r="E20" s="106" t="s">
        <v>27</v>
      </c>
      <c r="F20" s="106">
        <v>0</v>
      </c>
      <c r="G20" s="118" t="s">
        <v>45</v>
      </c>
      <c r="H20" s="115" t="s">
        <v>36</v>
      </c>
    </row>
    <row r="21" spans="2:8">
      <c r="B21" s="108"/>
      <c r="C21" s="31" t="s">
        <v>55</v>
      </c>
      <c r="D21" s="106" t="s">
        <v>56</v>
      </c>
      <c r="E21" s="106" t="s">
        <v>27</v>
      </c>
      <c r="F21" s="106">
        <v>0</v>
      </c>
      <c r="G21" s="118" t="s">
        <v>45</v>
      </c>
      <c r="H21" s="115" t="s">
        <v>36</v>
      </c>
    </row>
    <row r="22" spans="2:8">
      <c r="B22" s="108"/>
      <c r="C22" s="31" t="s">
        <v>57</v>
      </c>
      <c r="D22" s="106" t="s">
        <v>58</v>
      </c>
      <c r="E22" s="106" t="s">
        <v>27</v>
      </c>
      <c r="F22" s="106">
        <v>0</v>
      </c>
      <c r="G22" s="118" t="s">
        <v>59</v>
      </c>
      <c r="H22" s="115"/>
    </row>
    <row r="23" spans="2:8">
      <c r="B23" s="108"/>
      <c r="C23" s="31" t="s">
        <v>60</v>
      </c>
      <c r="D23" s="106" t="s">
        <v>61</v>
      </c>
      <c r="E23" s="106" t="s">
        <v>27</v>
      </c>
      <c r="F23" s="106">
        <v>0</v>
      </c>
      <c r="G23" s="118" t="s">
        <v>59</v>
      </c>
      <c r="H23" s="115"/>
    </row>
    <row r="24" spans="2:8">
      <c r="B24" s="108"/>
      <c r="C24" s="31" t="s">
        <v>62</v>
      </c>
      <c r="D24" s="106" t="s">
        <v>63</v>
      </c>
      <c r="E24" s="106" t="s">
        <v>27</v>
      </c>
      <c r="F24" s="106">
        <v>0</v>
      </c>
      <c r="G24" s="118" t="s">
        <v>59</v>
      </c>
      <c r="H24" s="115"/>
    </row>
    <row r="25" spans="2:8">
      <c r="B25" s="108"/>
      <c r="C25" s="31" t="s">
        <v>64</v>
      </c>
      <c r="D25" s="106" t="s">
        <v>65</v>
      </c>
      <c r="E25" s="106" t="s">
        <v>27</v>
      </c>
      <c r="F25" s="106">
        <v>0</v>
      </c>
      <c r="G25" s="118" t="s">
        <v>59</v>
      </c>
    </row>
    <row r="26" spans="2:8">
      <c r="B26" s="108"/>
      <c r="C26" s="31" t="s">
        <v>66</v>
      </c>
      <c r="D26" s="106" t="s">
        <v>67</v>
      </c>
      <c r="E26" s="106" t="s">
        <v>27</v>
      </c>
      <c r="F26" s="106">
        <v>0</v>
      </c>
      <c r="G26" s="118" t="s">
        <v>59</v>
      </c>
    </row>
    <row r="27" spans="2:8">
      <c r="B27" s="108"/>
      <c r="C27" s="31" t="s">
        <v>68</v>
      </c>
      <c r="D27" s="106" t="s">
        <v>69</v>
      </c>
      <c r="E27" s="106" t="s">
        <v>27</v>
      </c>
      <c r="F27" s="106">
        <v>0</v>
      </c>
      <c r="G27" s="118" t="s">
        <v>59</v>
      </c>
    </row>
    <row r="28" spans="2:8">
      <c r="B28" s="108"/>
      <c r="C28" s="31" t="s">
        <v>70</v>
      </c>
      <c r="D28" s="106" t="s">
        <v>71</v>
      </c>
      <c r="E28" s="106" t="s">
        <v>27</v>
      </c>
      <c r="F28" s="106">
        <v>0</v>
      </c>
      <c r="G28" s="118" t="s">
        <v>59</v>
      </c>
    </row>
    <row r="29" spans="2:8">
      <c r="B29" s="108"/>
      <c r="C29" s="31" t="s">
        <v>72</v>
      </c>
      <c r="D29" s="106" t="s">
        <v>73</v>
      </c>
      <c r="E29" s="106" t="s">
        <v>27</v>
      </c>
      <c r="F29" s="106">
        <v>0</v>
      </c>
      <c r="G29" s="119" t="s">
        <v>45</v>
      </c>
    </row>
    <row r="30" spans="2:8">
      <c r="B30" s="108"/>
      <c r="C30" s="31" t="s">
        <v>74</v>
      </c>
      <c r="D30" s="106" t="s">
        <v>75</v>
      </c>
      <c r="E30" s="106" t="s">
        <v>27</v>
      </c>
      <c r="F30" s="106">
        <v>0</v>
      </c>
      <c r="G30" s="119" t="s">
        <v>45</v>
      </c>
    </row>
    <row r="31" spans="2:8">
      <c r="B31" s="108"/>
      <c r="C31" s="31" t="s">
        <v>76</v>
      </c>
      <c r="D31" s="106" t="s">
        <v>75</v>
      </c>
      <c r="E31" s="106" t="s">
        <v>27</v>
      </c>
      <c r="F31" s="106">
        <v>0</v>
      </c>
      <c r="G31" s="119" t="s">
        <v>45</v>
      </c>
    </row>
    <row r="32" spans="2:8">
      <c r="B32" s="108"/>
      <c r="C32" s="105" t="s">
        <v>77</v>
      </c>
      <c r="D32" s="106" t="s">
        <v>78</v>
      </c>
      <c r="E32" s="106" t="s">
        <v>27</v>
      </c>
      <c r="F32" s="106">
        <v>0</v>
      </c>
      <c r="G32" s="119" t="s">
        <v>45</v>
      </c>
    </row>
    <row r="33" spans="2:8">
      <c r="B33" s="108"/>
      <c r="C33" s="120" t="s">
        <v>79</v>
      </c>
      <c r="D33" s="119" t="s">
        <v>80</v>
      </c>
      <c r="E33" s="106" t="s">
        <v>27</v>
      </c>
      <c r="F33" s="119">
        <v>0</v>
      </c>
      <c r="G33" s="119" t="s">
        <v>45</v>
      </c>
    </row>
    <row r="34" spans="2:8">
      <c r="B34" s="108"/>
      <c r="C34" s="105" t="s">
        <v>81</v>
      </c>
      <c r="D34" s="106" t="s">
        <v>82</v>
      </c>
      <c r="E34" s="106" t="s">
        <v>27</v>
      </c>
      <c r="F34" s="119">
        <v>0</v>
      </c>
      <c r="G34" s="119" t="s">
        <v>45</v>
      </c>
    </row>
    <row r="35" spans="2:8">
      <c r="B35" s="108"/>
      <c r="C35" s="120" t="s">
        <v>83</v>
      </c>
      <c r="D35" s="119" t="s">
        <v>84</v>
      </c>
      <c r="E35" s="106" t="s">
        <v>27</v>
      </c>
      <c r="F35" s="119">
        <v>0</v>
      </c>
      <c r="G35" s="119" t="s">
        <v>45</v>
      </c>
    </row>
    <row r="36" spans="2:8">
      <c r="B36" s="108"/>
      <c r="C36" s="120" t="s">
        <v>85</v>
      </c>
      <c r="D36" s="1" t="s">
        <v>86</v>
      </c>
      <c r="E36" s="106" t="s">
        <v>27</v>
      </c>
      <c r="F36" s="119">
        <v>0</v>
      </c>
      <c r="G36" s="119" t="s">
        <v>45</v>
      </c>
      <c r="H36" s="115" t="s">
        <v>36</v>
      </c>
    </row>
    <row r="37" spans="2:8">
      <c r="B37" s="108"/>
      <c r="C37" s="120" t="s">
        <v>87</v>
      </c>
      <c r="D37" s="1" t="s">
        <v>88</v>
      </c>
      <c r="E37" s="106" t="s">
        <v>27</v>
      </c>
      <c r="F37" s="119">
        <v>0</v>
      </c>
      <c r="G37" s="119" t="s">
        <v>45</v>
      </c>
      <c r="H37" s="115" t="s">
        <v>36</v>
      </c>
    </row>
    <row r="38" spans="2:8">
      <c r="B38" s="108"/>
      <c r="C38" s="120" t="s">
        <v>89</v>
      </c>
      <c r="D38" s="1" t="s">
        <v>90</v>
      </c>
      <c r="E38" s="106" t="s">
        <v>27</v>
      </c>
      <c r="F38" s="119">
        <v>0</v>
      </c>
      <c r="G38" s="119" t="s">
        <v>45</v>
      </c>
      <c r="H38" s="115" t="s">
        <v>36</v>
      </c>
    </row>
    <row r="39" spans="2:8">
      <c r="B39" s="108"/>
      <c r="C39" s="16" t="s">
        <v>91</v>
      </c>
      <c r="D39" s="106" t="s">
        <v>92</v>
      </c>
      <c r="E39" s="106" t="s">
        <v>27</v>
      </c>
      <c r="F39" s="119">
        <v>0</v>
      </c>
      <c r="G39" s="119" t="s">
        <v>45</v>
      </c>
      <c r="H39" s="115" t="s">
        <v>36</v>
      </c>
    </row>
    <row r="40" spans="2:8">
      <c r="B40" s="108"/>
      <c r="C40" s="16" t="s">
        <v>93</v>
      </c>
      <c r="D40" s="1" t="s">
        <v>94</v>
      </c>
      <c r="E40" s="106" t="s">
        <v>27</v>
      </c>
      <c r="F40" s="119">
        <v>0</v>
      </c>
      <c r="G40" s="119" t="s">
        <v>45</v>
      </c>
      <c r="H40" s="115" t="s">
        <v>36</v>
      </c>
    </row>
    <row r="41" spans="2:8">
      <c r="B41" s="108"/>
      <c r="C41" s="16" t="s">
        <v>95</v>
      </c>
      <c r="D41" s="1" t="s">
        <v>96</v>
      </c>
      <c r="E41" s="106" t="s">
        <v>27</v>
      </c>
      <c r="F41" s="119">
        <v>0</v>
      </c>
      <c r="G41" s="119" t="s">
        <v>45</v>
      </c>
      <c r="H41" s="115" t="s">
        <v>36</v>
      </c>
    </row>
    <row r="42" ht="33" customHeight="1" spans="2:8">
      <c r="B42" s="108"/>
      <c r="C42" s="16" t="s">
        <v>97</v>
      </c>
      <c r="D42" s="1" t="s">
        <v>98</v>
      </c>
      <c r="E42" s="106" t="s">
        <v>27</v>
      </c>
      <c r="F42" s="119">
        <v>0</v>
      </c>
      <c r="G42" s="119" t="s">
        <v>45</v>
      </c>
      <c r="H42" s="121" t="s">
        <v>99</v>
      </c>
    </row>
    <row r="43" spans="2:8">
      <c r="B43" s="108"/>
      <c r="C43" s="105" t="s">
        <v>100</v>
      </c>
      <c r="D43" s="106" t="s">
        <v>101</v>
      </c>
      <c r="E43" s="106" t="s">
        <v>27</v>
      </c>
      <c r="F43" s="106">
        <v>0</v>
      </c>
      <c r="G43" s="118" t="s">
        <v>45</v>
      </c>
      <c r="H43" s="8" t="s">
        <v>102</v>
      </c>
    </row>
    <row r="44" spans="2:8">
      <c r="B44" s="109"/>
      <c r="C44" s="105" t="s">
        <v>103</v>
      </c>
      <c r="D44" s="106" t="s">
        <v>78</v>
      </c>
      <c r="E44" s="106" t="s">
        <v>27</v>
      </c>
      <c r="F44" s="106">
        <v>0</v>
      </c>
      <c r="G44" s="119" t="s">
        <v>45</v>
      </c>
    </row>
    <row r="45" spans="2:8">
      <c r="B45" s="122" t="s">
        <v>104</v>
      </c>
      <c r="C45" s="105" t="s">
        <v>105</v>
      </c>
      <c r="D45" s="1" t="s">
        <v>106</v>
      </c>
      <c r="E45" s="106" t="s">
        <v>27</v>
      </c>
      <c r="F45" s="106">
        <v>0</v>
      </c>
      <c r="G45" s="119" t="s">
        <v>45</v>
      </c>
      <c r="H45" s="1" t="s">
        <v>107</v>
      </c>
    </row>
    <row r="46" spans="2:8">
      <c r="B46" s="108"/>
      <c r="C46" s="105" t="s">
        <v>108</v>
      </c>
      <c r="D46" s="1" t="s">
        <v>109</v>
      </c>
      <c r="E46" s="106" t="s">
        <v>27</v>
      </c>
      <c r="F46" s="106">
        <v>0</v>
      </c>
      <c r="G46" s="119" t="s">
        <v>45</v>
      </c>
      <c r="H46" s="1" t="s">
        <v>107</v>
      </c>
    </row>
    <row r="47" spans="2:8">
      <c r="B47" s="108"/>
      <c r="C47" s="105" t="s">
        <v>108</v>
      </c>
      <c r="D47" s="1" t="s">
        <v>109</v>
      </c>
      <c r="E47" s="106" t="s">
        <v>27</v>
      </c>
      <c r="F47" s="106">
        <v>0</v>
      </c>
      <c r="G47" s="119" t="s">
        <v>45</v>
      </c>
      <c r="H47" s="1" t="s">
        <v>107</v>
      </c>
    </row>
    <row r="48" spans="2:8">
      <c r="B48" s="108"/>
      <c r="C48" s="105" t="s">
        <v>110</v>
      </c>
      <c r="D48" s="1" t="s">
        <v>111</v>
      </c>
      <c r="E48" s="106" t="s">
        <v>27</v>
      </c>
      <c r="F48" s="106">
        <v>0</v>
      </c>
      <c r="G48" s="119" t="s">
        <v>45</v>
      </c>
      <c r="H48" s="1" t="s">
        <v>107</v>
      </c>
    </row>
    <row r="49" spans="2:8">
      <c r="B49" s="108"/>
      <c r="C49" s="105" t="s">
        <v>112</v>
      </c>
      <c r="D49" s="1" t="s">
        <v>113</v>
      </c>
      <c r="E49" s="106" t="s">
        <v>27</v>
      </c>
      <c r="F49" s="106">
        <v>0</v>
      </c>
      <c r="G49" s="119" t="s">
        <v>45</v>
      </c>
      <c r="H49" s="1" t="s">
        <v>114</v>
      </c>
    </row>
    <row r="50" spans="2:8">
      <c r="B50" s="109"/>
      <c r="C50" s="105" t="s">
        <v>115</v>
      </c>
      <c r="D50" s="1" t="s">
        <v>116</v>
      </c>
      <c r="E50" s="106" t="s">
        <v>27</v>
      </c>
      <c r="F50" s="106">
        <v>0</v>
      </c>
      <c r="G50" s="119" t="s">
        <v>45</v>
      </c>
      <c r="H50" s="1" t="s">
        <v>114</v>
      </c>
    </row>
    <row r="51" spans="2:8">
      <c r="B51" s="122" t="s">
        <v>117</v>
      </c>
      <c r="C51" s="105" t="s">
        <v>118</v>
      </c>
      <c r="D51" s="1" t="s">
        <v>119</v>
      </c>
      <c r="E51" s="106" t="s">
        <v>27</v>
      </c>
      <c r="F51" s="106">
        <v>0</v>
      </c>
      <c r="G51" s="118" t="s">
        <v>59</v>
      </c>
      <c r="H51" s="1" t="s">
        <v>120</v>
      </c>
    </row>
    <row r="52" spans="2:8">
      <c r="B52" s="108"/>
      <c r="C52" s="105" t="s">
        <v>121</v>
      </c>
      <c r="D52" s="1" t="s">
        <v>122</v>
      </c>
      <c r="E52" s="106" t="s">
        <v>27</v>
      </c>
      <c r="F52" s="106">
        <v>0</v>
      </c>
      <c r="G52" s="118" t="s">
        <v>59</v>
      </c>
      <c r="H52" s="1" t="s">
        <v>120</v>
      </c>
    </row>
    <row r="53" spans="2:8">
      <c r="B53" s="108"/>
      <c r="C53" s="105" t="s">
        <v>123</v>
      </c>
      <c r="D53" s="1" t="s">
        <v>124</v>
      </c>
      <c r="E53" s="106" t="s">
        <v>27</v>
      </c>
      <c r="F53" s="106">
        <v>0</v>
      </c>
      <c r="G53" s="118" t="s">
        <v>59</v>
      </c>
      <c r="H53" s="1" t="s">
        <v>120</v>
      </c>
    </row>
    <row r="54" spans="2:8">
      <c r="B54" s="108"/>
      <c r="C54" s="105" t="s">
        <v>125</v>
      </c>
      <c r="D54" s="1" t="s">
        <v>126</v>
      </c>
      <c r="E54" s="106" t="s">
        <v>27</v>
      </c>
      <c r="F54" s="106">
        <v>0</v>
      </c>
      <c r="G54" s="118" t="s">
        <v>59</v>
      </c>
      <c r="H54" s="1" t="s">
        <v>120</v>
      </c>
    </row>
    <row r="55" spans="2:8">
      <c r="B55" s="108"/>
      <c r="C55" s="105" t="s">
        <v>127</v>
      </c>
      <c r="D55" s="1" t="s">
        <v>128</v>
      </c>
      <c r="E55" s="106" t="s">
        <v>27</v>
      </c>
      <c r="F55" s="106">
        <v>0</v>
      </c>
      <c r="G55" s="118" t="s">
        <v>59</v>
      </c>
      <c r="H55" s="1" t="s">
        <v>120</v>
      </c>
    </row>
    <row r="56" spans="2:8">
      <c r="B56" s="109"/>
      <c r="C56" s="105"/>
      <c r="E56" s="106"/>
      <c r="F56" s="106"/>
      <c r="G56" s="118"/>
    </row>
    <row r="59" ht="24.75" customHeight="1" spans="2:8">
      <c r="B59" s="93" t="s">
        <v>129</v>
      </c>
    </row>
    <row r="60" spans="2:8">
      <c r="B60" s="80" t="s">
        <v>130</v>
      </c>
    </row>
    <row r="61" spans="2:8">
      <c r="B61" s="80" t="s">
        <v>131</v>
      </c>
    </row>
    <row r="63" spans="2:8">
      <c r="B63" s="96" t="s">
        <v>132</v>
      </c>
    </row>
    <row r="64" spans="2:8">
      <c r="B64" s="16" t="s">
        <v>133</v>
      </c>
    </row>
    <row r="65" spans="2:4">
      <c r="B65" s="16" t="s">
        <v>134</v>
      </c>
    </row>
    <row r="67" spans="2:4">
      <c r="B67" s="1" t="s">
        <v>135</v>
      </c>
    </row>
    <row r="68" spans="2:4">
      <c r="B68" s="1" t="s">
        <v>136</v>
      </c>
    </row>
    <row r="69" spans="2:4">
      <c r="B69" s="1" t="s">
        <v>137</v>
      </c>
    </row>
    <row r="71" spans="2:4">
      <c r="B71" s="96" t="s">
        <v>138</v>
      </c>
    </row>
    <row r="72" spans="2:4">
      <c r="B72" s="1" t="s">
        <v>139</v>
      </c>
    </row>
    <row r="73" spans="2:4">
      <c r="B73" s="1" t="s">
        <v>140</v>
      </c>
    </row>
    <row r="74" spans="2:4">
      <c r="B74" s="1" t="s">
        <v>141</v>
      </c>
    </row>
    <row r="76" ht="24.75" customHeight="1" spans="2:4">
      <c r="B76" s="93" t="s">
        <v>142</v>
      </c>
    </row>
    <row r="78" spans="2:4">
      <c r="B78" s="1" t="s">
        <v>143</v>
      </c>
    </row>
    <row r="79" spans="2:4">
      <c r="B79" s="1" t="s">
        <v>144</v>
      </c>
      <c r="C79" s="1" t="s">
        <v>145</v>
      </c>
      <c r="D79" s="1" t="s">
        <v>146</v>
      </c>
    </row>
    <row r="81" spans="2:4">
      <c r="B81" s="8" t="s">
        <v>147</v>
      </c>
      <c r="C81" s="1" t="s">
        <v>148</v>
      </c>
    </row>
    <row r="82" spans="2:4">
      <c r="B82" s="4"/>
      <c r="C82" s="4"/>
      <c r="D82" s="4"/>
    </row>
    <row r="84" ht="24.75" customHeight="1" spans="2:4">
      <c r="B84" s="93" t="s">
        <v>149</v>
      </c>
    </row>
    <row r="85" spans="2:4">
      <c r="B85" s="97" t="s">
        <v>150</v>
      </c>
    </row>
    <row r="86" spans="2:4">
      <c r="B86" s="97" t="s">
        <v>151</v>
      </c>
    </row>
    <row r="87" spans="2:4">
      <c r="B87" s="97" t="s">
        <v>152</v>
      </c>
    </row>
    <row r="88" spans="2:4">
      <c r="B88" s="97"/>
    </row>
    <row r="89" spans="2:4">
      <c r="B89" s="97" t="s">
        <v>153</v>
      </c>
    </row>
    <row r="90" spans="2:4">
      <c r="B90" s="97" t="s">
        <v>154</v>
      </c>
    </row>
    <row r="91" spans="2:4">
      <c r="B91" s="97" t="s">
        <v>155</v>
      </c>
    </row>
    <row r="92" spans="2:4">
      <c r="B92" s="97"/>
    </row>
    <row r="93" spans="2:4">
      <c r="B93" s="97" t="s">
        <v>156</v>
      </c>
    </row>
    <row r="94" spans="2:4">
      <c r="B94" s="97" t="s">
        <v>157</v>
      </c>
    </row>
    <row r="95" spans="2:4">
      <c r="B95" s="97" t="s">
        <v>158</v>
      </c>
    </row>
    <row r="96" spans="2:4">
      <c r="B96" s="97"/>
    </row>
    <row r="97" spans="2:2">
      <c r="B97" s="97" t="s">
        <v>159</v>
      </c>
    </row>
    <row r="98" spans="2:2">
      <c r="B98" s="97" t="s">
        <v>160</v>
      </c>
    </row>
    <row r="99" spans="2:2">
      <c r="B99" s="97"/>
    </row>
    <row r="100" spans="2:2">
      <c r="B100" s="97" t="s">
        <v>161</v>
      </c>
    </row>
    <row r="101" spans="2:2">
      <c r="B101" s="97" t="s">
        <v>162</v>
      </c>
    </row>
    <row r="102" spans="2:2">
      <c r="B102" s="97"/>
    </row>
    <row r="103" spans="2:2">
      <c r="B103" s="97" t="s">
        <v>163</v>
      </c>
    </row>
    <row r="104" spans="2:2">
      <c r="B104" s="97" t="s">
        <v>164</v>
      </c>
    </row>
    <row r="105" spans="2:2">
      <c r="B105" s="123"/>
    </row>
    <row r="106" spans="2:2">
      <c r="B106" s="97" t="s">
        <v>165</v>
      </c>
    </row>
    <row r="107" spans="2:2">
      <c r="B107" s="97" t="s">
        <v>166</v>
      </c>
    </row>
    <row r="108" spans="2:2">
      <c r="B108" s="97"/>
    </row>
    <row r="109" spans="2:2">
      <c r="B109" s="97" t="s">
        <v>167</v>
      </c>
    </row>
    <row r="110" spans="2:2">
      <c r="B110" s="97" t="s">
        <v>168</v>
      </c>
    </row>
    <row r="111" spans="2:2">
      <c r="B111" s="97"/>
    </row>
    <row r="112" spans="2:2">
      <c r="B112" s="97" t="s">
        <v>169</v>
      </c>
    </row>
    <row r="113" spans="2:2">
      <c r="B113" s="97" t="s">
        <v>170</v>
      </c>
    </row>
    <row r="114" spans="2:2">
      <c r="B114" s="97"/>
    </row>
    <row r="115" spans="2:2">
      <c r="B115" s="97" t="s">
        <v>171</v>
      </c>
    </row>
    <row r="116" spans="2:2">
      <c r="B116" s="97" t="s">
        <v>172</v>
      </c>
    </row>
    <row r="117" spans="2:2">
      <c r="B117" s="97"/>
    </row>
    <row r="118" spans="2:2">
      <c r="B118" s="97" t="s">
        <v>173</v>
      </c>
    </row>
    <row r="119" spans="2:2">
      <c r="B119" s="97" t="s">
        <v>174</v>
      </c>
    </row>
    <row r="120" spans="2:2">
      <c r="B120" s="97"/>
    </row>
    <row r="121" spans="2:2">
      <c r="B121" s="97" t="s">
        <v>175</v>
      </c>
    </row>
    <row r="122" spans="2:2">
      <c r="B122" s="97" t="s">
        <v>176</v>
      </c>
    </row>
    <row r="123" spans="2:2">
      <c r="B123" s="97"/>
    </row>
    <row r="124" spans="2:2">
      <c r="B124" s="97" t="s">
        <v>177</v>
      </c>
    </row>
    <row r="125" spans="2:2">
      <c r="B125" s="97" t="s">
        <v>178</v>
      </c>
    </row>
    <row r="126" spans="2:2">
      <c r="B126" s="97"/>
    </row>
    <row r="127" spans="2:2">
      <c r="B127" s="97"/>
    </row>
    <row r="128" spans="2:2">
      <c r="B128" s="97" t="s">
        <v>179</v>
      </c>
    </row>
    <row r="129" spans="2:3">
      <c r="B129" s="97" t="s">
        <v>180</v>
      </c>
    </row>
    <row r="130" spans="2:3">
      <c r="B130" s="97"/>
    </row>
    <row r="131" spans="2:3">
      <c r="B131" s="97" t="s">
        <v>181</v>
      </c>
      <c r="C131" s="1" t="s">
        <v>182</v>
      </c>
    </row>
    <row r="132" spans="2:3">
      <c r="B132" s="97" t="s">
        <v>183</v>
      </c>
    </row>
    <row r="133" spans="2:3">
      <c r="B133" s="97"/>
    </row>
    <row r="134" spans="2:3">
      <c r="B134" s="97" t="s">
        <v>184</v>
      </c>
    </row>
    <row r="135" spans="2:3">
      <c r="B135" s="97" t="s">
        <v>185</v>
      </c>
    </row>
    <row r="137" spans="2:3">
      <c r="B137" s="97" t="s">
        <v>186</v>
      </c>
    </row>
    <row r="138" spans="2:3">
      <c r="B138" s="97" t="s">
        <v>187</v>
      </c>
    </row>
    <row r="140" spans="2:3">
      <c r="B140" s="97" t="s">
        <v>188</v>
      </c>
    </row>
    <row r="141" spans="2:3">
      <c r="B141" s="97" t="s">
        <v>189</v>
      </c>
    </row>
    <row r="143" spans="2:3">
      <c r="B143" s="97" t="s">
        <v>190</v>
      </c>
    </row>
    <row r="144" spans="2:3">
      <c r="B144" s="97" t="s">
        <v>191</v>
      </c>
    </row>
    <row r="146" spans="2:2">
      <c r="B146" s="97" t="s">
        <v>192</v>
      </c>
    </row>
    <row r="147" spans="2:2">
      <c r="B147" s="97" t="s">
        <v>193</v>
      </c>
    </row>
    <row r="149" spans="2:2">
      <c r="B149" s="97" t="s">
        <v>194</v>
      </c>
    </row>
    <row r="150" spans="2:2">
      <c r="B150" s="97" t="s">
        <v>195</v>
      </c>
    </row>
    <row r="152" spans="2:2">
      <c r="B152" s="97" t="s">
        <v>196</v>
      </c>
    </row>
    <row r="153" spans="2:2">
      <c r="B153" s="97" t="s">
        <v>197</v>
      </c>
    </row>
    <row r="155" spans="2:2">
      <c r="B155" s="97" t="s">
        <v>198</v>
      </c>
    </row>
    <row r="156" spans="2:2">
      <c r="B156" s="97" t="s">
        <v>199</v>
      </c>
    </row>
    <row r="158" spans="2:2">
      <c r="B158" s="97" t="s">
        <v>200</v>
      </c>
    </row>
    <row r="159" spans="2:2">
      <c r="B159" s="97" t="s">
        <v>201</v>
      </c>
    </row>
    <row r="161" spans="2:2">
      <c r="B161" s="97" t="s">
        <v>202</v>
      </c>
    </row>
    <row r="162" spans="2:2">
      <c r="B162" s="97" t="s">
        <v>203</v>
      </c>
    </row>
    <row r="164" spans="2:2">
      <c r="B164" s="97" t="s">
        <v>204</v>
      </c>
    </row>
    <row r="165" spans="2:2">
      <c r="B165" s="97" t="s">
        <v>205</v>
      </c>
    </row>
    <row r="167" spans="2:2">
      <c r="B167" s="97" t="s">
        <v>206</v>
      </c>
    </row>
    <row r="168" spans="2:2">
      <c r="B168" s="97" t="s">
        <v>207</v>
      </c>
    </row>
    <row r="170" spans="2:2">
      <c r="B170" s="97" t="s">
        <v>208</v>
      </c>
    </row>
    <row r="171" spans="2:2">
      <c r="B171" s="97" t="s">
        <v>209</v>
      </c>
    </row>
    <row r="173" spans="2:2">
      <c r="B173" s="97" t="s">
        <v>210</v>
      </c>
    </row>
    <row r="174" spans="2:2">
      <c r="B174" s="97" t="s">
        <v>211</v>
      </c>
    </row>
  </sheetData>
  <mergeCells count="5">
    <mergeCell ref="B3:B7"/>
    <mergeCell ref="B8:B44"/>
    <mergeCell ref="B45:B50"/>
    <mergeCell ref="B51:B56"/>
    <mergeCell ref="H43:H4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86"/>
  <sheetViews>
    <sheetView topLeftCell="A49" workbookViewId="0">
      <selection activeCell="A49" sqref="$A1:$XFD1048576"/>
    </sheetView>
  </sheetViews>
  <sheetFormatPr defaultColWidth="9" defaultRowHeight="16.5"/>
  <cols>
    <col min="1" max="1" width="10.5" style="1" customWidth="1"/>
    <col min="2" max="2" width="11.75" style="1" customWidth="1"/>
    <col min="3" max="16384" width="9" style="1" customWidth="1"/>
  </cols>
  <sheetData>
    <row r="3" ht="24.75" customHeight="1" spans="1:3">
      <c r="B3" s="93" t="s">
        <v>212</v>
      </c>
    </row>
    <row r="5" s="12" customFormat="1" ht="21" customHeight="1" spans="1:3">
      <c r="B5" s="94" t="s">
        <v>213</v>
      </c>
    </row>
    <row r="7" ht="21" customHeight="1" spans="1:3">
      <c r="B7" s="95" t="s">
        <v>214</v>
      </c>
      <c r="C7" s="80" t="s">
        <v>215</v>
      </c>
    </row>
    <row r="9" spans="1:3">
      <c r="A9" s="12"/>
      <c r="B9" s="96" t="s">
        <v>216</v>
      </c>
    </row>
    <row r="10" spans="1:3">
      <c r="B10" s="80" t="s">
        <v>217</v>
      </c>
    </row>
    <row r="11" spans="1:3">
      <c r="B11" s="80"/>
    </row>
    <row r="12" spans="1:3">
      <c r="B12" s="80"/>
    </row>
    <row r="13" ht="21" customHeight="1" spans="1:3">
      <c r="B13" s="95" t="s">
        <v>218</v>
      </c>
      <c r="C13" s="80" t="s">
        <v>219</v>
      </c>
    </row>
    <row r="15" spans="1:3">
      <c r="B15" s="96" t="s">
        <v>220</v>
      </c>
    </row>
    <row r="16" spans="1:3">
      <c r="B16" s="80" t="s">
        <v>221</v>
      </c>
    </row>
    <row r="17" spans="1:13">
      <c r="B17" s="96"/>
    </row>
    <row r="18" spans="1:13">
      <c r="B18" s="96" t="s">
        <v>222</v>
      </c>
    </row>
    <row r="19" spans="1:13">
      <c r="B19" s="1" t="s">
        <v>223</v>
      </c>
    </row>
    <row r="21" ht="21" customHeight="1" spans="1:13">
      <c r="B21" s="95" t="s">
        <v>224</v>
      </c>
      <c r="C21" s="80" t="s">
        <v>225</v>
      </c>
    </row>
    <row r="22" spans="1:13">
      <c r="B22" s="97"/>
    </row>
    <row r="24" spans="1:13">
      <c r="B24" s="80" t="s">
        <v>226</v>
      </c>
    </row>
    <row r="25" spans="1:13">
      <c r="B25" s="80" t="s">
        <v>227</v>
      </c>
    </row>
    <row r="26" spans="1:13">
      <c r="A26" s="12"/>
      <c r="B26" s="96" t="s">
        <v>228</v>
      </c>
    </row>
    <row r="27" spans="1:13">
      <c r="B27" s="96"/>
      <c r="L27" s="22" t="s">
        <v>229</v>
      </c>
      <c r="M27" s="74">
        <v>24000</v>
      </c>
    </row>
    <row r="28" ht="21" customHeight="1" spans="1:13">
      <c r="B28" s="95" t="s">
        <v>230</v>
      </c>
      <c r="C28" s="80" t="s">
        <v>231</v>
      </c>
    </row>
    <row r="30" spans="1:13">
      <c r="B30" s="80" t="s">
        <v>232</v>
      </c>
    </row>
    <row r="31" spans="1:13">
      <c r="B31" s="80" t="s">
        <v>233</v>
      </c>
    </row>
    <row r="32" spans="1:13">
      <c r="B32" s="80" t="s">
        <v>234</v>
      </c>
    </row>
    <row r="33" spans="2:15">
      <c r="B33" s="98" t="s">
        <v>235</v>
      </c>
    </row>
    <row r="34" spans="2:15">
      <c r="B34" s="96" t="s">
        <v>236</v>
      </c>
    </row>
    <row r="35" spans="2:15">
      <c r="B35" s="99"/>
    </row>
    <row r="36" spans="2:15">
      <c r="B36" s="99"/>
    </row>
    <row r="37" ht="21" customHeight="1" spans="2:15">
      <c r="B37" s="95" t="s">
        <v>237</v>
      </c>
      <c r="C37" s="80" t="s">
        <v>238</v>
      </c>
      <c r="E37" s="1" t="s">
        <v>239</v>
      </c>
    </row>
    <row r="39" spans="2:15">
      <c r="B39" s="80" t="s">
        <v>240</v>
      </c>
    </row>
    <row r="40" spans="2:15">
      <c r="B40" s="1" t="s">
        <v>241</v>
      </c>
    </row>
    <row r="41" spans="2:15">
      <c r="B41" s="96" t="s">
        <v>242</v>
      </c>
    </row>
    <row r="42" spans="2:15">
      <c r="B42" s="96" t="s">
        <v>243</v>
      </c>
    </row>
    <row r="43" spans="2:15">
      <c r="D43" s="22" t="s">
        <v>244</v>
      </c>
      <c r="E43" s="100">
        <v>0.5</v>
      </c>
    </row>
    <row r="44" spans="2:15">
      <c r="D44" s="1" t="s">
        <v>245</v>
      </c>
    </row>
    <row r="45" spans="2:15">
      <c r="B45" s="99" t="s">
        <v>246</v>
      </c>
    </row>
    <row r="46" spans="2:15">
      <c r="B46" s="99" t="s">
        <v>247</v>
      </c>
      <c r="M46" s="25"/>
      <c r="O46" s="25"/>
    </row>
    <row r="47" spans="2:15">
      <c r="B47" s="99" t="s">
        <v>248</v>
      </c>
    </row>
    <row r="48" spans="2:15">
      <c r="B48" s="99"/>
    </row>
    <row r="49" spans="1:3">
      <c r="B49" s="99"/>
    </row>
    <row r="50" spans="1:3">
      <c r="B50" s="99"/>
    </row>
    <row r="51" spans="1:3">
      <c r="B51" s="99"/>
    </row>
    <row r="53" ht="21" customHeight="1" spans="1:3">
      <c r="B53" s="95" t="s">
        <v>249</v>
      </c>
      <c r="C53" s="1" t="s">
        <v>250</v>
      </c>
    </row>
    <row r="54" spans="1:3">
      <c r="B54" s="96" t="s">
        <v>251</v>
      </c>
    </row>
    <row r="55" spans="1:3">
      <c r="B55" s="16" t="s">
        <v>252</v>
      </c>
    </row>
    <row r="56" spans="1:3">
      <c r="B56" s="16"/>
    </row>
    <row r="58" spans="1:3">
      <c r="A58" s="12"/>
      <c r="B58" s="101" t="s">
        <v>253</v>
      </c>
    </row>
    <row r="59" spans="1:3">
      <c r="B59" s="1" t="s">
        <v>254</v>
      </c>
    </row>
    <row r="60" spans="1:3">
      <c r="B60" s="1" t="s">
        <v>255</v>
      </c>
    </row>
    <row r="61" spans="1:3">
      <c r="B61" s="1" t="s">
        <v>256</v>
      </c>
    </row>
    <row r="63" spans="1:3">
      <c r="B63" s="101" t="s">
        <v>257</v>
      </c>
    </row>
    <row r="64" spans="1:3">
      <c r="B64" s="96" t="s">
        <v>258</v>
      </c>
    </row>
    <row r="65" spans="2:12">
      <c r="B65" s="96" t="s">
        <v>259</v>
      </c>
    </row>
    <row r="67" spans="2:12">
      <c r="B67" s="99"/>
    </row>
    <row r="70" s="12" customFormat="1" ht="21" customHeight="1" spans="2:12">
      <c r="B70" s="102" t="s">
        <v>260</v>
      </c>
    </row>
    <row r="72" spans="2:12">
      <c r="B72" s="80" t="s">
        <v>261</v>
      </c>
    </row>
    <row r="73" spans="2:12">
      <c r="B73" s="101" t="s">
        <v>262</v>
      </c>
    </row>
    <row r="74" spans="2:12">
      <c r="B74" s="97"/>
    </row>
    <row r="75" spans="2:12">
      <c r="B75" s="97" t="s">
        <v>263</v>
      </c>
      <c r="L75" s="1" t="s">
        <v>264</v>
      </c>
    </row>
    <row r="76" spans="2:12">
      <c r="B76" s="96" t="s">
        <v>265</v>
      </c>
    </row>
    <row r="77" spans="2:12">
      <c r="B77" s="96" t="s">
        <v>266</v>
      </c>
    </row>
    <row r="80" s="12" customFormat="1" ht="21" customHeight="1" spans="2:12">
      <c r="B80" s="102" t="s">
        <v>267</v>
      </c>
    </row>
    <row r="82" spans="2:4">
      <c r="B82" s="1" t="s">
        <v>268</v>
      </c>
      <c r="D82" s="16" t="s">
        <v>269</v>
      </c>
    </row>
    <row r="84" spans="2:4">
      <c r="B84" s="16" t="s">
        <v>270</v>
      </c>
    </row>
    <row r="86" spans="2:4">
      <c r="B86" s="16" t="s">
        <v>271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131"/>
  <sheetViews>
    <sheetView zoomScale="85" zoomScaleNormal="85" topLeftCell="A103" workbookViewId="0">
      <selection activeCell="J109" sqref="J109"/>
    </sheetView>
  </sheetViews>
  <sheetFormatPr defaultColWidth="9" defaultRowHeight="16.5"/>
  <cols>
    <col min="1" max="1" width="18.125" style="1" customWidth="1"/>
    <col min="2" max="2" width="22.375" style="1" customWidth="1"/>
    <col min="3" max="3" width="11" style="1" customWidth="1"/>
    <col min="4" max="4" width="12.25" style="1" customWidth="1"/>
    <col min="5" max="5" width="14.125" style="1" customWidth="1"/>
    <col min="6" max="6" width="10.375" style="1" customWidth="1"/>
    <col min="7" max="7" width="17.5" style="1" customWidth="1"/>
    <col min="8" max="8" width="12.875" style="1" customWidth="1"/>
    <col min="9" max="9" width="24.25" style="1" customWidth="1"/>
    <col min="10" max="10" width="17.875" style="1" customWidth="1"/>
    <col min="11" max="11" width="14.125" style="1" customWidth="1"/>
    <col min="12" max="12" width="9" style="1" customWidth="1"/>
    <col min="13" max="13" width="10.375" style="1" customWidth="1"/>
    <col min="14" max="14" width="14.125" style="1" customWidth="1"/>
    <col min="15" max="15" width="12.875" style="1" customWidth="1"/>
    <col min="16" max="16" width="15.25" style="1" customWidth="1"/>
    <col min="17" max="17" width="14.125" style="1" customWidth="1"/>
    <col min="18" max="18" width="10.25" style="1" customWidth="1"/>
    <col min="19" max="19" width="12.875" style="1" customWidth="1"/>
    <col min="20" max="16384" width="9" style="1" customWidth="1"/>
  </cols>
  <sheetData>
    <row r="2" ht="22.5" customHeight="1" spans="2:5">
      <c r="C2" s="69" t="s">
        <v>272</v>
      </c>
    </row>
    <row r="3" spans="2:5">
      <c r="C3" s="1" t="s">
        <v>273</v>
      </c>
    </row>
    <row r="5" spans="2:5">
      <c r="C5" s="1" t="s">
        <v>274</v>
      </c>
      <c r="D5" s="1" t="s">
        <v>275</v>
      </c>
      <c r="E5" s="1" t="s">
        <v>276</v>
      </c>
    </row>
    <row r="6" spans="2:5">
      <c r="B6" s="1" t="s">
        <v>277</v>
      </c>
      <c r="C6" s="70">
        <v>60</v>
      </c>
      <c r="D6" s="70">
        <v>120</v>
      </c>
      <c r="E6" s="70">
        <v>150</v>
      </c>
    </row>
    <row r="7" spans="2:5">
      <c r="B7" s="1" t="s">
        <v>278</v>
      </c>
      <c r="C7" s="71">
        <v>0.5</v>
      </c>
      <c r="D7" s="71">
        <v>0.75</v>
      </c>
      <c r="E7" s="71">
        <v>0.8</v>
      </c>
    </row>
    <row r="9" spans="2:5">
      <c r="B9" s="1" t="s">
        <v>279</v>
      </c>
      <c r="C9" s="72">
        <f>C6*C7</f>
        <v>30</v>
      </c>
      <c r="D9" s="72">
        <f>D6*D7</f>
        <v>90</v>
      </c>
      <c r="E9" s="72">
        <f>E6*E7</f>
        <v>120</v>
      </c>
    </row>
    <row r="11" spans="2:5">
      <c r="C11" s="1" t="s">
        <v>280</v>
      </c>
    </row>
    <row r="12" spans="2:5">
      <c r="C12" s="1" t="s">
        <v>281</v>
      </c>
    </row>
    <row r="13" spans="2:5">
      <c r="C13" s="1" t="s">
        <v>282</v>
      </c>
    </row>
    <row r="14" spans="2:5">
      <c r="C14" s="1" t="s">
        <v>283</v>
      </c>
    </row>
    <row r="15" spans="2:5">
      <c r="C15" s="73">
        <v>1</v>
      </c>
      <c r="D15" s="1" t="s">
        <v>284</v>
      </c>
    </row>
    <row r="17" spans="2:5">
      <c r="C17" s="1" t="s">
        <v>285</v>
      </c>
    </row>
    <row r="18" spans="2:5">
      <c r="C18" s="1" t="s">
        <v>8</v>
      </c>
      <c r="D18" s="1" t="s">
        <v>12</v>
      </c>
      <c r="E18" s="1" t="s">
        <v>286</v>
      </c>
    </row>
    <row r="19" spans="2:5">
      <c r="C19" s="8">
        <v>10</v>
      </c>
      <c r="D19" s="8">
        <v>3</v>
      </c>
      <c r="E19" s="8">
        <v>2</v>
      </c>
    </row>
    <row r="21" spans="2:5">
      <c r="C21" s="1" t="s">
        <v>287</v>
      </c>
    </row>
    <row r="22" spans="2:5">
      <c r="B22" s="11" t="s">
        <v>288</v>
      </c>
      <c r="C22" s="1">
        <v>1</v>
      </c>
      <c r="D22" s="1" t="s">
        <v>289</v>
      </c>
    </row>
    <row r="23" spans="2:5">
      <c r="C23" s="1">
        <v>2</v>
      </c>
      <c r="D23" s="1" t="s">
        <v>290</v>
      </c>
    </row>
    <row r="24" spans="2:5">
      <c r="C24" s="1">
        <v>3</v>
      </c>
      <c r="D24" s="1" t="s">
        <v>291</v>
      </c>
    </row>
    <row r="25" spans="2:5">
      <c r="C25" s="1">
        <v>4</v>
      </c>
      <c r="D25" s="1" t="s">
        <v>292</v>
      </c>
    </row>
    <row r="27" spans="2:5">
      <c r="C27" s="1">
        <v>5</v>
      </c>
      <c r="D27" s="1" t="s">
        <v>293</v>
      </c>
    </row>
    <row r="28" spans="2:5">
      <c r="C28" s="1">
        <v>6</v>
      </c>
      <c r="D28" s="1" t="s">
        <v>294</v>
      </c>
    </row>
    <row r="29" spans="2:5">
      <c r="C29" s="1">
        <v>7</v>
      </c>
      <c r="D29" s="1" t="s">
        <v>295</v>
      </c>
    </row>
    <row r="31" spans="2:5">
      <c r="B31" s="16" t="s">
        <v>296</v>
      </c>
      <c r="C31" s="23" t="s">
        <v>8</v>
      </c>
      <c r="D31" s="23" t="s">
        <v>12</v>
      </c>
      <c r="E31" s="23" t="s">
        <v>286</v>
      </c>
    </row>
    <row r="32" spans="2:5">
      <c r="C32" s="74">
        <v>5000</v>
      </c>
      <c r="D32" s="74">
        <v>1500</v>
      </c>
      <c r="E32" s="74">
        <v>1000</v>
      </c>
    </row>
    <row r="33" spans="1:14">
      <c r="C33" s="1">
        <v>10</v>
      </c>
      <c r="D33" s="1">
        <v>3</v>
      </c>
      <c r="E33" s="1">
        <v>2</v>
      </c>
    </row>
    <row r="36" spans="1:14">
      <c r="B36" s="16" t="s">
        <v>297</v>
      </c>
    </row>
    <row r="37" spans="1:14">
      <c r="C37" s="75" t="s">
        <v>288</v>
      </c>
      <c r="G37" s="11" t="s">
        <v>298</v>
      </c>
    </row>
    <row r="38" spans="1:14">
      <c r="C38" s="1" t="s">
        <v>289</v>
      </c>
      <c r="D38" s="1" t="s">
        <v>290</v>
      </c>
      <c r="E38" s="1" t="s">
        <v>291</v>
      </c>
      <c r="F38" s="1" t="s">
        <v>299</v>
      </c>
      <c r="G38" s="1" t="s">
        <v>293</v>
      </c>
      <c r="H38" s="1" t="s">
        <v>294</v>
      </c>
      <c r="I38" s="1" t="s">
        <v>295</v>
      </c>
      <c r="M38" s="21" t="s">
        <v>300</v>
      </c>
      <c r="N38" s="21" t="s">
        <v>301</v>
      </c>
    </row>
    <row r="39" spans="1:14">
      <c r="B39" s="1" t="s">
        <v>302</v>
      </c>
      <c r="C39" s="76">
        <v>1</v>
      </c>
      <c r="D39" s="76">
        <v>4.2</v>
      </c>
      <c r="E39" s="76">
        <v>1.5</v>
      </c>
      <c r="F39" s="76">
        <v>1.2</v>
      </c>
      <c r="G39" s="76">
        <v>4</v>
      </c>
      <c r="H39" s="76">
        <v>6</v>
      </c>
      <c r="I39" s="76">
        <v>10</v>
      </c>
      <c r="M39" s="21">
        <f>SUM(C39:F39)</f>
        <v>7.9</v>
      </c>
      <c r="N39" s="21">
        <f>SUM(G39:I39)</f>
        <v>20</v>
      </c>
    </row>
    <row r="42" spans="1:14">
      <c r="B42" s="1" t="s">
        <v>303</v>
      </c>
      <c r="C42" s="23" t="s">
        <v>8</v>
      </c>
      <c r="D42" s="23" t="s">
        <v>12</v>
      </c>
      <c r="E42" s="23" t="s">
        <v>286</v>
      </c>
    </row>
    <row r="43" spans="1:14">
      <c r="C43" s="1">
        <f>C32</f>
        <v>5000</v>
      </c>
      <c r="D43" s="1">
        <f>D32</f>
        <v>1500</v>
      </c>
      <c r="E43" s="1">
        <f>E32</f>
        <v>1000</v>
      </c>
      <c r="G43" s="1" t="s">
        <v>304</v>
      </c>
      <c r="H43" s="16">
        <f>ROUND(E43/(E43+战斗公式!$M$27),2)</f>
        <v>0.04</v>
      </c>
      <c r="I43" s="1" t="s">
        <v>305</v>
      </c>
      <c r="J43" s="1">
        <f>ROUND(C43/(1-H43),0)</f>
        <v>5208</v>
      </c>
    </row>
    <row r="44" spans="1:14">
      <c r="I44" s="1" t="s">
        <v>306</v>
      </c>
      <c r="J44" s="77">
        <f>J43/(D43*$C$15)</f>
        <v>3.472</v>
      </c>
      <c r="K44" s="1" t="s">
        <v>307</v>
      </c>
    </row>
    <row r="46" spans="1:14">
      <c r="A46" s="1" t="s">
        <v>275</v>
      </c>
      <c r="B46" s="1" t="s">
        <v>308</v>
      </c>
    </row>
    <row r="48" spans="1:14">
      <c r="B48" s="1" t="s">
        <v>288</v>
      </c>
      <c r="C48" s="23" t="s">
        <v>8</v>
      </c>
      <c r="D48" s="23" t="s">
        <v>12</v>
      </c>
      <c r="E48" s="23" t="s">
        <v>286</v>
      </c>
    </row>
    <row r="49" spans="1:14">
      <c r="C49" s="1">
        <f>C$32*$M$39</f>
        <v>39500</v>
      </c>
      <c r="D49" s="1">
        <f>D$32*$M$39</f>
        <v>11850</v>
      </c>
      <c r="E49" s="1">
        <f>E$32*$M$39</f>
        <v>7900</v>
      </c>
    </row>
    <row r="51" spans="1:14">
      <c r="B51" s="1" t="s">
        <v>309</v>
      </c>
      <c r="C51" s="23" t="s">
        <v>8</v>
      </c>
      <c r="D51" s="23" t="s">
        <v>12</v>
      </c>
      <c r="E51" s="23" t="s">
        <v>286</v>
      </c>
    </row>
    <row r="52" spans="1:14">
      <c r="C52" s="1">
        <f>$N$39*C$32</f>
        <v>100000</v>
      </c>
      <c r="D52" s="1">
        <f>$N$39*D$32</f>
        <v>30000</v>
      </c>
      <c r="E52" s="1">
        <f>$N$39*E$32</f>
        <v>20000</v>
      </c>
    </row>
    <row r="54" spans="1:14">
      <c r="B54" s="1" t="s">
        <v>310</v>
      </c>
      <c r="C54" s="23" t="s">
        <v>8</v>
      </c>
      <c r="D54" s="23" t="s">
        <v>12</v>
      </c>
      <c r="E54" s="23" t="s">
        <v>286</v>
      </c>
    </row>
    <row r="55" spans="1:14">
      <c r="C55" s="1">
        <f>C49+C52</f>
        <v>139500</v>
      </c>
      <c r="D55" s="1">
        <f>D49+D52</f>
        <v>41850</v>
      </c>
      <c r="E55" s="1">
        <f>E49+E52</f>
        <v>27900</v>
      </c>
      <c r="G55" s="1" t="s">
        <v>304</v>
      </c>
      <c r="H55" s="16">
        <f>ROUND(E55/(E55+战斗公式!$M$27),2)</f>
        <v>0.54</v>
      </c>
      <c r="I55" s="1" t="s">
        <v>305</v>
      </c>
      <c r="J55" s="1">
        <f>ROUND(C55/(1-H55),0)</f>
        <v>303261</v>
      </c>
    </row>
    <row r="56" spans="1:14">
      <c r="I56" s="1" t="s">
        <v>306</v>
      </c>
      <c r="J56" s="77">
        <f>J55/(D55*$C$15)</f>
        <v>7.24637992831541</v>
      </c>
      <c r="K56" s="1" t="s">
        <v>307</v>
      </c>
    </row>
    <row r="63" spans="1:14">
      <c r="A63" s="1" t="s">
        <v>276</v>
      </c>
      <c r="C63" s="1" t="s">
        <v>7</v>
      </c>
      <c r="I63" s="1" t="s">
        <v>311</v>
      </c>
      <c r="J63" s="1">
        <v>1</v>
      </c>
      <c r="L63" s="1" t="s">
        <v>7</v>
      </c>
    </row>
    <row r="64" spans="1:14">
      <c r="B64" s="1" t="s">
        <v>312</v>
      </c>
      <c r="C64" s="23" t="s">
        <v>8</v>
      </c>
      <c r="D64" s="23" t="s">
        <v>12</v>
      </c>
      <c r="E64" s="23" t="s">
        <v>286</v>
      </c>
      <c r="G64" s="23" t="s">
        <v>313</v>
      </c>
      <c r="H64" s="23" t="s">
        <v>32</v>
      </c>
      <c r="I64" s="23" t="s">
        <v>314</v>
      </c>
      <c r="J64" s="23" t="s">
        <v>315</v>
      </c>
      <c r="L64" s="23" t="s">
        <v>8</v>
      </c>
      <c r="M64" s="23" t="s">
        <v>12</v>
      </c>
      <c r="N64" s="23" t="s">
        <v>286</v>
      </c>
    </row>
    <row r="65" spans="2:20">
      <c r="C65" s="1">
        <f>C55</f>
        <v>139500</v>
      </c>
      <c r="D65" s="1">
        <f>D49*(1+I65)+D52</f>
        <v>84510</v>
      </c>
      <c r="E65" s="1">
        <f>E49*(1+J65)+E52</f>
        <v>56340</v>
      </c>
      <c r="G65" s="73">
        <v>0.7</v>
      </c>
      <c r="H65" s="73">
        <v>1.95</v>
      </c>
      <c r="I65" s="73">
        <v>3.6</v>
      </c>
      <c r="J65" s="73">
        <f>I65*J63</f>
        <v>3.6</v>
      </c>
      <c r="L65" s="1">
        <f>C65</f>
        <v>139500</v>
      </c>
      <c r="M65" s="1">
        <f>D65</f>
        <v>84510</v>
      </c>
      <c r="N65" s="1">
        <f>E65</f>
        <v>56340</v>
      </c>
      <c r="P65" s="1" t="s">
        <v>304</v>
      </c>
      <c r="Q65" s="16">
        <f>ROUND(N65/(N65+战斗公式!$M$27),2)</f>
        <v>0.7</v>
      </c>
      <c r="R65" s="1" t="s">
        <v>305</v>
      </c>
      <c r="S65" s="1">
        <f>ROUND(L65/(1-Q65),0)</f>
        <v>465000</v>
      </c>
    </row>
    <row r="66" spans="2:20">
      <c r="R66" s="1" t="s">
        <v>306</v>
      </c>
      <c r="S66" s="78">
        <f>S65/(M65*$C$15)</f>
        <v>5.50230741924033</v>
      </c>
      <c r="T66" s="1" t="s">
        <v>307</v>
      </c>
    </row>
    <row r="67" spans="2:20">
      <c r="C67" s="1" t="s">
        <v>316</v>
      </c>
      <c r="D67" s="79">
        <f>D65/D55-1</f>
        <v>1.01935483870968</v>
      </c>
      <c r="I67" s="1" t="s">
        <v>317</v>
      </c>
    </row>
    <row r="68" spans="2:20">
      <c r="I68" s="28">
        <f>I65*3</f>
        <v>10.8</v>
      </c>
    </row>
    <row r="70" spans="2:20">
      <c r="I70" s="1" t="s">
        <v>318</v>
      </c>
      <c r="J70" s="1">
        <f>H76/J77</f>
        <v>30</v>
      </c>
      <c r="K70" s="1" t="s">
        <v>319</v>
      </c>
    </row>
    <row r="71" spans="2:20">
      <c r="G71"/>
      <c r="I71" s="1" t="s">
        <v>320</v>
      </c>
      <c r="J71" s="1">
        <f>J70*100</f>
        <v>3000</v>
      </c>
      <c r="K71" s="1" t="s">
        <v>321</v>
      </c>
    </row>
    <row r="72" spans="2:20">
      <c r="I72" s="1" t="s">
        <v>322</v>
      </c>
      <c r="J72" s="25">
        <v>0.2</v>
      </c>
    </row>
    <row r="73" spans="2:20">
      <c r="B73" s="16" t="s">
        <v>323</v>
      </c>
      <c r="I73" s="1" t="s">
        <v>324</v>
      </c>
      <c r="J73" s="1">
        <f>J71*J72</f>
        <v>600</v>
      </c>
      <c r="K73" s="1" t="s">
        <v>321</v>
      </c>
    </row>
    <row r="74" spans="2:20">
      <c r="I74" s="1" t="s">
        <v>325</v>
      </c>
      <c r="J74" s="1">
        <f>J73*G116</f>
        <v>420</v>
      </c>
      <c r="K74" s="1" t="s">
        <v>321</v>
      </c>
    </row>
    <row r="75" spans="2:20">
      <c r="I75" s="1">
        <f>J74/M77/100</f>
        <v>0.190909090909091</v>
      </c>
      <c r="L75" s="1">
        <f>H77/J77</f>
        <v>40</v>
      </c>
      <c r="M75" s="1" t="s">
        <v>326</v>
      </c>
    </row>
    <row r="76" spans="2:20">
      <c r="B76" s="80" t="s">
        <v>327</v>
      </c>
      <c r="C76" s="81">
        <v>1</v>
      </c>
      <c r="D76" s="1" t="s">
        <v>328</v>
      </c>
      <c r="G76" s="1" t="s">
        <v>329</v>
      </c>
      <c r="H76" s="1">
        <v>750</v>
      </c>
      <c r="L76" s="80" t="s">
        <v>330</v>
      </c>
      <c r="M76" s="28">
        <f>H77/J77*C76</f>
        <v>40</v>
      </c>
      <c r="N76" s="82">
        <f>M76/$M$79</f>
        <v>0.512820512820513</v>
      </c>
    </row>
    <row r="77" spans="2:20">
      <c r="B77" s="1" t="s">
        <v>331</v>
      </c>
      <c r="C77" s="81">
        <v>0.55</v>
      </c>
      <c r="D77" s="1" t="s">
        <v>328</v>
      </c>
      <c r="G77" s="1" t="s">
        <v>332</v>
      </c>
      <c r="H77" s="1">
        <v>1000</v>
      </c>
      <c r="I77" s="1" t="s">
        <v>333</v>
      </c>
      <c r="J77" s="1">
        <v>25</v>
      </c>
      <c r="K77" s="1" t="s">
        <v>328</v>
      </c>
      <c r="L77" s="16" t="s">
        <v>334</v>
      </c>
      <c r="M77" s="28">
        <f>L75*J77/H76*H82</f>
        <v>22</v>
      </c>
      <c r="N77" s="82">
        <f>M77/$M$79</f>
        <v>0.282051282051282</v>
      </c>
    </row>
    <row r="78" spans="2:20">
      <c r="B78" s="1" t="s">
        <v>335</v>
      </c>
      <c r="C78" s="81">
        <v>0.4</v>
      </c>
      <c r="D78" s="1" t="s">
        <v>328</v>
      </c>
      <c r="G78" s="1" t="s">
        <v>336</v>
      </c>
      <c r="H78" s="1">
        <v>10</v>
      </c>
      <c r="I78" s="1" t="s">
        <v>319</v>
      </c>
      <c r="L78" s="80" t="s">
        <v>337</v>
      </c>
      <c r="M78" s="28">
        <f>L75/H78*H79</f>
        <v>16</v>
      </c>
      <c r="N78" s="82">
        <f>M78/$M$79</f>
        <v>0.205128205128205</v>
      </c>
      <c r="P78" s="16" t="s">
        <v>338</v>
      </c>
      <c r="R78" s="4" t="s">
        <v>339</v>
      </c>
    </row>
    <row r="79" spans="2:20">
      <c r="B79" s="1" t="s">
        <v>340</v>
      </c>
      <c r="C79" s="81">
        <f>C78+C77+C76</f>
        <v>1.95</v>
      </c>
      <c r="D79" s="1" t="s">
        <v>328</v>
      </c>
      <c r="G79" s="1" t="s">
        <v>341</v>
      </c>
      <c r="H79" s="28">
        <f>H78*C78</f>
        <v>4</v>
      </c>
      <c r="M79" s="28">
        <f>SUM(M76:M78)</f>
        <v>78</v>
      </c>
      <c r="P79" s="1" t="s">
        <v>342</v>
      </c>
      <c r="Q79" s="83">
        <v>0.01</v>
      </c>
      <c r="R79" s="29">
        <v>0.01</v>
      </c>
    </row>
    <row r="80" spans="2:20">
      <c r="G80" s="1" t="s">
        <v>343</v>
      </c>
      <c r="H80" s="1">
        <v>2</v>
      </c>
      <c r="P80" s="1" t="s">
        <v>344</v>
      </c>
      <c r="Q80" s="84">
        <f>J63*Q79</f>
        <v>0.01</v>
      </c>
      <c r="R80" s="29">
        <v>0.01</v>
      </c>
    </row>
    <row r="81" spans="1:19">
      <c r="G81" s="1" t="s">
        <v>345</v>
      </c>
      <c r="H81" s="28">
        <f>H79/H80</f>
        <v>2</v>
      </c>
      <c r="P81" s="1" t="s">
        <v>346</v>
      </c>
      <c r="Q81" s="84">
        <f>Q79</f>
        <v>0.01</v>
      </c>
      <c r="R81" s="29">
        <v>0.01</v>
      </c>
    </row>
    <row r="82" spans="1:19">
      <c r="A82" s="1" t="s">
        <v>347</v>
      </c>
      <c r="B82" s="85" t="s">
        <v>348</v>
      </c>
      <c r="C82" s="73">
        <v>0.5</v>
      </c>
      <c r="D82" s="1">
        <f>1+C82</f>
        <v>1.5</v>
      </c>
      <c r="G82" s="16" t="s">
        <v>334</v>
      </c>
      <c r="H82" s="28">
        <f>H76/J77*C77</f>
        <v>16.5</v>
      </c>
      <c r="P82" s="1" t="s">
        <v>349</v>
      </c>
      <c r="Q82" s="84">
        <f>C99/I65*Q79</f>
        <v>0</v>
      </c>
      <c r="R82" s="29">
        <v>0</v>
      </c>
    </row>
    <row r="83" spans="1:19">
      <c r="B83" s="85" t="s">
        <v>350</v>
      </c>
      <c r="C83" s="73">
        <v>0</v>
      </c>
      <c r="D83" s="1">
        <f>1+C83</f>
        <v>1</v>
      </c>
      <c r="P83" s="1" t="s">
        <v>333</v>
      </c>
      <c r="Q83" s="84">
        <f>C101/I65*Q79</f>
        <v>0.00333333333333333</v>
      </c>
      <c r="R83" s="29">
        <v>0.0033</v>
      </c>
    </row>
    <row r="84" spans="1:19">
      <c r="B84" s="85" t="s">
        <v>351</v>
      </c>
      <c r="C84" s="73">
        <v>0</v>
      </c>
      <c r="D84" s="1">
        <f>1+C84</f>
        <v>1</v>
      </c>
      <c r="G84" s="1" t="s">
        <v>352</v>
      </c>
      <c r="H84" s="1">
        <v>0.5</v>
      </c>
      <c r="J84" s="1">
        <f>J77*1.8</f>
        <v>45</v>
      </c>
      <c r="P84" s="1" t="s">
        <v>313</v>
      </c>
      <c r="Q84" s="84">
        <f>(G65-0.05)/I65*Q79</f>
        <v>0.00180555555555556</v>
      </c>
      <c r="R84" s="29">
        <v>0.0018</v>
      </c>
    </row>
    <row r="85" spans="1:19">
      <c r="B85" s="85" t="s">
        <v>353</v>
      </c>
      <c r="C85" s="73">
        <v>0</v>
      </c>
      <c r="D85" s="1">
        <f>1+C85</f>
        <v>1</v>
      </c>
      <c r="P85" s="1" t="s">
        <v>32</v>
      </c>
      <c r="Q85" s="84">
        <f>Q84*3</f>
        <v>0.00541666666666667</v>
      </c>
      <c r="R85" s="29">
        <v>0.0054</v>
      </c>
    </row>
    <row r="86" spans="1:19">
      <c r="B86" s="85" t="s">
        <v>354</v>
      </c>
      <c r="C86" s="73">
        <v>0.2</v>
      </c>
      <c r="D86" s="1">
        <f>1+C86</f>
        <v>1.2</v>
      </c>
      <c r="P86" s="1" t="s">
        <v>355</v>
      </c>
      <c r="Q86" s="84">
        <f>C105/I65*Q79</f>
        <v>0.00444444444444444</v>
      </c>
      <c r="R86" s="29">
        <v>0.0033</v>
      </c>
    </row>
    <row r="87" spans="1:19">
      <c r="B87" s="86"/>
      <c r="C87" s="25"/>
      <c r="P87" s="31" t="s">
        <v>57</v>
      </c>
      <c r="R87" s="29">
        <v>0.009</v>
      </c>
    </row>
    <row r="88" spans="1:19">
      <c r="B88" s="86"/>
      <c r="C88" s="25"/>
      <c r="P88" s="31" t="s">
        <v>60</v>
      </c>
      <c r="R88" s="29">
        <v>0.012</v>
      </c>
    </row>
    <row r="89" spans="1:19">
      <c r="B89" s="87" t="s">
        <v>356</v>
      </c>
      <c r="C89" s="25">
        <f>PRODUCT(D82:D86)</f>
        <v>1.8</v>
      </c>
      <c r="P89" s="31" t="s">
        <v>62</v>
      </c>
      <c r="R89" s="29">
        <v>0.012</v>
      </c>
    </row>
    <row r="90" spans="1:19">
      <c r="B90" s="87" t="s">
        <v>357</v>
      </c>
      <c r="C90" s="25">
        <f>PRODUCT(D83:D86)</f>
        <v>1.2</v>
      </c>
      <c r="P90" s="8" t="s">
        <v>358</v>
      </c>
      <c r="R90" s="29">
        <v>0.005</v>
      </c>
    </row>
    <row r="91" spans="1:19">
      <c r="B91" s="88"/>
      <c r="C91" s="25"/>
      <c r="P91" s="8" t="s">
        <v>97</v>
      </c>
      <c r="Q91" s="84">
        <f>Q79*C103/I65</f>
        <v>0.00166666666666667</v>
      </c>
      <c r="R91" s="29">
        <v>0.0025</v>
      </c>
    </row>
    <row r="92" spans="1:19">
      <c r="B92" s="87" t="s">
        <v>359</v>
      </c>
      <c r="C92" s="25">
        <f>C89*C76</f>
        <v>1.8</v>
      </c>
      <c r="P92" s="31" t="s">
        <v>53</v>
      </c>
      <c r="R92" s="29">
        <v>0.0042</v>
      </c>
    </row>
    <row r="93" spans="1:19">
      <c r="B93" s="87" t="s">
        <v>360</v>
      </c>
      <c r="C93" s="25">
        <f>C77*C89</f>
        <v>0.99</v>
      </c>
      <c r="P93" s="31" t="s">
        <v>55</v>
      </c>
      <c r="R93" s="29">
        <v>0.0042</v>
      </c>
    </row>
    <row r="94" spans="1:19">
      <c r="B94" s="87" t="s">
        <v>361</v>
      </c>
      <c r="C94" s="25">
        <f>C78*C89</f>
        <v>0.72</v>
      </c>
      <c r="P94" s="1" t="s">
        <v>118</v>
      </c>
      <c r="Q94" s="1">
        <v>50000</v>
      </c>
      <c r="R94" s="4">
        <f>R84*Q94</f>
        <v>90</v>
      </c>
      <c r="S94" s="4">
        <v>9</v>
      </c>
    </row>
    <row r="95" spans="1:19">
      <c r="B95" s="87" t="s">
        <v>362</v>
      </c>
      <c r="C95" s="25">
        <f>C79*D82*D83*D84*D86*D85</f>
        <v>3.51</v>
      </c>
      <c r="D95" s="1" t="s">
        <v>328</v>
      </c>
      <c r="P95" s="1" t="s">
        <v>121</v>
      </c>
      <c r="Q95" s="1">
        <v>20371</v>
      </c>
      <c r="R95" s="4">
        <f>R85*Q95</f>
        <v>110.0034</v>
      </c>
      <c r="S95" s="4">
        <v>11</v>
      </c>
    </row>
    <row r="96" spans="1:19">
      <c r="J96" s="16"/>
      <c r="P96" s="1" t="s">
        <v>123</v>
      </c>
      <c r="Q96" s="1">
        <v>27273</v>
      </c>
      <c r="R96" s="4">
        <f>R83*Q96</f>
        <v>90.0009</v>
      </c>
      <c r="S96" s="4">
        <v>9</v>
      </c>
    </row>
    <row r="97" spans="1:19">
      <c r="B97" s="1" t="s">
        <v>363</v>
      </c>
      <c r="P97" s="1" t="s">
        <v>125</v>
      </c>
      <c r="Q97" s="1">
        <v>52000</v>
      </c>
      <c r="R97" s="4">
        <f>R91*Q97</f>
        <v>130</v>
      </c>
      <c r="S97" s="4">
        <v>13</v>
      </c>
    </row>
    <row r="98" spans="1:19">
      <c r="P98" s="1" t="s">
        <v>342</v>
      </c>
      <c r="R98" s="29">
        <f>R79</f>
        <v>0.01</v>
      </c>
    </row>
    <row r="99" spans="1:19">
      <c r="B99" s="1" t="s">
        <v>364</v>
      </c>
      <c r="C99" s="73">
        <v>0</v>
      </c>
      <c r="E99" s="1" t="str">
        <f>_xlfn.CONCAT(L75,"秒伤害")</f>
        <v>40秒伤害</v>
      </c>
      <c r="F99" s="28">
        <f>(1+C99)*M76+M77+M78</f>
        <v>78</v>
      </c>
      <c r="G99" s="1" t="s">
        <v>347</v>
      </c>
      <c r="H99" s="28">
        <f>F99/M79-1</f>
        <v>0</v>
      </c>
      <c r="P99" s="1" t="s">
        <v>342</v>
      </c>
      <c r="R99" s="29">
        <f>R79</f>
        <v>0.01</v>
      </c>
    </row>
    <row r="100" spans="1:19">
      <c r="P100" s="1" t="s">
        <v>365</v>
      </c>
      <c r="R100" s="29">
        <f>1/30000%</f>
        <v>0.00333333333333333</v>
      </c>
    </row>
    <row r="101" spans="1:19">
      <c r="A101" s="1">
        <f>(1+C101)*J77</f>
        <v>55</v>
      </c>
      <c r="B101" s="1" t="s">
        <v>333</v>
      </c>
      <c r="C101" s="73">
        <v>1.2</v>
      </c>
      <c r="E101" s="1" t="str">
        <f>_xlfn.CONCAT(L75,"秒伤害")</f>
        <v>40秒伤害</v>
      </c>
      <c r="F101" s="28">
        <f>L75/(H76/J77/(1+C101))*M77+M76+M78</f>
        <v>120.533333333333</v>
      </c>
      <c r="G101" s="1" t="s">
        <v>347</v>
      </c>
      <c r="H101" s="28">
        <f>F101/M79-1</f>
        <v>0.545299145299145</v>
      </c>
      <c r="P101" s="1" t="s">
        <v>127</v>
      </c>
      <c r="Q101" s="1">
        <v>30000</v>
      </c>
      <c r="R101" s="5">
        <f>R100*Q101</f>
        <v>100</v>
      </c>
    </row>
    <row r="102" spans="1:19">
      <c r="A102" s="1">
        <f>100/A101</f>
        <v>1.81818181818182</v>
      </c>
    </row>
    <row r="103" spans="1:19">
      <c r="B103" s="1" t="s">
        <v>97</v>
      </c>
      <c r="C103" s="73">
        <v>0.6</v>
      </c>
      <c r="E103" s="1" t="str">
        <f>_xlfn.CONCAT(L77,"秒伤害")</f>
        <v>必杀系数秒伤害</v>
      </c>
      <c r="F103" s="28">
        <f>M76+M77+M78*1/(1-C103)</f>
        <v>102</v>
      </c>
      <c r="G103" s="1" t="s">
        <v>347</v>
      </c>
      <c r="H103" s="28">
        <f>F103/M79-1</f>
        <v>0.307692307692308</v>
      </c>
    </row>
    <row r="105" spans="1:19">
      <c r="B105" s="1" t="s">
        <v>366</v>
      </c>
      <c r="C105" s="73">
        <v>1.6</v>
      </c>
    </row>
    <row r="108" spans="1:19">
      <c r="B108" s="1" t="s">
        <v>367</v>
      </c>
      <c r="J108" s="1">
        <v>5</v>
      </c>
    </row>
    <row r="109" spans="1:19">
      <c r="B109" s="1" t="s">
        <v>368</v>
      </c>
      <c r="C109" s="1" t="s">
        <v>369</v>
      </c>
      <c r="D109" s="1" t="s">
        <v>370</v>
      </c>
      <c r="E109" s="1" t="s">
        <v>371</v>
      </c>
      <c r="F109" s="1" t="s">
        <v>372</v>
      </c>
      <c r="G109" s="1" t="s">
        <v>373</v>
      </c>
      <c r="I109" s="4" t="s">
        <v>374</v>
      </c>
      <c r="J109" s="4" t="s">
        <v>375</v>
      </c>
    </row>
    <row r="110" spans="1:19">
      <c r="B110" s="89">
        <f>1+G65*(H65+战斗属性!F12-1)</f>
        <v>3.065</v>
      </c>
      <c r="C110" s="90">
        <f>1</f>
        <v>1</v>
      </c>
      <c r="D110" s="89">
        <f>H99+1</f>
        <v>1</v>
      </c>
      <c r="E110" s="89">
        <f>H101+1</f>
        <v>1.54529914529915</v>
      </c>
      <c r="F110" s="89">
        <f>C105+1</f>
        <v>2.6</v>
      </c>
      <c r="G110" s="89">
        <f>1+H103</f>
        <v>1.30769230769231</v>
      </c>
      <c r="H110" s="91">
        <f>PRODUCT(B110:G110)</f>
        <v>16.1035623931624</v>
      </c>
      <c r="I110" s="4">
        <f>C95*H110*D65</f>
        <v>4776801.32304</v>
      </c>
      <c r="J110" s="4">
        <f>I110*J108</f>
        <v>23884006.6152</v>
      </c>
    </row>
    <row r="113" spans="1:15">
      <c r="B113" s="1" t="s">
        <v>376</v>
      </c>
    </row>
    <row r="114" spans="1:15">
      <c r="B114" s="1" t="s">
        <v>7</v>
      </c>
    </row>
    <row r="115" spans="1:15">
      <c r="A115" s="1" t="s">
        <v>377</v>
      </c>
      <c r="B115" s="23" t="s">
        <v>8</v>
      </c>
      <c r="C115" s="23" t="s">
        <v>12</v>
      </c>
      <c r="D115" s="23" t="s">
        <v>286</v>
      </c>
    </row>
    <row r="116" spans="1:15">
      <c r="A116" s="4">
        <v>500</v>
      </c>
      <c r="B116" s="1">
        <f>A116*C65</f>
        <v>69750000</v>
      </c>
      <c r="C116" s="1">
        <f>D65</f>
        <v>84510</v>
      </c>
      <c r="D116" s="1">
        <f>E65</f>
        <v>56340</v>
      </c>
      <c r="F116" s="1" t="s">
        <v>304</v>
      </c>
      <c r="G116" s="16">
        <f>ROUND(D116/(D116+战斗公式!$M$27),2)</f>
        <v>0.7</v>
      </c>
      <c r="H116" s="1" t="s">
        <v>305</v>
      </c>
      <c r="I116" s="1">
        <f>ROUND(B116/(1-G116),0)</f>
        <v>232500000</v>
      </c>
    </row>
    <row r="117" spans="1:15">
      <c r="H117" s="1" t="s">
        <v>306</v>
      </c>
      <c r="I117" s="78">
        <f>I116/(C116*C95*H110)</f>
        <v>48.6727381519052</v>
      </c>
      <c r="J117" s="1" t="s">
        <v>307</v>
      </c>
    </row>
    <row r="119" spans="1:15">
      <c r="B119" s="1" t="s">
        <v>378</v>
      </c>
    </row>
    <row r="120" spans="1:15">
      <c r="B120" s="1" t="s">
        <v>7</v>
      </c>
      <c r="M120" s="1">
        <f>2.8*0.25*4032*0.43</f>
        <v>1213.632</v>
      </c>
      <c r="O120" s="1">
        <f>1495/534</f>
        <v>2.79962546816479</v>
      </c>
    </row>
    <row r="121" spans="1:15">
      <c r="A121" s="1" t="s">
        <v>377</v>
      </c>
      <c r="B121" s="23" t="s">
        <v>8</v>
      </c>
      <c r="C121" s="23" t="s">
        <v>12</v>
      </c>
      <c r="D121" s="23" t="s">
        <v>286</v>
      </c>
    </row>
    <row r="122" spans="1:15">
      <c r="A122" s="4">
        <v>15</v>
      </c>
      <c r="B122" s="1">
        <f>C49*A122</f>
        <v>592500</v>
      </c>
      <c r="C122" s="1">
        <f>D49</f>
        <v>11850</v>
      </c>
      <c r="D122" s="1">
        <f>E49</f>
        <v>7900</v>
      </c>
      <c r="F122" s="1" t="s">
        <v>304</v>
      </c>
      <c r="G122" s="16">
        <f>ROUND(D122/(D122+战斗公式!$M$27),2)</f>
        <v>0.25</v>
      </c>
      <c r="H122" s="1" t="s">
        <v>305</v>
      </c>
      <c r="I122" s="1">
        <f>ROUND(B122/(1-G122),0)</f>
        <v>790000</v>
      </c>
    </row>
    <row r="123" spans="1:15">
      <c r="H123" s="1" t="s">
        <v>306</v>
      </c>
      <c r="I123" s="78">
        <f>I122/(C122*$C$15)</f>
        <v>66.6666666666667</v>
      </c>
      <c r="J123" s="1" t="s">
        <v>307</v>
      </c>
    </row>
    <row r="128" spans="1:15">
      <c r="B128" s="92" t="s">
        <v>379</v>
      </c>
      <c r="C128" s="92" t="s">
        <v>380</v>
      </c>
      <c r="D128" s="92" t="s">
        <v>8</v>
      </c>
      <c r="E128" s="92" t="s">
        <v>12</v>
      </c>
      <c r="F128" s="92" t="s">
        <v>286</v>
      </c>
    </row>
    <row r="129" spans="2:6">
      <c r="B129" s="92"/>
      <c r="C129" s="92" t="s">
        <v>381</v>
      </c>
      <c r="D129" s="92">
        <v>1.2</v>
      </c>
      <c r="E129" s="92">
        <v>0.8</v>
      </c>
      <c r="F129" s="92">
        <v>1</v>
      </c>
    </row>
    <row r="130" spans="2:6">
      <c r="B130" s="92"/>
      <c r="C130" s="92" t="s">
        <v>382</v>
      </c>
      <c r="D130" s="92">
        <v>1</v>
      </c>
      <c r="E130" s="92">
        <v>1.2</v>
      </c>
      <c r="F130" s="92">
        <v>0.8</v>
      </c>
    </row>
    <row r="131" spans="2:6">
      <c r="B131" s="92"/>
      <c r="C131" s="92" t="s">
        <v>383</v>
      </c>
      <c r="D131" s="92">
        <v>1</v>
      </c>
      <c r="E131" s="92">
        <v>0.8</v>
      </c>
      <c r="F131" s="92">
        <v>1.2</v>
      </c>
    </row>
  </sheetData>
  <mergeCells count="3">
    <mergeCell ref="C37:F37"/>
    <mergeCell ref="G37:I37"/>
    <mergeCell ref="B22:B25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B511"/>
  <sheetViews>
    <sheetView workbookViewId="0">
      <pane ySplit="11" topLeftCell="A12" activePane="bottomLeft" state="frozen"/>
      <selection/>
      <selection pane="bottomLeft" activeCell="J1" sqref="$A1:$XFD1048576"/>
    </sheetView>
  </sheetViews>
  <sheetFormatPr defaultColWidth="9" defaultRowHeight="16.5"/>
  <cols>
    <col min="1" max="2" width="9" style="1" customWidth="1"/>
    <col min="3" max="3" width="14.125" style="1" customWidth="1"/>
    <col min="4" max="5" width="10.375" style="1" customWidth="1"/>
    <col min="6" max="6" width="14.125" style="1" customWidth="1"/>
    <col min="7" max="11" width="10.375" style="1" customWidth="1"/>
    <col min="12" max="13" width="14.125" style="1" customWidth="1"/>
    <col min="14" max="14" width="10.375" style="1" customWidth="1"/>
    <col min="15" max="15" width="14.125" style="1" customWidth="1"/>
    <col min="16" max="17" width="12.875" style="1" customWidth="1"/>
    <col min="18" max="18" width="15.25" style="1" customWidth="1"/>
    <col min="19" max="19" width="14.125" style="1" customWidth="1"/>
    <col min="20" max="20" width="10.375" style="1" customWidth="1"/>
    <col min="21" max="27" width="14.125" style="1" customWidth="1"/>
    <col min="28" max="28" width="10.375" style="1" customWidth="1"/>
    <col min="29" max="30" width="14.125" style="1" customWidth="1"/>
    <col min="31" max="31" width="22" style="1" customWidth="1"/>
    <col min="32" max="32" width="15.125" style="1" customWidth="1"/>
    <col min="33" max="33" width="15.375" style="1" customWidth="1"/>
    <col min="34" max="34" width="14.125" style="1" customWidth="1"/>
    <col min="35" max="37" width="18.5" style="1" customWidth="1"/>
    <col min="38" max="39" width="14.125" style="1" customWidth="1"/>
    <col min="40" max="40" width="10.375" style="1" customWidth="1"/>
    <col min="41" max="41" width="19.5" style="1" customWidth="1"/>
    <col min="44" max="50" width="9" style="1" customWidth="1"/>
    <col min="51" max="51" width="12" style="1" customWidth="1"/>
    <col min="52" max="52" width="14.125" style="1" customWidth="1"/>
    <col min="53" max="16384" width="9" style="1" customWidth="1"/>
  </cols>
  <sheetData>
    <row r="2" spans="2:54">
      <c r="B2" s="1" t="s">
        <v>384</v>
      </c>
    </row>
    <row r="3" spans="2:54">
      <c r="B3" s="5">
        <v>500</v>
      </c>
    </row>
    <row r="4" spans="2:54">
      <c r="C4" s="3" t="s">
        <v>8</v>
      </c>
      <c r="D4" s="3" t="s">
        <v>12</v>
      </c>
      <c r="E4" s="3" t="s">
        <v>286</v>
      </c>
      <c r="F4" s="3" t="s">
        <v>8</v>
      </c>
      <c r="G4" s="3" t="s">
        <v>12</v>
      </c>
      <c r="H4" s="3" t="s">
        <v>286</v>
      </c>
      <c r="I4" s="3" t="s">
        <v>8</v>
      </c>
      <c r="J4" s="3" t="s">
        <v>12</v>
      </c>
      <c r="K4" s="3" t="s">
        <v>286</v>
      </c>
      <c r="O4" s="3" t="s">
        <v>385</v>
      </c>
      <c r="P4" s="3" t="s">
        <v>386</v>
      </c>
      <c r="Q4" s="3" t="s">
        <v>387</v>
      </c>
      <c r="R4" s="3" t="s">
        <v>388</v>
      </c>
      <c r="S4" s="3" t="s">
        <v>313</v>
      </c>
      <c r="T4" s="3" t="s">
        <v>32</v>
      </c>
      <c r="U4" s="3" t="s">
        <v>370</v>
      </c>
      <c r="V4" s="3" t="s">
        <v>371</v>
      </c>
      <c r="W4" s="3" t="s">
        <v>372</v>
      </c>
      <c r="AC4" s="16"/>
      <c r="AG4" s="3" t="s">
        <v>389</v>
      </c>
      <c r="AH4" s="3" t="s">
        <v>390</v>
      </c>
      <c r="AI4" s="3" t="s">
        <v>391</v>
      </c>
      <c r="AJ4" s="3" t="s">
        <v>392</v>
      </c>
      <c r="AK4" s="3" t="s">
        <v>393</v>
      </c>
    </row>
    <row r="5" spans="2:54">
      <c r="B5" s="1" t="s">
        <v>394</v>
      </c>
      <c r="C5" s="4">
        <f>标准模型!$C$49/$B$3</f>
        <v>79</v>
      </c>
      <c r="D5" s="4">
        <f>标准模型!$D$49/$B$3</f>
        <v>23.7</v>
      </c>
      <c r="E5" s="4">
        <f>标准模型!$E$49/$B$3</f>
        <v>15.8</v>
      </c>
      <c r="F5" s="4">
        <f>标准模型!$C$52/$B$3</f>
        <v>200</v>
      </c>
      <c r="G5" s="4">
        <f>标准模型!$D$52/$B$3</f>
        <v>60</v>
      </c>
      <c r="H5" s="4">
        <f>标准模型!$E$52/$B$3</f>
        <v>40</v>
      </c>
      <c r="I5" s="4">
        <v>0</v>
      </c>
      <c r="J5" s="4">
        <f>标准模型!$I$65/$B$3</f>
        <v>0.0072</v>
      </c>
      <c r="K5" s="4">
        <f>标准模型!$J$65/$B$3</f>
        <v>0.0072</v>
      </c>
      <c r="O5" s="4">
        <f>标准模型!C76*标准模型!H84</f>
        <v>0.5</v>
      </c>
      <c r="P5" s="4">
        <v>0</v>
      </c>
      <c r="Q5" s="4">
        <f>标准模型!C77*标准模型!H84</f>
        <v>0.275</v>
      </c>
      <c r="R5" s="4">
        <v>1</v>
      </c>
      <c r="S5" s="4">
        <f>战斗属性!$F$11</f>
        <v>0.05</v>
      </c>
      <c r="T5" s="4">
        <f>战斗属性!$F$12</f>
        <v>2</v>
      </c>
      <c r="U5" s="4">
        <v>1</v>
      </c>
      <c r="V5" s="4">
        <v>1</v>
      </c>
      <c r="W5" s="4">
        <v>1</v>
      </c>
      <c r="AC5" s="16"/>
      <c r="AG5" s="4">
        <v>1</v>
      </c>
      <c r="AH5" s="4">
        <v>0.3</v>
      </c>
      <c r="AI5" s="4">
        <v>2.15</v>
      </c>
      <c r="AJ5" s="4">
        <v>1.8</v>
      </c>
      <c r="AK5" s="4">
        <v>1</v>
      </c>
    </row>
    <row r="6" spans="2:54">
      <c r="B6" s="1" t="s">
        <v>395</v>
      </c>
      <c r="C6" s="4">
        <f>标准模型!$C$49</f>
        <v>39500</v>
      </c>
      <c r="D6" s="4">
        <f>标准模型!$D$49</f>
        <v>11850</v>
      </c>
      <c r="E6" s="4">
        <f>标准模型!$E$49</f>
        <v>7900</v>
      </c>
      <c r="F6" s="4">
        <f>标准模型!$C$52</f>
        <v>100000</v>
      </c>
      <c r="G6" s="4">
        <f>标准模型!$D$52</f>
        <v>30000</v>
      </c>
      <c r="H6" s="4">
        <f>标准模型!$E$52</f>
        <v>20000</v>
      </c>
      <c r="I6" s="4">
        <v>0</v>
      </c>
      <c r="J6" s="4">
        <f>标准模型!$I$65</f>
        <v>3.6</v>
      </c>
      <c r="K6" s="4">
        <f>标准模型!$J$65</f>
        <v>3.6</v>
      </c>
      <c r="O6" s="4">
        <f>标准模型!C76</f>
        <v>1</v>
      </c>
      <c r="P6" s="4">
        <f>标准模型!$C$78</f>
        <v>0.4</v>
      </c>
      <c r="Q6" s="4">
        <f>标准模型!$C$77</f>
        <v>0.55</v>
      </c>
      <c r="R6" s="4">
        <f>标准模型!$C$90</f>
        <v>1.2</v>
      </c>
      <c r="S6" s="4">
        <f>标准模型!$G$65</f>
        <v>0.7</v>
      </c>
      <c r="T6" s="4">
        <f>标准模型!$H$65+战斗属性!$F$12</f>
        <v>3.95</v>
      </c>
      <c r="U6" s="4">
        <f>标准模型!$H$99+1</f>
        <v>1</v>
      </c>
      <c r="V6" s="4">
        <f>标准模型!$H$101+1</f>
        <v>1.54529914529915</v>
      </c>
      <c r="W6" s="4">
        <f>标准模型!$C$105+1</f>
        <v>2.6</v>
      </c>
      <c r="AC6" s="16"/>
      <c r="AG6" s="4">
        <v>5</v>
      </c>
      <c r="AH6" s="4">
        <v>2.3</v>
      </c>
      <c r="AI6" s="4">
        <v>1</v>
      </c>
      <c r="AJ6" s="4">
        <v>1</v>
      </c>
      <c r="AK6" s="4">
        <v>1</v>
      </c>
    </row>
    <row r="7" spans="2:54">
      <c r="B7" s="1" t="s">
        <v>396</v>
      </c>
      <c r="C7" s="5">
        <v>0.999999</v>
      </c>
      <c r="D7" s="5">
        <v>0.999999</v>
      </c>
      <c r="E7" s="5">
        <v>0.999999</v>
      </c>
      <c r="F7" s="5">
        <v>0.999999</v>
      </c>
      <c r="G7" s="5">
        <v>0.999999</v>
      </c>
      <c r="H7" s="5">
        <v>0.999999</v>
      </c>
      <c r="I7" s="5">
        <v>0.999999</v>
      </c>
      <c r="J7" s="5">
        <v>0.999999</v>
      </c>
      <c r="K7" s="5">
        <v>0.999999</v>
      </c>
      <c r="O7" s="5">
        <v>0.999999</v>
      </c>
      <c r="P7" s="5">
        <v>1.0015</v>
      </c>
      <c r="Q7" s="5">
        <v>0.999999</v>
      </c>
      <c r="R7" s="5">
        <v>0.999999</v>
      </c>
      <c r="S7" s="5">
        <v>0.999999</v>
      </c>
      <c r="T7" s="5">
        <v>0.999999</v>
      </c>
      <c r="U7" s="5">
        <v>0.999999</v>
      </c>
      <c r="V7" s="5">
        <v>0.999999</v>
      </c>
      <c r="W7" s="5">
        <v>0.999999</v>
      </c>
      <c r="AC7" s="16"/>
      <c r="AG7" s="5">
        <v>0.9925</v>
      </c>
      <c r="AH7" s="5">
        <v>1.002</v>
      </c>
      <c r="AI7" s="5">
        <v>0.95</v>
      </c>
      <c r="AJ7" s="5">
        <v>0.98</v>
      </c>
      <c r="AK7" s="5">
        <v>0.997</v>
      </c>
      <c r="AR7" s="4" t="s">
        <v>397</v>
      </c>
      <c r="AS7" s="4" t="s">
        <v>398</v>
      </c>
      <c r="AT7" s="4" t="s">
        <v>399</v>
      </c>
      <c r="AU7" s="4" t="s">
        <v>400</v>
      </c>
      <c r="AV7" s="4" t="s">
        <v>401</v>
      </c>
      <c r="AW7" s="4" t="s">
        <v>402</v>
      </c>
      <c r="AX7" s="4" t="s">
        <v>403</v>
      </c>
      <c r="AY7" s="4" t="s">
        <v>404</v>
      </c>
      <c r="AZ7" s="4" t="s">
        <v>405</v>
      </c>
    </row>
    <row r="9" spans="2:54">
      <c r="AL9" s="1" t="s">
        <v>404</v>
      </c>
      <c r="AO9" s="1" t="s">
        <v>406</v>
      </c>
      <c r="AR9" s="1" t="s">
        <v>407</v>
      </c>
      <c r="AS9" s="1" t="s">
        <v>407</v>
      </c>
      <c r="AT9" s="1" t="s">
        <v>407</v>
      </c>
      <c r="AU9" s="1" t="s">
        <v>407</v>
      </c>
      <c r="AV9" s="1" t="s">
        <v>407</v>
      </c>
      <c r="AW9" s="1" t="s">
        <v>407</v>
      </c>
      <c r="AX9" s="1" t="s">
        <v>407</v>
      </c>
      <c r="AY9" s="1" t="s">
        <v>407</v>
      </c>
      <c r="AZ9" s="1" t="s">
        <v>407</v>
      </c>
    </row>
    <row r="10" spans="2:54">
      <c r="C10" s="1" t="s">
        <v>408</v>
      </c>
      <c r="F10" s="1" t="s">
        <v>309</v>
      </c>
      <c r="I10" s="1" t="s">
        <v>409</v>
      </c>
      <c r="L10" s="1" t="s">
        <v>410</v>
      </c>
      <c r="O10" s="1" t="s">
        <v>411</v>
      </c>
      <c r="Z10" s="1" t="s">
        <v>412</v>
      </c>
      <c r="AL10" s="1" t="s">
        <v>413</v>
      </c>
      <c r="AO10" s="1" t="s">
        <v>413</v>
      </c>
      <c r="AR10" s="5">
        <v>1</v>
      </c>
      <c r="AS10" s="5">
        <v>3</v>
      </c>
      <c r="AT10" s="2">
        <v>1.8</v>
      </c>
      <c r="AU10" s="5">
        <v>0.5</v>
      </c>
      <c r="AV10" s="2">
        <v>0.15</v>
      </c>
      <c r="AW10" s="5">
        <v>4</v>
      </c>
      <c r="AX10" s="5">
        <v>9</v>
      </c>
      <c r="AY10" s="2">
        <v>60</v>
      </c>
      <c r="AZ10" s="2">
        <v>30</v>
      </c>
    </row>
    <row r="11" spans="2:54">
      <c r="B11" s="3" t="s">
        <v>414</v>
      </c>
      <c r="C11" s="3" t="s">
        <v>8</v>
      </c>
      <c r="D11" s="3" t="s">
        <v>12</v>
      </c>
      <c r="E11" s="3" t="s">
        <v>286</v>
      </c>
      <c r="F11" s="3" t="s">
        <v>8</v>
      </c>
      <c r="G11" s="3" t="s">
        <v>12</v>
      </c>
      <c r="H11" s="3" t="s">
        <v>286</v>
      </c>
      <c r="I11" s="3" t="s">
        <v>8</v>
      </c>
      <c r="J11" s="3" t="s">
        <v>12</v>
      </c>
      <c r="K11" s="3" t="s">
        <v>286</v>
      </c>
      <c r="L11" s="3" t="s">
        <v>8</v>
      </c>
      <c r="M11" s="3" t="s">
        <v>12</v>
      </c>
      <c r="N11" s="3" t="s">
        <v>286</v>
      </c>
      <c r="O11" s="3" t="s">
        <v>385</v>
      </c>
      <c r="P11" s="3" t="s">
        <v>386</v>
      </c>
      <c r="Q11" s="3" t="s">
        <v>387</v>
      </c>
      <c r="R11" s="3" t="s">
        <v>388</v>
      </c>
      <c r="S11" s="3" t="s">
        <v>313</v>
      </c>
      <c r="T11" s="3" t="s">
        <v>32</v>
      </c>
      <c r="U11" s="3" t="s">
        <v>370</v>
      </c>
      <c r="V11" s="3" t="s">
        <v>371</v>
      </c>
      <c r="W11" s="3" t="s">
        <v>372</v>
      </c>
      <c r="X11" s="3" t="s">
        <v>415</v>
      </c>
      <c r="Y11" s="3" t="s">
        <v>416</v>
      </c>
      <c r="Z11" s="3" t="s">
        <v>8</v>
      </c>
      <c r="AA11" s="3" t="s">
        <v>12</v>
      </c>
      <c r="AB11" s="3" t="s">
        <v>286</v>
      </c>
      <c r="AC11" s="3" t="s">
        <v>304</v>
      </c>
      <c r="AD11" s="3" t="s">
        <v>417</v>
      </c>
      <c r="AE11" s="3" t="s">
        <v>418</v>
      </c>
      <c r="AF11" s="3" t="s">
        <v>419</v>
      </c>
      <c r="AG11" s="3" t="s">
        <v>389</v>
      </c>
      <c r="AH11" s="3" t="s">
        <v>390</v>
      </c>
      <c r="AI11" s="3" t="s">
        <v>391</v>
      </c>
      <c r="AJ11" s="3" t="s">
        <v>392</v>
      </c>
      <c r="AK11" s="3" t="s">
        <v>393</v>
      </c>
      <c r="AL11" s="3" t="s">
        <v>8</v>
      </c>
      <c r="AM11" s="3" t="s">
        <v>12</v>
      </c>
      <c r="AN11" s="3" t="s">
        <v>286</v>
      </c>
      <c r="AO11" s="3" t="s">
        <v>8</v>
      </c>
      <c r="AP11" s="3" t="s">
        <v>12</v>
      </c>
      <c r="AR11" s="23" t="s">
        <v>8</v>
      </c>
      <c r="AS11" s="23" t="s">
        <v>8</v>
      </c>
      <c r="AT11" s="23" t="s">
        <v>8</v>
      </c>
      <c r="AU11" s="23" t="s">
        <v>8</v>
      </c>
      <c r="AV11" s="23" t="s">
        <v>8</v>
      </c>
      <c r="AW11" s="23" t="s">
        <v>8</v>
      </c>
      <c r="AX11" s="23" t="s">
        <v>8</v>
      </c>
      <c r="AY11" s="23" t="s">
        <v>8</v>
      </c>
      <c r="AZ11" s="23" t="s">
        <v>8</v>
      </c>
      <c r="BB11" s="23" t="s">
        <v>414</v>
      </c>
    </row>
    <row r="12" spans="2:54">
      <c r="B12" s="4">
        <f t="array" ref="B12:B511">_xlfn.SEQUENCE(B3,1,1,1)</f>
        <v>1</v>
      </c>
      <c r="C12" s="1">
        <f t="shared" ref="C12:I12" si="0">C$5+(C$6-C$5)*(POWER(C$7,$B12-1)-1)/(POWER(C$7,$B$3-1)-1)</f>
        <v>79</v>
      </c>
      <c r="D12" s="1">
        <f t="shared" si="0"/>
        <v>23.7</v>
      </c>
      <c r="E12" s="1">
        <f t="shared" si="0"/>
        <v>15.8</v>
      </c>
      <c r="F12" s="1">
        <f t="shared" si="0"/>
        <v>200</v>
      </c>
      <c r="G12" s="1">
        <f t="shared" si="0"/>
        <v>60</v>
      </c>
      <c r="H12" s="1">
        <f t="shared" si="0"/>
        <v>40</v>
      </c>
      <c r="I12" s="1">
        <f t="shared" si="0"/>
        <v>0</v>
      </c>
      <c r="J12" s="1">
        <f>标准模型!$I$65/1*$B12/$B$3</f>
        <v>0.0072</v>
      </c>
      <c r="K12" s="1">
        <f>J12*标准模型!$J$63</f>
        <v>0.0072</v>
      </c>
      <c r="L12" s="1">
        <f t="shared" ref="L12:L75" si="1">C12*(1+I12)+F12</f>
        <v>279</v>
      </c>
      <c r="M12" s="1">
        <f t="shared" ref="M12:M75" si="2">D12*(1+J12)+G12</f>
        <v>83.87064</v>
      </c>
      <c r="N12" s="1">
        <f t="shared" ref="N12:N75" si="3">E12*(1+K12)+H12</f>
        <v>55.91376</v>
      </c>
      <c r="O12" s="1">
        <f t="shared" ref="O12:W12" si="4">O$5+(O$6-O$5)*(POWER(O$7,$B12-1)-1)/(POWER(O$7,$B$3-1)-1)</f>
        <v>0.5</v>
      </c>
      <c r="P12" s="1">
        <f t="shared" si="4"/>
        <v>0</v>
      </c>
      <c r="Q12" s="1">
        <f t="shared" si="4"/>
        <v>0.275</v>
      </c>
      <c r="R12" s="1">
        <f t="shared" si="4"/>
        <v>1</v>
      </c>
      <c r="S12" s="1">
        <f t="shared" si="4"/>
        <v>0.05</v>
      </c>
      <c r="T12" s="1">
        <f t="shared" si="4"/>
        <v>2</v>
      </c>
      <c r="U12" s="1">
        <f t="shared" si="4"/>
        <v>1</v>
      </c>
      <c r="V12" s="1">
        <f t="shared" si="4"/>
        <v>1</v>
      </c>
      <c r="W12" s="1">
        <f t="shared" si="4"/>
        <v>1</v>
      </c>
      <c r="X12" s="1">
        <f t="shared" ref="X12:X75" si="5">(1+S12*(T12-1))*U12*W12*(O12+P12)*R12</f>
        <v>0.525</v>
      </c>
      <c r="Y12" s="1">
        <f t="shared" ref="Y12:Y75" si="6">(1+S12*(T12-1))*(O12+P12+Q12)*U12*V12*W12*R12</f>
        <v>0.81375</v>
      </c>
      <c r="Z12" s="1">
        <f t="shared" ref="Z12:Z75" si="7">Y12*L12</f>
        <v>227.03625</v>
      </c>
      <c r="AA12" s="1">
        <f t="shared" ref="AA12:AA75" si="8">M12</f>
        <v>83.87064</v>
      </c>
      <c r="AB12" s="1">
        <f t="shared" ref="AB12:AB75" si="9">N12</f>
        <v>55.91376</v>
      </c>
      <c r="AC12" s="1">
        <f>AB12/(AB12+战斗公式!$M$27)</f>
        <v>0.002324324927244</v>
      </c>
      <c r="AD12" s="1">
        <f t="shared" ref="AD12:AD75" si="10">Z12/(1-AC12)</f>
        <v>227.565185433075</v>
      </c>
      <c r="AE12" s="1">
        <f t="shared" ref="AE12:AE75" si="11">AD12/AA12/X12</f>
        <v>5.16816726405092</v>
      </c>
      <c r="AF12" s="1">
        <f t="shared" ref="AF12:AF75" si="12">AD12/AA12/Y12</f>
        <v>3.33430146067802</v>
      </c>
      <c r="AG12" s="1">
        <f t="shared" ref="AG12:AG75" si="13">AG$5+(AG$6-AG$5)*(POWER(AG$7,$B12-1)-1)/(POWER(AG$7,$B$3-1)-1)</f>
        <v>1</v>
      </c>
      <c r="AH12" s="1">
        <f t="shared" ref="AH12:AH75" si="14">$AH$5+($AH$6-$AH$5)*(POWER($AH$7,$B12-1)-1)/(POWER($AH$7,$B$3-1)-1)</f>
        <v>0.3</v>
      </c>
      <c r="AI12" s="1">
        <f t="shared" ref="AI12:AI75" si="15">$AI$5+($AI$6-$AI$5)*(POWER($AI$7,$B12-1)-1)/(POWER($AI$7,$B$3-1)-1)</f>
        <v>2.15</v>
      </c>
      <c r="AJ12" s="1">
        <f t="shared" ref="AJ12:AJ75" si="16">$AJ$5+($AJ$6-$AJ$5)*(POWER($AJ$7,$B12-1)-1)/(POWER($AJ$7,$B$3-1)-1)</f>
        <v>1.8</v>
      </c>
      <c r="AK12" s="1">
        <f t="shared" ref="AK12:AK75" si="17">$AK$5+($AK$6-$AK$5)*(POWER($AK$7,$B12-1)-1)/(POWER($AK$7,$B$3-1)-1)</f>
        <v>1</v>
      </c>
      <c r="AL12" s="10">
        <f t="shared" ref="AL12:AL75" si="18">ROUND(Z12/AF12*AG12,0)</f>
        <v>68</v>
      </c>
      <c r="AM12" s="10">
        <f t="shared" ref="AM12:AM75" si="19">ROUND(AA12*AH12,0)</f>
        <v>25</v>
      </c>
      <c r="AN12" s="10">
        <f t="shared" ref="AN12:AN75" si="20">ROUND(AB12,0)</f>
        <v>56</v>
      </c>
      <c r="AO12" s="1">
        <f t="shared" ref="AO12:AO75" si="21">ROUND(Z12/$AE12*AG12*AJ12,0)</f>
        <v>79</v>
      </c>
      <c r="AP12" s="1">
        <f t="shared" ref="AP12:AP75" si="22">ROUND(AM12*AK12,0)</f>
        <v>25</v>
      </c>
      <c r="AR12" s="1">
        <f t="shared" ref="AR12:AX12" si="23">ROUNDUP(AR$10*$AO12,0)</f>
        <v>79</v>
      </c>
      <c r="AS12" s="1">
        <f t="shared" si="23"/>
        <v>237</v>
      </c>
      <c r="AT12" s="1">
        <f t="shared" si="23"/>
        <v>143</v>
      </c>
      <c r="AU12" s="1">
        <f t="shared" si="23"/>
        <v>40</v>
      </c>
      <c r="AV12" s="1">
        <f t="shared" si="23"/>
        <v>12</v>
      </c>
      <c r="AW12" s="1">
        <f t="shared" si="23"/>
        <v>316</v>
      </c>
      <c r="AX12" s="1">
        <f t="shared" si="23"/>
        <v>711</v>
      </c>
      <c r="AY12" s="1">
        <f t="shared" ref="AY12:AY75" si="24">ROUND(AL12*$AY$10*AI12,0)</f>
        <v>8772</v>
      </c>
      <c r="AZ12" s="1">
        <f t="shared" ref="AZ12:AZ75" si="25">ROUND(AL12*$AZ$10*AI12,0)</f>
        <v>4386</v>
      </c>
      <c r="BB12" s="1">
        <f t="shared" ref="BB12:BB75" si="26">B12</f>
        <v>1</v>
      </c>
    </row>
    <row r="13" spans="2:54">
      <c r="B13" s="4">
        <v>2</v>
      </c>
      <c r="C13" s="1">
        <f t="shared" ref="C13:I13" si="27">C$5+(C$6-C$5)*(POWER(C$7,$B13-1)-1)/(POWER(C$7,$B$3-1)-1)</f>
        <v>158.019672639247</v>
      </c>
      <c r="D13" s="1">
        <f t="shared" si="27"/>
        <v>47.4059017917742</v>
      </c>
      <c r="E13" s="1">
        <f t="shared" si="27"/>
        <v>31.6039345278495</v>
      </c>
      <c r="F13" s="1">
        <f t="shared" si="27"/>
        <v>400.049804149994</v>
      </c>
      <c r="G13" s="1">
        <f t="shared" si="27"/>
        <v>120.014941244998</v>
      </c>
      <c r="H13" s="1">
        <f t="shared" si="27"/>
        <v>80.0099608299987</v>
      </c>
      <c r="I13" s="1">
        <f t="shared" si="27"/>
        <v>0</v>
      </c>
      <c r="J13" s="1">
        <f>标准模型!$I$65/1*$B13/$B$3</f>
        <v>0.0144</v>
      </c>
      <c r="K13" s="1">
        <f>J13*标准模型!$J$63</f>
        <v>0.0144</v>
      </c>
      <c r="L13" s="1">
        <f t="shared" si="1"/>
        <v>558.069476789241</v>
      </c>
      <c r="M13" s="1">
        <f t="shared" si="2"/>
        <v>168.103488022574</v>
      </c>
      <c r="N13" s="1">
        <f t="shared" si="3"/>
        <v>112.068992015049</v>
      </c>
      <c r="O13" s="1">
        <f t="shared" ref="O13:W13" si="28">O$5+(O$6-O$5)*(POWER(O$7,$B13-1)-1)/(POWER(O$7,$B$3-1)-1)</f>
        <v>0.501002253527806</v>
      </c>
      <c r="P13" s="1">
        <f t="shared" si="28"/>
        <v>0.000539257125529612</v>
      </c>
      <c r="Q13" s="1">
        <f t="shared" si="28"/>
        <v>0.275551239440293</v>
      </c>
      <c r="R13" s="1">
        <f t="shared" si="28"/>
        <v>1.00040090141112</v>
      </c>
      <c r="S13" s="1">
        <f t="shared" si="28"/>
        <v>0.0513029295861473</v>
      </c>
      <c r="T13" s="1">
        <f t="shared" si="28"/>
        <v>2.00390878875844</v>
      </c>
      <c r="U13" s="1">
        <f t="shared" si="28"/>
        <v>1</v>
      </c>
      <c r="V13" s="1">
        <f t="shared" si="28"/>
        <v>1.00109305598417</v>
      </c>
      <c r="W13" s="1">
        <f t="shared" si="28"/>
        <v>1.00320721128898</v>
      </c>
      <c r="X13" s="1">
        <f t="shared" si="5"/>
        <v>0.529276132722751</v>
      </c>
      <c r="Y13" s="1">
        <f t="shared" si="6"/>
        <v>0.820961390134492</v>
      </c>
      <c r="Z13" s="1">
        <f t="shared" si="7"/>
        <v>458.153493456525</v>
      </c>
      <c r="AA13" s="1">
        <f t="shared" si="8"/>
        <v>168.103488022574</v>
      </c>
      <c r="AB13" s="1">
        <f t="shared" si="9"/>
        <v>112.068992015049</v>
      </c>
      <c r="AC13" s="1">
        <f>AB13/(AB13+战斗公式!$M$27)</f>
        <v>0.00464783806201625</v>
      </c>
      <c r="AD13" s="1">
        <f t="shared" si="10"/>
        <v>460.292860131518</v>
      </c>
      <c r="AE13" s="1">
        <f t="shared" si="11"/>
        <v>5.17338980926877</v>
      </c>
      <c r="AF13" s="1">
        <f t="shared" si="12"/>
        <v>3.33529905817921</v>
      </c>
      <c r="AG13" s="1">
        <f t="shared" si="13"/>
        <v>1.03071765423105</v>
      </c>
      <c r="AH13" s="1">
        <f t="shared" si="14"/>
        <v>0.30233897854197</v>
      </c>
      <c r="AI13" s="1">
        <f t="shared" si="15"/>
        <v>2.09249999999956</v>
      </c>
      <c r="AJ13" s="1">
        <f t="shared" si="16"/>
        <v>1.78399933019261</v>
      </c>
      <c r="AK13" s="1">
        <f t="shared" si="17"/>
        <v>1</v>
      </c>
      <c r="AL13" s="10">
        <f t="shared" si="18"/>
        <v>142</v>
      </c>
      <c r="AM13" s="10">
        <f t="shared" si="19"/>
        <v>51</v>
      </c>
      <c r="AN13" s="10">
        <f t="shared" si="20"/>
        <v>112</v>
      </c>
      <c r="AO13" s="1">
        <f t="shared" si="21"/>
        <v>163</v>
      </c>
      <c r="AP13" s="1">
        <f t="shared" si="22"/>
        <v>51</v>
      </c>
      <c r="AR13" s="1">
        <f t="shared" ref="AR13:AX13" si="29">ROUNDUP(AR$10*$AO13,0)</f>
        <v>163</v>
      </c>
      <c r="AS13" s="1">
        <f t="shared" si="29"/>
        <v>489</v>
      </c>
      <c r="AT13" s="1">
        <f t="shared" si="29"/>
        <v>294</v>
      </c>
      <c r="AU13" s="1">
        <f t="shared" si="29"/>
        <v>82</v>
      </c>
      <c r="AV13" s="1">
        <f t="shared" si="29"/>
        <v>25</v>
      </c>
      <c r="AW13" s="1">
        <f t="shared" si="29"/>
        <v>652</v>
      </c>
      <c r="AX13" s="1">
        <f t="shared" si="29"/>
        <v>1467</v>
      </c>
      <c r="AY13" s="1">
        <f t="shared" si="24"/>
        <v>17828</v>
      </c>
      <c r="AZ13" s="1">
        <f t="shared" si="25"/>
        <v>8914</v>
      </c>
      <c r="BB13" s="1">
        <f t="shared" si="26"/>
        <v>2</v>
      </c>
    </row>
    <row r="14" spans="2:54">
      <c r="B14" s="4">
        <v>3</v>
      </c>
      <c r="C14" s="1">
        <f t="shared" ref="C14:I14" si="30">C$5+(C$6-C$5)*(POWER(C$7,$B14-1)-1)/(POWER(C$7,$B$3-1)-1)</f>
        <v>237.03926626057</v>
      </c>
      <c r="D14" s="1">
        <f t="shared" si="30"/>
        <v>71.1117798781711</v>
      </c>
      <c r="E14" s="1">
        <f t="shared" si="30"/>
        <v>47.4078532521141</v>
      </c>
      <c r="F14" s="1">
        <f t="shared" si="30"/>
        <v>600.099408254609</v>
      </c>
      <c r="G14" s="1">
        <f t="shared" si="30"/>
        <v>180.029822476383</v>
      </c>
      <c r="H14" s="1">
        <f t="shared" si="30"/>
        <v>120.019881650922</v>
      </c>
      <c r="I14" s="1">
        <f t="shared" si="30"/>
        <v>0</v>
      </c>
      <c r="J14" s="1">
        <f>标准模型!$I$65/1*$B14/$B$3</f>
        <v>0.0216</v>
      </c>
      <c r="K14" s="1">
        <f>J14*标准模型!$J$63</f>
        <v>0.0216</v>
      </c>
      <c r="L14" s="1">
        <f t="shared" si="1"/>
        <v>837.138674515179</v>
      </c>
      <c r="M14" s="1">
        <f t="shared" si="2"/>
        <v>252.677616799922</v>
      </c>
      <c r="N14" s="1">
        <f t="shared" si="3"/>
        <v>168.451744533281</v>
      </c>
      <c r="O14" s="1">
        <f t="shared" ref="O14:W14" si="31">O$5+(O$6-O$5)*(POWER(O$7,$B14-1)-1)/(POWER(O$7,$B$3-1)-1)</f>
        <v>0.50200450605338</v>
      </c>
      <c r="P14" s="1">
        <f t="shared" si="31"/>
        <v>0.00107932313674755</v>
      </c>
      <c r="Q14" s="1">
        <f t="shared" si="31"/>
        <v>0.276102478329359</v>
      </c>
      <c r="R14" s="1">
        <f t="shared" si="31"/>
        <v>1.00080180242135</v>
      </c>
      <c r="S14" s="1">
        <f t="shared" si="31"/>
        <v>0.0526058578693937</v>
      </c>
      <c r="T14" s="1">
        <f t="shared" si="31"/>
        <v>2.00781757360818</v>
      </c>
      <c r="U14" s="1">
        <f t="shared" si="31"/>
        <v>1</v>
      </c>
      <c r="V14" s="1">
        <f t="shared" si="31"/>
        <v>1.00218611087531</v>
      </c>
      <c r="W14" s="1">
        <f t="shared" si="31"/>
        <v>1.00641441937082</v>
      </c>
      <c r="X14" s="1">
        <f t="shared" si="5"/>
        <v>0.533581439417026</v>
      </c>
      <c r="Y14" s="1">
        <f t="shared" si="6"/>
        <v>0.828228266153889</v>
      </c>
      <c r="Z14" s="1">
        <f t="shared" si="7"/>
        <v>693.341912924072</v>
      </c>
      <c r="AA14" s="1">
        <f t="shared" si="8"/>
        <v>252.677616799922</v>
      </c>
      <c r="AB14" s="1">
        <f t="shared" si="9"/>
        <v>168.451744533281</v>
      </c>
      <c r="AC14" s="1">
        <f>AB14/(AB14+战斗公式!$M$27)</f>
        <v>0.00696990218131718</v>
      </c>
      <c r="AD14" s="1">
        <f t="shared" si="10"/>
        <v>698.20835687366</v>
      </c>
      <c r="AE14" s="1">
        <f t="shared" si="11"/>
        <v>5.17866187785594</v>
      </c>
      <c r="AF14" s="1">
        <f t="shared" si="12"/>
        <v>3.33632402075858</v>
      </c>
      <c r="AG14" s="1">
        <f t="shared" si="13"/>
        <v>1.06120492605537</v>
      </c>
      <c r="AH14" s="1">
        <f t="shared" si="14"/>
        <v>0.304682635041024</v>
      </c>
      <c r="AI14" s="1">
        <f t="shared" si="15"/>
        <v>2.03787499999914</v>
      </c>
      <c r="AJ14" s="1">
        <f t="shared" si="16"/>
        <v>1.76831867378137</v>
      </c>
      <c r="AK14" s="1">
        <f t="shared" si="17"/>
        <v>1</v>
      </c>
      <c r="AL14" s="10">
        <f t="shared" si="18"/>
        <v>221</v>
      </c>
      <c r="AM14" s="10">
        <f t="shared" si="19"/>
        <v>77</v>
      </c>
      <c r="AN14" s="10">
        <f t="shared" si="20"/>
        <v>168</v>
      </c>
      <c r="AO14" s="1">
        <f t="shared" si="21"/>
        <v>251</v>
      </c>
      <c r="AP14" s="1">
        <f t="shared" si="22"/>
        <v>77</v>
      </c>
      <c r="AR14" s="1">
        <f t="shared" ref="AR14:AX14" si="32">ROUNDUP(AR$10*$AO14,0)</f>
        <v>251</v>
      </c>
      <c r="AS14" s="1">
        <f t="shared" si="32"/>
        <v>753</v>
      </c>
      <c r="AT14" s="1">
        <f t="shared" si="32"/>
        <v>452</v>
      </c>
      <c r="AU14" s="1">
        <f t="shared" si="32"/>
        <v>126</v>
      </c>
      <c r="AV14" s="1">
        <f t="shared" si="32"/>
        <v>38</v>
      </c>
      <c r="AW14" s="1">
        <f t="shared" si="32"/>
        <v>1004</v>
      </c>
      <c r="AX14" s="1">
        <f t="shared" si="32"/>
        <v>2259</v>
      </c>
      <c r="AY14" s="1">
        <f t="shared" si="24"/>
        <v>27022</v>
      </c>
      <c r="AZ14" s="1">
        <f t="shared" si="25"/>
        <v>13511</v>
      </c>
      <c r="BB14" s="1">
        <f t="shared" si="26"/>
        <v>3</v>
      </c>
    </row>
    <row r="15" spans="2:54">
      <c r="B15" s="4">
        <v>4</v>
      </c>
      <c r="C15" s="1">
        <f t="shared" ref="C15:I15" si="33">C$5+(C$6-C$5)*(POWER(C$7,$B15-1)-1)/(POWER(C$7,$B$3-1)-1)</f>
        <v>316.058780855196</v>
      </c>
      <c r="D15" s="1">
        <f t="shared" si="33"/>
        <v>94.8176342565587</v>
      </c>
      <c r="E15" s="1">
        <f t="shared" si="33"/>
        <v>63.2117561710392</v>
      </c>
      <c r="F15" s="1">
        <f t="shared" si="33"/>
        <v>800.148812291635</v>
      </c>
      <c r="G15" s="1">
        <f t="shared" si="33"/>
        <v>240.04464368749</v>
      </c>
      <c r="H15" s="1">
        <f t="shared" si="33"/>
        <v>160.029762458327</v>
      </c>
      <c r="I15" s="1">
        <f t="shared" si="33"/>
        <v>0</v>
      </c>
      <c r="J15" s="1">
        <f>标准模型!$I$65/1*$B15/$B$3</f>
        <v>0.0288</v>
      </c>
      <c r="K15" s="1">
        <f>J15*标准模型!$J$63</f>
        <v>0.0288</v>
      </c>
      <c r="L15" s="1">
        <f t="shared" si="1"/>
        <v>1116.20759314683</v>
      </c>
      <c r="M15" s="1">
        <f t="shared" si="2"/>
        <v>337.593025810638</v>
      </c>
      <c r="N15" s="1">
        <f t="shared" si="3"/>
        <v>225.062017207092</v>
      </c>
      <c r="O15" s="1">
        <f t="shared" ref="O15:W15" si="34">O$5+(O$6-O$5)*(POWER(O$7,$B15-1)-1)/(POWER(O$7,$B$3-1)-1)</f>
        <v>0.503006757576611</v>
      </c>
      <c r="P15" s="1">
        <f t="shared" si="34"/>
        <v>0.00162019924698221</v>
      </c>
      <c r="Q15" s="1">
        <f t="shared" si="34"/>
        <v>0.276653716667136</v>
      </c>
      <c r="R15" s="1">
        <f t="shared" si="34"/>
        <v>1.00120270303064</v>
      </c>
      <c r="S15" s="1">
        <f t="shared" si="34"/>
        <v>0.0539087848495948</v>
      </c>
      <c r="T15" s="1">
        <f t="shared" si="34"/>
        <v>2.01172635454878</v>
      </c>
      <c r="U15" s="1">
        <f t="shared" si="34"/>
        <v>1</v>
      </c>
      <c r="V15" s="1">
        <f t="shared" si="34"/>
        <v>1.0032791646733</v>
      </c>
      <c r="W15" s="1">
        <f t="shared" si="34"/>
        <v>1.00962162424516</v>
      </c>
      <c r="X15" s="1">
        <f t="shared" si="5"/>
        <v>0.537916106019835</v>
      </c>
      <c r="Y15" s="1">
        <f t="shared" si="6"/>
        <v>0.835551024325677</v>
      </c>
      <c r="Z15" s="1">
        <f t="shared" si="7"/>
        <v>932.648397813933</v>
      </c>
      <c r="AA15" s="1">
        <f t="shared" si="8"/>
        <v>337.593025810638</v>
      </c>
      <c r="AB15" s="1">
        <f t="shared" si="9"/>
        <v>225.062017207092</v>
      </c>
      <c r="AC15" s="1">
        <f>AB15/(AB15+战斗公式!$M$27)</f>
        <v>0.00929046196237724</v>
      </c>
      <c r="AD15" s="1">
        <f t="shared" si="10"/>
        <v>941.394386553806</v>
      </c>
      <c r="AE15" s="1">
        <f t="shared" si="11"/>
        <v>5.18398325783339</v>
      </c>
      <c r="AF15" s="1">
        <f t="shared" si="12"/>
        <v>3.33737618235371</v>
      </c>
      <c r="AG15" s="1">
        <f t="shared" si="13"/>
        <v>1.09146354334101</v>
      </c>
      <c r="AH15" s="1">
        <f t="shared" si="14"/>
        <v>0.307030978853076</v>
      </c>
      <c r="AI15" s="1">
        <f t="shared" si="15"/>
        <v>1.98598124999874</v>
      </c>
      <c r="AJ15" s="1">
        <f t="shared" si="16"/>
        <v>1.75295163049836</v>
      </c>
      <c r="AK15" s="1">
        <f t="shared" si="17"/>
        <v>1</v>
      </c>
      <c r="AL15" s="10">
        <f t="shared" si="18"/>
        <v>305</v>
      </c>
      <c r="AM15" s="10">
        <f t="shared" si="19"/>
        <v>104</v>
      </c>
      <c r="AN15" s="10">
        <f t="shared" si="20"/>
        <v>225</v>
      </c>
      <c r="AO15" s="1">
        <f t="shared" si="21"/>
        <v>344</v>
      </c>
      <c r="AP15" s="1">
        <f t="shared" si="22"/>
        <v>104</v>
      </c>
      <c r="AR15" s="1">
        <f t="shared" ref="AR15:AX15" si="35">ROUNDUP(AR$10*$AO15,0)</f>
        <v>344</v>
      </c>
      <c r="AS15" s="1">
        <f t="shared" si="35"/>
        <v>1032</v>
      </c>
      <c r="AT15" s="1">
        <f t="shared" si="35"/>
        <v>620</v>
      </c>
      <c r="AU15" s="1">
        <f t="shared" si="35"/>
        <v>172</v>
      </c>
      <c r="AV15" s="1">
        <f t="shared" si="35"/>
        <v>52</v>
      </c>
      <c r="AW15" s="1">
        <f t="shared" si="35"/>
        <v>1376</v>
      </c>
      <c r="AX15" s="1">
        <f t="shared" si="35"/>
        <v>3096</v>
      </c>
      <c r="AY15" s="1">
        <f t="shared" si="24"/>
        <v>36343</v>
      </c>
      <c r="AZ15" s="1">
        <f t="shared" si="25"/>
        <v>18172</v>
      </c>
      <c r="BB15" s="1">
        <f t="shared" si="26"/>
        <v>4</v>
      </c>
    </row>
    <row r="16" spans="2:54">
      <c r="B16" s="4">
        <v>5</v>
      </c>
      <c r="C16" s="1">
        <f t="shared" ref="C16:I16" si="36">C$5+(C$6-C$5)*(POWER(C$7,$B16-1)-1)/(POWER(C$7,$B$3-1)-1)</f>
        <v>395.07821644067</v>
      </c>
      <c r="D16" s="1">
        <f t="shared" si="36"/>
        <v>118.523464932201</v>
      </c>
      <c r="E16" s="1">
        <f t="shared" si="36"/>
        <v>79.0156432881339</v>
      </c>
      <c r="F16" s="1">
        <f t="shared" si="36"/>
        <v>1000.19801630549</v>
      </c>
      <c r="G16" s="1">
        <f t="shared" si="36"/>
        <v>300.059404891648</v>
      </c>
      <c r="H16" s="1">
        <f t="shared" si="36"/>
        <v>200.039603261098</v>
      </c>
      <c r="I16" s="1">
        <f t="shared" si="36"/>
        <v>0</v>
      </c>
      <c r="J16" s="1">
        <f>标准模型!$I$65/1*$B16/$B$3</f>
        <v>0.036</v>
      </c>
      <c r="K16" s="1">
        <f>J16*标准模型!$J$63</f>
        <v>0.036</v>
      </c>
      <c r="L16" s="1">
        <f t="shared" si="1"/>
        <v>1395.27623274616</v>
      </c>
      <c r="M16" s="1">
        <f t="shared" si="2"/>
        <v>422.849714561408</v>
      </c>
      <c r="N16" s="1">
        <f t="shared" si="3"/>
        <v>281.899809707605</v>
      </c>
      <c r="O16" s="1">
        <f t="shared" ref="O16:W16" si="37">O$5+(O$6-O$5)*(POWER(O$7,$B16-1)-1)/(POWER(O$7,$B$3-1)-1)</f>
        <v>0.504009008097723</v>
      </c>
      <c r="P16" s="1">
        <f t="shared" si="37"/>
        <v>0.00216188667138234</v>
      </c>
      <c r="Q16" s="1">
        <f t="shared" si="37"/>
        <v>0.277204954453748</v>
      </c>
      <c r="R16" s="1">
        <f t="shared" si="37"/>
        <v>1.00160360323909</v>
      </c>
      <c r="S16" s="1">
        <f t="shared" si="37"/>
        <v>0.0552117105270398</v>
      </c>
      <c r="T16" s="1">
        <f t="shared" si="37"/>
        <v>2.01563513158112</v>
      </c>
      <c r="U16" s="1">
        <f t="shared" si="37"/>
        <v>1</v>
      </c>
      <c r="V16" s="1">
        <f t="shared" si="37"/>
        <v>1.00437221737837</v>
      </c>
      <c r="W16" s="1">
        <f t="shared" si="37"/>
        <v>1.01282882591271</v>
      </c>
      <c r="X16" s="1">
        <f t="shared" si="5"/>
        <v>0.542280319445377</v>
      </c>
      <c r="Y16" s="1">
        <f t="shared" si="6"/>
        <v>0.842930063345776</v>
      </c>
      <c r="Z16" s="1">
        <f t="shared" si="7"/>
        <v>1176.12028325358</v>
      </c>
      <c r="AA16" s="1">
        <f t="shared" si="8"/>
        <v>422.849714561408</v>
      </c>
      <c r="AB16" s="1">
        <f t="shared" si="9"/>
        <v>281.899809707605</v>
      </c>
      <c r="AC16" s="1">
        <f>AB16/(AB16+战斗公式!$M$27)</f>
        <v>0.0116094626827718</v>
      </c>
      <c r="AD16" s="1">
        <f t="shared" si="10"/>
        <v>1189.93478675534</v>
      </c>
      <c r="AE16" s="1">
        <f t="shared" si="11"/>
        <v>5.18935373929759</v>
      </c>
      <c r="AF16" s="1">
        <f t="shared" si="12"/>
        <v>3.3384553782453</v>
      </c>
      <c r="AG16" s="1">
        <f t="shared" si="13"/>
        <v>1.121495220997</v>
      </c>
      <c r="AH16" s="1">
        <f t="shared" si="14"/>
        <v>0.309384019352753</v>
      </c>
      <c r="AI16" s="1">
        <f t="shared" si="15"/>
        <v>1.93668218749837</v>
      </c>
      <c r="AJ16" s="1">
        <f t="shared" si="16"/>
        <v>1.737891928081</v>
      </c>
      <c r="AK16" s="1">
        <f t="shared" si="17"/>
        <v>1</v>
      </c>
      <c r="AL16" s="10">
        <f t="shared" si="18"/>
        <v>395</v>
      </c>
      <c r="AM16" s="10">
        <f t="shared" si="19"/>
        <v>131</v>
      </c>
      <c r="AN16" s="10">
        <f t="shared" si="20"/>
        <v>282</v>
      </c>
      <c r="AO16" s="1">
        <f t="shared" si="21"/>
        <v>442</v>
      </c>
      <c r="AP16" s="1">
        <f t="shared" si="22"/>
        <v>131</v>
      </c>
      <c r="AR16" s="1">
        <f t="shared" ref="AR16:AX16" si="38">ROUNDUP(AR$10*$AO16,0)</f>
        <v>442</v>
      </c>
      <c r="AS16" s="1">
        <f t="shared" si="38"/>
        <v>1326</v>
      </c>
      <c r="AT16" s="1">
        <f t="shared" si="38"/>
        <v>796</v>
      </c>
      <c r="AU16" s="1">
        <f t="shared" si="38"/>
        <v>221</v>
      </c>
      <c r="AV16" s="1">
        <f t="shared" si="38"/>
        <v>67</v>
      </c>
      <c r="AW16" s="1">
        <f t="shared" si="38"/>
        <v>1768</v>
      </c>
      <c r="AX16" s="1">
        <f t="shared" si="38"/>
        <v>3978</v>
      </c>
      <c r="AY16" s="1">
        <f t="shared" si="24"/>
        <v>45899</v>
      </c>
      <c r="AZ16" s="1">
        <f t="shared" si="25"/>
        <v>22950</v>
      </c>
      <c r="BB16" s="1">
        <f t="shared" si="26"/>
        <v>5</v>
      </c>
    </row>
    <row r="17" spans="2:54">
      <c r="B17" s="4">
        <v>6</v>
      </c>
      <c r="C17" s="1">
        <f t="shared" ref="C17:I17" si="39">C$5+(C$6-C$5)*(POWER(C$7,$B17-1)-1)/(POWER(C$7,$B$3-1)-1)</f>
        <v>474.097572999446</v>
      </c>
      <c r="D17" s="1">
        <f t="shared" si="39"/>
        <v>142.229271899834</v>
      </c>
      <c r="E17" s="1">
        <f t="shared" si="39"/>
        <v>94.8195145998891</v>
      </c>
      <c r="F17" s="1">
        <f t="shared" si="39"/>
        <v>1200.24702025176</v>
      </c>
      <c r="G17" s="1">
        <f t="shared" si="39"/>
        <v>360.074106075528</v>
      </c>
      <c r="H17" s="1">
        <f t="shared" si="39"/>
        <v>240.049404050352</v>
      </c>
      <c r="I17" s="1">
        <f t="shared" si="39"/>
        <v>0</v>
      </c>
      <c r="J17" s="1">
        <f>标准模型!$I$65/1*$B17/$B$3</f>
        <v>0.0432</v>
      </c>
      <c r="K17" s="1">
        <f>J17*标准模型!$J$63</f>
        <v>0.0432</v>
      </c>
      <c r="L17" s="1">
        <f t="shared" si="1"/>
        <v>1674.34459325121</v>
      </c>
      <c r="M17" s="1">
        <f t="shared" si="2"/>
        <v>508.447682521435</v>
      </c>
      <c r="N17" s="1">
        <f t="shared" si="3"/>
        <v>338.965121680957</v>
      </c>
      <c r="O17" s="1">
        <f t="shared" ref="O17:W17" si="40">O$5+(O$6-O$5)*(POWER(O$7,$B17-1)-1)/(POWER(O$7,$B$3-1)-1)</f>
        <v>0.505011257616492</v>
      </c>
      <c r="P17" s="1">
        <f t="shared" si="40"/>
        <v>0.00270438662691903</v>
      </c>
      <c r="Q17" s="1">
        <f t="shared" si="40"/>
        <v>0.277756191689071</v>
      </c>
      <c r="R17" s="1">
        <f t="shared" si="40"/>
        <v>1.0020045030466</v>
      </c>
      <c r="S17" s="1">
        <f t="shared" si="40"/>
        <v>0.0565146349014393</v>
      </c>
      <c r="T17" s="1">
        <f t="shared" si="40"/>
        <v>2.01954390470432</v>
      </c>
      <c r="U17" s="1">
        <f t="shared" si="40"/>
        <v>1</v>
      </c>
      <c r="V17" s="1">
        <f t="shared" si="40"/>
        <v>1.00546526899029</v>
      </c>
      <c r="W17" s="1">
        <f t="shared" si="40"/>
        <v>1.01603602437277</v>
      </c>
      <c r="X17" s="1">
        <f t="shared" si="5"/>
        <v>0.546674267584645</v>
      </c>
      <c r="Y17" s="1">
        <f t="shared" si="6"/>
        <v>0.850365784343308</v>
      </c>
      <c r="Z17" s="1">
        <f t="shared" si="7"/>
        <v>1423.80535330104</v>
      </c>
      <c r="AA17" s="1">
        <f t="shared" si="8"/>
        <v>508.447682521435</v>
      </c>
      <c r="AB17" s="1">
        <f t="shared" si="9"/>
        <v>338.965121680957</v>
      </c>
      <c r="AC17" s="1">
        <f>AB17/(AB17+战斗公式!$M$27)</f>
        <v>0.0139268502167748</v>
      </c>
      <c r="AD17" s="1">
        <f t="shared" si="10"/>
        <v>1443.91453475236</v>
      </c>
      <c r="AE17" s="1">
        <f t="shared" si="11"/>
        <v>5.19477311438008</v>
      </c>
      <c r="AF17" s="1">
        <f t="shared" si="12"/>
        <v>3.33956144503768</v>
      </c>
      <c r="AG17" s="1">
        <f t="shared" si="13"/>
        <v>1.15130166107058</v>
      </c>
      <c r="AH17" s="1">
        <f t="shared" si="14"/>
        <v>0.311741765933429</v>
      </c>
      <c r="AI17" s="1">
        <f t="shared" si="15"/>
        <v>1.88984807812301</v>
      </c>
      <c r="AJ17" s="1">
        <f t="shared" si="16"/>
        <v>1.72313341971199</v>
      </c>
      <c r="AK17" s="1">
        <f t="shared" si="17"/>
        <v>1</v>
      </c>
      <c r="AL17" s="10">
        <f t="shared" si="18"/>
        <v>491</v>
      </c>
      <c r="AM17" s="10">
        <f t="shared" si="19"/>
        <v>159</v>
      </c>
      <c r="AN17" s="10">
        <f t="shared" si="20"/>
        <v>339</v>
      </c>
      <c r="AO17" s="1">
        <f t="shared" si="21"/>
        <v>544</v>
      </c>
      <c r="AP17" s="1">
        <f t="shared" si="22"/>
        <v>159</v>
      </c>
      <c r="AR17" s="1">
        <f t="shared" ref="AR17:AX17" si="41">ROUNDUP(AR$10*$AO17,0)</f>
        <v>544</v>
      </c>
      <c r="AS17" s="1">
        <f t="shared" si="41"/>
        <v>1632</v>
      </c>
      <c r="AT17" s="1">
        <f t="shared" si="41"/>
        <v>980</v>
      </c>
      <c r="AU17" s="1">
        <f t="shared" si="41"/>
        <v>272</v>
      </c>
      <c r="AV17" s="1">
        <f t="shared" si="41"/>
        <v>82</v>
      </c>
      <c r="AW17" s="1">
        <f t="shared" si="41"/>
        <v>2176</v>
      </c>
      <c r="AX17" s="1">
        <f t="shared" si="41"/>
        <v>4896</v>
      </c>
      <c r="AY17" s="1">
        <f t="shared" si="24"/>
        <v>55675</v>
      </c>
      <c r="AZ17" s="1">
        <f t="shared" si="25"/>
        <v>27837</v>
      </c>
      <c r="BB17" s="1">
        <f t="shared" si="26"/>
        <v>6</v>
      </c>
    </row>
    <row r="18" spans="2:54">
      <c r="B18" s="4">
        <v>7</v>
      </c>
      <c r="C18" s="1">
        <f t="shared" ref="C18:I18" si="42">C$5+(C$6-C$5)*(POWER(C$7,$B18-1)-1)/(POWER(C$7,$B$3-1)-1)</f>
        <v>553.116850540297</v>
      </c>
      <c r="D18" s="1">
        <f t="shared" si="42"/>
        <v>165.935055162089</v>
      </c>
      <c r="E18" s="1">
        <f t="shared" si="42"/>
        <v>110.623370108059</v>
      </c>
      <c r="F18" s="1">
        <f t="shared" si="42"/>
        <v>1400.29582415265</v>
      </c>
      <c r="G18" s="1">
        <f t="shared" si="42"/>
        <v>420.088747245795</v>
      </c>
      <c r="H18" s="1">
        <f t="shared" si="42"/>
        <v>280.05916483053</v>
      </c>
      <c r="I18" s="1">
        <f t="shared" si="42"/>
        <v>0</v>
      </c>
      <c r="J18" s="1">
        <f>标准模型!$I$65/1*$B18/$B$3</f>
        <v>0.0504</v>
      </c>
      <c r="K18" s="1">
        <f>J18*标准模型!$J$63</f>
        <v>0.0504</v>
      </c>
      <c r="L18" s="1">
        <f t="shared" si="1"/>
        <v>1953.41267469295</v>
      </c>
      <c r="M18" s="1">
        <f t="shared" si="2"/>
        <v>594.386929188054</v>
      </c>
      <c r="N18" s="1">
        <f t="shared" si="3"/>
        <v>396.257952792036</v>
      </c>
      <c r="O18" s="1">
        <f t="shared" ref="O18:W18" si="43">O$5+(O$6-O$5)*(POWER(O$7,$B18-1)-1)/(POWER(O$7,$B$3-1)-1)</f>
        <v>0.506013506133029</v>
      </c>
      <c r="P18" s="1">
        <f t="shared" si="43"/>
        <v>0.00324770033238901</v>
      </c>
      <c r="Q18" s="1">
        <f t="shared" si="43"/>
        <v>0.278307428373166</v>
      </c>
      <c r="R18" s="1">
        <f t="shared" si="43"/>
        <v>1.00240540245321</v>
      </c>
      <c r="S18" s="1">
        <f t="shared" si="43"/>
        <v>0.0578175579729381</v>
      </c>
      <c r="T18" s="1">
        <f t="shared" si="43"/>
        <v>2.02345267391881</v>
      </c>
      <c r="U18" s="1">
        <f t="shared" si="43"/>
        <v>1</v>
      </c>
      <c r="V18" s="1">
        <f t="shared" si="43"/>
        <v>1.00655831950918</v>
      </c>
      <c r="W18" s="1">
        <f t="shared" si="43"/>
        <v>1.01924321962569</v>
      </c>
      <c r="X18" s="1">
        <f t="shared" si="5"/>
        <v>0.551098139310897</v>
      </c>
      <c r="Y18" s="1">
        <f t="shared" si="6"/>
        <v>0.85785859089589</v>
      </c>
      <c r="Z18" s="1">
        <f t="shared" si="7"/>
        <v>1675.75184455026</v>
      </c>
      <c r="AA18" s="1">
        <f t="shared" si="8"/>
        <v>594.386929188054</v>
      </c>
      <c r="AB18" s="1">
        <f t="shared" si="9"/>
        <v>396.257952792036</v>
      </c>
      <c r="AC18" s="1">
        <f>AB18/(AB18+战斗公式!$M$27)</f>
        <v>0.0162425710352307</v>
      </c>
      <c r="AD18" s="1">
        <f t="shared" si="10"/>
        <v>1703.41976102147</v>
      </c>
      <c r="AE18" s="1">
        <f t="shared" si="11"/>
        <v>5.20024117723491</v>
      </c>
      <c r="AF18" s="1">
        <f t="shared" si="12"/>
        <v>3.34069422065142</v>
      </c>
      <c r="AG18" s="1">
        <f t="shared" si="13"/>
        <v>1.1808845528436</v>
      </c>
      <c r="AH18" s="1">
        <f t="shared" si="14"/>
        <v>0.314104228007266</v>
      </c>
      <c r="AI18" s="1">
        <f t="shared" si="15"/>
        <v>1.84535567421642</v>
      </c>
      <c r="AJ18" s="1">
        <f t="shared" si="16"/>
        <v>1.70867008151036</v>
      </c>
      <c r="AK18" s="1">
        <f t="shared" si="17"/>
        <v>1</v>
      </c>
      <c r="AL18" s="10">
        <f t="shared" si="18"/>
        <v>592</v>
      </c>
      <c r="AM18" s="10">
        <f t="shared" si="19"/>
        <v>187</v>
      </c>
      <c r="AN18" s="10">
        <f t="shared" si="20"/>
        <v>396</v>
      </c>
      <c r="AO18" s="1">
        <f t="shared" si="21"/>
        <v>650</v>
      </c>
      <c r="AP18" s="1">
        <f t="shared" si="22"/>
        <v>187</v>
      </c>
      <c r="AR18" s="1">
        <f t="shared" ref="AR18:AX18" si="44">ROUNDUP(AR$10*$AO18,0)</f>
        <v>650</v>
      </c>
      <c r="AS18" s="1">
        <f t="shared" si="44"/>
        <v>1950</v>
      </c>
      <c r="AT18" s="1">
        <f t="shared" si="44"/>
        <v>1170</v>
      </c>
      <c r="AU18" s="1">
        <f t="shared" si="44"/>
        <v>325</v>
      </c>
      <c r="AV18" s="1">
        <f t="shared" si="44"/>
        <v>98</v>
      </c>
      <c r="AW18" s="1">
        <f t="shared" si="44"/>
        <v>2600</v>
      </c>
      <c r="AX18" s="1">
        <f t="shared" si="44"/>
        <v>5850</v>
      </c>
      <c r="AY18" s="1">
        <f t="shared" si="24"/>
        <v>65547</v>
      </c>
      <c r="AZ18" s="1">
        <f t="shared" si="25"/>
        <v>32774</v>
      </c>
      <c r="BB18" s="1">
        <f t="shared" si="26"/>
        <v>7</v>
      </c>
    </row>
    <row r="19" spans="2:54">
      <c r="B19" s="4">
        <v>8</v>
      </c>
      <c r="C19" s="1">
        <f t="shared" ref="C19:I19" si="45">C$5+(C$6-C$5)*(POWER(C$7,$B19-1)-1)/(POWER(C$7,$B$3-1)-1)</f>
        <v>632.136049063224</v>
      </c>
      <c r="D19" s="1">
        <f t="shared" si="45"/>
        <v>189.640814718967</v>
      </c>
      <c r="E19" s="1">
        <f t="shared" si="45"/>
        <v>126.427209812645</v>
      </c>
      <c r="F19" s="1">
        <f t="shared" si="45"/>
        <v>1600.34442800816</v>
      </c>
      <c r="G19" s="1">
        <f t="shared" si="45"/>
        <v>480.103328402449</v>
      </c>
      <c r="H19" s="1">
        <f t="shared" si="45"/>
        <v>320.068885601633</v>
      </c>
      <c r="I19" s="1">
        <f t="shared" si="45"/>
        <v>0</v>
      </c>
      <c r="J19" s="1">
        <f>标准模型!$I$65/1*$B19/$B$3</f>
        <v>0.0576</v>
      </c>
      <c r="K19" s="1">
        <f>J19*标准模型!$J$63</f>
        <v>0.0576</v>
      </c>
      <c r="L19" s="1">
        <f t="shared" si="1"/>
        <v>2232.48047707138</v>
      </c>
      <c r="M19" s="1">
        <f t="shared" si="2"/>
        <v>680.667454049229</v>
      </c>
      <c r="N19" s="1">
        <f t="shared" si="3"/>
        <v>453.778302699486</v>
      </c>
      <c r="O19" s="1">
        <f t="shared" ref="O19:W19" si="46">O$5+(O$6-O$5)*(POWER(O$7,$B19-1)-1)/(POWER(O$7,$B$3-1)-1)</f>
        <v>0.507015753647336</v>
      </c>
      <c r="P19" s="1">
        <f t="shared" si="46"/>
        <v>0.00379182900841718</v>
      </c>
      <c r="Q19" s="1">
        <f t="shared" si="46"/>
        <v>0.278858664506035</v>
      </c>
      <c r="R19" s="1">
        <f t="shared" si="46"/>
        <v>1.00280630145893</v>
      </c>
      <c r="S19" s="1">
        <f t="shared" si="46"/>
        <v>0.0591204797415361</v>
      </c>
      <c r="T19" s="1">
        <f t="shared" si="46"/>
        <v>2.02736143922461</v>
      </c>
      <c r="U19" s="1">
        <f t="shared" si="46"/>
        <v>1</v>
      </c>
      <c r="V19" s="1">
        <f t="shared" si="46"/>
        <v>1.00765136893504</v>
      </c>
      <c r="W19" s="1">
        <f t="shared" si="46"/>
        <v>1.02245041167147</v>
      </c>
      <c r="X19" s="1">
        <f t="shared" si="5"/>
        <v>0.555552124480541</v>
      </c>
      <c r="Y19" s="1">
        <f t="shared" si="6"/>
        <v>0.865408889036722</v>
      </c>
      <c r="Z19" s="1">
        <f t="shared" si="7"/>
        <v>1932.00844945852</v>
      </c>
      <c r="AA19" s="1">
        <f t="shared" si="8"/>
        <v>680.667454049229</v>
      </c>
      <c r="AB19" s="1">
        <f t="shared" si="9"/>
        <v>453.778302699486</v>
      </c>
      <c r="AC19" s="1">
        <f>AB19/(AB19+战斗公式!$M$27)</f>
        <v>0.018556572202562</v>
      </c>
      <c r="AD19" s="1">
        <f t="shared" si="10"/>
        <v>1968.53776258337</v>
      </c>
      <c r="AE19" s="1">
        <f t="shared" si="11"/>
        <v>5.20575772400499</v>
      </c>
      <c r="AF19" s="1">
        <f t="shared" si="12"/>
        <v>3.34185354430677</v>
      </c>
      <c r="AG19" s="1">
        <f t="shared" si="13"/>
        <v>1.21024557292833</v>
      </c>
      <c r="AH19" s="1">
        <f t="shared" si="14"/>
        <v>0.31647141500525</v>
      </c>
      <c r="AI19" s="1">
        <f t="shared" si="15"/>
        <v>1.80308789050516</v>
      </c>
      <c r="AJ19" s="1">
        <f t="shared" si="16"/>
        <v>1.69449601007277</v>
      </c>
      <c r="AK19" s="1">
        <f t="shared" si="17"/>
        <v>1</v>
      </c>
      <c r="AL19" s="10">
        <f t="shared" si="18"/>
        <v>700</v>
      </c>
      <c r="AM19" s="10">
        <f t="shared" si="19"/>
        <v>215</v>
      </c>
      <c r="AN19" s="10">
        <f t="shared" si="20"/>
        <v>454</v>
      </c>
      <c r="AO19" s="1">
        <f t="shared" si="21"/>
        <v>761</v>
      </c>
      <c r="AP19" s="1">
        <f t="shared" si="22"/>
        <v>215</v>
      </c>
      <c r="AR19" s="1">
        <f t="shared" ref="AR19:AX19" si="47">ROUNDUP(AR$10*$AO19,0)</f>
        <v>761</v>
      </c>
      <c r="AS19" s="1">
        <f t="shared" si="47"/>
        <v>2283</v>
      </c>
      <c r="AT19" s="1">
        <f t="shared" si="47"/>
        <v>1370</v>
      </c>
      <c r="AU19" s="1">
        <f t="shared" si="47"/>
        <v>381</v>
      </c>
      <c r="AV19" s="1">
        <f t="shared" si="47"/>
        <v>115</v>
      </c>
      <c r="AW19" s="1">
        <f t="shared" si="47"/>
        <v>3044</v>
      </c>
      <c r="AX19" s="1">
        <f t="shared" si="47"/>
        <v>6849</v>
      </c>
      <c r="AY19" s="1">
        <f t="shared" si="24"/>
        <v>75730</v>
      </c>
      <c r="AZ19" s="1">
        <f t="shared" si="25"/>
        <v>37865</v>
      </c>
      <c r="BB19" s="1">
        <f t="shared" si="26"/>
        <v>8</v>
      </c>
    </row>
    <row r="20" spans="2:54">
      <c r="B20" s="4">
        <v>9</v>
      </c>
      <c r="C20" s="1">
        <f t="shared" ref="C20:I20" si="48">C$5+(C$6-C$5)*(POWER(C$7,$B20-1)-1)/(POWER(C$7,$B$3-1)-1)</f>
        <v>711.155168568227</v>
      </c>
      <c r="D20" s="1">
        <f t="shared" si="48"/>
        <v>213.346550570468</v>
      </c>
      <c r="E20" s="1">
        <f t="shared" si="48"/>
        <v>142.231033713645</v>
      </c>
      <c r="F20" s="1">
        <f t="shared" si="48"/>
        <v>1800.3928318183</v>
      </c>
      <c r="G20" s="1">
        <f t="shared" si="48"/>
        <v>540.117849545489</v>
      </c>
      <c r="H20" s="1">
        <f t="shared" si="48"/>
        <v>360.078566363659</v>
      </c>
      <c r="I20" s="1">
        <f t="shared" si="48"/>
        <v>0</v>
      </c>
      <c r="J20" s="1">
        <f>标准模型!$I$65/1*$B20/$B$3</f>
        <v>0.0648</v>
      </c>
      <c r="K20" s="1">
        <f>J20*标准模型!$J$63</f>
        <v>0.0648</v>
      </c>
      <c r="L20" s="1">
        <f t="shared" si="1"/>
        <v>2511.54800038653</v>
      </c>
      <c r="M20" s="1">
        <f t="shared" si="2"/>
        <v>767.289256592923</v>
      </c>
      <c r="N20" s="1">
        <f t="shared" si="3"/>
        <v>511.526171061949</v>
      </c>
      <c r="O20" s="1">
        <f t="shared" ref="O20:W20" si="49">O$5+(O$6-O$5)*(POWER(O$7,$B20-1)-1)/(POWER(O$7,$B$3-1)-1)</f>
        <v>0.50801800015941</v>
      </c>
      <c r="P20" s="1">
        <f t="shared" si="49"/>
        <v>0.00433677387745947</v>
      </c>
      <c r="Q20" s="1">
        <f t="shared" si="49"/>
        <v>0.279409900087676</v>
      </c>
      <c r="R20" s="1">
        <f t="shared" si="49"/>
        <v>1.00320720006376</v>
      </c>
      <c r="S20" s="1">
        <f t="shared" si="49"/>
        <v>0.0604234002072334</v>
      </c>
      <c r="T20" s="1">
        <f t="shared" si="49"/>
        <v>2.0312702006217</v>
      </c>
      <c r="U20" s="1">
        <f t="shared" si="49"/>
        <v>1</v>
      </c>
      <c r="V20" s="1">
        <f t="shared" si="49"/>
        <v>1.00874441726787</v>
      </c>
      <c r="W20" s="1">
        <f t="shared" si="49"/>
        <v>1.02565760051011</v>
      </c>
      <c r="X20" s="1">
        <f t="shared" si="5"/>
        <v>0.560036413936095</v>
      </c>
      <c r="Y20" s="1">
        <f t="shared" si="6"/>
        <v>0.873017087265406</v>
      </c>
      <c r="Z20" s="1">
        <f t="shared" si="7"/>
        <v>2192.6243198247</v>
      </c>
      <c r="AA20" s="1">
        <f t="shared" si="8"/>
        <v>767.289256592923</v>
      </c>
      <c r="AB20" s="1">
        <f t="shared" si="9"/>
        <v>511.526171061949</v>
      </c>
      <c r="AC20" s="1">
        <f>AB20/(AB20+战斗公式!$M$27)</f>
        <v>0.0208688013749977</v>
      </c>
      <c r="AD20" s="1">
        <f t="shared" si="10"/>
        <v>2239.35701661209</v>
      </c>
      <c r="AE20" s="1">
        <f t="shared" si="11"/>
        <v>5.21132255279858</v>
      </c>
      <c r="AF20" s="1">
        <f t="shared" si="12"/>
        <v>3.34303925651154</v>
      </c>
      <c r="AG20" s="1">
        <f t="shared" si="13"/>
        <v>1.23938638536242</v>
      </c>
      <c r="AH20" s="1">
        <f t="shared" si="14"/>
        <v>0.318843336377231</v>
      </c>
      <c r="AI20" s="1">
        <f t="shared" si="15"/>
        <v>1.76293349597946</v>
      </c>
      <c r="AJ20" s="1">
        <f t="shared" si="16"/>
        <v>1.68060542006392</v>
      </c>
      <c r="AK20" s="1">
        <f t="shared" si="17"/>
        <v>1</v>
      </c>
      <c r="AL20" s="10">
        <f t="shared" si="18"/>
        <v>813</v>
      </c>
      <c r="AM20" s="10">
        <f t="shared" si="19"/>
        <v>245</v>
      </c>
      <c r="AN20" s="10">
        <f t="shared" si="20"/>
        <v>512</v>
      </c>
      <c r="AO20" s="1">
        <f t="shared" si="21"/>
        <v>876</v>
      </c>
      <c r="AP20" s="1">
        <f t="shared" si="22"/>
        <v>245</v>
      </c>
      <c r="AR20" s="1">
        <f t="shared" ref="AR20:AX20" si="50">ROUNDUP(AR$10*$AO20,0)</f>
        <v>876</v>
      </c>
      <c r="AS20" s="1">
        <f t="shared" si="50"/>
        <v>2628</v>
      </c>
      <c r="AT20" s="1">
        <f t="shared" si="50"/>
        <v>1577</v>
      </c>
      <c r="AU20" s="1">
        <f t="shared" si="50"/>
        <v>438</v>
      </c>
      <c r="AV20" s="1">
        <f t="shared" si="50"/>
        <v>132</v>
      </c>
      <c r="AW20" s="1">
        <f t="shared" si="50"/>
        <v>3504</v>
      </c>
      <c r="AX20" s="1">
        <f t="shared" si="50"/>
        <v>7884</v>
      </c>
      <c r="AY20" s="1">
        <f t="shared" si="24"/>
        <v>85996</v>
      </c>
      <c r="AZ20" s="1">
        <f t="shared" si="25"/>
        <v>42998</v>
      </c>
      <c r="BB20" s="1">
        <f t="shared" si="26"/>
        <v>9</v>
      </c>
    </row>
    <row r="21" spans="2:54">
      <c r="B21" s="4">
        <v>10</v>
      </c>
      <c r="C21" s="1">
        <f t="shared" ref="C21:I21" si="51">C$5+(C$6-C$5)*(POWER(C$7,$B21-1)-1)/(POWER(C$7,$B$3-1)-1)</f>
        <v>790.174209055305</v>
      </c>
      <c r="D21" s="1">
        <f t="shared" si="51"/>
        <v>237.052262716591</v>
      </c>
      <c r="E21" s="1">
        <f t="shared" si="51"/>
        <v>158.034841811061</v>
      </c>
      <c r="F21" s="1">
        <f t="shared" si="51"/>
        <v>2000.44103558305</v>
      </c>
      <c r="G21" s="1">
        <f t="shared" si="51"/>
        <v>600.132310674915</v>
      </c>
      <c r="H21" s="1">
        <f t="shared" si="51"/>
        <v>400.08820711661</v>
      </c>
      <c r="I21" s="1">
        <f t="shared" si="51"/>
        <v>0</v>
      </c>
      <c r="J21" s="1">
        <f>标准模型!$I$65/1*$B21/$B$3</f>
        <v>0.072</v>
      </c>
      <c r="K21" s="1">
        <f>J21*标准模型!$J$63</f>
        <v>0.072</v>
      </c>
      <c r="L21" s="1">
        <f t="shared" si="1"/>
        <v>2790.61524463835</v>
      </c>
      <c r="M21" s="1">
        <f t="shared" si="2"/>
        <v>854.252336307101</v>
      </c>
      <c r="N21" s="1">
        <f t="shared" si="3"/>
        <v>569.501557538067</v>
      </c>
      <c r="O21" s="1">
        <f t="shared" ref="O21:W21" si="52">O$5+(O$6-O$5)*(POWER(O$7,$B21-1)-1)/(POWER(O$7,$B$3-1)-1)</f>
        <v>0.509020245669254</v>
      </c>
      <c r="P21" s="1">
        <f t="shared" si="52"/>
        <v>0.00488253616380521</v>
      </c>
      <c r="Q21" s="1">
        <f t="shared" si="52"/>
        <v>0.27996113511809</v>
      </c>
      <c r="R21" s="1">
        <f t="shared" si="52"/>
        <v>1.0036080982677</v>
      </c>
      <c r="S21" s="1">
        <f t="shared" si="52"/>
        <v>0.0617263193700299</v>
      </c>
      <c r="T21" s="1">
        <f t="shared" si="52"/>
        <v>2.03517895811009</v>
      </c>
      <c r="U21" s="1">
        <f t="shared" si="52"/>
        <v>1</v>
      </c>
      <c r="V21" s="1">
        <f t="shared" si="52"/>
        <v>1.00983746450766</v>
      </c>
      <c r="W21" s="1">
        <f t="shared" si="52"/>
        <v>1.02886478614161</v>
      </c>
      <c r="X21" s="1">
        <f t="shared" si="5"/>
        <v>0.564551199508762</v>
      </c>
      <c r="Y21" s="1">
        <f t="shared" si="6"/>
        <v>0.880683596558101</v>
      </c>
      <c r="Z21" s="1">
        <f t="shared" si="7"/>
        <v>2457.64907025797</v>
      </c>
      <c r="AA21" s="1">
        <f t="shared" si="8"/>
        <v>854.252336307101</v>
      </c>
      <c r="AB21" s="1">
        <f t="shared" si="9"/>
        <v>569.501557538067</v>
      </c>
      <c r="AC21" s="1">
        <f>AB21/(AB21+战斗公式!$M$27)</f>
        <v>0.0231792067984929</v>
      </c>
      <c r="AD21" s="1">
        <f t="shared" si="10"/>
        <v>2515.96719414939</v>
      </c>
      <c r="AE21" s="1">
        <f t="shared" si="11"/>
        <v>5.21693546366417</v>
      </c>
      <c r="AF21" s="1">
        <f t="shared" si="12"/>
        <v>3.34425119904808</v>
      </c>
      <c r="AG21" s="1">
        <f t="shared" si="13"/>
        <v>1.26830864170325</v>
      </c>
      <c r="AH21" s="1">
        <f t="shared" si="14"/>
        <v>0.321220001591956</v>
      </c>
      <c r="AI21" s="1">
        <f t="shared" si="15"/>
        <v>1.72478682118004</v>
      </c>
      <c r="AJ21" s="1">
        <f t="shared" si="16"/>
        <v>1.66699264185526</v>
      </c>
      <c r="AK21" s="1">
        <f t="shared" si="17"/>
        <v>1</v>
      </c>
      <c r="AL21" s="10">
        <f t="shared" si="18"/>
        <v>932</v>
      </c>
      <c r="AM21" s="10">
        <f t="shared" si="19"/>
        <v>274</v>
      </c>
      <c r="AN21" s="10">
        <f t="shared" si="20"/>
        <v>570</v>
      </c>
      <c r="AO21" s="1">
        <f t="shared" si="21"/>
        <v>996</v>
      </c>
      <c r="AP21" s="1">
        <f t="shared" si="22"/>
        <v>274</v>
      </c>
      <c r="AR21" s="1">
        <f t="shared" ref="AR21:AX21" si="53">ROUNDUP(AR$10*$AO21,0)</f>
        <v>996</v>
      </c>
      <c r="AS21" s="1">
        <f t="shared" si="53"/>
        <v>2988</v>
      </c>
      <c r="AT21" s="1">
        <f t="shared" si="53"/>
        <v>1793</v>
      </c>
      <c r="AU21" s="1">
        <f t="shared" si="53"/>
        <v>498</v>
      </c>
      <c r="AV21" s="1">
        <f t="shared" si="53"/>
        <v>150</v>
      </c>
      <c r="AW21" s="1">
        <f t="shared" si="53"/>
        <v>3984</v>
      </c>
      <c r="AX21" s="1">
        <f t="shared" si="53"/>
        <v>8964</v>
      </c>
      <c r="AY21" s="1">
        <f t="shared" si="24"/>
        <v>96450</v>
      </c>
      <c r="AZ21" s="1">
        <f t="shared" si="25"/>
        <v>48225</v>
      </c>
      <c r="BB21" s="1">
        <f t="shared" si="26"/>
        <v>10</v>
      </c>
    </row>
    <row r="22" spans="2:54">
      <c r="B22" s="4">
        <v>11</v>
      </c>
      <c r="C22" s="1">
        <f t="shared" ref="C22:I22" si="54">C$5+(C$6-C$5)*(POWER(C$7,$B22-1)-1)/(POWER(C$7,$B$3-1)-1)</f>
        <v>869.193170515685</v>
      </c>
      <c r="D22" s="1">
        <f t="shared" si="54"/>
        <v>260.757951154705</v>
      </c>
      <c r="E22" s="1">
        <f t="shared" si="54"/>
        <v>173.838634103137</v>
      </c>
      <c r="F22" s="1">
        <f t="shared" si="54"/>
        <v>2200.48903928022</v>
      </c>
      <c r="G22" s="1">
        <f t="shared" si="54"/>
        <v>660.146711784065</v>
      </c>
      <c r="H22" s="1">
        <f t="shared" si="54"/>
        <v>440.097807856043</v>
      </c>
      <c r="I22" s="1">
        <f t="shared" si="54"/>
        <v>0</v>
      </c>
      <c r="J22" s="1">
        <f>标准模型!$I$65/1*$B22/$B$3</f>
        <v>0.0792</v>
      </c>
      <c r="K22" s="1">
        <f>J22*标准模型!$J$63</f>
        <v>0.0792</v>
      </c>
      <c r="L22" s="1">
        <f t="shared" si="1"/>
        <v>3069.6822097959</v>
      </c>
      <c r="M22" s="1">
        <f t="shared" si="2"/>
        <v>941.556692670223</v>
      </c>
      <c r="N22" s="1">
        <f t="shared" si="3"/>
        <v>627.704461780148</v>
      </c>
      <c r="O22" s="1">
        <f t="shared" ref="O22:W22" si="55">O$5+(O$6-O$5)*(POWER(O$7,$B22-1)-1)/(POWER(O$7,$B$3-1)-1)</f>
        <v>0.510022490176755</v>
      </c>
      <c r="P22" s="1">
        <f t="shared" si="55"/>
        <v>0.00542911709358059</v>
      </c>
      <c r="Q22" s="1">
        <f t="shared" si="55"/>
        <v>0.280512369597215</v>
      </c>
      <c r="R22" s="1">
        <f t="shared" si="55"/>
        <v>1.0040089960707</v>
      </c>
      <c r="S22" s="1">
        <f t="shared" si="55"/>
        <v>0.063029237229781</v>
      </c>
      <c r="T22" s="1">
        <f t="shared" si="55"/>
        <v>2.03908771168934</v>
      </c>
      <c r="U22" s="1">
        <f t="shared" si="55"/>
        <v>1</v>
      </c>
      <c r="V22" s="1">
        <f t="shared" si="55"/>
        <v>1.01093051065431</v>
      </c>
      <c r="W22" s="1">
        <f t="shared" si="55"/>
        <v>1.03207196856561</v>
      </c>
      <c r="X22" s="1">
        <f t="shared" si="5"/>
        <v>0.569096674020542</v>
      </c>
      <c r="Y22" s="1">
        <f t="shared" si="6"/>
        <v>0.888408830376847</v>
      </c>
      <c r="Z22" s="1">
        <f t="shared" si="7"/>
        <v>2727.13278163339</v>
      </c>
      <c r="AA22" s="1">
        <f t="shared" si="8"/>
        <v>941.556692670223</v>
      </c>
      <c r="AB22" s="1">
        <f t="shared" si="9"/>
        <v>627.704461780148</v>
      </c>
      <c r="AC22" s="1">
        <f>AB22/(AB22+战斗公式!$M$27)</f>
        <v>0.0254877373063448</v>
      </c>
      <c r="AD22" s="1">
        <f t="shared" si="10"/>
        <v>2798.45917392082</v>
      </c>
      <c r="AE22" s="1">
        <f t="shared" si="11"/>
        <v>5.22259625856401</v>
      </c>
      <c r="AF22" s="1">
        <f t="shared" si="12"/>
        <v>3.34548921495993</v>
      </c>
      <c r="AG22" s="1">
        <f t="shared" si="13"/>
        <v>1.29701398112153</v>
      </c>
      <c r="AH22" s="1">
        <f t="shared" si="14"/>
        <v>0.32360142013711</v>
      </c>
      <c r="AI22" s="1">
        <f t="shared" si="15"/>
        <v>1.6885474801206</v>
      </c>
      <c r="AJ22" s="1">
        <f t="shared" si="16"/>
        <v>1.65365211921076</v>
      </c>
      <c r="AK22" s="1">
        <f t="shared" si="17"/>
        <v>1</v>
      </c>
      <c r="AL22" s="10">
        <f t="shared" si="18"/>
        <v>1057</v>
      </c>
      <c r="AM22" s="10">
        <f t="shared" si="19"/>
        <v>305</v>
      </c>
      <c r="AN22" s="10">
        <f t="shared" si="20"/>
        <v>628</v>
      </c>
      <c r="AO22" s="1">
        <f t="shared" si="21"/>
        <v>1120</v>
      </c>
      <c r="AP22" s="1">
        <f t="shared" si="22"/>
        <v>305</v>
      </c>
      <c r="AR22" s="1">
        <f t="shared" ref="AR22:AX22" si="56">ROUNDUP(AR$10*$AO22,0)</f>
        <v>1120</v>
      </c>
      <c r="AS22" s="1">
        <f t="shared" si="56"/>
        <v>3360</v>
      </c>
      <c r="AT22" s="1">
        <f t="shared" si="56"/>
        <v>2016</v>
      </c>
      <c r="AU22" s="1">
        <f t="shared" si="56"/>
        <v>560</v>
      </c>
      <c r="AV22" s="1">
        <f t="shared" si="56"/>
        <v>168</v>
      </c>
      <c r="AW22" s="1">
        <f t="shared" si="56"/>
        <v>4480</v>
      </c>
      <c r="AX22" s="1">
        <f t="shared" si="56"/>
        <v>10080</v>
      </c>
      <c r="AY22" s="1">
        <f t="shared" si="24"/>
        <v>107088</v>
      </c>
      <c r="AZ22" s="1">
        <f t="shared" si="25"/>
        <v>53544</v>
      </c>
      <c r="BB22" s="1">
        <f t="shared" si="26"/>
        <v>11</v>
      </c>
    </row>
    <row r="23" spans="2:54">
      <c r="B23" s="4">
        <v>12</v>
      </c>
      <c r="C23" s="1">
        <f t="shared" ref="C23:I23" si="57">C$5+(C$6-C$5)*(POWER(C$7,$B23-1)-1)/(POWER(C$7,$B$3-1)-1)</f>
        <v>948.212052966914</v>
      </c>
      <c r="D23" s="1">
        <f t="shared" si="57"/>
        <v>284.463615890074</v>
      </c>
      <c r="E23" s="1">
        <f t="shared" si="57"/>
        <v>189.642410593383</v>
      </c>
      <c r="F23" s="1">
        <f t="shared" si="57"/>
        <v>2400.53684295421</v>
      </c>
      <c r="G23" s="1">
        <f t="shared" si="57"/>
        <v>720.161052886264</v>
      </c>
      <c r="H23" s="1">
        <f t="shared" si="57"/>
        <v>480.107368590842</v>
      </c>
      <c r="I23" s="1">
        <f t="shared" si="57"/>
        <v>0</v>
      </c>
      <c r="J23" s="1">
        <f>标准模型!$I$65/1*$B23/$B$3</f>
        <v>0.0864</v>
      </c>
      <c r="K23" s="1">
        <f>J23*标准模型!$J$63</f>
        <v>0.0864</v>
      </c>
      <c r="L23" s="1">
        <f t="shared" si="1"/>
        <v>3348.74889592112</v>
      </c>
      <c r="M23" s="1">
        <f t="shared" si="2"/>
        <v>1029.20232518924</v>
      </c>
      <c r="N23" s="1">
        <f t="shared" si="3"/>
        <v>686.134883459493</v>
      </c>
      <c r="O23" s="1">
        <f t="shared" ref="O23:W23" si="58">O$5+(O$6-O$5)*(POWER(O$7,$B23-1)-1)/(POWER(O$7,$B$3-1)-1)</f>
        <v>0.511024733682135</v>
      </c>
      <c r="P23" s="1">
        <f t="shared" si="58"/>
        <v>0.00597651789475059</v>
      </c>
      <c r="Q23" s="1">
        <f t="shared" si="58"/>
        <v>0.281063603525174</v>
      </c>
      <c r="R23" s="1">
        <f t="shared" si="58"/>
        <v>1.00440989347285</v>
      </c>
      <c r="S23" s="1">
        <f t="shared" si="58"/>
        <v>0.0643321537867759</v>
      </c>
      <c r="T23" s="1">
        <f t="shared" si="58"/>
        <v>2.04299646136033</v>
      </c>
      <c r="U23" s="1">
        <f t="shared" si="58"/>
        <v>1</v>
      </c>
      <c r="V23" s="1">
        <f t="shared" si="58"/>
        <v>1.01202355570804</v>
      </c>
      <c r="W23" s="1">
        <f t="shared" si="58"/>
        <v>1.03527914778283</v>
      </c>
      <c r="X23" s="1">
        <f t="shared" si="5"/>
        <v>0.573673031288577</v>
      </c>
      <c r="Y23" s="1">
        <f t="shared" si="6"/>
        <v>0.896193204682933</v>
      </c>
      <c r="Z23" s="1">
        <f t="shared" si="7"/>
        <v>3001.12600471398</v>
      </c>
      <c r="AA23" s="1">
        <f t="shared" si="8"/>
        <v>1029.20232518924</v>
      </c>
      <c r="AB23" s="1">
        <f t="shared" si="9"/>
        <v>686.134883459493</v>
      </c>
      <c r="AC23" s="1">
        <f>AB23/(AB23+战斗公式!$M$27)</f>
        <v>0.0277943423180121</v>
      </c>
      <c r="AD23" s="1">
        <f t="shared" si="10"/>
        <v>3086.92505644281</v>
      </c>
      <c r="AE23" s="1">
        <f t="shared" si="11"/>
        <v>5.22830474135754</v>
      </c>
      <c r="AF23" s="1">
        <f t="shared" si="12"/>
        <v>3.34675314854252</v>
      </c>
      <c r="AG23" s="1">
        <f t="shared" si="13"/>
        <v>1.32550403049417</v>
      </c>
      <c r="AH23" s="1">
        <f t="shared" si="14"/>
        <v>0.325987601519354</v>
      </c>
      <c r="AI23" s="1">
        <f t="shared" si="15"/>
        <v>1.65412010611413</v>
      </c>
      <c r="AJ23" s="1">
        <f t="shared" si="16"/>
        <v>1.64057840701916</v>
      </c>
      <c r="AK23" s="1">
        <f t="shared" si="17"/>
        <v>1</v>
      </c>
      <c r="AL23" s="10">
        <f t="shared" si="18"/>
        <v>1189</v>
      </c>
      <c r="AM23" s="10">
        <f t="shared" si="19"/>
        <v>336</v>
      </c>
      <c r="AN23" s="10">
        <f t="shared" si="20"/>
        <v>686</v>
      </c>
      <c r="AO23" s="1">
        <f t="shared" si="21"/>
        <v>1248</v>
      </c>
      <c r="AP23" s="1">
        <f t="shared" si="22"/>
        <v>336</v>
      </c>
      <c r="AR23" s="1">
        <f t="shared" ref="AR23:AX23" si="59">ROUNDUP(AR$10*$AO23,0)</f>
        <v>1248</v>
      </c>
      <c r="AS23" s="1">
        <f t="shared" si="59"/>
        <v>3744</v>
      </c>
      <c r="AT23" s="1">
        <f t="shared" si="59"/>
        <v>2247</v>
      </c>
      <c r="AU23" s="1">
        <f t="shared" si="59"/>
        <v>624</v>
      </c>
      <c r="AV23" s="1">
        <f t="shared" si="59"/>
        <v>188</v>
      </c>
      <c r="AW23" s="1">
        <f t="shared" si="59"/>
        <v>4992</v>
      </c>
      <c r="AX23" s="1">
        <f t="shared" si="59"/>
        <v>11232</v>
      </c>
      <c r="AY23" s="1">
        <f t="shared" si="24"/>
        <v>118005</v>
      </c>
      <c r="AZ23" s="1">
        <f t="shared" si="25"/>
        <v>59002</v>
      </c>
      <c r="BB23" s="1">
        <f t="shared" si="26"/>
        <v>12</v>
      </c>
    </row>
    <row r="24" spans="2:54">
      <c r="B24" s="4">
        <v>13</v>
      </c>
      <c r="C24" s="1">
        <f t="shared" ref="C24:I24" si="60">C$5+(C$6-C$5)*(POWER(C$7,$B24-1)-1)/(POWER(C$7,$B$3-1)-1)</f>
        <v>1027.23085639144</v>
      </c>
      <c r="D24" s="1">
        <f t="shared" si="60"/>
        <v>308.169256917433</v>
      </c>
      <c r="E24" s="1">
        <f t="shared" si="60"/>
        <v>205.446171278289</v>
      </c>
      <c r="F24" s="1">
        <f t="shared" si="60"/>
        <v>2600.58444656062</v>
      </c>
      <c r="G24" s="1">
        <f t="shared" si="60"/>
        <v>780.175333968186</v>
      </c>
      <c r="H24" s="1">
        <f t="shared" si="60"/>
        <v>520.116889312124</v>
      </c>
      <c r="I24" s="1">
        <f t="shared" si="60"/>
        <v>0</v>
      </c>
      <c r="J24" s="1">
        <f>标准模型!$I$65/1*$B24/$B$3</f>
        <v>0.0936</v>
      </c>
      <c r="K24" s="1">
        <f>J24*标准模型!$J$63</f>
        <v>0.0936</v>
      </c>
      <c r="L24" s="1">
        <f t="shared" si="1"/>
        <v>3627.81530295206</v>
      </c>
      <c r="M24" s="1">
        <f t="shared" si="2"/>
        <v>1117.18923333309</v>
      </c>
      <c r="N24" s="1">
        <f t="shared" si="3"/>
        <v>744.792822222061</v>
      </c>
      <c r="O24" s="1">
        <f t="shared" ref="O24:W24" si="61">O$5+(O$6-O$5)*(POWER(O$7,$B24-1)-1)/(POWER(O$7,$B$3-1)-1)</f>
        <v>0.512026976185173</v>
      </c>
      <c r="P24" s="1">
        <f t="shared" si="61"/>
        <v>0.00652473979712226</v>
      </c>
      <c r="Q24" s="1">
        <f t="shared" si="61"/>
        <v>0.281614836901845</v>
      </c>
      <c r="R24" s="1">
        <f t="shared" si="61"/>
        <v>1.00481079047407</v>
      </c>
      <c r="S24" s="1">
        <f t="shared" si="61"/>
        <v>0.0656350690407255</v>
      </c>
      <c r="T24" s="1">
        <f t="shared" si="61"/>
        <v>2.04690520712218</v>
      </c>
      <c r="U24" s="1">
        <f t="shared" si="61"/>
        <v>1</v>
      </c>
      <c r="V24" s="1">
        <f t="shared" si="61"/>
        <v>1.01311659966862</v>
      </c>
      <c r="W24" s="1">
        <f t="shared" si="61"/>
        <v>1.03848632379256</v>
      </c>
      <c r="X24" s="1">
        <f t="shared" si="5"/>
        <v>0.578280466124641</v>
      </c>
      <c r="Y24" s="1">
        <f t="shared" si="6"/>
        <v>0.904037137941532</v>
      </c>
      <c r="Z24" s="1">
        <f t="shared" si="7"/>
        <v>3279.67976346128</v>
      </c>
      <c r="AA24" s="1">
        <f t="shared" si="8"/>
        <v>1117.18923333309</v>
      </c>
      <c r="AB24" s="1">
        <f t="shared" si="9"/>
        <v>744.792822222061</v>
      </c>
      <c r="AC24" s="1">
        <f>AB24/(AB24+战斗公式!$M$27)</f>
        <v>0.0300989718351248</v>
      </c>
      <c r="AD24" s="1">
        <f t="shared" si="10"/>
        <v>3381.45817792015</v>
      </c>
      <c r="AE24" s="1">
        <f t="shared" si="11"/>
        <v>5.23406071776378</v>
      </c>
      <c r="AF24" s="1">
        <f t="shared" si="12"/>
        <v>3.34804284532486</v>
      </c>
      <c r="AG24" s="1">
        <f t="shared" si="13"/>
        <v>1.35378040449652</v>
      </c>
      <c r="AH24" s="1">
        <f t="shared" si="14"/>
        <v>0.328378555264363</v>
      </c>
      <c r="AI24" s="1">
        <f t="shared" si="15"/>
        <v>1.62141410080798</v>
      </c>
      <c r="AJ24" s="1">
        <f t="shared" si="16"/>
        <v>1.62776616907139</v>
      </c>
      <c r="AK24" s="1">
        <f t="shared" si="17"/>
        <v>1</v>
      </c>
      <c r="AL24" s="10">
        <f t="shared" si="18"/>
        <v>1326</v>
      </c>
      <c r="AM24" s="10">
        <f t="shared" si="19"/>
        <v>367</v>
      </c>
      <c r="AN24" s="10">
        <f t="shared" si="20"/>
        <v>745</v>
      </c>
      <c r="AO24" s="1">
        <f t="shared" si="21"/>
        <v>1381</v>
      </c>
      <c r="AP24" s="1">
        <f t="shared" si="22"/>
        <v>367</v>
      </c>
      <c r="AR24" s="1">
        <f t="shared" ref="AR24:AX24" si="62">ROUNDUP(AR$10*$AO24,0)</f>
        <v>1381</v>
      </c>
      <c r="AS24" s="1">
        <f t="shared" si="62"/>
        <v>4143</v>
      </c>
      <c r="AT24" s="1">
        <f t="shared" si="62"/>
        <v>2486</v>
      </c>
      <c r="AU24" s="1">
        <f t="shared" si="62"/>
        <v>691</v>
      </c>
      <c r="AV24" s="1">
        <f t="shared" si="62"/>
        <v>208</v>
      </c>
      <c r="AW24" s="1">
        <f t="shared" si="62"/>
        <v>5524</v>
      </c>
      <c r="AX24" s="1">
        <f t="shared" si="62"/>
        <v>12429</v>
      </c>
      <c r="AY24" s="1">
        <f t="shared" si="24"/>
        <v>129000</v>
      </c>
      <c r="AZ24" s="1">
        <f t="shared" si="25"/>
        <v>64500</v>
      </c>
      <c r="BB24" s="1">
        <f t="shared" si="26"/>
        <v>13</v>
      </c>
    </row>
    <row r="25" spans="2:54">
      <c r="B25" s="4">
        <v>14</v>
      </c>
      <c r="C25" s="1">
        <f t="shared" ref="C25:I25" si="63">C$5+(C$6-C$5)*(POWER(C$7,$B25-1)-1)/(POWER(C$7,$B$3-1)-1)</f>
        <v>1106.24958079805</v>
      </c>
      <c r="D25" s="1">
        <f t="shared" si="63"/>
        <v>331.874874239415</v>
      </c>
      <c r="E25" s="1">
        <f t="shared" si="63"/>
        <v>221.24991615961</v>
      </c>
      <c r="F25" s="1">
        <f t="shared" si="63"/>
        <v>2800.63185012165</v>
      </c>
      <c r="G25" s="1">
        <f t="shared" si="63"/>
        <v>840.189555036495</v>
      </c>
      <c r="H25" s="1">
        <f t="shared" si="63"/>
        <v>560.12637002433</v>
      </c>
      <c r="I25" s="1">
        <f t="shared" si="63"/>
        <v>0</v>
      </c>
      <c r="J25" s="1">
        <f>标准模型!$I$65/1*$B25/$B$3</f>
        <v>0.1008</v>
      </c>
      <c r="K25" s="1">
        <f>J25*标准模型!$J$63</f>
        <v>0.1008</v>
      </c>
      <c r="L25" s="1">
        <f t="shared" si="1"/>
        <v>3906.8814309197</v>
      </c>
      <c r="M25" s="1">
        <f t="shared" si="2"/>
        <v>1205.51741659924</v>
      </c>
      <c r="N25" s="1">
        <f t="shared" si="3"/>
        <v>803.678277732829</v>
      </c>
      <c r="O25" s="1">
        <f t="shared" ref="O25:W25" si="64">O$5+(O$6-O$5)*(POWER(O$7,$B25-1)-1)/(POWER(O$7,$B$3-1)-1)</f>
        <v>0.51302921768598</v>
      </c>
      <c r="P25" s="1">
        <f t="shared" si="64"/>
        <v>0.0070737840323476</v>
      </c>
      <c r="Q25" s="1">
        <f t="shared" si="64"/>
        <v>0.282166069727289</v>
      </c>
      <c r="R25" s="1">
        <f t="shared" si="64"/>
        <v>1.00521168707439</v>
      </c>
      <c r="S25" s="1">
        <f t="shared" si="64"/>
        <v>0.0669379829917743</v>
      </c>
      <c r="T25" s="1">
        <f t="shared" si="64"/>
        <v>2.05081394897532</v>
      </c>
      <c r="U25" s="1">
        <f t="shared" si="64"/>
        <v>1</v>
      </c>
      <c r="V25" s="1">
        <f t="shared" si="64"/>
        <v>1.01420964253616</v>
      </c>
      <c r="W25" s="1">
        <f t="shared" si="64"/>
        <v>1.04169349659514</v>
      </c>
      <c r="X25" s="1">
        <f t="shared" si="5"/>
        <v>0.582919174340799</v>
      </c>
      <c r="Y25" s="1">
        <f t="shared" si="6"/>
        <v>0.911941051137472</v>
      </c>
      <c r="Z25" s="1">
        <f t="shared" si="7"/>
        <v>3562.84555878238</v>
      </c>
      <c r="AA25" s="1">
        <f t="shared" si="8"/>
        <v>1205.51741659924</v>
      </c>
      <c r="AB25" s="1">
        <f t="shared" si="9"/>
        <v>803.678277732829</v>
      </c>
      <c r="AC25" s="1">
        <f>AB25/(AB25+战斗公式!$M$27)</f>
        <v>0.0324015764409555</v>
      </c>
      <c r="AD25" s="1">
        <f t="shared" si="10"/>
        <v>3682.15312472031</v>
      </c>
      <c r="AE25" s="1">
        <f t="shared" si="11"/>
        <v>5.23986399535154</v>
      </c>
      <c r="AF25" s="1">
        <f t="shared" si="12"/>
        <v>3.34935815206323</v>
      </c>
      <c r="AG25" s="1">
        <f t="shared" si="13"/>
        <v>1.38184470569384</v>
      </c>
      <c r="AH25" s="1">
        <f t="shared" si="14"/>
        <v>0.330774290916862</v>
      </c>
      <c r="AI25" s="1">
        <f t="shared" si="15"/>
        <v>1.59034339576715</v>
      </c>
      <c r="AJ25" s="1">
        <f t="shared" si="16"/>
        <v>1.61521017588257</v>
      </c>
      <c r="AK25" s="1">
        <f t="shared" si="17"/>
        <v>1</v>
      </c>
      <c r="AL25" s="10">
        <f t="shared" si="18"/>
        <v>1470</v>
      </c>
      <c r="AM25" s="10">
        <f t="shared" si="19"/>
        <v>399</v>
      </c>
      <c r="AN25" s="10">
        <f t="shared" si="20"/>
        <v>804</v>
      </c>
      <c r="AO25" s="1">
        <f t="shared" si="21"/>
        <v>1518</v>
      </c>
      <c r="AP25" s="1">
        <f t="shared" si="22"/>
        <v>399</v>
      </c>
      <c r="AR25" s="1">
        <f t="shared" ref="AR25:AX25" si="65">ROUNDUP(AR$10*$AO25,0)</f>
        <v>1518</v>
      </c>
      <c r="AS25" s="1">
        <f t="shared" si="65"/>
        <v>4554</v>
      </c>
      <c r="AT25" s="1">
        <f t="shared" si="65"/>
        <v>2733</v>
      </c>
      <c r="AU25" s="1">
        <f t="shared" si="65"/>
        <v>759</v>
      </c>
      <c r="AV25" s="1">
        <f t="shared" si="65"/>
        <v>228</v>
      </c>
      <c r="AW25" s="1">
        <f t="shared" si="65"/>
        <v>6072</v>
      </c>
      <c r="AX25" s="1">
        <f t="shared" si="65"/>
        <v>13662</v>
      </c>
      <c r="AY25" s="1">
        <f t="shared" si="24"/>
        <v>140268</v>
      </c>
      <c r="AZ25" s="1">
        <f t="shared" si="25"/>
        <v>70134</v>
      </c>
      <c r="BB25" s="1">
        <f t="shared" si="26"/>
        <v>14</v>
      </c>
    </row>
    <row r="26" spans="2:54">
      <c r="B26" s="4">
        <v>15</v>
      </c>
      <c r="C26" s="1">
        <f t="shared" ref="C26:I26" si="66">C$5+(C$6-C$5)*(POWER(C$7,$B26-1)-1)/(POWER(C$7,$B$3-1)-1)</f>
        <v>1185.26822618673</v>
      </c>
      <c r="D26" s="1">
        <f t="shared" si="66"/>
        <v>355.58046785602</v>
      </c>
      <c r="E26" s="1">
        <f t="shared" si="66"/>
        <v>237.053645237347</v>
      </c>
      <c r="F26" s="1">
        <f t="shared" si="66"/>
        <v>3000.6790536373</v>
      </c>
      <c r="G26" s="1">
        <f t="shared" si="66"/>
        <v>900.20371609119</v>
      </c>
      <c r="H26" s="1">
        <f t="shared" si="66"/>
        <v>600.13581072746</v>
      </c>
      <c r="I26" s="1">
        <f t="shared" si="66"/>
        <v>0</v>
      </c>
      <c r="J26" s="1">
        <f>标准模型!$I$65/1*$B26/$B$3</f>
        <v>0.108</v>
      </c>
      <c r="K26" s="1">
        <f>J26*标准模型!$J$63</f>
        <v>0.108</v>
      </c>
      <c r="L26" s="1">
        <f t="shared" si="1"/>
        <v>4185.94727982403</v>
      </c>
      <c r="M26" s="1">
        <f t="shared" si="2"/>
        <v>1294.18687447566</v>
      </c>
      <c r="N26" s="1">
        <f t="shared" si="3"/>
        <v>862.79124965044</v>
      </c>
      <c r="O26" s="1">
        <f t="shared" ref="O26:W26" si="67">O$5+(O$6-O$5)*(POWER(O$7,$B26-1)-1)/(POWER(O$7,$B$3-1)-1)</f>
        <v>0.514031458184556</v>
      </c>
      <c r="P26" s="1">
        <f t="shared" si="67"/>
        <v>0.0076236518339257</v>
      </c>
      <c r="Q26" s="1">
        <f t="shared" si="67"/>
        <v>0.282717302001506</v>
      </c>
      <c r="R26" s="1">
        <f t="shared" si="67"/>
        <v>1.00561258327382</v>
      </c>
      <c r="S26" s="1">
        <f t="shared" si="67"/>
        <v>0.0682408956399223</v>
      </c>
      <c r="T26" s="1">
        <f t="shared" si="67"/>
        <v>2.05472268691977</v>
      </c>
      <c r="U26" s="1">
        <f t="shared" si="67"/>
        <v>1</v>
      </c>
      <c r="V26" s="1">
        <f t="shared" si="67"/>
        <v>1.01530268431068</v>
      </c>
      <c r="W26" s="1">
        <f t="shared" si="67"/>
        <v>1.04490066619058</v>
      </c>
      <c r="X26" s="1">
        <f t="shared" si="5"/>
        <v>0.587589352750254</v>
      </c>
      <c r="Y26" s="1">
        <f t="shared" si="6"/>
        <v>0.91990536778234</v>
      </c>
      <c r="Z26" s="1">
        <f t="shared" si="7"/>
        <v>3850.67537196401</v>
      </c>
      <c r="AA26" s="1">
        <f t="shared" si="8"/>
        <v>1294.18687447566</v>
      </c>
      <c r="AB26" s="1">
        <f t="shared" si="9"/>
        <v>862.79124965044</v>
      </c>
      <c r="AC26" s="1">
        <f>AB26/(AB26+战斗公式!$M$27)</f>
        <v>0.0347021072970868</v>
      </c>
      <c r="AD26" s="1">
        <f t="shared" si="10"/>
        <v>3989.10574763797</v>
      </c>
      <c r="AE26" s="1">
        <f t="shared" si="11"/>
        <v>5.24571438350837</v>
      </c>
      <c r="AF26" s="1">
        <f t="shared" si="12"/>
        <v>3.35069891672563</v>
      </c>
      <c r="AG26" s="1">
        <f t="shared" si="13"/>
        <v>1.40969852463219</v>
      </c>
      <c r="AH26" s="1">
        <f t="shared" si="14"/>
        <v>0.333174818040666</v>
      </c>
      <c r="AI26" s="1">
        <f t="shared" si="15"/>
        <v>1.56082622597835</v>
      </c>
      <c r="AJ26" s="1">
        <f t="shared" si="16"/>
        <v>1.60290530255753</v>
      </c>
      <c r="AK26" s="1">
        <f t="shared" si="17"/>
        <v>1</v>
      </c>
      <c r="AL26" s="10">
        <f t="shared" si="18"/>
        <v>1620</v>
      </c>
      <c r="AM26" s="10">
        <f t="shared" si="19"/>
        <v>431</v>
      </c>
      <c r="AN26" s="10">
        <f t="shared" si="20"/>
        <v>863</v>
      </c>
      <c r="AO26" s="1">
        <f t="shared" si="21"/>
        <v>1659</v>
      </c>
      <c r="AP26" s="1">
        <f t="shared" si="22"/>
        <v>431</v>
      </c>
      <c r="AR26" s="1">
        <f t="shared" ref="AR26:AX26" si="68">ROUNDUP(AR$10*$AO26,0)</f>
        <v>1659</v>
      </c>
      <c r="AS26" s="1">
        <f t="shared" si="68"/>
        <v>4977</v>
      </c>
      <c r="AT26" s="1">
        <f t="shared" si="68"/>
        <v>2987</v>
      </c>
      <c r="AU26" s="1">
        <f t="shared" si="68"/>
        <v>830</v>
      </c>
      <c r="AV26" s="1">
        <f t="shared" si="68"/>
        <v>249</v>
      </c>
      <c r="AW26" s="1">
        <f t="shared" si="68"/>
        <v>6636</v>
      </c>
      <c r="AX26" s="1">
        <f t="shared" si="68"/>
        <v>14931</v>
      </c>
      <c r="AY26" s="1">
        <f t="shared" si="24"/>
        <v>151712</v>
      </c>
      <c r="AZ26" s="1">
        <f t="shared" si="25"/>
        <v>75856</v>
      </c>
      <c r="BB26" s="1">
        <f t="shared" si="26"/>
        <v>15</v>
      </c>
    </row>
    <row r="27" spans="2:54">
      <c r="B27" s="4">
        <v>16</v>
      </c>
      <c r="C27" s="1">
        <f t="shared" ref="C27:I27" si="69">C$5+(C$6-C$5)*(POWER(C$7,$B27-1)-1)/(POWER(C$7,$B$3-1)-1)</f>
        <v>1264.28679255749</v>
      </c>
      <c r="D27" s="1">
        <f t="shared" si="69"/>
        <v>379.286037767247</v>
      </c>
      <c r="E27" s="1">
        <f t="shared" si="69"/>
        <v>252.857358511498</v>
      </c>
      <c r="F27" s="1">
        <f t="shared" si="69"/>
        <v>3200.72605710757</v>
      </c>
      <c r="G27" s="1">
        <f t="shared" si="69"/>
        <v>960.217817132271</v>
      </c>
      <c r="H27" s="1">
        <f t="shared" si="69"/>
        <v>640.145211421514</v>
      </c>
      <c r="I27" s="1">
        <f t="shared" si="69"/>
        <v>0</v>
      </c>
      <c r="J27" s="1">
        <f>标准模型!$I$65/1*$B27/$B$3</f>
        <v>0.1152</v>
      </c>
      <c r="K27" s="1">
        <f>J27*标准模型!$J$63</f>
        <v>0.1152</v>
      </c>
      <c r="L27" s="1">
        <f t="shared" si="1"/>
        <v>4465.01284966506</v>
      </c>
      <c r="M27" s="1">
        <f t="shared" si="2"/>
        <v>1383.19760645031</v>
      </c>
      <c r="N27" s="1">
        <f t="shared" si="3"/>
        <v>922.131737633537</v>
      </c>
      <c r="O27" s="1">
        <f t="shared" ref="O27:W27" si="70">O$5+(O$6-O$5)*(POWER(O$7,$B27-1)-1)/(POWER(O$7,$B$3-1)-1)</f>
        <v>0.5150336976809</v>
      </c>
      <c r="P27" s="1">
        <f t="shared" si="70"/>
        <v>0.00817434443720618</v>
      </c>
      <c r="Q27" s="1">
        <f t="shared" si="70"/>
        <v>0.283268533724495</v>
      </c>
      <c r="R27" s="1">
        <f t="shared" si="70"/>
        <v>1.00601347907236</v>
      </c>
      <c r="S27" s="1">
        <f t="shared" si="70"/>
        <v>0.0695438069851696</v>
      </c>
      <c r="T27" s="1">
        <f t="shared" si="70"/>
        <v>2.05863142095551</v>
      </c>
      <c r="U27" s="1">
        <f t="shared" si="70"/>
        <v>1</v>
      </c>
      <c r="V27" s="1">
        <f t="shared" si="70"/>
        <v>1.01639572499216</v>
      </c>
      <c r="W27" s="1">
        <f t="shared" si="70"/>
        <v>1.04810783257888</v>
      </c>
      <c r="X27" s="1">
        <f t="shared" si="5"/>
        <v>0.59229119917037</v>
      </c>
      <c r="Y27" s="1">
        <f t="shared" si="6"/>
        <v>0.927930513925527</v>
      </c>
      <c r="Z27" s="1">
        <f t="shared" si="7"/>
        <v>4143.22166827378</v>
      </c>
      <c r="AA27" s="1">
        <f t="shared" si="8"/>
        <v>1383.19760645031</v>
      </c>
      <c r="AB27" s="1">
        <f t="shared" si="9"/>
        <v>922.131737633537</v>
      </c>
      <c r="AC27" s="1">
        <f>AB27/(AB27+战斗公式!$M$27)</f>
        <v>0.0370005161412848</v>
      </c>
      <c r="AD27" s="1">
        <f t="shared" si="10"/>
        <v>4302.41317645571</v>
      </c>
      <c r="AE27" s="1">
        <f t="shared" si="11"/>
        <v>5.25161169341973</v>
      </c>
      <c r="AF27" s="1">
        <f t="shared" si="12"/>
        <v>3.35206498848075</v>
      </c>
      <c r="AG27" s="1">
        <f t="shared" si="13"/>
        <v>1.4373434399285</v>
      </c>
      <c r="AH27" s="1">
        <f t="shared" si="14"/>
        <v>0.335580146218717</v>
      </c>
      <c r="AI27" s="1">
        <f t="shared" si="15"/>
        <v>1.53278491467899</v>
      </c>
      <c r="AJ27" s="1">
        <f t="shared" si="16"/>
        <v>1.59084652669899</v>
      </c>
      <c r="AK27" s="1">
        <f t="shared" si="17"/>
        <v>1</v>
      </c>
      <c r="AL27" s="10">
        <f t="shared" si="18"/>
        <v>1777</v>
      </c>
      <c r="AM27" s="10">
        <f t="shared" si="19"/>
        <v>464</v>
      </c>
      <c r="AN27" s="10">
        <f t="shared" si="20"/>
        <v>922</v>
      </c>
      <c r="AO27" s="1">
        <f t="shared" si="21"/>
        <v>1804</v>
      </c>
      <c r="AP27" s="1">
        <f t="shared" si="22"/>
        <v>464</v>
      </c>
      <c r="AR27" s="1">
        <f t="shared" ref="AR27:AX27" si="71">ROUNDUP(AR$10*$AO27,0)</f>
        <v>1804</v>
      </c>
      <c r="AS27" s="1">
        <f t="shared" si="71"/>
        <v>5412</v>
      </c>
      <c r="AT27" s="1">
        <f t="shared" si="71"/>
        <v>3248</v>
      </c>
      <c r="AU27" s="1">
        <f t="shared" si="71"/>
        <v>902</v>
      </c>
      <c r="AV27" s="1">
        <f t="shared" si="71"/>
        <v>271</v>
      </c>
      <c r="AW27" s="1">
        <f t="shared" si="71"/>
        <v>7216</v>
      </c>
      <c r="AX27" s="1">
        <f t="shared" si="71"/>
        <v>16236</v>
      </c>
      <c r="AY27" s="1">
        <f t="shared" si="24"/>
        <v>163426</v>
      </c>
      <c r="AZ27" s="1">
        <f t="shared" si="25"/>
        <v>81713</v>
      </c>
      <c r="BB27" s="1">
        <f t="shared" si="26"/>
        <v>16</v>
      </c>
    </row>
    <row r="28" spans="2:54">
      <c r="B28" s="4">
        <v>17</v>
      </c>
      <c r="C28" s="1">
        <f t="shared" ref="C28:I28" si="72">C$5+(C$6-C$5)*(POWER(C$7,$B28-1)-1)/(POWER(C$7,$B$3-1)-1)</f>
        <v>1343.30527991032</v>
      </c>
      <c r="D28" s="1">
        <f t="shared" si="72"/>
        <v>402.991583973097</v>
      </c>
      <c r="E28" s="1">
        <f t="shared" si="72"/>
        <v>268.661055982065</v>
      </c>
      <c r="F28" s="1">
        <f t="shared" si="72"/>
        <v>3400.77286053246</v>
      </c>
      <c r="G28" s="1">
        <f t="shared" si="72"/>
        <v>1020.23185815974</v>
      </c>
      <c r="H28" s="1">
        <f t="shared" si="72"/>
        <v>680.154572106493</v>
      </c>
      <c r="I28" s="1">
        <f t="shared" si="72"/>
        <v>0</v>
      </c>
      <c r="J28" s="1">
        <f>标准模型!$I$65/1*$B28/$B$3</f>
        <v>0.1224</v>
      </c>
      <c r="K28" s="1">
        <f>J28*标准模型!$J$63</f>
        <v>0.1224</v>
      </c>
      <c r="L28" s="1">
        <f t="shared" si="1"/>
        <v>4744.07814044278</v>
      </c>
      <c r="M28" s="1">
        <f t="shared" si="2"/>
        <v>1472.54961201114</v>
      </c>
      <c r="N28" s="1">
        <f t="shared" si="3"/>
        <v>981.699741340762</v>
      </c>
      <c r="O28" s="1">
        <f t="shared" ref="O28:W28" si="73">O$5+(O$6-O$5)*(POWER(O$7,$B28-1)-1)/(POWER(O$7,$B$3-1)-1)</f>
        <v>0.516035936175012</v>
      </c>
      <c r="P28" s="1">
        <f t="shared" si="73"/>
        <v>0.00872586307939166</v>
      </c>
      <c r="Q28" s="1">
        <f t="shared" si="73"/>
        <v>0.283819764896257</v>
      </c>
      <c r="R28" s="1">
        <f t="shared" si="73"/>
        <v>1.00641437447</v>
      </c>
      <c r="S28" s="1">
        <f t="shared" si="73"/>
        <v>0.070846717027516</v>
      </c>
      <c r="T28" s="1">
        <f t="shared" si="73"/>
        <v>2.06254015108255</v>
      </c>
      <c r="U28" s="1">
        <f t="shared" si="73"/>
        <v>1</v>
      </c>
      <c r="V28" s="1">
        <f t="shared" si="73"/>
        <v>1.01748876458061</v>
      </c>
      <c r="W28" s="1">
        <f t="shared" si="73"/>
        <v>1.05131499576004</v>
      </c>
      <c r="X28" s="1">
        <f t="shared" si="5"/>
        <v>0.59702491242527</v>
      </c>
      <c r="Y28" s="1">
        <f t="shared" si="6"/>
        <v>0.936016918164534</v>
      </c>
      <c r="Z28" s="1">
        <f t="shared" si="7"/>
        <v>4440.53740054899</v>
      </c>
      <c r="AA28" s="1">
        <f t="shared" si="8"/>
        <v>1472.54961201114</v>
      </c>
      <c r="AB28" s="1">
        <f t="shared" si="9"/>
        <v>981.699741340762</v>
      </c>
      <c r="AC28" s="1">
        <f>AB28/(AB28+战斗公式!$M$27)</f>
        <v>0.0392967552850779</v>
      </c>
      <c r="AD28" s="1">
        <f t="shared" si="10"/>
        <v>4622.17383461286</v>
      </c>
      <c r="AE28" s="1">
        <f t="shared" si="11"/>
        <v>5.25755573804656</v>
      </c>
      <c r="AF28" s="1">
        <f t="shared" si="12"/>
        <v>3.35345621768609</v>
      </c>
      <c r="AG28" s="1">
        <f t="shared" si="13"/>
        <v>1.46478101836009</v>
      </c>
      <c r="AH28" s="1">
        <f t="shared" si="14"/>
        <v>0.337990285053125</v>
      </c>
      <c r="AI28" s="1">
        <f t="shared" si="15"/>
        <v>1.5061456689446</v>
      </c>
      <c r="AJ28" s="1">
        <f t="shared" si="16"/>
        <v>1.57902892635763</v>
      </c>
      <c r="AK28" s="1">
        <f t="shared" si="17"/>
        <v>1</v>
      </c>
      <c r="AL28" s="10">
        <f t="shared" si="18"/>
        <v>1940</v>
      </c>
      <c r="AM28" s="10">
        <f t="shared" si="19"/>
        <v>498</v>
      </c>
      <c r="AN28" s="10">
        <f t="shared" si="20"/>
        <v>982</v>
      </c>
      <c r="AO28" s="1">
        <f t="shared" si="21"/>
        <v>1954</v>
      </c>
      <c r="AP28" s="1">
        <f t="shared" si="22"/>
        <v>498</v>
      </c>
      <c r="AR28" s="1">
        <f t="shared" ref="AR28:AX28" si="74">ROUNDUP(AR$10*$AO28,0)</f>
        <v>1954</v>
      </c>
      <c r="AS28" s="1">
        <f t="shared" si="74"/>
        <v>5862</v>
      </c>
      <c r="AT28" s="1">
        <f t="shared" si="74"/>
        <v>3518</v>
      </c>
      <c r="AU28" s="1">
        <f t="shared" si="74"/>
        <v>977</v>
      </c>
      <c r="AV28" s="1">
        <f t="shared" si="74"/>
        <v>294</v>
      </c>
      <c r="AW28" s="1">
        <f t="shared" si="74"/>
        <v>7816</v>
      </c>
      <c r="AX28" s="1">
        <f t="shared" si="74"/>
        <v>17586</v>
      </c>
      <c r="AY28" s="1">
        <f t="shared" si="24"/>
        <v>175315</v>
      </c>
      <c r="AZ28" s="1">
        <f t="shared" si="25"/>
        <v>87658</v>
      </c>
      <c r="BB28" s="1">
        <f t="shared" si="26"/>
        <v>17</v>
      </c>
    </row>
    <row r="29" spans="2:54">
      <c r="B29" s="4">
        <v>18</v>
      </c>
      <c r="C29" s="1">
        <f t="shared" ref="C29:I29" si="75">C$5+(C$6-C$5)*(POWER(C$7,$B29-1)-1)/(POWER(C$7,$B$3-1)-1)</f>
        <v>1422.32368824523</v>
      </c>
      <c r="D29" s="1">
        <f t="shared" si="75"/>
        <v>426.69710647357</v>
      </c>
      <c r="E29" s="1">
        <f t="shared" si="75"/>
        <v>284.464737649046</v>
      </c>
      <c r="F29" s="1">
        <f t="shared" si="75"/>
        <v>3600.81946391198</v>
      </c>
      <c r="G29" s="1">
        <f t="shared" si="75"/>
        <v>1080.24583917359</v>
      </c>
      <c r="H29" s="1">
        <f t="shared" si="75"/>
        <v>720.163892782396</v>
      </c>
      <c r="I29" s="1">
        <f t="shared" si="75"/>
        <v>0</v>
      </c>
      <c r="J29" s="1">
        <f>标准模型!$I$65/1*$B29/$B$3</f>
        <v>0.1296</v>
      </c>
      <c r="K29" s="1">
        <f>J29*标准模型!$J$63</f>
        <v>0.1296</v>
      </c>
      <c r="L29" s="1">
        <f t="shared" si="1"/>
        <v>5023.14315215721</v>
      </c>
      <c r="M29" s="1">
        <f t="shared" si="2"/>
        <v>1562.24289064614</v>
      </c>
      <c r="N29" s="1">
        <f t="shared" si="3"/>
        <v>1041.49526043076</v>
      </c>
      <c r="O29" s="1">
        <f t="shared" ref="O29:W29" si="76">O$5+(O$6-O$5)*(POWER(O$7,$B29-1)-1)/(POWER(O$7,$B$3-1)-1)</f>
        <v>0.517038173666894</v>
      </c>
      <c r="P29" s="1">
        <f t="shared" si="76"/>
        <v>0.0092782089995403</v>
      </c>
      <c r="Q29" s="1">
        <f t="shared" si="76"/>
        <v>0.284370995516792</v>
      </c>
      <c r="R29" s="1">
        <f t="shared" si="76"/>
        <v>1.00681526946676</v>
      </c>
      <c r="S29" s="1">
        <f t="shared" si="76"/>
        <v>0.0721496257669618</v>
      </c>
      <c r="T29" s="1">
        <f t="shared" si="76"/>
        <v>2.06644887730089</v>
      </c>
      <c r="U29" s="1">
        <f t="shared" si="76"/>
        <v>1</v>
      </c>
      <c r="V29" s="1">
        <f t="shared" si="76"/>
        <v>1.01858180307603</v>
      </c>
      <c r="W29" s="1">
        <f t="shared" si="76"/>
        <v>1.05452215573406</v>
      </c>
      <c r="X29" s="1">
        <f t="shared" si="5"/>
        <v>0.601790692348454</v>
      </c>
      <c r="Y29" s="1">
        <f t="shared" si="6"/>
        <v>0.944165011655304</v>
      </c>
      <c r="Z29" s="1">
        <f t="shared" si="7"/>
        <v>4742.67601280277</v>
      </c>
      <c r="AA29" s="1">
        <f t="shared" si="8"/>
        <v>1562.24289064614</v>
      </c>
      <c r="AB29" s="1">
        <f t="shared" si="9"/>
        <v>1041.49526043076</v>
      </c>
      <c r="AC29" s="1">
        <f>AB29/(AB29+战斗公式!$M$27)</f>
        <v>0.0415907776112904</v>
      </c>
      <c r="AD29" s="1">
        <f t="shared" si="10"/>
        <v>4948.48745401497</v>
      </c>
      <c r="AE29" s="1">
        <f t="shared" si="11"/>
        <v>5.2635463321029</v>
      </c>
      <c r="AF29" s="1">
        <f t="shared" si="12"/>
        <v>3.35487245587616</v>
      </c>
      <c r="AG29" s="1">
        <f t="shared" si="13"/>
        <v>1.49201281495344</v>
      </c>
      <c r="AH29" s="1">
        <f t="shared" si="14"/>
        <v>0.340405244165201</v>
      </c>
      <c r="AI29" s="1">
        <f t="shared" si="15"/>
        <v>1.48083838549693</v>
      </c>
      <c r="AJ29" s="1">
        <f t="shared" si="16"/>
        <v>1.56744767802309</v>
      </c>
      <c r="AK29" s="1">
        <f t="shared" si="17"/>
        <v>1</v>
      </c>
      <c r="AL29" s="10">
        <f t="shared" si="18"/>
        <v>2109</v>
      </c>
      <c r="AM29" s="10">
        <f t="shared" si="19"/>
        <v>532</v>
      </c>
      <c r="AN29" s="10">
        <f t="shared" si="20"/>
        <v>1041</v>
      </c>
      <c r="AO29" s="1">
        <f t="shared" si="21"/>
        <v>2107</v>
      </c>
      <c r="AP29" s="1">
        <f t="shared" si="22"/>
        <v>532</v>
      </c>
      <c r="AR29" s="1">
        <f t="shared" ref="AR29:AX29" si="77">ROUNDUP(AR$10*$AO29,0)</f>
        <v>2107</v>
      </c>
      <c r="AS29" s="1">
        <f t="shared" si="77"/>
        <v>6321</v>
      </c>
      <c r="AT29" s="1">
        <f t="shared" si="77"/>
        <v>3793</v>
      </c>
      <c r="AU29" s="1">
        <f t="shared" si="77"/>
        <v>1054</v>
      </c>
      <c r="AV29" s="1">
        <f t="shared" si="77"/>
        <v>317</v>
      </c>
      <c r="AW29" s="1">
        <f t="shared" si="77"/>
        <v>8428</v>
      </c>
      <c r="AX29" s="1">
        <f t="shared" si="77"/>
        <v>18963</v>
      </c>
      <c r="AY29" s="1">
        <f t="shared" si="24"/>
        <v>187385</v>
      </c>
      <c r="AZ29" s="1">
        <f t="shared" si="25"/>
        <v>93693</v>
      </c>
      <c r="BB29" s="1">
        <f t="shared" si="26"/>
        <v>18</v>
      </c>
    </row>
    <row r="30" spans="2:54">
      <c r="B30" s="4">
        <v>19</v>
      </c>
      <c r="C30" s="1">
        <f t="shared" ref="C30:I30" si="78">C$5+(C$6-C$5)*(POWER(C$7,$B30-1)-1)/(POWER(C$7,$B$3-1)-1)</f>
        <v>1501.34201756222</v>
      </c>
      <c r="D30" s="1">
        <f t="shared" si="78"/>
        <v>450.402605268665</v>
      </c>
      <c r="E30" s="1">
        <f t="shared" si="78"/>
        <v>300.268403512443</v>
      </c>
      <c r="F30" s="1">
        <f t="shared" si="78"/>
        <v>3800.86586724612</v>
      </c>
      <c r="G30" s="1">
        <f t="shared" si="78"/>
        <v>1140.25976017383</v>
      </c>
      <c r="H30" s="1">
        <f t="shared" si="78"/>
        <v>760.173173449223</v>
      </c>
      <c r="I30" s="1">
        <f t="shared" si="78"/>
        <v>0</v>
      </c>
      <c r="J30" s="1">
        <f>标准模型!$I$65/1*$B30/$B$3</f>
        <v>0.1368</v>
      </c>
      <c r="K30" s="1">
        <f>J30*标准模型!$J$63</f>
        <v>0.1368</v>
      </c>
      <c r="L30" s="1">
        <f t="shared" si="1"/>
        <v>5302.20788480834</v>
      </c>
      <c r="M30" s="1">
        <f t="shared" si="2"/>
        <v>1652.27744184325</v>
      </c>
      <c r="N30" s="1">
        <f t="shared" si="3"/>
        <v>1101.51829456217</v>
      </c>
      <c r="O30" s="1">
        <f t="shared" ref="O30:W30" si="79">O$5+(O$6-O$5)*(POWER(O$7,$B30-1)-1)/(POWER(O$7,$B$3-1)-1)</f>
        <v>0.518040410156544</v>
      </c>
      <c r="P30" s="1">
        <f t="shared" si="79"/>
        <v>0.0098313834385693</v>
      </c>
      <c r="Q30" s="1">
        <f t="shared" si="79"/>
        <v>0.284922225586099</v>
      </c>
      <c r="R30" s="1">
        <f t="shared" si="79"/>
        <v>1.00721616406262</v>
      </c>
      <c r="S30" s="1">
        <f t="shared" si="79"/>
        <v>0.0734525332035068</v>
      </c>
      <c r="T30" s="1">
        <f t="shared" si="79"/>
        <v>2.07035759961052</v>
      </c>
      <c r="U30" s="1">
        <f t="shared" si="79"/>
        <v>1</v>
      </c>
      <c r="V30" s="1">
        <f t="shared" si="79"/>
        <v>1.01967484047842</v>
      </c>
      <c r="W30" s="1">
        <f t="shared" si="79"/>
        <v>1.05772931250094</v>
      </c>
      <c r="X30" s="1">
        <f t="shared" si="5"/>
        <v>0.606588739785396</v>
      </c>
      <c r="Y30" s="1">
        <f t="shared" si="6"/>
        <v>0.952375228122561</v>
      </c>
      <c r="Z30" s="1">
        <f t="shared" si="7"/>
        <v>5049.69144384758</v>
      </c>
      <c r="AA30" s="1">
        <f t="shared" si="8"/>
        <v>1652.27744184325</v>
      </c>
      <c r="AB30" s="1">
        <f t="shared" si="9"/>
        <v>1101.51829456217</v>
      </c>
      <c r="AC30" s="1">
        <f>AB30/(AB30+战斗公式!$M$27)</f>
        <v>0.0438825365715346</v>
      </c>
      <c r="AD30" s="1">
        <f t="shared" si="10"/>
        <v>5281.45508998475</v>
      </c>
      <c r="AE30" s="1">
        <f t="shared" si="11"/>
        <v>5.26958329203445</v>
      </c>
      <c r="AF30" s="1">
        <f t="shared" si="12"/>
        <v>3.35631355575116</v>
      </c>
      <c r="AG30" s="1">
        <f t="shared" si="13"/>
        <v>1.51904037307235</v>
      </c>
      <c r="AH30" s="1">
        <f t="shared" si="14"/>
        <v>0.342825033195502</v>
      </c>
      <c r="AI30" s="1">
        <f t="shared" si="15"/>
        <v>1.45679646622164</v>
      </c>
      <c r="AJ30" s="1">
        <f t="shared" si="16"/>
        <v>1.55609805465524</v>
      </c>
      <c r="AK30" s="1">
        <f t="shared" si="17"/>
        <v>1</v>
      </c>
      <c r="AL30" s="10">
        <f t="shared" si="18"/>
        <v>2285</v>
      </c>
      <c r="AM30" s="10">
        <f t="shared" si="19"/>
        <v>566</v>
      </c>
      <c r="AN30" s="10">
        <f t="shared" si="20"/>
        <v>1102</v>
      </c>
      <c r="AO30" s="1">
        <f t="shared" si="21"/>
        <v>2265</v>
      </c>
      <c r="AP30" s="1">
        <f t="shared" si="22"/>
        <v>566</v>
      </c>
      <c r="AR30" s="1">
        <f t="shared" ref="AR30:AX30" si="80">ROUNDUP(AR$10*$AO30,0)</f>
        <v>2265</v>
      </c>
      <c r="AS30" s="1">
        <f t="shared" si="80"/>
        <v>6795</v>
      </c>
      <c r="AT30" s="1">
        <f t="shared" si="80"/>
        <v>4077</v>
      </c>
      <c r="AU30" s="1">
        <f t="shared" si="80"/>
        <v>1133</v>
      </c>
      <c r="AV30" s="1">
        <f t="shared" si="80"/>
        <v>340</v>
      </c>
      <c r="AW30" s="1">
        <f t="shared" si="80"/>
        <v>9060</v>
      </c>
      <c r="AX30" s="1">
        <f t="shared" si="80"/>
        <v>20385</v>
      </c>
      <c r="AY30" s="1">
        <f t="shared" si="24"/>
        <v>199727</v>
      </c>
      <c r="AZ30" s="1">
        <f t="shared" si="25"/>
        <v>99863</v>
      </c>
      <c r="BB30" s="1">
        <f t="shared" si="26"/>
        <v>19</v>
      </c>
    </row>
    <row r="31" spans="2:54">
      <c r="B31" s="4">
        <v>20</v>
      </c>
      <c r="C31" s="1">
        <f t="shared" ref="C31:I31" si="81">C$5+(C$6-C$5)*(POWER(C$7,$B31-1)-1)/(POWER(C$7,$B$3-1)-1)</f>
        <v>1580.36026786127</v>
      </c>
      <c r="D31" s="1">
        <f t="shared" si="81"/>
        <v>474.108080358382</v>
      </c>
      <c r="E31" s="1">
        <f t="shared" si="81"/>
        <v>316.072053572255</v>
      </c>
      <c r="F31" s="1">
        <f t="shared" si="81"/>
        <v>4000.91207053487</v>
      </c>
      <c r="G31" s="1">
        <f t="shared" si="81"/>
        <v>1200.27362116046</v>
      </c>
      <c r="H31" s="1">
        <f t="shared" si="81"/>
        <v>800.182414106974</v>
      </c>
      <c r="I31" s="1">
        <f t="shared" si="81"/>
        <v>0</v>
      </c>
      <c r="J31" s="1">
        <f>标准模型!$I$65/1*$B31/$B$3</f>
        <v>0.144</v>
      </c>
      <c r="K31" s="1">
        <f>J31*标准模型!$J$63</f>
        <v>0.144</v>
      </c>
      <c r="L31" s="1">
        <f t="shared" si="1"/>
        <v>5581.27233839614</v>
      </c>
      <c r="M31" s="1">
        <f t="shared" si="2"/>
        <v>1742.65326509045</v>
      </c>
      <c r="N31" s="1">
        <f t="shared" si="3"/>
        <v>1161.76884339363</v>
      </c>
      <c r="O31" s="1">
        <f t="shared" ref="O31:W31" si="82">O$5+(O$6-O$5)*(POWER(O$7,$B31-1)-1)/(POWER(O$7,$B$3-1)-1)</f>
        <v>0.519042645643962</v>
      </c>
      <c r="P31" s="1">
        <f t="shared" si="82"/>
        <v>0.0103853876392567</v>
      </c>
      <c r="Q31" s="1">
        <f t="shared" si="82"/>
        <v>0.285473455104179</v>
      </c>
      <c r="R31" s="1">
        <f t="shared" si="82"/>
        <v>1.00761705825758</v>
      </c>
      <c r="S31" s="1">
        <f t="shared" si="82"/>
        <v>0.074755439337151</v>
      </c>
      <c r="T31" s="1">
        <f t="shared" si="82"/>
        <v>2.07426631801145</v>
      </c>
      <c r="U31" s="1">
        <f t="shared" si="82"/>
        <v>1</v>
      </c>
      <c r="V31" s="1">
        <f t="shared" si="82"/>
        <v>1.02076787678777</v>
      </c>
      <c r="W31" s="1">
        <f t="shared" si="82"/>
        <v>1.06093646606068</v>
      </c>
      <c r="X31" s="1">
        <f t="shared" si="5"/>
        <v>0.611419256596173</v>
      </c>
      <c r="Y31" s="1">
        <f t="shared" si="6"/>
        <v>0.960648003870205</v>
      </c>
      <c r="Z31" s="1">
        <f t="shared" si="7"/>
        <v>5361.63813093625</v>
      </c>
      <c r="AA31" s="1">
        <f t="shared" si="8"/>
        <v>1742.65326509045</v>
      </c>
      <c r="AB31" s="1">
        <f t="shared" si="9"/>
        <v>1161.76884339363</v>
      </c>
      <c r="AC31" s="1">
        <f>AB31/(AB31+战斗公式!$M$27)</f>
        <v>0.0461719861836606</v>
      </c>
      <c r="AD31" s="1">
        <f t="shared" si="10"/>
        <v>5621.17913635596</v>
      </c>
      <c r="AE31" s="1">
        <f t="shared" si="11"/>
        <v>5.27566643599677</v>
      </c>
      <c r="AF31" s="1">
        <f t="shared" si="12"/>
        <v>3.35777937116533</v>
      </c>
      <c r="AG31" s="1">
        <f t="shared" si="13"/>
        <v>1.54586522450536</v>
      </c>
      <c r="AH31" s="1">
        <f t="shared" si="14"/>
        <v>0.345249661803863</v>
      </c>
      <c r="AI31" s="1">
        <f t="shared" si="15"/>
        <v>1.43395664291012</v>
      </c>
      <c r="AJ31" s="1">
        <f t="shared" si="16"/>
        <v>1.54497542375474</v>
      </c>
      <c r="AK31" s="1">
        <f t="shared" si="17"/>
        <v>1</v>
      </c>
      <c r="AL31" s="10">
        <f t="shared" si="18"/>
        <v>2468</v>
      </c>
      <c r="AM31" s="10">
        <f t="shared" si="19"/>
        <v>602</v>
      </c>
      <c r="AN31" s="10">
        <f t="shared" si="20"/>
        <v>1162</v>
      </c>
      <c r="AO31" s="1">
        <f t="shared" si="21"/>
        <v>2427</v>
      </c>
      <c r="AP31" s="1">
        <f t="shared" si="22"/>
        <v>602</v>
      </c>
      <c r="AR31" s="1">
        <f t="shared" ref="AR31:AX31" si="83">ROUNDUP(AR$10*$AO31,0)</f>
        <v>2427</v>
      </c>
      <c r="AS31" s="1">
        <f t="shared" si="83"/>
        <v>7281</v>
      </c>
      <c r="AT31" s="1">
        <f t="shared" si="83"/>
        <v>4369</v>
      </c>
      <c r="AU31" s="1">
        <f t="shared" si="83"/>
        <v>1214</v>
      </c>
      <c r="AV31" s="1">
        <f t="shared" si="83"/>
        <v>365</v>
      </c>
      <c r="AW31" s="1">
        <f t="shared" si="83"/>
        <v>9708</v>
      </c>
      <c r="AX31" s="1">
        <f t="shared" si="83"/>
        <v>21843</v>
      </c>
      <c r="AY31" s="1">
        <f t="shared" si="24"/>
        <v>212340</v>
      </c>
      <c r="AZ31" s="1">
        <f t="shared" si="25"/>
        <v>106170</v>
      </c>
      <c r="BB31" s="1">
        <f t="shared" si="26"/>
        <v>20</v>
      </c>
    </row>
    <row r="32" spans="2:54">
      <c r="B32" s="4">
        <v>21</v>
      </c>
      <c r="C32" s="1">
        <f t="shared" ref="C32:I32" si="84">C$5+(C$6-C$5)*(POWER(C$7,$B32-1)-1)/(POWER(C$7,$B$3-1)-1)</f>
        <v>1659.37843913364</v>
      </c>
      <c r="D32" s="1">
        <f t="shared" si="84"/>
        <v>497.813531740091</v>
      </c>
      <c r="E32" s="1">
        <f t="shared" si="84"/>
        <v>331.875687826727</v>
      </c>
      <c r="F32" s="1">
        <f t="shared" si="84"/>
        <v>4200.95807375604</v>
      </c>
      <c r="G32" s="1">
        <f t="shared" si="84"/>
        <v>1260.28742212681</v>
      </c>
      <c r="H32" s="1">
        <f t="shared" si="84"/>
        <v>840.191614751208</v>
      </c>
      <c r="I32" s="1">
        <f t="shared" si="84"/>
        <v>0</v>
      </c>
      <c r="J32" s="1">
        <f>标准模型!$I$65/1*$B32/$B$3</f>
        <v>0.1512</v>
      </c>
      <c r="K32" s="1">
        <f>J32*标准模型!$J$63</f>
        <v>0.1512</v>
      </c>
      <c r="L32" s="1">
        <f t="shared" si="1"/>
        <v>5860.33651288968</v>
      </c>
      <c r="M32" s="1">
        <f t="shared" si="2"/>
        <v>1833.370359866</v>
      </c>
      <c r="N32" s="1">
        <f t="shared" si="3"/>
        <v>1222.24690657734</v>
      </c>
      <c r="O32" s="1">
        <f t="shared" ref="O32:W32" si="85">O$5+(O$6-O$5)*(POWER(O$7,$B32-1)-1)/(POWER(O$7,$B$3-1)-1)</f>
        <v>0.520044880129038</v>
      </c>
      <c r="P32" s="1">
        <f t="shared" si="85"/>
        <v>0.0109402228462452</v>
      </c>
      <c r="Q32" s="1">
        <f t="shared" si="85"/>
        <v>0.286024684070971</v>
      </c>
      <c r="R32" s="1">
        <f t="shared" si="85"/>
        <v>1.00801795205162</v>
      </c>
      <c r="S32" s="1">
        <f t="shared" si="85"/>
        <v>0.0760583441677498</v>
      </c>
      <c r="T32" s="1">
        <f t="shared" si="85"/>
        <v>2.07817503250325</v>
      </c>
      <c r="U32" s="1">
        <f t="shared" si="85"/>
        <v>1</v>
      </c>
      <c r="V32" s="1">
        <f t="shared" si="85"/>
        <v>1.02186091200398</v>
      </c>
      <c r="W32" s="1">
        <f t="shared" si="85"/>
        <v>1.06414361641292</v>
      </c>
      <c r="X32" s="1">
        <f t="shared" si="5"/>
        <v>0.616282445657619</v>
      </c>
      <c r="Y32" s="1">
        <f t="shared" si="6"/>
        <v>0.968983777790851</v>
      </c>
      <c r="Z32" s="1">
        <f t="shared" si="7"/>
        <v>5678.5710133855</v>
      </c>
      <c r="AA32" s="1">
        <f t="shared" si="8"/>
        <v>1833.370359866</v>
      </c>
      <c r="AB32" s="1">
        <f t="shared" si="9"/>
        <v>1222.24690657734</v>
      </c>
      <c r="AC32" s="1">
        <f>AB32/(AB32+战斗公式!$M$27)</f>
        <v>0.0484590810289231</v>
      </c>
      <c r="AD32" s="1">
        <f t="shared" si="10"/>
        <v>5967.76334067259</v>
      </c>
      <c r="AE32" s="1">
        <f t="shared" si="11"/>
        <v>5.28179558383242</v>
      </c>
      <c r="AF32" s="1">
        <f t="shared" si="12"/>
        <v>3.35926975711501</v>
      </c>
      <c r="AG32" s="1">
        <f t="shared" si="13"/>
        <v>1.57248888955262</v>
      </c>
      <c r="AH32" s="1">
        <f t="shared" si="14"/>
        <v>0.347679139669441</v>
      </c>
      <c r="AI32" s="1">
        <f t="shared" si="15"/>
        <v>1.41225881076417</v>
      </c>
      <c r="AJ32" s="1">
        <f t="shared" si="16"/>
        <v>1.53407524547226</v>
      </c>
      <c r="AK32" s="1">
        <f t="shared" si="17"/>
        <v>1</v>
      </c>
      <c r="AL32" s="10">
        <f t="shared" si="18"/>
        <v>2658</v>
      </c>
      <c r="AM32" s="10">
        <f t="shared" si="19"/>
        <v>637</v>
      </c>
      <c r="AN32" s="10">
        <f t="shared" si="20"/>
        <v>1222</v>
      </c>
      <c r="AO32" s="1">
        <f t="shared" si="21"/>
        <v>2594</v>
      </c>
      <c r="AP32" s="1">
        <f t="shared" si="22"/>
        <v>637</v>
      </c>
      <c r="AR32" s="1">
        <f t="shared" ref="AR32:AX32" si="86">ROUNDUP(AR$10*$AO32,0)</f>
        <v>2594</v>
      </c>
      <c r="AS32" s="1">
        <f t="shared" si="86"/>
        <v>7782</v>
      </c>
      <c r="AT32" s="1">
        <f t="shared" si="86"/>
        <v>4670</v>
      </c>
      <c r="AU32" s="1">
        <f t="shared" si="86"/>
        <v>1297</v>
      </c>
      <c r="AV32" s="1">
        <f t="shared" si="86"/>
        <v>390</v>
      </c>
      <c r="AW32" s="1">
        <f t="shared" si="86"/>
        <v>10376</v>
      </c>
      <c r="AX32" s="1">
        <f t="shared" si="86"/>
        <v>23346</v>
      </c>
      <c r="AY32" s="1">
        <f t="shared" si="24"/>
        <v>225227</v>
      </c>
      <c r="AZ32" s="1">
        <f t="shared" si="25"/>
        <v>112614</v>
      </c>
      <c r="BB32" s="1">
        <f t="shared" si="26"/>
        <v>21</v>
      </c>
    </row>
    <row r="33" spans="2:54">
      <c r="B33" s="4">
        <v>22</v>
      </c>
      <c r="C33" s="1">
        <f t="shared" ref="C33:I33" si="87">C$5+(C$6-C$5)*(POWER(C$7,$B33-1)-1)/(POWER(C$7,$B$3-1)-1)</f>
        <v>1738.39653139685</v>
      </c>
      <c r="D33" s="1">
        <f t="shared" si="87"/>
        <v>521.518959419054</v>
      </c>
      <c r="E33" s="1">
        <f t="shared" si="87"/>
        <v>347.679306279369</v>
      </c>
      <c r="F33" s="1">
        <f t="shared" si="87"/>
        <v>4401.00387695404</v>
      </c>
      <c r="G33" s="1">
        <f t="shared" si="87"/>
        <v>1320.30116308621</v>
      </c>
      <c r="H33" s="1">
        <f t="shared" si="87"/>
        <v>880.200775390808</v>
      </c>
      <c r="I33" s="1">
        <f t="shared" si="87"/>
        <v>0</v>
      </c>
      <c r="J33" s="1">
        <f>标准模型!$I$65/1*$B33/$B$3</f>
        <v>0.1584</v>
      </c>
      <c r="K33" s="1">
        <f>J33*标准模型!$J$63</f>
        <v>0.1584</v>
      </c>
      <c r="L33" s="1">
        <f t="shared" si="1"/>
        <v>6139.40040835089</v>
      </c>
      <c r="M33" s="1">
        <f t="shared" si="2"/>
        <v>1924.42872567724</v>
      </c>
      <c r="N33" s="1">
        <f t="shared" si="3"/>
        <v>1282.95248378483</v>
      </c>
      <c r="O33" s="1">
        <f t="shared" ref="O33:W33" si="88">O$5+(O$6-O$5)*(POWER(O$7,$B33-1)-1)/(POWER(O$7,$B$3-1)-1)</f>
        <v>0.521047113611994</v>
      </c>
      <c r="P33" s="1">
        <f t="shared" si="88"/>
        <v>0.0114958903060442</v>
      </c>
      <c r="Q33" s="1">
        <f t="shared" si="88"/>
        <v>0.286575912486597</v>
      </c>
      <c r="R33" s="1">
        <f t="shared" si="88"/>
        <v>1.0084188454448</v>
      </c>
      <c r="S33" s="1">
        <f t="shared" si="88"/>
        <v>0.0773612476955924</v>
      </c>
      <c r="T33" s="1">
        <f t="shared" si="88"/>
        <v>2.08208374308678</v>
      </c>
      <c r="U33" s="1">
        <f t="shared" si="88"/>
        <v>1</v>
      </c>
      <c r="V33" s="1">
        <f t="shared" si="88"/>
        <v>1.02295394612727</v>
      </c>
      <c r="W33" s="1">
        <f t="shared" si="88"/>
        <v>1.06735076355838</v>
      </c>
      <c r="X33" s="1">
        <f t="shared" si="5"/>
        <v>0.62117851086783</v>
      </c>
      <c r="Y33" s="1">
        <f t="shared" si="6"/>
        <v>0.977382991379682</v>
      </c>
      <c r="Z33" s="1">
        <f t="shared" si="7"/>
        <v>6000.54553639163</v>
      </c>
      <c r="AA33" s="1">
        <f t="shared" si="8"/>
        <v>1924.42872567724</v>
      </c>
      <c r="AB33" s="1">
        <f t="shared" si="9"/>
        <v>1282.95248378483</v>
      </c>
      <c r="AC33" s="1">
        <f>AB33/(AB33+战斗公式!$M$27)</f>
        <v>0.0507437762503271</v>
      </c>
      <c r="AD33" s="1">
        <f t="shared" si="10"/>
        <v>6321.31281972403</v>
      </c>
      <c r="AE33" s="1">
        <f t="shared" si="11"/>
        <v>5.28797055705785</v>
      </c>
      <c r="AF33" s="1">
        <f t="shared" si="12"/>
        <v>3.36078456973076</v>
      </c>
      <c r="AG33" s="1">
        <f t="shared" si="13"/>
        <v>1.59891287711203</v>
      </c>
      <c r="AH33" s="1">
        <f t="shared" si="14"/>
        <v>0.350113476490751</v>
      </c>
      <c r="AI33" s="1">
        <f t="shared" si="15"/>
        <v>1.39164587022552</v>
      </c>
      <c r="AJ33" s="1">
        <f t="shared" si="16"/>
        <v>1.52339307075543</v>
      </c>
      <c r="AK33" s="1">
        <f t="shared" si="17"/>
        <v>1</v>
      </c>
      <c r="AL33" s="10">
        <f t="shared" si="18"/>
        <v>2855</v>
      </c>
      <c r="AM33" s="10">
        <f t="shared" si="19"/>
        <v>674</v>
      </c>
      <c r="AN33" s="10">
        <f t="shared" si="20"/>
        <v>1283</v>
      </c>
      <c r="AO33" s="1">
        <f t="shared" si="21"/>
        <v>2764</v>
      </c>
      <c r="AP33" s="1">
        <f t="shared" si="22"/>
        <v>674</v>
      </c>
      <c r="AR33" s="1">
        <f t="shared" ref="AR33:AX33" si="89">ROUNDUP(AR$10*$AO33,0)</f>
        <v>2764</v>
      </c>
      <c r="AS33" s="1">
        <f t="shared" si="89"/>
        <v>8292</v>
      </c>
      <c r="AT33" s="1">
        <f t="shared" si="89"/>
        <v>4976</v>
      </c>
      <c r="AU33" s="1">
        <f t="shared" si="89"/>
        <v>1382</v>
      </c>
      <c r="AV33" s="1">
        <f t="shared" si="89"/>
        <v>415</v>
      </c>
      <c r="AW33" s="1">
        <f t="shared" si="89"/>
        <v>11056</v>
      </c>
      <c r="AX33" s="1">
        <f t="shared" si="89"/>
        <v>24876</v>
      </c>
      <c r="AY33" s="1">
        <f t="shared" si="24"/>
        <v>238389</v>
      </c>
      <c r="AZ33" s="1">
        <f t="shared" si="25"/>
        <v>119194</v>
      </c>
      <c r="BB33" s="1">
        <f t="shared" si="26"/>
        <v>22</v>
      </c>
    </row>
    <row r="34" spans="2:54">
      <c r="B34" s="4">
        <v>23</v>
      </c>
      <c r="C34" s="1">
        <f t="shared" ref="C34:I34" si="90">C$5+(C$6-C$5)*(POWER(C$7,$B34-1)-1)/(POWER(C$7,$B$3-1)-1)</f>
        <v>1817.41454464213</v>
      </c>
      <c r="D34" s="1">
        <f t="shared" si="90"/>
        <v>545.224363392639</v>
      </c>
      <c r="E34" s="1">
        <f t="shared" si="90"/>
        <v>363.482908928426</v>
      </c>
      <c r="F34" s="1">
        <f t="shared" si="90"/>
        <v>4601.04948010666</v>
      </c>
      <c r="G34" s="1">
        <f t="shared" si="90"/>
        <v>1380.314844032</v>
      </c>
      <c r="H34" s="1">
        <f t="shared" si="90"/>
        <v>920.209896021332</v>
      </c>
      <c r="I34" s="1">
        <f t="shared" si="90"/>
        <v>0</v>
      </c>
      <c r="J34" s="1">
        <f>标准模型!$I$65/1*$B34/$B$3</f>
        <v>0.1656</v>
      </c>
      <c r="K34" s="1">
        <f>J34*标准模型!$J$63</f>
        <v>0.1656</v>
      </c>
      <c r="L34" s="1">
        <f t="shared" si="1"/>
        <v>6418.46402474879</v>
      </c>
      <c r="M34" s="1">
        <f t="shared" si="2"/>
        <v>2015.82836200246</v>
      </c>
      <c r="N34" s="1">
        <f t="shared" si="3"/>
        <v>1343.88557466831</v>
      </c>
      <c r="O34" s="1">
        <f t="shared" ref="O34:W34" si="91">O$5+(O$6-O$5)*(POWER(O$7,$B34-1)-1)/(POWER(O$7,$B$3-1)-1)</f>
        <v>0.522049346092719</v>
      </c>
      <c r="P34" s="1">
        <f t="shared" si="91"/>
        <v>0.0120523912670329</v>
      </c>
      <c r="Q34" s="1">
        <f t="shared" si="91"/>
        <v>0.287127140350995</v>
      </c>
      <c r="R34" s="1">
        <f t="shared" si="91"/>
        <v>1.00881973843709</v>
      </c>
      <c r="S34" s="1">
        <f t="shared" si="91"/>
        <v>0.0786641499205344</v>
      </c>
      <c r="T34" s="1">
        <f t="shared" si="91"/>
        <v>2.0859924497616</v>
      </c>
      <c r="U34" s="1">
        <f t="shared" si="91"/>
        <v>1</v>
      </c>
      <c r="V34" s="1">
        <f t="shared" si="91"/>
        <v>1.02404697915753</v>
      </c>
      <c r="W34" s="1">
        <f t="shared" si="91"/>
        <v>1.0705579074967</v>
      </c>
      <c r="X34" s="1">
        <f t="shared" si="5"/>
        <v>0.626107657145985</v>
      </c>
      <c r="Y34" s="1">
        <f t="shared" si="6"/>
        <v>0.985846088739778</v>
      </c>
      <c r="Z34" s="1">
        <f t="shared" si="7"/>
        <v>6327.61765451557</v>
      </c>
      <c r="AA34" s="1">
        <f t="shared" si="8"/>
        <v>2015.82836200246</v>
      </c>
      <c r="AB34" s="1">
        <f t="shared" si="9"/>
        <v>1343.88557466831</v>
      </c>
      <c r="AC34" s="1">
        <f>AB34/(AB34+战斗公式!$M$27)</f>
        <v>0.0530260275484966</v>
      </c>
      <c r="AD34" s="1">
        <f t="shared" si="10"/>
        <v>6681.93407484557</v>
      </c>
      <c r="AE34" s="1">
        <f t="shared" si="11"/>
        <v>5.2941911788311</v>
      </c>
      <c r="AF34" s="1">
        <f t="shared" si="12"/>
        <v>3.36232366626129</v>
      </c>
      <c r="AG34" s="1">
        <f t="shared" si="13"/>
        <v>1.62513868476474</v>
      </c>
      <c r="AH34" s="1">
        <f t="shared" si="14"/>
        <v>0.352552681985702</v>
      </c>
      <c r="AI34" s="1">
        <f t="shared" si="15"/>
        <v>1.37206357671381</v>
      </c>
      <c r="AJ34" s="1">
        <f t="shared" si="16"/>
        <v>1.51292453953293</v>
      </c>
      <c r="AK34" s="1">
        <f t="shared" si="17"/>
        <v>1</v>
      </c>
      <c r="AL34" s="10">
        <f t="shared" si="18"/>
        <v>3058</v>
      </c>
      <c r="AM34" s="10">
        <f t="shared" si="19"/>
        <v>711</v>
      </c>
      <c r="AN34" s="10">
        <f t="shared" si="20"/>
        <v>1344</v>
      </c>
      <c r="AO34" s="1">
        <f t="shared" si="21"/>
        <v>2939</v>
      </c>
      <c r="AP34" s="1">
        <f t="shared" si="22"/>
        <v>711</v>
      </c>
      <c r="AR34" s="1">
        <f t="shared" ref="AR34:AX34" si="92">ROUNDUP(AR$10*$AO34,0)</f>
        <v>2939</v>
      </c>
      <c r="AS34" s="1">
        <f t="shared" si="92"/>
        <v>8817</v>
      </c>
      <c r="AT34" s="1">
        <f t="shared" si="92"/>
        <v>5291</v>
      </c>
      <c r="AU34" s="1">
        <f t="shared" si="92"/>
        <v>1470</v>
      </c>
      <c r="AV34" s="1">
        <f t="shared" si="92"/>
        <v>441</v>
      </c>
      <c r="AW34" s="1">
        <f t="shared" si="92"/>
        <v>11756</v>
      </c>
      <c r="AX34" s="1">
        <f t="shared" si="92"/>
        <v>26451</v>
      </c>
      <c r="AY34" s="1">
        <f t="shared" si="24"/>
        <v>251746</v>
      </c>
      <c r="AZ34" s="1">
        <f t="shared" si="25"/>
        <v>125873</v>
      </c>
      <c r="BB34" s="1">
        <f t="shared" si="26"/>
        <v>23</v>
      </c>
    </row>
    <row r="35" spans="2:54">
      <c r="B35" s="4">
        <v>24</v>
      </c>
      <c r="C35" s="1">
        <f t="shared" ref="C35:I35" si="93">C$5+(C$6-C$5)*(POWER(C$7,$B35-1)-1)/(POWER(C$7,$B$3-1)-1)</f>
        <v>1896.43247886949</v>
      </c>
      <c r="D35" s="1">
        <f t="shared" si="93"/>
        <v>568.929743660848</v>
      </c>
      <c r="E35" s="1">
        <f t="shared" si="93"/>
        <v>379.286495773898</v>
      </c>
      <c r="F35" s="1">
        <f t="shared" si="93"/>
        <v>4801.0948832139</v>
      </c>
      <c r="G35" s="1">
        <f t="shared" si="93"/>
        <v>1440.32846496417</v>
      </c>
      <c r="H35" s="1">
        <f t="shared" si="93"/>
        <v>960.218976642781</v>
      </c>
      <c r="I35" s="1">
        <f t="shared" si="93"/>
        <v>0</v>
      </c>
      <c r="J35" s="1">
        <f>标准模型!$I$65/1*$B35/$B$3</f>
        <v>0.1728</v>
      </c>
      <c r="K35" s="1">
        <f>J35*标准模型!$J$63</f>
        <v>0.1728</v>
      </c>
      <c r="L35" s="1">
        <f t="shared" si="1"/>
        <v>6697.52736208339</v>
      </c>
      <c r="M35" s="1">
        <f t="shared" si="2"/>
        <v>2107.56926832961</v>
      </c>
      <c r="N35" s="1">
        <f t="shared" si="3"/>
        <v>1405.04617888641</v>
      </c>
      <c r="O35" s="1">
        <f t="shared" ref="O35:W35" si="94">O$5+(O$6-O$5)*(POWER(O$7,$B35-1)-1)/(POWER(O$7,$B$3-1)-1)</f>
        <v>0.523051577571212</v>
      </c>
      <c r="P35" s="1">
        <f t="shared" si="94"/>
        <v>0.0126097269794631</v>
      </c>
      <c r="Q35" s="1">
        <f t="shared" si="94"/>
        <v>0.287678367664167</v>
      </c>
      <c r="R35" s="1">
        <f t="shared" si="94"/>
        <v>1.00922063102848</v>
      </c>
      <c r="S35" s="1">
        <f t="shared" si="94"/>
        <v>0.0799670508425755</v>
      </c>
      <c r="T35" s="1">
        <f t="shared" si="94"/>
        <v>2.08990115252773</v>
      </c>
      <c r="U35" s="1">
        <f t="shared" si="94"/>
        <v>1</v>
      </c>
      <c r="V35" s="1">
        <f t="shared" si="94"/>
        <v>1.02514001109476</v>
      </c>
      <c r="W35" s="1">
        <f t="shared" si="94"/>
        <v>1.07376504822788</v>
      </c>
      <c r="X35" s="1">
        <f t="shared" si="5"/>
        <v>0.631070090436862</v>
      </c>
      <c r="Y35" s="1">
        <f t="shared" si="6"/>
        <v>0.994373516596019</v>
      </c>
      <c r="Z35" s="1">
        <f t="shared" si="7"/>
        <v>6659.84383553292</v>
      </c>
      <c r="AA35" s="1">
        <f t="shared" si="8"/>
        <v>2107.56926832961</v>
      </c>
      <c r="AB35" s="1">
        <f t="shared" si="9"/>
        <v>1405.04617888641</v>
      </c>
      <c r="AC35" s="1">
        <f>AB35/(AB35+战斗公式!$M$27)</f>
        <v>0.0553057911799473</v>
      </c>
      <c r="AD35" s="1">
        <f t="shared" si="10"/>
        <v>7049.73500774524</v>
      </c>
      <c r="AE35" s="1">
        <f t="shared" si="11"/>
        <v>5.30045727393957</v>
      </c>
      <c r="AF35" s="1">
        <f t="shared" si="12"/>
        <v>3.36388690506599</v>
      </c>
      <c r="AG35" s="1">
        <f t="shared" si="13"/>
        <v>1.65116779886005</v>
      </c>
      <c r="AH35" s="1">
        <f t="shared" si="14"/>
        <v>0.354996765891644</v>
      </c>
      <c r="AI35" s="1">
        <f t="shared" si="15"/>
        <v>1.35346039787768</v>
      </c>
      <c r="AJ35" s="1">
        <f t="shared" si="16"/>
        <v>1.50266537893488</v>
      </c>
      <c r="AK35" s="1">
        <f t="shared" si="17"/>
        <v>1</v>
      </c>
      <c r="AL35" s="10">
        <f t="shared" si="18"/>
        <v>3269</v>
      </c>
      <c r="AM35" s="10">
        <f t="shared" si="19"/>
        <v>748</v>
      </c>
      <c r="AN35" s="10">
        <f t="shared" si="20"/>
        <v>1405</v>
      </c>
      <c r="AO35" s="1">
        <f t="shared" si="21"/>
        <v>3117</v>
      </c>
      <c r="AP35" s="1">
        <f t="shared" si="22"/>
        <v>748</v>
      </c>
      <c r="AR35" s="1">
        <f t="shared" ref="AR35:AX35" si="95">ROUNDUP(AR$10*$AO35,0)</f>
        <v>3117</v>
      </c>
      <c r="AS35" s="1">
        <f t="shared" si="95"/>
        <v>9351</v>
      </c>
      <c r="AT35" s="1">
        <f t="shared" si="95"/>
        <v>5611</v>
      </c>
      <c r="AU35" s="1">
        <f t="shared" si="95"/>
        <v>1559</v>
      </c>
      <c r="AV35" s="1">
        <f t="shared" si="95"/>
        <v>468</v>
      </c>
      <c r="AW35" s="1">
        <f t="shared" si="95"/>
        <v>12468</v>
      </c>
      <c r="AX35" s="1">
        <f t="shared" si="95"/>
        <v>28053</v>
      </c>
      <c r="AY35" s="1">
        <f t="shared" si="24"/>
        <v>265468</v>
      </c>
      <c r="AZ35" s="1">
        <f t="shared" si="25"/>
        <v>132734</v>
      </c>
      <c r="BB35" s="1">
        <f t="shared" si="26"/>
        <v>24</v>
      </c>
    </row>
    <row r="36" spans="2:54">
      <c r="B36" s="4">
        <v>25</v>
      </c>
      <c r="C36" s="1">
        <f t="shared" ref="C36:I36" si="96">C$5+(C$6-C$5)*(POWER(C$7,$B36-1)-1)/(POWER(C$7,$B$3-1)-1)</f>
        <v>1975.45033407016</v>
      </c>
      <c r="D36" s="1">
        <f t="shared" si="96"/>
        <v>592.635100221047</v>
      </c>
      <c r="E36" s="1">
        <f t="shared" si="96"/>
        <v>395.090066814031</v>
      </c>
      <c r="F36" s="1">
        <f t="shared" si="96"/>
        <v>5001.14008625356</v>
      </c>
      <c r="G36" s="1">
        <f t="shared" si="96"/>
        <v>1500.34202587607</v>
      </c>
      <c r="H36" s="1">
        <f t="shared" si="96"/>
        <v>1000.22801725071</v>
      </c>
      <c r="I36" s="1">
        <f t="shared" si="96"/>
        <v>0</v>
      </c>
      <c r="J36" s="1">
        <f>标准模型!$I$65/1*$B36/$B$3</f>
        <v>0.18</v>
      </c>
      <c r="K36" s="1">
        <f>J36*标准模型!$J$63</f>
        <v>0.18</v>
      </c>
      <c r="L36" s="1">
        <f t="shared" si="1"/>
        <v>6976.59042032372</v>
      </c>
      <c r="M36" s="1">
        <f t="shared" si="2"/>
        <v>2199.6514441369</v>
      </c>
      <c r="N36" s="1">
        <f t="shared" si="3"/>
        <v>1466.43429609127</v>
      </c>
      <c r="O36" s="1">
        <f t="shared" ref="O36:W36" si="97">O$5+(O$6-O$5)*(POWER(O$7,$B36-1)-1)/(POWER(O$7,$B$3-1)-1)</f>
        <v>0.524053808047362</v>
      </c>
      <c r="P36" s="1">
        <f t="shared" si="97"/>
        <v>0.0131678986954619</v>
      </c>
      <c r="Q36" s="1">
        <f t="shared" si="97"/>
        <v>0.288229594426049</v>
      </c>
      <c r="R36" s="1">
        <f t="shared" si="97"/>
        <v>1.00962152321894</v>
      </c>
      <c r="S36" s="1">
        <f t="shared" si="97"/>
        <v>0.0812699504615713</v>
      </c>
      <c r="T36" s="1">
        <f t="shared" si="97"/>
        <v>2.09380985138471</v>
      </c>
      <c r="U36" s="1">
        <f t="shared" si="97"/>
        <v>1</v>
      </c>
      <c r="V36" s="1">
        <f t="shared" si="97"/>
        <v>1.02623304193883</v>
      </c>
      <c r="W36" s="1">
        <f t="shared" si="97"/>
        <v>1.07697218575156</v>
      </c>
      <c r="X36" s="1">
        <f t="shared" si="5"/>
        <v>0.636066017712536</v>
      </c>
      <c r="Y36" s="1">
        <f t="shared" si="6"/>
        <v>1.00296572430384</v>
      </c>
      <c r="Z36" s="1">
        <f t="shared" si="7"/>
        <v>6997.28106409121</v>
      </c>
      <c r="AA36" s="1">
        <f t="shared" si="8"/>
        <v>2199.6514441369</v>
      </c>
      <c r="AB36" s="1">
        <f t="shared" si="9"/>
        <v>1466.43429609127</v>
      </c>
      <c r="AC36" s="1">
        <f>AB36/(AB36+战斗公式!$M$27)</f>
        <v>0.0575830239538617</v>
      </c>
      <c r="AD36" s="1">
        <f t="shared" si="10"/>
        <v>7424.82493624844</v>
      </c>
      <c r="AE36" s="1">
        <f t="shared" si="11"/>
        <v>5.30676866877595</v>
      </c>
      <c r="AF36" s="1">
        <f t="shared" si="12"/>
        <v>3.36547414560241</v>
      </c>
      <c r="AG36" s="1">
        <f t="shared" si="13"/>
        <v>1.67700169459966</v>
      </c>
      <c r="AH36" s="1">
        <f t="shared" si="14"/>
        <v>0.357445737965397</v>
      </c>
      <c r="AI36" s="1">
        <f t="shared" si="15"/>
        <v>1.33578737798335</v>
      </c>
      <c r="AJ36" s="1">
        <f t="shared" si="16"/>
        <v>1.4926114015488</v>
      </c>
      <c r="AK36" s="1">
        <f t="shared" si="17"/>
        <v>1</v>
      </c>
      <c r="AL36" s="10">
        <f t="shared" si="18"/>
        <v>3487</v>
      </c>
      <c r="AM36" s="10">
        <f t="shared" si="19"/>
        <v>786</v>
      </c>
      <c r="AN36" s="10">
        <f t="shared" si="20"/>
        <v>1466</v>
      </c>
      <c r="AO36" s="1">
        <f t="shared" si="21"/>
        <v>3300</v>
      </c>
      <c r="AP36" s="1">
        <f t="shared" si="22"/>
        <v>786</v>
      </c>
      <c r="AR36" s="1">
        <f t="shared" ref="AR36:AX36" si="98">ROUNDUP(AR$10*$AO36,0)</f>
        <v>3300</v>
      </c>
      <c r="AS36" s="1">
        <f t="shared" si="98"/>
        <v>9900</v>
      </c>
      <c r="AT36" s="1">
        <f t="shared" si="98"/>
        <v>5940</v>
      </c>
      <c r="AU36" s="1">
        <f t="shared" si="98"/>
        <v>1650</v>
      </c>
      <c r="AV36" s="1">
        <f t="shared" si="98"/>
        <v>495</v>
      </c>
      <c r="AW36" s="1">
        <f t="shared" si="98"/>
        <v>13200</v>
      </c>
      <c r="AX36" s="1">
        <f t="shared" si="98"/>
        <v>29700</v>
      </c>
      <c r="AY36" s="1">
        <f t="shared" si="24"/>
        <v>279473</v>
      </c>
      <c r="AZ36" s="1">
        <f t="shared" si="25"/>
        <v>139737</v>
      </c>
      <c r="BB36" s="1">
        <f t="shared" si="26"/>
        <v>25</v>
      </c>
    </row>
    <row r="37" spans="2:54">
      <c r="B37" s="4">
        <v>26</v>
      </c>
      <c r="C37" s="1">
        <f t="shared" ref="C37:I37" si="99">C$5+(C$6-C$5)*(POWER(C$7,$B37-1)-1)/(POWER(C$7,$B$3-1)-1)</f>
        <v>2054.46811026167</v>
      </c>
      <c r="D37" s="1">
        <f t="shared" si="99"/>
        <v>616.3404330785</v>
      </c>
      <c r="E37" s="1">
        <f t="shared" si="99"/>
        <v>410.893622052333</v>
      </c>
      <c r="F37" s="1">
        <f t="shared" si="99"/>
        <v>5201.18508927004</v>
      </c>
      <c r="G37" s="1">
        <f t="shared" si="99"/>
        <v>1560.35552678101</v>
      </c>
      <c r="H37" s="1">
        <f t="shared" si="99"/>
        <v>1040.23701785401</v>
      </c>
      <c r="I37" s="1">
        <f t="shared" si="99"/>
        <v>0</v>
      </c>
      <c r="J37" s="1">
        <f>标准模型!$I$65/1*$B37/$B$3</f>
        <v>0.1872</v>
      </c>
      <c r="K37" s="1">
        <f>J37*标准模型!$J$63</f>
        <v>0.1872</v>
      </c>
      <c r="L37" s="1">
        <f t="shared" si="1"/>
        <v>7255.65319953171</v>
      </c>
      <c r="M37" s="1">
        <f t="shared" si="2"/>
        <v>2292.07488893181</v>
      </c>
      <c r="N37" s="1">
        <f t="shared" si="3"/>
        <v>1528.04992595454</v>
      </c>
      <c r="O37" s="1">
        <f t="shared" ref="O37:W37" si="100">O$5+(O$6-O$5)*(POWER(O$7,$B37-1)-1)/(POWER(O$7,$B$3-1)-1)</f>
        <v>0.525056037521393</v>
      </c>
      <c r="P37" s="1">
        <f t="shared" si="100"/>
        <v>0.0137269076690347</v>
      </c>
      <c r="Q37" s="1">
        <f t="shared" si="100"/>
        <v>0.288780820636766</v>
      </c>
      <c r="R37" s="1">
        <f t="shared" si="100"/>
        <v>1.01002241500856</v>
      </c>
      <c r="S37" s="1">
        <f t="shared" si="100"/>
        <v>0.0825728487778109</v>
      </c>
      <c r="T37" s="1">
        <f t="shared" si="100"/>
        <v>2.09771854633343</v>
      </c>
      <c r="U37" s="1">
        <f t="shared" si="100"/>
        <v>1</v>
      </c>
      <c r="V37" s="1">
        <f t="shared" si="100"/>
        <v>1.02732607169</v>
      </c>
      <c r="W37" s="1">
        <f t="shared" si="100"/>
        <v>1.08017932006846</v>
      </c>
      <c r="X37" s="1">
        <f t="shared" si="5"/>
        <v>0.641095646976967</v>
      </c>
      <c r="Y37" s="1">
        <f t="shared" si="6"/>
        <v>1.01162316386333</v>
      </c>
      <c r="Z37" s="1">
        <f t="shared" si="7"/>
        <v>7339.98684560535</v>
      </c>
      <c r="AA37" s="1">
        <f t="shared" si="8"/>
        <v>2292.07488893181</v>
      </c>
      <c r="AB37" s="1">
        <f t="shared" si="9"/>
        <v>1528.04992595454</v>
      </c>
      <c r="AC37" s="1">
        <f>AB37/(AB37+战斗公式!$M$27)</f>
        <v>0.0598576832302792</v>
      </c>
      <c r="AD37" s="1">
        <f t="shared" si="10"/>
        <v>7807.31461043596</v>
      </c>
      <c r="AE37" s="1">
        <f t="shared" si="11"/>
        <v>5.31312519132673</v>
      </c>
      <c r="AF37" s="1">
        <f t="shared" si="12"/>
        <v>3.36708524841906</v>
      </c>
      <c r="AG37" s="1">
        <f t="shared" si="13"/>
        <v>1.70264183612121</v>
      </c>
      <c r="AH37" s="1">
        <f t="shared" si="14"/>
        <v>0.359899607983298</v>
      </c>
      <c r="AI37" s="1">
        <f t="shared" si="15"/>
        <v>1.31899800908375</v>
      </c>
      <c r="AJ37" s="1">
        <f t="shared" si="16"/>
        <v>1.48275850371043</v>
      </c>
      <c r="AK37" s="1">
        <f t="shared" si="17"/>
        <v>1</v>
      </c>
      <c r="AL37" s="10">
        <f t="shared" si="18"/>
        <v>3712</v>
      </c>
      <c r="AM37" s="10">
        <f t="shared" si="19"/>
        <v>825</v>
      </c>
      <c r="AN37" s="10">
        <f t="shared" si="20"/>
        <v>1528</v>
      </c>
      <c r="AO37" s="1">
        <f t="shared" si="21"/>
        <v>3488</v>
      </c>
      <c r="AP37" s="1">
        <f t="shared" si="22"/>
        <v>825</v>
      </c>
      <c r="AR37" s="1">
        <f t="shared" ref="AR37:AX37" si="101">ROUNDUP(AR$10*$AO37,0)</f>
        <v>3488</v>
      </c>
      <c r="AS37" s="1">
        <f t="shared" si="101"/>
        <v>10464</v>
      </c>
      <c r="AT37" s="1">
        <f t="shared" si="101"/>
        <v>6279</v>
      </c>
      <c r="AU37" s="1">
        <f t="shared" si="101"/>
        <v>1744</v>
      </c>
      <c r="AV37" s="1">
        <f t="shared" si="101"/>
        <v>524</v>
      </c>
      <c r="AW37" s="1">
        <f t="shared" si="101"/>
        <v>13952</v>
      </c>
      <c r="AX37" s="1">
        <f t="shared" si="101"/>
        <v>31392</v>
      </c>
      <c r="AY37" s="1">
        <f t="shared" si="24"/>
        <v>293767</v>
      </c>
      <c r="AZ37" s="1">
        <f t="shared" si="25"/>
        <v>146884</v>
      </c>
      <c r="BB37" s="1">
        <f t="shared" si="26"/>
        <v>26</v>
      </c>
    </row>
    <row r="38" spans="2:54">
      <c r="B38" s="4">
        <v>27</v>
      </c>
      <c r="C38" s="1">
        <f t="shared" ref="C38:I38" si="102">C$5+(C$6-C$5)*(POWER(C$7,$B38-1)-1)/(POWER(C$7,$B$3-1)-1)</f>
        <v>2133.48580743525</v>
      </c>
      <c r="D38" s="1">
        <f t="shared" si="102"/>
        <v>640.045742230576</v>
      </c>
      <c r="E38" s="1">
        <f t="shared" si="102"/>
        <v>426.697161487051</v>
      </c>
      <c r="F38" s="1">
        <f t="shared" si="102"/>
        <v>5401.22989224115</v>
      </c>
      <c r="G38" s="1">
        <f t="shared" si="102"/>
        <v>1620.36896767234</v>
      </c>
      <c r="H38" s="1">
        <f t="shared" si="102"/>
        <v>1080.24597844823</v>
      </c>
      <c r="I38" s="1">
        <f t="shared" si="102"/>
        <v>0</v>
      </c>
      <c r="J38" s="1">
        <f>标准模型!$I$65/1*$B38/$B$3</f>
        <v>0.1944</v>
      </c>
      <c r="K38" s="1">
        <f>J38*标准模型!$J$63</f>
        <v>0.1944</v>
      </c>
      <c r="L38" s="1">
        <f t="shared" si="1"/>
        <v>7534.7156996764</v>
      </c>
      <c r="M38" s="1">
        <f t="shared" si="2"/>
        <v>2384.83960219254</v>
      </c>
      <c r="N38" s="1">
        <f t="shared" si="3"/>
        <v>1589.89306812836</v>
      </c>
      <c r="O38" s="1">
        <f t="shared" ref="O38:W38" si="103">O$5+(O$6-O$5)*(POWER(O$7,$B38-1)-1)/(POWER(O$7,$B$3-1)-1)</f>
        <v>0.526058265993192</v>
      </c>
      <c r="P38" s="1">
        <f t="shared" si="103"/>
        <v>0.0142867551560678</v>
      </c>
      <c r="Q38" s="1">
        <f t="shared" si="103"/>
        <v>0.289332046296256</v>
      </c>
      <c r="R38" s="1">
        <f t="shared" si="103"/>
        <v>1.01042330639728</v>
      </c>
      <c r="S38" s="1">
        <f t="shared" si="103"/>
        <v>0.0838757457911498</v>
      </c>
      <c r="T38" s="1">
        <f t="shared" si="103"/>
        <v>2.10162723737345</v>
      </c>
      <c r="U38" s="1">
        <f t="shared" si="103"/>
        <v>1</v>
      </c>
      <c r="V38" s="1">
        <f t="shared" si="103"/>
        <v>1.02841910034813</v>
      </c>
      <c r="W38" s="1">
        <f t="shared" si="103"/>
        <v>1.08338645117821</v>
      </c>
      <c r="X38" s="1">
        <f t="shared" si="5"/>
        <v>0.646159187265749</v>
      </c>
      <c r="Y38" s="1">
        <f t="shared" si="6"/>
        <v>1.02034628992445</v>
      </c>
      <c r="Z38" s="1">
        <f t="shared" si="7"/>
        <v>7688.01920980033</v>
      </c>
      <c r="AA38" s="1">
        <f t="shared" si="8"/>
        <v>2384.83960219254</v>
      </c>
      <c r="AB38" s="1">
        <f t="shared" si="9"/>
        <v>1589.89306812836</v>
      </c>
      <c r="AC38" s="1">
        <f>AB38/(AB38+战斗公式!$M$27)</f>
        <v>0.06212972691584</v>
      </c>
      <c r="AD38" s="1">
        <f t="shared" si="10"/>
        <v>8197.31622852113</v>
      </c>
      <c r="AE38" s="1">
        <f t="shared" si="11"/>
        <v>5.31952667114097</v>
      </c>
      <c r="AF38" s="1">
        <f t="shared" si="12"/>
        <v>3.36872007513982</v>
      </c>
      <c r="AG38" s="1">
        <f t="shared" si="13"/>
        <v>1.72808967658136</v>
      </c>
      <c r="AH38" s="1">
        <f t="shared" si="14"/>
        <v>0.362358385741235</v>
      </c>
      <c r="AI38" s="1">
        <f t="shared" si="15"/>
        <v>1.30304810862912</v>
      </c>
      <c r="AJ38" s="1">
        <f t="shared" si="16"/>
        <v>1.47310266382884</v>
      </c>
      <c r="AK38" s="1">
        <f t="shared" si="17"/>
        <v>1</v>
      </c>
      <c r="AL38" s="10">
        <f t="shared" si="18"/>
        <v>3944</v>
      </c>
      <c r="AM38" s="10">
        <f t="shared" si="19"/>
        <v>864</v>
      </c>
      <c r="AN38" s="10">
        <f t="shared" si="20"/>
        <v>1590</v>
      </c>
      <c r="AO38" s="1">
        <f t="shared" si="21"/>
        <v>3679</v>
      </c>
      <c r="AP38" s="1">
        <f t="shared" si="22"/>
        <v>864</v>
      </c>
      <c r="AR38" s="1">
        <f t="shared" ref="AR38:AX38" si="104">ROUNDUP(AR$10*$AO38,0)</f>
        <v>3679</v>
      </c>
      <c r="AS38" s="1">
        <f t="shared" si="104"/>
        <v>11037</v>
      </c>
      <c r="AT38" s="1">
        <f t="shared" si="104"/>
        <v>6623</v>
      </c>
      <c r="AU38" s="1">
        <f t="shared" si="104"/>
        <v>1840</v>
      </c>
      <c r="AV38" s="1">
        <f t="shared" si="104"/>
        <v>552</v>
      </c>
      <c r="AW38" s="1">
        <f t="shared" si="104"/>
        <v>14716</v>
      </c>
      <c r="AX38" s="1">
        <f t="shared" si="104"/>
        <v>33111</v>
      </c>
      <c r="AY38" s="1">
        <f t="shared" si="24"/>
        <v>308353</v>
      </c>
      <c r="AZ38" s="1">
        <f t="shared" si="25"/>
        <v>154177</v>
      </c>
      <c r="BB38" s="1">
        <f t="shared" si="26"/>
        <v>27</v>
      </c>
    </row>
    <row r="39" spans="2:54">
      <c r="B39" s="4">
        <v>28</v>
      </c>
      <c r="C39" s="1">
        <f t="shared" ref="C39:I39" si="105">C$5+(C$6-C$5)*(POWER(C$7,$B39-1)-1)/(POWER(C$7,$B$3-1)-1)</f>
        <v>2212.50342558214</v>
      </c>
      <c r="D39" s="1">
        <f t="shared" si="105"/>
        <v>663.751027674643</v>
      </c>
      <c r="E39" s="1">
        <f t="shared" si="105"/>
        <v>442.500685116429</v>
      </c>
      <c r="F39" s="1">
        <f t="shared" si="105"/>
        <v>5601.27449514467</v>
      </c>
      <c r="G39" s="1">
        <f t="shared" si="105"/>
        <v>1680.3823485434</v>
      </c>
      <c r="H39" s="1">
        <f t="shared" si="105"/>
        <v>1120.25489902893</v>
      </c>
      <c r="I39" s="1">
        <f t="shared" si="105"/>
        <v>0</v>
      </c>
      <c r="J39" s="1">
        <f>标准模型!$I$65/1*$B39/$B$3</f>
        <v>0.2016</v>
      </c>
      <c r="K39" s="1">
        <f>J39*标准模型!$J$63</f>
        <v>0.2016</v>
      </c>
      <c r="L39" s="1">
        <f t="shared" si="1"/>
        <v>7813.77792072681</v>
      </c>
      <c r="M39" s="1">
        <f t="shared" si="2"/>
        <v>2477.94558339725</v>
      </c>
      <c r="N39" s="1">
        <f t="shared" si="3"/>
        <v>1651.96372226483</v>
      </c>
      <c r="O39" s="1">
        <f t="shared" ref="O39:W39" si="106">O$5+(O$6-O$5)*(POWER(O$7,$B39-1)-1)/(POWER(O$7,$B$3-1)-1)</f>
        <v>0.527060493462649</v>
      </c>
      <c r="P39" s="1">
        <f t="shared" si="106"/>
        <v>0.0148474424143315</v>
      </c>
      <c r="Q39" s="1">
        <f t="shared" si="106"/>
        <v>0.289883271404457</v>
      </c>
      <c r="R39" s="1">
        <f t="shared" si="106"/>
        <v>1.01082419738506</v>
      </c>
      <c r="S39" s="1">
        <f t="shared" si="106"/>
        <v>0.0851786415014432</v>
      </c>
      <c r="T39" s="1">
        <f t="shared" si="106"/>
        <v>2.10553592450433</v>
      </c>
      <c r="U39" s="1">
        <f t="shared" si="106"/>
        <v>1</v>
      </c>
      <c r="V39" s="1">
        <f t="shared" si="106"/>
        <v>1.02951212791311</v>
      </c>
      <c r="W39" s="1">
        <f t="shared" si="106"/>
        <v>1.08659357908048</v>
      </c>
      <c r="X39" s="1">
        <f t="shared" si="5"/>
        <v>0.65125684865025</v>
      </c>
      <c r="Y39" s="1">
        <f t="shared" si="6"/>
        <v>1.02913555980032</v>
      </c>
      <c r="Z39" s="1">
        <f t="shared" si="7"/>
        <v>8041.4367146026</v>
      </c>
      <c r="AA39" s="1">
        <f t="shared" si="8"/>
        <v>2477.94558339725</v>
      </c>
      <c r="AB39" s="1">
        <f t="shared" si="9"/>
        <v>1651.96372226483</v>
      </c>
      <c r="AC39" s="1">
        <f>AB39/(AB39+战斗公式!$M$27)</f>
        <v>0.0643991134616723</v>
      </c>
      <c r="AD39" s="1">
        <f t="shared" si="10"/>
        <v>8594.94345324477</v>
      </c>
      <c r="AE39" s="1">
        <f t="shared" si="11"/>
        <v>5.32597293931702</v>
      </c>
      <c r="AF39" s="1">
        <f t="shared" si="12"/>
        <v>3.37037848845598</v>
      </c>
      <c r="AG39" s="1">
        <f t="shared" si="13"/>
        <v>1.75334665823805</v>
      </c>
      <c r="AH39" s="1">
        <f t="shared" si="14"/>
        <v>0.364822081054688</v>
      </c>
      <c r="AI39" s="1">
        <f t="shared" si="15"/>
        <v>1.28789570319722</v>
      </c>
      <c r="AJ39" s="1">
        <f t="shared" si="16"/>
        <v>1.46363994074487</v>
      </c>
      <c r="AK39" s="1">
        <f t="shared" si="17"/>
        <v>1</v>
      </c>
      <c r="AL39" s="10">
        <f t="shared" si="18"/>
        <v>4183</v>
      </c>
      <c r="AM39" s="10">
        <f t="shared" si="19"/>
        <v>904</v>
      </c>
      <c r="AN39" s="10">
        <f t="shared" si="20"/>
        <v>1652</v>
      </c>
      <c r="AO39" s="1">
        <f t="shared" si="21"/>
        <v>3875</v>
      </c>
      <c r="AP39" s="1">
        <f t="shared" si="22"/>
        <v>904</v>
      </c>
      <c r="AR39" s="1">
        <f t="shared" ref="AR39:AX39" si="107">ROUNDUP(AR$10*$AO39,0)</f>
        <v>3875</v>
      </c>
      <c r="AS39" s="1">
        <f t="shared" si="107"/>
        <v>11625</v>
      </c>
      <c r="AT39" s="1">
        <f t="shared" si="107"/>
        <v>6975</v>
      </c>
      <c r="AU39" s="1">
        <f t="shared" si="107"/>
        <v>1938</v>
      </c>
      <c r="AV39" s="1">
        <f t="shared" si="107"/>
        <v>582</v>
      </c>
      <c r="AW39" s="1">
        <f t="shared" si="107"/>
        <v>15500</v>
      </c>
      <c r="AX39" s="1">
        <f t="shared" si="107"/>
        <v>34875</v>
      </c>
      <c r="AY39" s="1">
        <f t="shared" si="24"/>
        <v>323236</v>
      </c>
      <c r="AZ39" s="1">
        <f t="shared" si="25"/>
        <v>161618</v>
      </c>
      <c r="BB39" s="1">
        <f t="shared" si="26"/>
        <v>28</v>
      </c>
    </row>
    <row r="40" spans="2:54">
      <c r="B40" s="4">
        <v>29</v>
      </c>
      <c r="C40" s="1">
        <f t="shared" ref="C40:I40" si="108">C$5+(C$6-C$5)*(POWER(C$7,$B40-1)-1)/(POWER(C$7,$B$3-1)-1)</f>
        <v>2291.52096471988</v>
      </c>
      <c r="D40" s="1">
        <f t="shared" si="108"/>
        <v>687.456289415964</v>
      </c>
      <c r="E40" s="1">
        <f t="shared" si="108"/>
        <v>458.304192943976</v>
      </c>
      <c r="F40" s="1">
        <f t="shared" si="108"/>
        <v>5801.31889802501</v>
      </c>
      <c r="G40" s="1">
        <f t="shared" si="108"/>
        <v>1740.3956694075</v>
      </c>
      <c r="H40" s="1">
        <f t="shared" si="108"/>
        <v>1160.263779605</v>
      </c>
      <c r="I40" s="1">
        <f t="shared" si="108"/>
        <v>0</v>
      </c>
      <c r="J40" s="1">
        <f>标准模型!$I$65/1*$B40/$B$3</f>
        <v>0.2088</v>
      </c>
      <c r="K40" s="1">
        <f>J40*标准模型!$J$63</f>
        <v>0.2088</v>
      </c>
      <c r="L40" s="1">
        <f t="shared" si="1"/>
        <v>8092.83986274489</v>
      </c>
      <c r="M40" s="1">
        <f t="shared" si="2"/>
        <v>2571.39283205352</v>
      </c>
      <c r="N40" s="1">
        <f t="shared" si="3"/>
        <v>1714.26188803568</v>
      </c>
      <c r="O40" s="1">
        <f t="shared" ref="O40:W40" si="109">O$5+(O$6-O$5)*(POWER(O$7,$B40-1)-1)/(POWER(O$7,$B$3-1)-1)</f>
        <v>0.528062719929985</v>
      </c>
      <c r="P40" s="1">
        <f t="shared" si="109"/>
        <v>0.0154089707034826</v>
      </c>
      <c r="Q40" s="1">
        <f t="shared" si="109"/>
        <v>0.290434495961492</v>
      </c>
      <c r="R40" s="1">
        <f t="shared" si="109"/>
        <v>1.01122508797199</v>
      </c>
      <c r="S40" s="1">
        <f t="shared" si="109"/>
        <v>0.0864815359089806</v>
      </c>
      <c r="T40" s="1">
        <f t="shared" si="109"/>
        <v>2.10944460772694</v>
      </c>
      <c r="U40" s="1">
        <f t="shared" si="109"/>
        <v>1</v>
      </c>
      <c r="V40" s="1">
        <f t="shared" si="109"/>
        <v>1.03060515438518</v>
      </c>
      <c r="W40" s="1">
        <f t="shared" si="109"/>
        <v>1.08980070377595</v>
      </c>
      <c r="X40" s="1">
        <f t="shared" si="5"/>
        <v>0.656388842241703</v>
      </c>
      <c r="Y40" s="1">
        <f t="shared" si="6"/>
        <v>1.03799143348046</v>
      </c>
      <c r="Z40" s="1">
        <f t="shared" si="7"/>
        <v>8400.29845005838</v>
      </c>
      <c r="AA40" s="1">
        <f t="shared" si="8"/>
        <v>2571.39283205352</v>
      </c>
      <c r="AB40" s="1">
        <f t="shared" si="9"/>
        <v>1714.26188803568</v>
      </c>
      <c r="AC40" s="1">
        <f>AB40/(AB40+战斗公式!$M$27)</f>
        <v>0.0666658018612345</v>
      </c>
      <c r="AD40" s="1">
        <f t="shared" si="10"/>
        <v>9000.31142843589</v>
      </c>
      <c r="AE40" s="1">
        <f t="shared" si="11"/>
        <v>5.33246382848999</v>
      </c>
      <c r="AF40" s="1">
        <f t="shared" si="12"/>
        <v>3.37206035211869</v>
      </c>
      <c r="AG40" s="1">
        <f t="shared" si="13"/>
        <v>1.77841421253231</v>
      </c>
      <c r="AH40" s="1">
        <f t="shared" si="14"/>
        <v>0.367290703758767</v>
      </c>
      <c r="AI40" s="1">
        <f t="shared" si="15"/>
        <v>1.27350091803692</v>
      </c>
      <c r="AJ40" s="1">
        <f t="shared" si="16"/>
        <v>1.45436647212258</v>
      </c>
      <c r="AK40" s="1">
        <f t="shared" si="17"/>
        <v>1</v>
      </c>
      <c r="AL40" s="10">
        <f t="shared" si="18"/>
        <v>4430</v>
      </c>
      <c r="AM40" s="10">
        <f t="shared" si="19"/>
        <v>944</v>
      </c>
      <c r="AN40" s="10">
        <f t="shared" si="20"/>
        <v>1714</v>
      </c>
      <c r="AO40" s="1">
        <f t="shared" si="21"/>
        <v>4074</v>
      </c>
      <c r="AP40" s="1">
        <f t="shared" si="22"/>
        <v>944</v>
      </c>
      <c r="AR40" s="1">
        <f t="shared" ref="AR40:AX40" si="110">ROUNDUP(AR$10*$AO40,0)</f>
        <v>4074</v>
      </c>
      <c r="AS40" s="1">
        <f t="shared" si="110"/>
        <v>12222</v>
      </c>
      <c r="AT40" s="1">
        <f t="shared" si="110"/>
        <v>7334</v>
      </c>
      <c r="AU40" s="1">
        <f t="shared" si="110"/>
        <v>2037</v>
      </c>
      <c r="AV40" s="1">
        <f t="shared" si="110"/>
        <v>612</v>
      </c>
      <c r="AW40" s="1">
        <f t="shared" si="110"/>
        <v>16296</v>
      </c>
      <c r="AX40" s="1">
        <f t="shared" si="110"/>
        <v>36666</v>
      </c>
      <c r="AY40" s="1">
        <f t="shared" si="24"/>
        <v>338497</v>
      </c>
      <c r="AZ40" s="1">
        <f t="shared" si="25"/>
        <v>169248</v>
      </c>
      <c r="BB40" s="1">
        <f t="shared" si="26"/>
        <v>29</v>
      </c>
    </row>
    <row r="41" spans="2:54">
      <c r="B41" s="4">
        <v>30</v>
      </c>
      <c r="C41" s="1">
        <f t="shared" ref="C41:I41" si="111">C$5+(C$6-C$5)*(POWER(C$7,$B41-1)-1)/(POWER(C$7,$B$3-1)-1)</f>
        <v>2370.53842483969</v>
      </c>
      <c r="D41" s="1">
        <f t="shared" si="111"/>
        <v>711.161527451908</v>
      </c>
      <c r="E41" s="1">
        <f t="shared" si="111"/>
        <v>474.107684967939</v>
      </c>
      <c r="F41" s="1">
        <f t="shared" si="111"/>
        <v>6001.36310085999</v>
      </c>
      <c r="G41" s="1">
        <f t="shared" si="111"/>
        <v>1800.408930258</v>
      </c>
      <c r="H41" s="1">
        <f t="shared" si="111"/>
        <v>1200.272620172</v>
      </c>
      <c r="I41" s="1">
        <f t="shared" si="111"/>
        <v>0</v>
      </c>
      <c r="J41" s="1">
        <f>标准模型!$I$65/1*$B41/$B$3</f>
        <v>0.216</v>
      </c>
      <c r="K41" s="1">
        <f>J41*标准模型!$J$63</f>
        <v>0.216</v>
      </c>
      <c r="L41" s="1">
        <f t="shared" si="1"/>
        <v>8371.90152569968</v>
      </c>
      <c r="M41" s="1">
        <f t="shared" si="2"/>
        <v>2665.18134763952</v>
      </c>
      <c r="N41" s="1">
        <f t="shared" si="3"/>
        <v>1776.78756509301</v>
      </c>
      <c r="O41" s="1">
        <f t="shared" ref="O41:W41" si="112">O$5+(O$6-O$5)*(POWER(O$7,$B41-1)-1)/(POWER(O$7,$B$3-1)-1)</f>
        <v>0.52906494539509</v>
      </c>
      <c r="P41" s="1">
        <f t="shared" si="112"/>
        <v>0.0159713412850675</v>
      </c>
      <c r="Q41" s="1">
        <f t="shared" si="112"/>
        <v>0.2909857199673</v>
      </c>
      <c r="R41" s="1">
        <f t="shared" si="112"/>
        <v>1.01162597815804</v>
      </c>
      <c r="S41" s="1">
        <f t="shared" si="112"/>
        <v>0.0877844290136171</v>
      </c>
      <c r="T41" s="1">
        <f t="shared" si="112"/>
        <v>2.11335328704085</v>
      </c>
      <c r="U41" s="1">
        <f t="shared" si="112"/>
        <v>1</v>
      </c>
      <c r="V41" s="1">
        <f t="shared" si="112"/>
        <v>1.03169817976422</v>
      </c>
      <c r="W41" s="1">
        <f t="shared" si="112"/>
        <v>1.09300782526429</v>
      </c>
      <c r="X41" s="1">
        <f t="shared" si="5"/>
        <v>0.661555380191015</v>
      </c>
      <c r="Y41" s="1">
        <f t="shared" si="6"/>
        <v>1.04691437363612</v>
      </c>
      <c r="Z41" s="1">
        <f t="shared" si="7"/>
        <v>8764.66404192119</v>
      </c>
      <c r="AA41" s="1">
        <f t="shared" si="8"/>
        <v>2665.18134763952</v>
      </c>
      <c r="AB41" s="1">
        <f t="shared" si="9"/>
        <v>1776.78756509301</v>
      </c>
      <c r="AC41" s="1">
        <f>AB41/(AB41+战斗公式!$M$27)</f>
        <v>0.0689297516459786</v>
      </c>
      <c r="AD41" s="1">
        <f t="shared" si="10"/>
        <v>9413.53679533384</v>
      </c>
      <c r="AE41" s="1">
        <f t="shared" si="11"/>
        <v>5.33899917280116</v>
      </c>
      <c r="AF41" s="1">
        <f t="shared" si="12"/>
        <v>3.37376553092356</v>
      </c>
      <c r="AG41" s="1">
        <f t="shared" si="13"/>
        <v>1.80329376016937</v>
      </c>
      <c r="AH41" s="1">
        <f t="shared" si="14"/>
        <v>0.369764263708255</v>
      </c>
      <c r="AI41" s="1">
        <f t="shared" si="15"/>
        <v>1.25982587213463</v>
      </c>
      <c r="AJ41" s="1">
        <f t="shared" si="16"/>
        <v>1.44527847287274</v>
      </c>
      <c r="AK41" s="1">
        <f t="shared" si="17"/>
        <v>1</v>
      </c>
      <c r="AL41" s="10">
        <f t="shared" si="18"/>
        <v>4685</v>
      </c>
      <c r="AM41" s="10">
        <f t="shared" si="19"/>
        <v>985</v>
      </c>
      <c r="AN41" s="10">
        <f t="shared" si="20"/>
        <v>1777</v>
      </c>
      <c r="AO41" s="1">
        <f t="shared" si="21"/>
        <v>4279</v>
      </c>
      <c r="AP41" s="1">
        <f t="shared" si="22"/>
        <v>985</v>
      </c>
      <c r="AR41" s="1">
        <f t="shared" ref="AR41:AX41" si="113">ROUNDUP(AR$10*$AO41,0)</f>
        <v>4279</v>
      </c>
      <c r="AS41" s="1">
        <f t="shared" si="113"/>
        <v>12837</v>
      </c>
      <c r="AT41" s="1">
        <f t="shared" si="113"/>
        <v>7703</v>
      </c>
      <c r="AU41" s="1">
        <f t="shared" si="113"/>
        <v>2140</v>
      </c>
      <c r="AV41" s="1">
        <f t="shared" si="113"/>
        <v>642</v>
      </c>
      <c r="AW41" s="1">
        <f t="shared" si="113"/>
        <v>17116</v>
      </c>
      <c r="AX41" s="1">
        <f t="shared" si="113"/>
        <v>38511</v>
      </c>
      <c r="AY41" s="1">
        <f t="shared" si="24"/>
        <v>354137</v>
      </c>
      <c r="AZ41" s="1">
        <f t="shared" si="25"/>
        <v>177069</v>
      </c>
      <c r="BB41" s="1">
        <f t="shared" si="26"/>
        <v>30</v>
      </c>
    </row>
    <row r="42" spans="2:54">
      <c r="B42" s="4">
        <v>31</v>
      </c>
      <c r="C42" s="1">
        <f t="shared" ref="C42:I42" si="114">C$5+(C$6-C$5)*(POWER(C$7,$B42-1)-1)/(POWER(C$7,$B$3-1)-1)</f>
        <v>2449.55580594158</v>
      </c>
      <c r="D42" s="1">
        <f t="shared" si="114"/>
        <v>734.866741782475</v>
      </c>
      <c r="E42" s="1">
        <f t="shared" si="114"/>
        <v>489.911161188317</v>
      </c>
      <c r="F42" s="1">
        <f t="shared" si="114"/>
        <v>6201.40710364958</v>
      </c>
      <c r="G42" s="1">
        <f t="shared" si="114"/>
        <v>1860.42213109487</v>
      </c>
      <c r="H42" s="1">
        <f t="shared" si="114"/>
        <v>1240.28142072992</v>
      </c>
      <c r="I42" s="1">
        <f t="shared" si="114"/>
        <v>0</v>
      </c>
      <c r="J42" s="1">
        <f>标准模型!$I$65/1*$B42/$B$3</f>
        <v>0.2232</v>
      </c>
      <c r="K42" s="1">
        <f>J42*标准模型!$J$63</f>
        <v>0.2232</v>
      </c>
      <c r="L42" s="1">
        <f t="shared" si="1"/>
        <v>8650.96290959116</v>
      </c>
      <c r="M42" s="1">
        <f t="shared" si="2"/>
        <v>2759.3111296432</v>
      </c>
      <c r="N42" s="1">
        <f t="shared" si="3"/>
        <v>1839.54075309546</v>
      </c>
      <c r="O42" s="1">
        <f t="shared" ref="O42:W42" si="115">O$5+(O$6-O$5)*(POWER(O$7,$B42-1)-1)/(POWER(O$7,$B$3-1)-1)</f>
        <v>0.530067169857964</v>
      </c>
      <c r="P42" s="1">
        <f t="shared" si="115"/>
        <v>0.0165345554225247</v>
      </c>
      <c r="Q42" s="1">
        <f t="shared" si="115"/>
        <v>0.29153694342188</v>
      </c>
      <c r="R42" s="1">
        <f t="shared" si="115"/>
        <v>1.01202686794319</v>
      </c>
      <c r="S42" s="1">
        <f t="shared" si="115"/>
        <v>0.0890873208153529</v>
      </c>
      <c r="T42" s="1">
        <f t="shared" si="115"/>
        <v>2.11726196244606</v>
      </c>
      <c r="U42" s="1">
        <f t="shared" si="115"/>
        <v>1</v>
      </c>
      <c r="V42" s="1">
        <f t="shared" si="115"/>
        <v>1.03279120405022</v>
      </c>
      <c r="W42" s="1">
        <f t="shared" si="115"/>
        <v>1.09621494354548</v>
      </c>
      <c r="X42" s="1">
        <f t="shared" si="5"/>
        <v>0.666756675693341</v>
      </c>
      <c r="Y42" s="1">
        <f t="shared" si="6"/>
        <v>1.05590484563448</v>
      </c>
      <c r="Z42" s="1">
        <f t="shared" si="7"/>
        <v>9134.5936556415</v>
      </c>
      <c r="AA42" s="1">
        <f t="shared" si="8"/>
        <v>2759.3111296432</v>
      </c>
      <c r="AB42" s="1">
        <f t="shared" si="9"/>
        <v>1839.54075309546</v>
      </c>
      <c r="AC42" s="1">
        <f>AB42/(AB42+战斗公式!$M$27)</f>
        <v>0.0711909228833757</v>
      </c>
      <c r="AD42" s="1">
        <f t="shared" si="10"/>
        <v>9834.73770949649</v>
      </c>
      <c r="AE42" s="1">
        <f t="shared" si="11"/>
        <v>5.3455788078878</v>
      </c>
      <c r="AF42" s="1">
        <f t="shared" si="12"/>
        <v>3.37549389070409</v>
      </c>
      <c r="AG42" s="1">
        <f t="shared" si="13"/>
        <v>1.82798671119916</v>
      </c>
      <c r="AH42" s="1">
        <f t="shared" si="14"/>
        <v>0.372242770777642</v>
      </c>
      <c r="AI42" s="1">
        <f t="shared" si="15"/>
        <v>1.24683457852746</v>
      </c>
      <c r="AJ42" s="1">
        <f t="shared" si="16"/>
        <v>1.4363722336079</v>
      </c>
      <c r="AK42" s="1">
        <f t="shared" si="17"/>
        <v>1</v>
      </c>
      <c r="AL42" s="10">
        <f t="shared" si="18"/>
        <v>4947</v>
      </c>
      <c r="AM42" s="10">
        <f t="shared" si="19"/>
        <v>1027</v>
      </c>
      <c r="AN42" s="10">
        <f t="shared" si="20"/>
        <v>1840</v>
      </c>
      <c r="AO42" s="1">
        <f t="shared" si="21"/>
        <v>4487</v>
      </c>
      <c r="AP42" s="1">
        <f t="shared" si="22"/>
        <v>1027</v>
      </c>
      <c r="AR42" s="1">
        <f t="shared" ref="AR42:AX42" si="116">ROUNDUP(AR$10*$AO42,0)</f>
        <v>4487</v>
      </c>
      <c r="AS42" s="1">
        <f t="shared" si="116"/>
        <v>13461</v>
      </c>
      <c r="AT42" s="1">
        <f t="shared" si="116"/>
        <v>8077</v>
      </c>
      <c r="AU42" s="1">
        <f t="shared" si="116"/>
        <v>2244</v>
      </c>
      <c r="AV42" s="1">
        <f t="shared" si="116"/>
        <v>674</v>
      </c>
      <c r="AW42" s="1">
        <f t="shared" si="116"/>
        <v>17948</v>
      </c>
      <c r="AX42" s="1">
        <f t="shared" si="116"/>
        <v>40383</v>
      </c>
      <c r="AY42" s="1">
        <f t="shared" si="24"/>
        <v>370085</v>
      </c>
      <c r="AZ42" s="1">
        <f t="shared" si="25"/>
        <v>185043</v>
      </c>
      <c r="BB42" s="1">
        <f t="shared" si="26"/>
        <v>31</v>
      </c>
    </row>
    <row r="43" spans="2:54">
      <c r="B43" s="4">
        <v>32</v>
      </c>
      <c r="C43" s="1">
        <f t="shared" ref="C43:I43" si="117">C$5+(C$6-C$5)*(POWER(C$7,$B43-1)-1)/(POWER(C$7,$B$3-1)-1)</f>
        <v>2528.57310802555</v>
      </c>
      <c r="D43" s="1">
        <f t="shared" si="117"/>
        <v>758.571932407664</v>
      </c>
      <c r="E43" s="1">
        <f t="shared" si="117"/>
        <v>505.714621605109</v>
      </c>
      <c r="F43" s="1">
        <f t="shared" si="117"/>
        <v>6401.45090639379</v>
      </c>
      <c r="G43" s="1">
        <f t="shared" si="117"/>
        <v>1920.43527191814</v>
      </c>
      <c r="H43" s="1">
        <f t="shared" si="117"/>
        <v>1280.29018127876</v>
      </c>
      <c r="I43" s="1">
        <f t="shared" si="117"/>
        <v>0</v>
      </c>
      <c r="J43" s="1">
        <f>标准模型!$I$65/1*$B43/$B$3</f>
        <v>0.2304</v>
      </c>
      <c r="K43" s="1">
        <f>J43*标准模型!$J$63</f>
        <v>0.2304</v>
      </c>
      <c r="L43" s="1">
        <f t="shared" si="1"/>
        <v>8930.02401441934</v>
      </c>
      <c r="M43" s="1">
        <f t="shared" si="2"/>
        <v>2853.78217755253</v>
      </c>
      <c r="N43" s="1">
        <f t="shared" si="3"/>
        <v>1902.52145170168</v>
      </c>
      <c r="O43" s="1">
        <f t="shared" ref="O43:W43" si="118">O$5+(O$6-O$5)*(POWER(O$7,$B43-1)-1)/(POWER(O$7,$B$3-1)-1)</f>
        <v>0.531069393318606</v>
      </c>
      <c r="P43" s="1">
        <f t="shared" si="118"/>
        <v>0.0170986143811881</v>
      </c>
      <c r="Q43" s="1">
        <f t="shared" si="118"/>
        <v>0.292088166325233</v>
      </c>
      <c r="R43" s="1">
        <f t="shared" si="118"/>
        <v>1.01242775732744</v>
      </c>
      <c r="S43" s="1">
        <f t="shared" si="118"/>
        <v>0.090390211314188</v>
      </c>
      <c r="T43" s="1">
        <f t="shared" si="118"/>
        <v>2.12117063394256</v>
      </c>
      <c r="U43" s="1">
        <f t="shared" si="118"/>
        <v>1</v>
      </c>
      <c r="V43" s="1">
        <f t="shared" si="118"/>
        <v>1.0338842272432</v>
      </c>
      <c r="W43" s="1">
        <f t="shared" si="118"/>
        <v>1.09942205861954</v>
      </c>
      <c r="X43" s="1">
        <f t="shared" si="5"/>
        <v>0.671992942990341</v>
      </c>
      <c r="Y43" s="1">
        <f t="shared" si="6"/>
        <v>1.0649633175485</v>
      </c>
      <c r="Z43" s="1">
        <f t="shared" si="7"/>
        <v>9510.14800018378</v>
      </c>
      <c r="AA43" s="1">
        <f t="shared" si="8"/>
        <v>2853.78217755253</v>
      </c>
      <c r="AB43" s="1">
        <f t="shared" si="9"/>
        <v>1902.52145170168</v>
      </c>
      <c r="AC43" s="1">
        <f>AB43/(AB43+战斗公式!$M$27)</f>
        <v>0.0734492761737177</v>
      </c>
      <c r="AD43" s="1">
        <f t="shared" si="10"/>
        <v>10264.0338576508</v>
      </c>
      <c r="AE43" s="1">
        <f t="shared" si="11"/>
        <v>5.35220257086324</v>
      </c>
      <c r="AF43" s="1">
        <f t="shared" si="12"/>
        <v>3.37724529832087</v>
      </c>
      <c r="AG43" s="1">
        <f t="shared" si="13"/>
        <v>1.85249446509621</v>
      </c>
      <c r="AH43" s="1">
        <f t="shared" si="14"/>
        <v>0.374726234861167</v>
      </c>
      <c r="AI43" s="1">
        <f t="shared" si="15"/>
        <v>1.23449284960065</v>
      </c>
      <c r="AJ43" s="1">
        <f t="shared" si="16"/>
        <v>1.42764411912836</v>
      </c>
      <c r="AK43" s="1">
        <f t="shared" si="17"/>
        <v>1</v>
      </c>
      <c r="AL43" s="10">
        <f t="shared" si="18"/>
        <v>5217</v>
      </c>
      <c r="AM43" s="10">
        <f t="shared" si="19"/>
        <v>1069</v>
      </c>
      <c r="AN43" s="10">
        <f t="shared" si="20"/>
        <v>1903</v>
      </c>
      <c r="AO43" s="1">
        <f t="shared" si="21"/>
        <v>4699</v>
      </c>
      <c r="AP43" s="1">
        <f t="shared" si="22"/>
        <v>1069</v>
      </c>
      <c r="AR43" s="1">
        <f t="shared" ref="AR43:AX43" si="119">ROUNDUP(AR$10*$AO43,0)</f>
        <v>4699</v>
      </c>
      <c r="AS43" s="1">
        <f t="shared" si="119"/>
        <v>14097</v>
      </c>
      <c r="AT43" s="1">
        <f t="shared" si="119"/>
        <v>8459</v>
      </c>
      <c r="AU43" s="1">
        <f t="shared" si="119"/>
        <v>2350</v>
      </c>
      <c r="AV43" s="1">
        <f t="shared" si="119"/>
        <v>705</v>
      </c>
      <c r="AW43" s="1">
        <f t="shared" si="119"/>
        <v>18796</v>
      </c>
      <c r="AX43" s="1">
        <f t="shared" si="119"/>
        <v>42291</v>
      </c>
      <c r="AY43" s="1">
        <f t="shared" si="24"/>
        <v>386421</v>
      </c>
      <c r="AZ43" s="1">
        <f t="shared" si="25"/>
        <v>193210</v>
      </c>
      <c r="BB43" s="1">
        <f t="shared" si="26"/>
        <v>32</v>
      </c>
    </row>
    <row r="44" spans="2:54">
      <c r="B44" s="4">
        <v>33</v>
      </c>
      <c r="C44" s="1">
        <f t="shared" ref="C44:I44" si="120">C$5+(C$6-C$5)*(POWER(C$7,$B44-1)-1)/(POWER(C$7,$B$3-1)-1)</f>
        <v>2607.59033109159</v>
      </c>
      <c r="D44" s="1">
        <f t="shared" si="120"/>
        <v>782.277099327476</v>
      </c>
      <c r="E44" s="1">
        <f t="shared" si="120"/>
        <v>521.518066218317</v>
      </c>
      <c r="F44" s="1">
        <f t="shared" si="120"/>
        <v>6601.49450909262</v>
      </c>
      <c r="G44" s="1">
        <f t="shared" si="120"/>
        <v>1980.44835272779</v>
      </c>
      <c r="H44" s="1">
        <f t="shared" si="120"/>
        <v>1320.29890181852</v>
      </c>
      <c r="I44" s="1">
        <f t="shared" si="120"/>
        <v>0</v>
      </c>
      <c r="J44" s="1">
        <f>标准模型!$I$65/1*$B44/$B$3</f>
        <v>0.2376</v>
      </c>
      <c r="K44" s="1">
        <f>J44*标准模型!$J$63</f>
        <v>0.2376</v>
      </c>
      <c r="L44" s="1">
        <f t="shared" si="1"/>
        <v>9209.08484018421</v>
      </c>
      <c r="M44" s="1">
        <f t="shared" si="2"/>
        <v>2948.59449085547</v>
      </c>
      <c r="N44" s="1">
        <f t="shared" si="3"/>
        <v>1965.72966057031</v>
      </c>
      <c r="O44" s="1">
        <f t="shared" ref="O44:W44" si="121">O$5+(O$6-O$5)*(POWER(O$7,$B44-1)-1)/(POWER(O$7,$B$3-1)-1)</f>
        <v>0.532071615777017</v>
      </c>
      <c r="P44" s="1">
        <f t="shared" si="121"/>
        <v>0.0176635194282895</v>
      </c>
      <c r="Q44" s="1">
        <f t="shared" si="121"/>
        <v>0.292639388677359</v>
      </c>
      <c r="R44" s="1">
        <f t="shared" si="121"/>
        <v>1.01282864631081</v>
      </c>
      <c r="S44" s="1">
        <f t="shared" si="121"/>
        <v>0.0916931005101223</v>
      </c>
      <c r="T44" s="1">
        <f t="shared" si="121"/>
        <v>2.12507930153037</v>
      </c>
      <c r="U44" s="1">
        <f t="shared" si="121"/>
        <v>1</v>
      </c>
      <c r="V44" s="1">
        <f t="shared" si="121"/>
        <v>1.03497724934314</v>
      </c>
      <c r="W44" s="1">
        <f t="shared" si="121"/>
        <v>1.10262917048645</v>
      </c>
      <c r="X44" s="1">
        <f t="shared" si="5"/>
        <v>0.677264397372828</v>
      </c>
      <c r="Y44" s="1">
        <f t="shared" si="6"/>
        <v>1.07409026016756</v>
      </c>
      <c r="Z44" s="1">
        <f t="shared" si="7"/>
        <v>9891.38833189861</v>
      </c>
      <c r="AA44" s="1">
        <f t="shared" si="8"/>
        <v>2948.59449085547</v>
      </c>
      <c r="AB44" s="1">
        <f t="shared" si="9"/>
        <v>1965.72966057031</v>
      </c>
      <c r="AC44" s="1">
        <f>AB44/(AB44+战斗公式!$M$27)</f>
        <v>0.0757047726471299</v>
      </c>
      <c r="AD44" s="1">
        <f t="shared" si="10"/>
        <v>10701.5464747416</v>
      </c>
      <c r="AE44" s="1">
        <f t="shared" si="11"/>
        <v>5.35887030029917</v>
      </c>
      <c r="AF44" s="1">
        <f t="shared" si="12"/>
        <v>3.37901962165178</v>
      </c>
      <c r="AG44" s="1">
        <f t="shared" si="13"/>
        <v>1.87681841083905</v>
      </c>
      <c r="AH44" s="1">
        <f t="shared" si="14"/>
        <v>0.37721466587286</v>
      </c>
      <c r="AI44" s="1">
        <f t="shared" si="15"/>
        <v>1.22276820712018</v>
      </c>
      <c r="AJ44" s="1">
        <f t="shared" si="16"/>
        <v>1.4190905669384</v>
      </c>
      <c r="AK44" s="1">
        <f t="shared" si="17"/>
        <v>1</v>
      </c>
      <c r="AL44" s="10">
        <f t="shared" si="18"/>
        <v>5494</v>
      </c>
      <c r="AM44" s="10">
        <f t="shared" si="19"/>
        <v>1112</v>
      </c>
      <c r="AN44" s="10">
        <f t="shared" si="20"/>
        <v>1966</v>
      </c>
      <c r="AO44" s="1">
        <f t="shared" si="21"/>
        <v>4916</v>
      </c>
      <c r="AP44" s="1">
        <f t="shared" si="22"/>
        <v>1112</v>
      </c>
      <c r="AR44" s="1">
        <f t="shared" ref="AR44:AX44" si="122">ROUNDUP(AR$10*$AO44,0)</f>
        <v>4916</v>
      </c>
      <c r="AS44" s="1">
        <f t="shared" si="122"/>
        <v>14748</v>
      </c>
      <c r="AT44" s="1">
        <f t="shared" si="122"/>
        <v>8849</v>
      </c>
      <c r="AU44" s="1">
        <f t="shared" si="122"/>
        <v>2458</v>
      </c>
      <c r="AV44" s="1">
        <f t="shared" si="122"/>
        <v>738</v>
      </c>
      <c r="AW44" s="1">
        <f t="shared" si="122"/>
        <v>19664</v>
      </c>
      <c r="AX44" s="1">
        <f t="shared" si="122"/>
        <v>44244</v>
      </c>
      <c r="AY44" s="1">
        <f t="shared" si="24"/>
        <v>403073</v>
      </c>
      <c r="AZ44" s="1">
        <f t="shared" si="25"/>
        <v>201537</v>
      </c>
      <c r="BB44" s="1">
        <f t="shared" si="26"/>
        <v>33</v>
      </c>
    </row>
    <row r="45" spans="2:54">
      <c r="B45" s="4">
        <v>34</v>
      </c>
      <c r="C45" s="1">
        <f t="shared" ref="C45:I45" si="123">C$5+(C$6-C$5)*(POWER(C$7,$B45-1)-1)/(POWER(C$7,$B$3-1)-1)</f>
        <v>2686.6074751397</v>
      </c>
      <c r="D45" s="1">
        <f t="shared" si="123"/>
        <v>805.98224254191</v>
      </c>
      <c r="E45" s="1">
        <f t="shared" si="123"/>
        <v>537.32149502794</v>
      </c>
      <c r="F45" s="1">
        <f t="shared" si="123"/>
        <v>6801.53791174608</v>
      </c>
      <c r="G45" s="1">
        <f t="shared" si="123"/>
        <v>2040.46137352382</v>
      </c>
      <c r="H45" s="1">
        <f t="shared" si="123"/>
        <v>1360.30758234922</v>
      </c>
      <c r="I45" s="1">
        <f t="shared" si="123"/>
        <v>0</v>
      </c>
      <c r="J45" s="1">
        <f>标准模型!$I$65/1*$B45/$B$3</f>
        <v>0.2448</v>
      </c>
      <c r="K45" s="1">
        <f>J45*标准模型!$J$63</f>
        <v>0.2448</v>
      </c>
      <c r="L45" s="1">
        <f t="shared" si="1"/>
        <v>9488.14538688578</v>
      </c>
      <c r="M45" s="1">
        <f t="shared" si="2"/>
        <v>3043.74806903999</v>
      </c>
      <c r="N45" s="1">
        <f t="shared" si="3"/>
        <v>2029.16537936</v>
      </c>
      <c r="O45" s="1">
        <f t="shared" ref="O45:W45" si="124">O$5+(O$6-O$5)*(POWER(O$7,$B45-1)-1)/(POWER(O$7,$B$3-1)-1)</f>
        <v>0.533073837233197</v>
      </c>
      <c r="P45" s="1">
        <f t="shared" si="124"/>
        <v>0.0182292718329616</v>
      </c>
      <c r="Q45" s="1">
        <f t="shared" si="124"/>
        <v>0.293190610478258</v>
      </c>
      <c r="R45" s="1">
        <f t="shared" si="124"/>
        <v>1.01322953489328</v>
      </c>
      <c r="S45" s="1">
        <f t="shared" si="124"/>
        <v>0.0929959884031558</v>
      </c>
      <c r="T45" s="1">
        <f t="shared" si="124"/>
        <v>2.12898796520947</v>
      </c>
      <c r="U45" s="1">
        <f t="shared" si="124"/>
        <v>1</v>
      </c>
      <c r="V45" s="1">
        <f t="shared" si="124"/>
        <v>1.03607027035005</v>
      </c>
      <c r="W45" s="1">
        <f t="shared" si="124"/>
        <v>1.10583627914623</v>
      </c>
      <c r="X45" s="1">
        <f t="shared" si="5"/>
        <v>0.682571255183513</v>
      </c>
      <c r="Y45" s="1">
        <f t="shared" si="6"/>
        <v>1.08328614700832</v>
      </c>
      <c r="Z45" s="1">
        <f t="shared" si="7"/>
        <v>10278.3764584143</v>
      </c>
      <c r="AA45" s="1">
        <f t="shared" si="8"/>
        <v>3043.74806903999</v>
      </c>
      <c r="AB45" s="1">
        <f t="shared" si="9"/>
        <v>2029.16537936</v>
      </c>
      <c r="AC45" s="1">
        <f>AB45/(AB45+战斗公式!$M$27)</f>
        <v>0.0779573739605587</v>
      </c>
      <c r="AD45" s="1">
        <f t="shared" si="10"/>
        <v>11147.3983611411</v>
      </c>
      <c r="AE45" s="1">
        <f t="shared" si="11"/>
        <v>5.3655818362082</v>
      </c>
      <c r="AF45" s="1">
        <f t="shared" si="12"/>
        <v>3.3808167295823</v>
      </c>
      <c r="AG45" s="1">
        <f t="shared" si="13"/>
        <v>1.90095992698881</v>
      </c>
      <c r="AH45" s="1">
        <f t="shared" si="14"/>
        <v>0.379708073746576</v>
      </c>
      <c r="AI45" s="1">
        <f t="shared" si="15"/>
        <v>1.21162979676373</v>
      </c>
      <c r="AJ45" s="1">
        <f t="shared" si="16"/>
        <v>1.41070808579224</v>
      </c>
      <c r="AK45" s="1">
        <f t="shared" si="17"/>
        <v>1</v>
      </c>
      <c r="AL45" s="10">
        <f t="shared" si="18"/>
        <v>5779</v>
      </c>
      <c r="AM45" s="10">
        <f t="shared" si="19"/>
        <v>1156</v>
      </c>
      <c r="AN45" s="10">
        <f t="shared" si="20"/>
        <v>2029</v>
      </c>
      <c r="AO45" s="1">
        <f t="shared" si="21"/>
        <v>5137</v>
      </c>
      <c r="AP45" s="1">
        <f t="shared" si="22"/>
        <v>1156</v>
      </c>
      <c r="AR45" s="1">
        <f t="shared" ref="AR45:AX45" si="125">ROUNDUP(AR$10*$AO45,0)</f>
        <v>5137</v>
      </c>
      <c r="AS45" s="1">
        <f t="shared" si="125"/>
        <v>15411</v>
      </c>
      <c r="AT45" s="1">
        <f t="shared" si="125"/>
        <v>9247</v>
      </c>
      <c r="AU45" s="1">
        <f t="shared" si="125"/>
        <v>2569</v>
      </c>
      <c r="AV45" s="1">
        <f t="shared" si="125"/>
        <v>771</v>
      </c>
      <c r="AW45" s="1">
        <f t="shared" si="125"/>
        <v>20548</v>
      </c>
      <c r="AX45" s="1">
        <f t="shared" si="125"/>
        <v>46233</v>
      </c>
      <c r="AY45" s="1">
        <f t="shared" si="24"/>
        <v>420121</v>
      </c>
      <c r="AZ45" s="1">
        <f t="shared" si="25"/>
        <v>210060</v>
      </c>
      <c r="BB45" s="1">
        <f t="shared" si="26"/>
        <v>34</v>
      </c>
    </row>
    <row r="46" spans="2:54">
      <c r="B46" s="4">
        <v>35</v>
      </c>
      <c r="C46" s="1">
        <f t="shared" ref="C46:I46" si="126">C$5+(C$6-C$5)*(POWER(C$7,$B46-1)-1)/(POWER(C$7,$B$3-1)-1)</f>
        <v>2765.62454016989</v>
      </c>
      <c r="D46" s="1">
        <f t="shared" si="126"/>
        <v>829.687362050967</v>
      </c>
      <c r="E46" s="1">
        <f t="shared" si="126"/>
        <v>553.124908033978</v>
      </c>
      <c r="F46" s="1">
        <f t="shared" si="126"/>
        <v>7001.58111435416</v>
      </c>
      <c r="G46" s="1">
        <f t="shared" si="126"/>
        <v>2100.47433430625</v>
      </c>
      <c r="H46" s="1">
        <f t="shared" si="126"/>
        <v>1400.31622287083</v>
      </c>
      <c r="I46" s="1">
        <f t="shared" si="126"/>
        <v>0</v>
      </c>
      <c r="J46" s="1">
        <f>标准模型!$I$65/1*$B46/$B$3</f>
        <v>0.252</v>
      </c>
      <c r="K46" s="1">
        <f>J46*标准模型!$J$63</f>
        <v>0.252</v>
      </c>
      <c r="L46" s="1">
        <f t="shared" si="1"/>
        <v>9767.20565452405</v>
      </c>
      <c r="M46" s="1">
        <f t="shared" si="2"/>
        <v>3139.24291159406</v>
      </c>
      <c r="N46" s="1">
        <f t="shared" si="3"/>
        <v>2092.82860772937</v>
      </c>
      <c r="O46" s="1">
        <f t="shared" ref="O46:W46" si="127">O$5+(O$6-O$5)*(POWER(O$7,$B46-1)-1)/(POWER(O$7,$B$3-1)-1)</f>
        <v>0.534076057687145</v>
      </c>
      <c r="P46" s="1">
        <f t="shared" si="127"/>
        <v>0.0187958728662406</v>
      </c>
      <c r="Q46" s="1">
        <f t="shared" si="127"/>
        <v>0.29374183172793</v>
      </c>
      <c r="R46" s="1">
        <f t="shared" si="127"/>
        <v>1.01363042307486</v>
      </c>
      <c r="S46" s="1">
        <f t="shared" si="127"/>
        <v>0.0942988749932886</v>
      </c>
      <c r="T46" s="1">
        <f t="shared" si="127"/>
        <v>2.13289662497987</v>
      </c>
      <c r="U46" s="1">
        <f t="shared" si="127"/>
        <v>1</v>
      </c>
      <c r="V46" s="1">
        <f t="shared" si="127"/>
        <v>1.03716329026393</v>
      </c>
      <c r="W46" s="1">
        <f t="shared" si="127"/>
        <v>1.10904338459886</v>
      </c>
      <c r="X46" s="1">
        <f t="shared" si="5"/>
        <v>0.687913733819668</v>
      </c>
      <c r="Y46" s="1">
        <f t="shared" si="6"/>
        <v>1.09255145432537</v>
      </c>
      <c r="Z46" s="1">
        <f t="shared" si="7"/>
        <v>10671.1747425453</v>
      </c>
      <c r="AA46" s="1">
        <f t="shared" si="8"/>
        <v>3139.24291159406</v>
      </c>
      <c r="AB46" s="1">
        <f t="shared" si="9"/>
        <v>2092.82860772937</v>
      </c>
      <c r="AC46" s="1">
        <f>AB46/(AB46+战斗公式!$M$27)</f>
        <v>0.0802070422947331</v>
      </c>
      <c r="AD46" s="1">
        <f t="shared" si="10"/>
        <v>11601.7139000152</v>
      </c>
      <c r="AE46" s="1">
        <f t="shared" si="11"/>
        <v>5.37233702002673</v>
      </c>
      <c r="AF46" s="1">
        <f t="shared" si="12"/>
        <v>3.38263649199591</v>
      </c>
      <c r="AG46" s="1">
        <f t="shared" si="13"/>
        <v>1.92492038176744</v>
      </c>
      <c r="AH46" s="1">
        <f t="shared" si="14"/>
        <v>0.382206468436039</v>
      </c>
      <c r="AI46" s="1">
        <f t="shared" si="15"/>
        <v>1.2010483069251</v>
      </c>
      <c r="AJ46" s="1">
        <f t="shared" si="16"/>
        <v>1.40249325426901</v>
      </c>
      <c r="AK46" s="1">
        <f t="shared" si="17"/>
        <v>1</v>
      </c>
      <c r="AL46" s="10">
        <f t="shared" si="18"/>
        <v>6073</v>
      </c>
      <c r="AM46" s="10">
        <f t="shared" si="19"/>
        <v>1200</v>
      </c>
      <c r="AN46" s="10">
        <f t="shared" si="20"/>
        <v>2093</v>
      </c>
      <c r="AO46" s="1">
        <f t="shared" si="21"/>
        <v>5362</v>
      </c>
      <c r="AP46" s="1">
        <f t="shared" si="22"/>
        <v>1200</v>
      </c>
      <c r="AR46" s="1">
        <f t="shared" ref="AR46:AX46" si="128">ROUNDUP(AR$10*$AO46,0)</f>
        <v>5362</v>
      </c>
      <c r="AS46" s="1">
        <f t="shared" si="128"/>
        <v>16086</v>
      </c>
      <c r="AT46" s="1">
        <f t="shared" si="128"/>
        <v>9652</v>
      </c>
      <c r="AU46" s="1">
        <f t="shared" si="128"/>
        <v>2681</v>
      </c>
      <c r="AV46" s="1">
        <f t="shared" si="128"/>
        <v>805</v>
      </c>
      <c r="AW46" s="1">
        <f t="shared" si="128"/>
        <v>21448</v>
      </c>
      <c r="AX46" s="1">
        <f t="shared" si="128"/>
        <v>48258</v>
      </c>
      <c r="AY46" s="1">
        <f t="shared" si="24"/>
        <v>437638</v>
      </c>
      <c r="AZ46" s="1">
        <f t="shared" si="25"/>
        <v>218819</v>
      </c>
      <c r="BB46" s="1">
        <f t="shared" si="26"/>
        <v>35</v>
      </c>
    </row>
    <row r="47" spans="2:54">
      <c r="B47" s="4">
        <v>36</v>
      </c>
      <c r="C47" s="1">
        <f t="shared" ref="C47:I47" si="129">C$5+(C$6-C$5)*(POWER(C$7,$B47-1)-1)/(POWER(C$7,$B$3-1)-1)</f>
        <v>2844.64152618216</v>
      </c>
      <c r="D47" s="1">
        <f t="shared" si="129"/>
        <v>853.392457854647</v>
      </c>
      <c r="E47" s="1">
        <f t="shared" si="129"/>
        <v>568.928305236431</v>
      </c>
      <c r="F47" s="1">
        <f t="shared" si="129"/>
        <v>7201.62411691685</v>
      </c>
      <c r="G47" s="1">
        <f t="shared" si="129"/>
        <v>2160.48723507506</v>
      </c>
      <c r="H47" s="1">
        <f t="shared" si="129"/>
        <v>1440.32482338337</v>
      </c>
      <c r="I47" s="1">
        <f t="shared" si="129"/>
        <v>0</v>
      </c>
      <c r="J47" s="1">
        <f>标准模型!$I$65/1*$B47/$B$3</f>
        <v>0.2592</v>
      </c>
      <c r="K47" s="1">
        <f>J47*标准模型!$J$63</f>
        <v>0.2592</v>
      </c>
      <c r="L47" s="1">
        <f t="shared" si="1"/>
        <v>10046.265643099</v>
      </c>
      <c r="M47" s="1">
        <f t="shared" si="2"/>
        <v>3235.07901800563</v>
      </c>
      <c r="N47" s="1">
        <f t="shared" si="3"/>
        <v>2156.71934533708</v>
      </c>
      <c r="O47" s="1">
        <f t="shared" ref="O47:W47" si="130">O$5+(O$6-O$5)*(POWER(O$7,$B47-1)-1)/(POWER(O$7,$B$3-1)-1)</f>
        <v>0.535078277138862</v>
      </c>
      <c r="P47" s="1">
        <f t="shared" si="130"/>
        <v>0.0193633238010696</v>
      </c>
      <c r="Q47" s="1">
        <f t="shared" si="130"/>
        <v>0.294293052426374</v>
      </c>
      <c r="R47" s="1">
        <f t="shared" si="130"/>
        <v>1.01403131085554</v>
      </c>
      <c r="S47" s="1">
        <f t="shared" si="130"/>
        <v>0.0956017602805206</v>
      </c>
      <c r="T47" s="1">
        <f t="shared" si="130"/>
        <v>2.13680528084156</v>
      </c>
      <c r="U47" s="1">
        <f t="shared" si="130"/>
        <v>1</v>
      </c>
      <c r="V47" s="1">
        <f t="shared" si="130"/>
        <v>1.03825630908478</v>
      </c>
      <c r="W47" s="1">
        <f t="shared" si="130"/>
        <v>1.11225048684436</v>
      </c>
      <c r="X47" s="1">
        <f t="shared" si="5"/>
        <v>0.693292051735885</v>
      </c>
      <c r="Y47" s="1">
        <f t="shared" si="6"/>
        <v>1.10188666112215</v>
      </c>
      <c r="Z47" s="1">
        <f t="shared" si="7"/>
        <v>11069.8461062206</v>
      </c>
      <c r="AA47" s="1">
        <f t="shared" si="8"/>
        <v>3235.07901800563</v>
      </c>
      <c r="AB47" s="1">
        <f t="shared" si="9"/>
        <v>2156.71934533708</v>
      </c>
      <c r="AC47" s="1">
        <f>AB47/(AB47+战斗公式!$M$27)</f>
        <v>0.0824537403511025</v>
      </c>
      <c r="AD47" s="1">
        <f t="shared" si="10"/>
        <v>12064.6190748535</v>
      </c>
      <c r="AE47" s="1">
        <f t="shared" si="11"/>
        <v>5.37913569459804</v>
      </c>
      <c r="AF47" s="1">
        <f t="shared" si="12"/>
        <v>3.38447877976461</v>
      </c>
      <c r="AG47" s="1">
        <f t="shared" si="13"/>
        <v>1.94870113313524</v>
      </c>
      <c r="AH47" s="1">
        <f t="shared" si="14"/>
        <v>0.384709859914881</v>
      </c>
      <c r="AI47" s="1">
        <f t="shared" si="15"/>
        <v>1.1909958915784</v>
      </c>
      <c r="AJ47" s="1">
        <f t="shared" si="16"/>
        <v>1.39444271937624</v>
      </c>
      <c r="AK47" s="1">
        <f t="shared" si="17"/>
        <v>1</v>
      </c>
      <c r="AL47" s="10">
        <f t="shared" si="18"/>
        <v>6374</v>
      </c>
      <c r="AM47" s="10">
        <f t="shared" si="19"/>
        <v>1245</v>
      </c>
      <c r="AN47" s="10">
        <f t="shared" si="20"/>
        <v>2157</v>
      </c>
      <c r="AO47" s="1">
        <f t="shared" si="21"/>
        <v>5592</v>
      </c>
      <c r="AP47" s="1">
        <f t="shared" si="22"/>
        <v>1245</v>
      </c>
      <c r="AR47" s="1">
        <f t="shared" ref="AR47:AX47" si="131">ROUNDUP(AR$10*$AO47,0)</f>
        <v>5592</v>
      </c>
      <c r="AS47" s="1">
        <f t="shared" si="131"/>
        <v>16776</v>
      </c>
      <c r="AT47" s="1">
        <f t="shared" si="131"/>
        <v>10066</v>
      </c>
      <c r="AU47" s="1">
        <f t="shared" si="131"/>
        <v>2796</v>
      </c>
      <c r="AV47" s="1">
        <f t="shared" si="131"/>
        <v>839</v>
      </c>
      <c r="AW47" s="1">
        <f t="shared" si="131"/>
        <v>22368</v>
      </c>
      <c r="AX47" s="1">
        <f t="shared" si="131"/>
        <v>50328</v>
      </c>
      <c r="AY47" s="1">
        <f t="shared" si="24"/>
        <v>455484</v>
      </c>
      <c r="AZ47" s="1">
        <f t="shared" si="25"/>
        <v>227742</v>
      </c>
      <c r="BB47" s="1">
        <f t="shared" si="26"/>
        <v>36</v>
      </c>
    </row>
    <row r="48" spans="2:54">
      <c r="B48" s="4">
        <v>37</v>
      </c>
      <c r="C48" s="1">
        <f t="shared" ref="C48:I48" si="132">C$5+(C$6-C$5)*(POWER(C$7,$B48-1)-1)/(POWER(C$7,$B$3-1)-1)</f>
        <v>2923.65843318527</v>
      </c>
      <c r="D48" s="1">
        <f t="shared" si="132"/>
        <v>877.097529955581</v>
      </c>
      <c r="E48" s="1">
        <f t="shared" si="132"/>
        <v>584.731686637054</v>
      </c>
      <c r="F48" s="1">
        <f t="shared" si="132"/>
        <v>7401.66691945638</v>
      </c>
      <c r="G48" s="1">
        <f t="shared" si="132"/>
        <v>2220.50007583691</v>
      </c>
      <c r="H48" s="1">
        <f t="shared" si="132"/>
        <v>1480.33338389128</v>
      </c>
      <c r="I48" s="1">
        <f t="shared" si="132"/>
        <v>0</v>
      </c>
      <c r="J48" s="1">
        <f>标准模型!$I$65/1*$B48/$B$3</f>
        <v>0.2664</v>
      </c>
      <c r="K48" s="1">
        <f>J48*标准模型!$J$63</f>
        <v>0.2664</v>
      </c>
      <c r="L48" s="1">
        <f t="shared" si="1"/>
        <v>10325.3253526417</v>
      </c>
      <c r="M48" s="1">
        <f t="shared" si="2"/>
        <v>3331.25638777266</v>
      </c>
      <c r="N48" s="1">
        <f t="shared" si="3"/>
        <v>2220.83759184844</v>
      </c>
      <c r="O48" s="1">
        <f t="shared" ref="O48:W48" si="133">O$5+(O$6-O$5)*(POWER(O$7,$B48-1)-1)/(POWER(O$7,$B$3-1)-1)</f>
        <v>0.536080495588459</v>
      </c>
      <c r="P48" s="1">
        <f t="shared" si="133"/>
        <v>0.0199316259123008</v>
      </c>
      <c r="Q48" s="1">
        <f t="shared" si="133"/>
        <v>0.294844272573652</v>
      </c>
      <c r="R48" s="1">
        <f t="shared" si="133"/>
        <v>1.01443219823538</v>
      </c>
      <c r="S48" s="1">
        <f t="shared" si="133"/>
        <v>0.0969046442649965</v>
      </c>
      <c r="T48" s="1">
        <f t="shared" si="133"/>
        <v>2.14071393279499</v>
      </c>
      <c r="U48" s="1">
        <f t="shared" si="133"/>
        <v>1</v>
      </c>
      <c r="V48" s="1">
        <f t="shared" si="133"/>
        <v>1.03934932681271</v>
      </c>
      <c r="W48" s="1">
        <f t="shared" si="133"/>
        <v>1.11545758588307</v>
      </c>
      <c r="X48" s="1">
        <f t="shared" si="5"/>
        <v>0.698706428447278</v>
      </c>
      <c r="Y48" s="1">
        <f t="shared" si="6"/>
        <v>1.11129224916264</v>
      </c>
      <c r="Z48" s="1">
        <f t="shared" si="7"/>
        <v>11474.4540344732</v>
      </c>
      <c r="AA48" s="1">
        <f t="shared" si="8"/>
        <v>3331.25638777266</v>
      </c>
      <c r="AB48" s="1">
        <f t="shared" si="9"/>
        <v>2220.83759184844</v>
      </c>
      <c r="AC48" s="1">
        <f>AB48/(AB48+战斗公式!$M$27)</f>
        <v>0.084697431348984</v>
      </c>
      <c r="AD48" s="1">
        <f t="shared" si="10"/>
        <v>12536.2414872104</v>
      </c>
      <c r="AE48" s="1">
        <f t="shared" si="11"/>
        <v>5.38597770415759</v>
      </c>
      <c r="AF48" s="1">
        <f t="shared" si="12"/>
        <v>3.38634346474045</v>
      </c>
      <c r="AG48" s="1">
        <f t="shared" si="13"/>
        <v>1.97230352886778</v>
      </c>
      <c r="AH48" s="1">
        <f t="shared" si="14"/>
        <v>0.387218258176681</v>
      </c>
      <c r="AI48" s="1">
        <f t="shared" si="15"/>
        <v>1.18144609699904</v>
      </c>
      <c r="AJ48" s="1">
        <f t="shared" si="16"/>
        <v>1.38655319518133</v>
      </c>
      <c r="AK48" s="1">
        <f t="shared" si="17"/>
        <v>1</v>
      </c>
      <c r="AL48" s="10">
        <f t="shared" si="18"/>
        <v>6683</v>
      </c>
      <c r="AM48" s="10">
        <f t="shared" si="19"/>
        <v>1290</v>
      </c>
      <c r="AN48" s="10">
        <f t="shared" si="20"/>
        <v>2221</v>
      </c>
      <c r="AO48" s="1">
        <f t="shared" si="21"/>
        <v>5826</v>
      </c>
      <c r="AP48" s="1">
        <f t="shared" si="22"/>
        <v>1290</v>
      </c>
      <c r="AR48" s="1">
        <f t="shared" ref="AR48:AX48" si="134">ROUNDUP(AR$10*$AO48,0)</f>
        <v>5826</v>
      </c>
      <c r="AS48" s="1">
        <f t="shared" si="134"/>
        <v>17478</v>
      </c>
      <c r="AT48" s="1">
        <f t="shared" si="134"/>
        <v>10487</v>
      </c>
      <c r="AU48" s="1">
        <f t="shared" si="134"/>
        <v>2913</v>
      </c>
      <c r="AV48" s="1">
        <f t="shared" si="134"/>
        <v>874</v>
      </c>
      <c r="AW48" s="1">
        <f t="shared" si="134"/>
        <v>23304</v>
      </c>
      <c r="AX48" s="1">
        <f t="shared" si="134"/>
        <v>52434</v>
      </c>
      <c r="AY48" s="1">
        <f t="shared" si="24"/>
        <v>473736</v>
      </c>
      <c r="AZ48" s="1">
        <f t="shared" si="25"/>
        <v>236868</v>
      </c>
      <c r="BB48" s="1">
        <f t="shared" si="26"/>
        <v>37</v>
      </c>
    </row>
    <row r="49" spans="2:54">
      <c r="B49" s="4">
        <v>38</v>
      </c>
      <c r="C49" s="1">
        <f t="shared" ref="C49:I49" si="135">C$5+(C$6-C$5)*(POWER(C$7,$B49-1)-1)/(POWER(C$7,$B$3-1)-1)</f>
        <v>3002.67526116169</v>
      </c>
      <c r="D49" s="1">
        <f t="shared" si="135"/>
        <v>900.802578348506</v>
      </c>
      <c r="E49" s="1">
        <f t="shared" si="135"/>
        <v>600.535052232337</v>
      </c>
      <c r="F49" s="1">
        <f t="shared" si="135"/>
        <v>7601.70952192832</v>
      </c>
      <c r="G49" s="1">
        <f t="shared" si="135"/>
        <v>2280.5128565785</v>
      </c>
      <c r="H49" s="1">
        <f t="shared" si="135"/>
        <v>1520.34190438566</v>
      </c>
      <c r="I49" s="1">
        <f t="shared" si="135"/>
        <v>0</v>
      </c>
      <c r="J49" s="1">
        <f>标准模型!$I$65/1*$B49/$B$3</f>
        <v>0.2736</v>
      </c>
      <c r="K49" s="1">
        <f>J49*标准模型!$J$63</f>
        <v>0.2736</v>
      </c>
      <c r="L49" s="1">
        <f t="shared" si="1"/>
        <v>10604.38478309</v>
      </c>
      <c r="M49" s="1">
        <f t="shared" si="2"/>
        <v>3427.77502036315</v>
      </c>
      <c r="N49" s="1">
        <f t="shared" si="3"/>
        <v>2285.18334690877</v>
      </c>
      <c r="O49" s="1">
        <f t="shared" ref="O49:W49" si="136">O$5+(O$6-O$5)*(POWER(O$7,$B49-1)-1)/(POWER(O$7,$B$3-1)-1)</f>
        <v>0.537082713035713</v>
      </c>
      <c r="P49" s="1">
        <f t="shared" si="136"/>
        <v>0.0205007804766989</v>
      </c>
      <c r="Q49" s="1">
        <f t="shared" si="136"/>
        <v>0.295395492169642</v>
      </c>
      <c r="R49" s="1">
        <f t="shared" si="136"/>
        <v>1.01483308521429</v>
      </c>
      <c r="S49" s="1">
        <f t="shared" si="136"/>
        <v>0.098207526946427</v>
      </c>
      <c r="T49" s="1">
        <f t="shared" si="136"/>
        <v>2.14462258083928</v>
      </c>
      <c r="U49" s="1">
        <f t="shared" si="136"/>
        <v>1</v>
      </c>
      <c r="V49" s="1">
        <f t="shared" si="136"/>
        <v>1.0404423434475</v>
      </c>
      <c r="W49" s="1">
        <f t="shared" si="136"/>
        <v>1.11866468171428</v>
      </c>
      <c r="X49" s="1">
        <f t="shared" si="5"/>
        <v>0.704157084530146</v>
      </c>
      <c r="Y49" s="1">
        <f t="shared" si="6"/>
        <v>1.12076870297842</v>
      </c>
      <c r="Z49" s="1">
        <f t="shared" si="7"/>
        <v>11885.0625792278</v>
      </c>
      <c r="AA49" s="1">
        <f t="shared" si="8"/>
        <v>3427.77502036315</v>
      </c>
      <c r="AB49" s="1">
        <f t="shared" si="9"/>
        <v>2285.18334690877</v>
      </c>
      <c r="AC49" s="1">
        <f>AB49/(AB49+战斗公式!$M$27)</f>
        <v>0.0869380790215228</v>
      </c>
      <c r="AD49" s="1">
        <f t="shared" si="10"/>
        <v>13016.7103743537</v>
      </c>
      <c r="AE49" s="1">
        <f t="shared" si="11"/>
        <v>5.39286289430853</v>
      </c>
      <c r="AF49" s="1">
        <f t="shared" si="12"/>
        <v>3.38823041974275</v>
      </c>
      <c r="AG49" s="1">
        <f t="shared" si="13"/>
        <v>1.99572890663232</v>
      </c>
      <c r="AH49" s="1">
        <f t="shared" si="14"/>
        <v>0.389731673235005</v>
      </c>
      <c r="AI49" s="1">
        <f t="shared" si="15"/>
        <v>1.17237379214865</v>
      </c>
      <c r="AJ49" s="1">
        <f t="shared" si="16"/>
        <v>1.37882146147031</v>
      </c>
      <c r="AK49" s="1">
        <f t="shared" si="17"/>
        <v>1</v>
      </c>
      <c r="AL49" s="10">
        <f t="shared" si="18"/>
        <v>7001</v>
      </c>
      <c r="AM49" s="10">
        <f t="shared" si="19"/>
        <v>1336</v>
      </c>
      <c r="AN49" s="10">
        <f t="shared" si="20"/>
        <v>2285</v>
      </c>
      <c r="AO49" s="1">
        <f t="shared" si="21"/>
        <v>6064</v>
      </c>
      <c r="AP49" s="1">
        <f t="shared" si="22"/>
        <v>1336</v>
      </c>
      <c r="AR49" s="1">
        <f t="shared" ref="AR49:AX49" si="137">ROUNDUP(AR$10*$AO49,0)</f>
        <v>6064</v>
      </c>
      <c r="AS49" s="1">
        <f t="shared" si="137"/>
        <v>18192</v>
      </c>
      <c r="AT49" s="1">
        <f t="shared" si="137"/>
        <v>10916</v>
      </c>
      <c r="AU49" s="1">
        <f t="shared" si="137"/>
        <v>3032</v>
      </c>
      <c r="AV49" s="1">
        <f t="shared" si="137"/>
        <v>910</v>
      </c>
      <c r="AW49" s="1">
        <f t="shared" si="137"/>
        <v>24256</v>
      </c>
      <c r="AX49" s="1">
        <f t="shared" si="137"/>
        <v>54576</v>
      </c>
      <c r="AY49" s="1">
        <f t="shared" si="24"/>
        <v>492467</v>
      </c>
      <c r="AZ49" s="1">
        <f t="shared" si="25"/>
        <v>246234</v>
      </c>
      <c r="BB49" s="1">
        <f t="shared" si="26"/>
        <v>38</v>
      </c>
    </row>
    <row r="50" spans="2:54">
      <c r="B50" s="4">
        <v>39</v>
      </c>
      <c r="C50" s="1">
        <f t="shared" ref="C50:I50" si="138">C$5+(C$6-C$5)*(POWER(C$7,$B50-1)-1)/(POWER(C$7,$B$3-1)-1)</f>
        <v>3081.69201012895</v>
      </c>
      <c r="D50" s="1">
        <f t="shared" si="138"/>
        <v>924.507603038686</v>
      </c>
      <c r="E50" s="1">
        <f t="shared" si="138"/>
        <v>616.33840202579</v>
      </c>
      <c r="F50" s="1">
        <f t="shared" si="138"/>
        <v>7801.75192437709</v>
      </c>
      <c r="G50" s="1">
        <f t="shared" si="138"/>
        <v>2340.52557731313</v>
      </c>
      <c r="H50" s="1">
        <f t="shared" si="138"/>
        <v>1560.35038487542</v>
      </c>
      <c r="I50" s="1">
        <f t="shared" si="138"/>
        <v>0</v>
      </c>
      <c r="J50" s="1">
        <f>标准模型!$I$65/1*$B50/$B$3</f>
        <v>0.2808</v>
      </c>
      <c r="K50" s="1">
        <f>J50*标准模型!$J$63</f>
        <v>0.2808</v>
      </c>
      <c r="L50" s="1">
        <f t="shared" si="1"/>
        <v>10883.443934506</v>
      </c>
      <c r="M50" s="1">
        <f t="shared" si="2"/>
        <v>3524.63491528508</v>
      </c>
      <c r="N50" s="1">
        <f t="shared" si="3"/>
        <v>2349.75661019005</v>
      </c>
      <c r="O50" s="1">
        <f t="shared" ref="O50:W50" si="139">O$5+(O$6-O$5)*(POWER(O$7,$B50-1)-1)/(POWER(O$7,$B$3-1)-1)</f>
        <v>0.538084929480847</v>
      </c>
      <c r="P50" s="1">
        <f t="shared" si="139"/>
        <v>0.0210707887729435</v>
      </c>
      <c r="Q50" s="1">
        <f t="shared" si="139"/>
        <v>0.295946711214466</v>
      </c>
      <c r="R50" s="1">
        <f t="shared" si="139"/>
        <v>1.01523397179234</v>
      </c>
      <c r="S50" s="1">
        <f t="shared" si="139"/>
        <v>0.0995104083251013</v>
      </c>
      <c r="T50" s="1">
        <f t="shared" si="139"/>
        <v>2.1485312249753</v>
      </c>
      <c r="U50" s="1">
        <f t="shared" si="139"/>
        <v>1</v>
      </c>
      <c r="V50" s="1">
        <f t="shared" si="139"/>
        <v>1.04153535898937</v>
      </c>
      <c r="W50" s="1">
        <f t="shared" si="139"/>
        <v>1.12187177433871</v>
      </c>
      <c r="X50" s="1">
        <f t="shared" si="5"/>
        <v>0.709644241628362</v>
      </c>
      <c r="Y50" s="1">
        <f t="shared" si="6"/>
        <v>1.13031650988629</v>
      </c>
      <c r="Z50" s="1">
        <f t="shared" si="7"/>
        <v>12301.736363594</v>
      </c>
      <c r="AA50" s="1">
        <f t="shared" si="8"/>
        <v>3524.63491528508</v>
      </c>
      <c r="AB50" s="1">
        <f t="shared" si="9"/>
        <v>2349.75661019005</v>
      </c>
      <c r="AC50" s="1">
        <f>AB50/(AB50+战斗公式!$M$27)</f>
        <v>0.0891756476141926</v>
      </c>
      <c r="AD50" s="1">
        <f t="shared" si="10"/>
        <v>13506.1566276428</v>
      </c>
      <c r="AE50" s="1">
        <f t="shared" si="11"/>
        <v>5.39979111201961</v>
      </c>
      <c r="AF50" s="1">
        <f t="shared" si="12"/>
        <v>3.39013951855503</v>
      </c>
      <c r="AG50" s="1">
        <f t="shared" si="13"/>
        <v>2.01897859406363</v>
      </c>
      <c r="AH50" s="1">
        <f t="shared" si="14"/>
        <v>0.392250115123445</v>
      </c>
      <c r="AI50" s="1">
        <f t="shared" si="15"/>
        <v>1.16375510254078</v>
      </c>
      <c r="AJ50" s="1">
        <f t="shared" si="16"/>
        <v>1.37124436243352</v>
      </c>
      <c r="AK50" s="1">
        <f t="shared" si="17"/>
        <v>1</v>
      </c>
      <c r="AL50" s="10">
        <f t="shared" si="18"/>
        <v>7326</v>
      </c>
      <c r="AM50" s="10">
        <f t="shared" si="19"/>
        <v>1383</v>
      </c>
      <c r="AN50" s="10">
        <f t="shared" si="20"/>
        <v>2350</v>
      </c>
      <c r="AO50" s="1">
        <f t="shared" si="21"/>
        <v>6307</v>
      </c>
      <c r="AP50" s="1">
        <f t="shared" si="22"/>
        <v>1383</v>
      </c>
      <c r="AR50" s="1">
        <f t="shared" ref="AR50:AX50" si="140">ROUNDUP(AR$10*$AO50,0)</f>
        <v>6307</v>
      </c>
      <c r="AS50" s="1">
        <f t="shared" si="140"/>
        <v>18921</v>
      </c>
      <c r="AT50" s="1">
        <f t="shared" si="140"/>
        <v>11353</v>
      </c>
      <c r="AU50" s="1">
        <f t="shared" si="140"/>
        <v>3154</v>
      </c>
      <c r="AV50" s="1">
        <f t="shared" si="140"/>
        <v>947</v>
      </c>
      <c r="AW50" s="1">
        <f t="shared" si="140"/>
        <v>25228</v>
      </c>
      <c r="AX50" s="1">
        <f t="shared" si="140"/>
        <v>56763</v>
      </c>
      <c r="AY50" s="1">
        <f t="shared" si="24"/>
        <v>511540</v>
      </c>
      <c r="AZ50" s="1">
        <f t="shared" si="25"/>
        <v>255770</v>
      </c>
      <c r="BB50" s="1">
        <f t="shared" si="26"/>
        <v>39</v>
      </c>
    </row>
    <row r="51" spans="2:54">
      <c r="B51" s="4">
        <v>40</v>
      </c>
      <c r="C51" s="1">
        <f t="shared" ref="C51:I51" si="141">C$5+(C$6-C$5)*(POWER(C$7,$B51-1)-1)/(POWER(C$7,$B$3-1)-1)</f>
        <v>3160.70868007829</v>
      </c>
      <c r="D51" s="1">
        <f t="shared" si="141"/>
        <v>948.212604023488</v>
      </c>
      <c r="E51" s="1">
        <f t="shared" si="141"/>
        <v>632.141736015658</v>
      </c>
      <c r="F51" s="1">
        <f t="shared" si="141"/>
        <v>8001.79412678049</v>
      </c>
      <c r="G51" s="1">
        <f t="shared" si="141"/>
        <v>2400.53823803415</v>
      </c>
      <c r="H51" s="1">
        <f t="shared" si="141"/>
        <v>1600.3588253561</v>
      </c>
      <c r="I51" s="1">
        <f t="shared" si="141"/>
        <v>0</v>
      </c>
      <c r="J51" s="1">
        <f>标准模型!$I$65/1*$B51/$B$3</f>
        <v>0.288</v>
      </c>
      <c r="K51" s="1">
        <f>J51*标准模型!$J$63</f>
        <v>0.288</v>
      </c>
      <c r="L51" s="1">
        <f t="shared" si="1"/>
        <v>11162.5028068588</v>
      </c>
      <c r="M51" s="1">
        <f t="shared" si="2"/>
        <v>3621.8360720164</v>
      </c>
      <c r="N51" s="1">
        <f t="shared" si="3"/>
        <v>2414.55738134427</v>
      </c>
      <c r="O51" s="1">
        <f t="shared" ref="O51:W51" si="142">O$5+(O$6-O$5)*(POWER(O$7,$B51-1)-1)/(POWER(O$7,$B$3-1)-1)</f>
        <v>0.53908714492375</v>
      </c>
      <c r="P51" s="1">
        <f t="shared" si="142"/>
        <v>0.0216416520816325</v>
      </c>
      <c r="Q51" s="1">
        <f t="shared" si="142"/>
        <v>0.296497929708062</v>
      </c>
      <c r="R51" s="1">
        <f t="shared" si="142"/>
        <v>1.0156348579695</v>
      </c>
      <c r="S51" s="1">
        <f t="shared" si="142"/>
        <v>0.100813288400875</v>
      </c>
      <c r="T51" s="1">
        <f t="shared" si="142"/>
        <v>2.15243986520262</v>
      </c>
      <c r="U51" s="1">
        <f t="shared" si="142"/>
        <v>1</v>
      </c>
      <c r="V51" s="1">
        <f t="shared" si="142"/>
        <v>1.04262837343821</v>
      </c>
      <c r="W51" s="1">
        <f t="shared" si="142"/>
        <v>1.125078863756</v>
      </c>
      <c r="X51" s="1">
        <f t="shared" si="5"/>
        <v>0.715168122452432</v>
      </c>
      <c r="Y51" s="1">
        <f t="shared" si="6"/>
        <v>1.13993615999243</v>
      </c>
      <c r="Z51" s="1">
        <f t="shared" si="7"/>
        <v>12724.5405855553</v>
      </c>
      <c r="AA51" s="1">
        <f t="shared" si="8"/>
        <v>3621.8360720164</v>
      </c>
      <c r="AB51" s="1">
        <f t="shared" si="9"/>
        <v>2414.55738134427</v>
      </c>
      <c r="AC51" s="1">
        <f>AB51/(AB51+战斗公式!$M$27)</f>
        <v>0.0914101018800182</v>
      </c>
      <c r="AD51" s="1">
        <f t="shared" si="10"/>
        <v>14004.7128103498</v>
      </c>
      <c r="AE51" s="1">
        <f t="shared" si="11"/>
        <v>5.40676220559513</v>
      </c>
      <c r="AF51" s="1">
        <f t="shared" si="12"/>
        <v>3.39207063590992</v>
      </c>
      <c r="AG51" s="1">
        <f t="shared" si="13"/>
        <v>2.04205390883921</v>
      </c>
      <c r="AH51" s="1">
        <f t="shared" si="14"/>
        <v>0.394773593895662</v>
      </c>
      <c r="AI51" s="1">
        <f t="shared" si="15"/>
        <v>1.1555673474133</v>
      </c>
      <c r="AJ51" s="1">
        <f t="shared" si="16"/>
        <v>1.36381880537746</v>
      </c>
      <c r="AK51" s="1">
        <f t="shared" si="17"/>
        <v>1</v>
      </c>
      <c r="AL51" s="10">
        <f t="shared" si="18"/>
        <v>7660</v>
      </c>
      <c r="AM51" s="10">
        <f t="shared" si="19"/>
        <v>1430</v>
      </c>
      <c r="AN51" s="10">
        <f t="shared" si="20"/>
        <v>2415</v>
      </c>
      <c r="AO51" s="1">
        <f t="shared" si="21"/>
        <v>6554</v>
      </c>
      <c r="AP51" s="1">
        <f t="shared" si="22"/>
        <v>1430</v>
      </c>
      <c r="AR51" s="1">
        <f t="shared" ref="AR51:AX51" si="143">ROUNDUP(AR$10*$AO51,0)</f>
        <v>6554</v>
      </c>
      <c r="AS51" s="1">
        <f t="shared" si="143"/>
        <v>19662</v>
      </c>
      <c r="AT51" s="1">
        <f t="shared" si="143"/>
        <v>11798</v>
      </c>
      <c r="AU51" s="1">
        <f t="shared" si="143"/>
        <v>3277</v>
      </c>
      <c r="AV51" s="1">
        <f t="shared" si="143"/>
        <v>984</v>
      </c>
      <c r="AW51" s="1">
        <f t="shared" si="143"/>
        <v>26216</v>
      </c>
      <c r="AX51" s="1">
        <f t="shared" si="143"/>
        <v>58986</v>
      </c>
      <c r="AY51" s="1">
        <f t="shared" si="24"/>
        <v>531099</v>
      </c>
      <c r="AZ51" s="1">
        <f t="shared" si="25"/>
        <v>265549</v>
      </c>
      <c r="BB51" s="1">
        <f t="shared" si="26"/>
        <v>40</v>
      </c>
    </row>
    <row r="52" spans="2:54">
      <c r="B52" s="4">
        <v>41</v>
      </c>
      <c r="C52" s="1">
        <f t="shared" ref="C52:I52" si="144">C$5+(C$6-C$5)*(POWER(C$7,$B52-1)-1)/(POWER(C$7,$B$3-1)-1)</f>
        <v>3239.72527100971</v>
      </c>
      <c r="D52" s="1">
        <f t="shared" si="144"/>
        <v>971.917581302912</v>
      </c>
      <c r="E52" s="1">
        <f t="shared" si="144"/>
        <v>647.945054201942</v>
      </c>
      <c r="F52" s="1">
        <f t="shared" si="144"/>
        <v>8201.8361291385</v>
      </c>
      <c r="G52" s="1">
        <f t="shared" si="144"/>
        <v>2460.55083874155</v>
      </c>
      <c r="H52" s="1">
        <f t="shared" si="144"/>
        <v>1640.3672258277</v>
      </c>
      <c r="I52" s="1">
        <f t="shared" si="144"/>
        <v>0</v>
      </c>
      <c r="J52" s="1">
        <f>标准模型!$I$65/1*$B52/$B$3</f>
        <v>0.2952</v>
      </c>
      <c r="K52" s="1">
        <f>J52*标准模型!$J$63</f>
        <v>0.2952</v>
      </c>
      <c r="L52" s="1">
        <f t="shared" si="1"/>
        <v>11441.5614001482</v>
      </c>
      <c r="M52" s="1">
        <f t="shared" si="2"/>
        <v>3719.37849004508</v>
      </c>
      <c r="N52" s="1">
        <f t="shared" si="3"/>
        <v>2479.58566003005</v>
      </c>
      <c r="O52" s="1">
        <f t="shared" ref="O52:W52" si="145">O$5+(O$6-O$5)*(POWER(O$7,$B52-1)-1)/(POWER(O$7,$B$3-1)-1)</f>
        <v>0.540089359364421</v>
      </c>
      <c r="P52" s="1">
        <f t="shared" si="145"/>
        <v>0.0222133716852846</v>
      </c>
      <c r="Q52" s="1">
        <f t="shared" si="145"/>
        <v>0.297049147650432</v>
      </c>
      <c r="R52" s="1">
        <f t="shared" si="145"/>
        <v>1.01603574374577</v>
      </c>
      <c r="S52" s="1">
        <f t="shared" si="145"/>
        <v>0.102116167173748</v>
      </c>
      <c r="T52" s="1">
        <f t="shared" si="145"/>
        <v>2.15634850152124</v>
      </c>
      <c r="U52" s="1">
        <f t="shared" si="145"/>
        <v>1</v>
      </c>
      <c r="V52" s="1">
        <f t="shared" si="145"/>
        <v>1.04372138679402</v>
      </c>
      <c r="W52" s="1">
        <f t="shared" si="145"/>
        <v>1.12828594996615</v>
      </c>
      <c r="X52" s="1">
        <f t="shared" si="5"/>
        <v>0.720728950784344</v>
      </c>
      <c r="Y52" s="1">
        <f t="shared" si="6"/>
        <v>1.14962814620716</v>
      </c>
      <c r="Z52" s="1">
        <f t="shared" si="7"/>
        <v>13153.5410221678</v>
      </c>
      <c r="AA52" s="1">
        <f t="shared" si="8"/>
        <v>3719.37849004508</v>
      </c>
      <c r="AB52" s="1">
        <f t="shared" si="9"/>
        <v>2479.58566003005</v>
      </c>
      <c r="AC52" s="1">
        <f>AB52/(AB52+战斗公式!$M$27)</f>
        <v>0.0936414070773357</v>
      </c>
      <c r="AD52" s="1">
        <f t="shared" si="10"/>
        <v>14512.5131762171</v>
      </c>
      <c r="AE52" s="1">
        <f t="shared" si="11"/>
        <v>5.41377602466723</v>
      </c>
      <c r="AF52" s="1">
        <f t="shared" si="12"/>
        <v>3.39402364748362</v>
      </c>
      <c r="AG52" s="1">
        <f t="shared" si="13"/>
        <v>2.06495615875396</v>
      </c>
      <c r="AH52" s="1">
        <f t="shared" si="14"/>
        <v>0.397302119625423</v>
      </c>
      <c r="AI52" s="1">
        <f t="shared" si="15"/>
        <v>1.14778898004219</v>
      </c>
      <c r="AJ52" s="1">
        <f t="shared" si="16"/>
        <v>1.35654175946252</v>
      </c>
      <c r="AK52" s="1">
        <f t="shared" si="17"/>
        <v>1</v>
      </c>
      <c r="AL52" s="10">
        <f t="shared" si="18"/>
        <v>8003</v>
      </c>
      <c r="AM52" s="10">
        <f t="shared" si="19"/>
        <v>1478</v>
      </c>
      <c r="AN52" s="10">
        <f t="shared" si="20"/>
        <v>2480</v>
      </c>
      <c r="AO52" s="1">
        <f t="shared" si="21"/>
        <v>6806</v>
      </c>
      <c r="AP52" s="1">
        <f t="shared" si="22"/>
        <v>1478</v>
      </c>
      <c r="AR52" s="1">
        <f t="shared" ref="AR52:AX52" si="146">ROUNDUP(AR$10*$AO52,0)</f>
        <v>6806</v>
      </c>
      <c r="AS52" s="1">
        <f t="shared" si="146"/>
        <v>20418</v>
      </c>
      <c r="AT52" s="1">
        <f t="shared" si="146"/>
        <v>12251</v>
      </c>
      <c r="AU52" s="1">
        <f t="shared" si="146"/>
        <v>3403</v>
      </c>
      <c r="AV52" s="1">
        <f t="shared" si="146"/>
        <v>1021</v>
      </c>
      <c r="AW52" s="1">
        <f t="shared" si="146"/>
        <v>27224</v>
      </c>
      <c r="AX52" s="1">
        <f t="shared" si="146"/>
        <v>61254</v>
      </c>
      <c r="AY52" s="1">
        <f t="shared" si="24"/>
        <v>551145</v>
      </c>
      <c r="AZ52" s="1">
        <f t="shared" si="25"/>
        <v>275573</v>
      </c>
      <c r="BB52" s="1">
        <f t="shared" si="26"/>
        <v>41</v>
      </c>
    </row>
    <row r="53" spans="2:54">
      <c r="B53" s="4">
        <v>42</v>
      </c>
      <c r="C53" s="1">
        <f t="shared" ref="C53:I53" si="147">C$5+(C$6-C$5)*(POWER(C$7,$B53-1)-1)/(POWER(C$7,$B$3-1)-1)</f>
        <v>3318.7417829232</v>
      </c>
      <c r="D53" s="1">
        <f t="shared" si="147"/>
        <v>995.62253487696</v>
      </c>
      <c r="E53" s="1">
        <f t="shared" si="147"/>
        <v>663.74835658464</v>
      </c>
      <c r="F53" s="1">
        <f t="shared" si="147"/>
        <v>8401.87793145114</v>
      </c>
      <c r="G53" s="1">
        <f t="shared" si="147"/>
        <v>2520.56337943534</v>
      </c>
      <c r="H53" s="1">
        <f t="shared" si="147"/>
        <v>1680.37558629023</v>
      </c>
      <c r="I53" s="1">
        <f t="shared" si="147"/>
        <v>0</v>
      </c>
      <c r="J53" s="1">
        <f>标准模型!$I$65/1*$B53/$B$3</f>
        <v>0.3024</v>
      </c>
      <c r="K53" s="1">
        <f>J53*标准模型!$J$63</f>
        <v>0.3024</v>
      </c>
      <c r="L53" s="1">
        <f t="shared" si="1"/>
        <v>11720.6197143743</v>
      </c>
      <c r="M53" s="1">
        <f t="shared" si="2"/>
        <v>3817.26216885909</v>
      </c>
      <c r="N53" s="1">
        <f t="shared" si="3"/>
        <v>2544.84144590606</v>
      </c>
      <c r="O53" s="1">
        <f t="shared" ref="O53:W53" si="148">O$5+(O$6-O$5)*(POWER(O$7,$B53-1)-1)/(POWER(O$7,$B$3-1)-1)</f>
        <v>0.541091572802861</v>
      </c>
      <c r="P53" s="1">
        <f t="shared" si="148"/>
        <v>0.0227859488683421</v>
      </c>
      <c r="Q53" s="1">
        <f t="shared" si="148"/>
        <v>0.297600365041574</v>
      </c>
      <c r="R53" s="1">
        <f t="shared" si="148"/>
        <v>1.01643662912114</v>
      </c>
      <c r="S53" s="1">
        <f t="shared" si="148"/>
        <v>0.10341904464372</v>
      </c>
      <c r="T53" s="1">
        <f t="shared" si="148"/>
        <v>2.16025713393116</v>
      </c>
      <c r="U53" s="1">
        <f t="shared" si="148"/>
        <v>1</v>
      </c>
      <c r="V53" s="1">
        <f t="shared" si="148"/>
        <v>1.0448143990568</v>
      </c>
      <c r="W53" s="1">
        <f t="shared" si="148"/>
        <v>1.13149303296916</v>
      </c>
      <c r="X53" s="1">
        <f t="shared" si="5"/>
        <v>0.726326951479795</v>
      </c>
      <c r="Y53" s="1">
        <f t="shared" si="6"/>
        <v>1.15939296425497</v>
      </c>
      <c r="Z53" s="1">
        <f t="shared" si="7"/>
        <v>13588.8040335537</v>
      </c>
      <c r="AA53" s="1">
        <f t="shared" si="8"/>
        <v>3817.26216885909</v>
      </c>
      <c r="AB53" s="1">
        <f t="shared" si="9"/>
        <v>2544.84144590606</v>
      </c>
      <c r="AC53" s="1">
        <f>AB53/(AB53+战斗公式!$M$27)</f>
        <v>0.0958695289663727</v>
      </c>
      <c r="AD53" s="1">
        <f t="shared" si="10"/>
        <v>15029.6936879238</v>
      </c>
      <c r="AE53" s="1">
        <f t="shared" si="11"/>
        <v>5.42083242017836</v>
      </c>
      <c r="AF53" s="1">
        <f t="shared" si="12"/>
        <v>3.39599842988621</v>
      </c>
      <c r="AG53" s="1">
        <f t="shared" si="13"/>
        <v>2.08768664179436</v>
      </c>
      <c r="AH53" s="1">
        <f t="shared" si="14"/>
        <v>0.399835702406645</v>
      </c>
      <c r="AI53" s="1">
        <f t="shared" si="15"/>
        <v>1.14039953103964</v>
      </c>
      <c r="AJ53" s="1">
        <f t="shared" si="16"/>
        <v>1.34941025446588</v>
      </c>
      <c r="AK53" s="1">
        <f t="shared" si="17"/>
        <v>1</v>
      </c>
      <c r="AL53" s="10">
        <f t="shared" si="18"/>
        <v>8354</v>
      </c>
      <c r="AM53" s="10">
        <f t="shared" si="19"/>
        <v>1526</v>
      </c>
      <c r="AN53" s="10">
        <f t="shared" si="20"/>
        <v>2545</v>
      </c>
      <c r="AO53" s="1">
        <f t="shared" si="21"/>
        <v>7062</v>
      </c>
      <c r="AP53" s="1">
        <f t="shared" si="22"/>
        <v>1526</v>
      </c>
      <c r="AR53" s="1">
        <f t="shared" ref="AR53:AX53" si="149">ROUNDUP(AR$10*$AO53,0)</f>
        <v>7062</v>
      </c>
      <c r="AS53" s="1">
        <f t="shared" si="149"/>
        <v>21186</v>
      </c>
      <c r="AT53" s="1">
        <f t="shared" si="149"/>
        <v>12712</v>
      </c>
      <c r="AU53" s="1">
        <f t="shared" si="149"/>
        <v>3531</v>
      </c>
      <c r="AV53" s="1">
        <f t="shared" si="149"/>
        <v>1060</v>
      </c>
      <c r="AW53" s="1">
        <f t="shared" si="149"/>
        <v>28248</v>
      </c>
      <c r="AX53" s="1">
        <f t="shared" si="149"/>
        <v>63558</v>
      </c>
      <c r="AY53" s="1">
        <f t="shared" si="24"/>
        <v>571614</v>
      </c>
      <c r="AZ53" s="1">
        <f t="shared" si="25"/>
        <v>285807</v>
      </c>
      <c r="BB53" s="1">
        <f t="shared" si="26"/>
        <v>42</v>
      </c>
    </row>
    <row r="54" spans="2:54">
      <c r="B54" s="4">
        <v>43</v>
      </c>
      <c r="C54" s="1">
        <f t="shared" ref="C54:I54" si="150">C$5+(C$6-C$5)*(POWER(C$7,$B54-1)-1)/(POWER(C$7,$B$3-1)-1)</f>
        <v>3397.75821581877</v>
      </c>
      <c r="D54" s="1">
        <f t="shared" si="150"/>
        <v>1019.32746474563</v>
      </c>
      <c r="E54" s="1">
        <f t="shared" si="150"/>
        <v>679.551643163753</v>
      </c>
      <c r="F54" s="1">
        <f t="shared" si="150"/>
        <v>8601.91953371839</v>
      </c>
      <c r="G54" s="1">
        <f t="shared" si="150"/>
        <v>2580.57586011552</v>
      </c>
      <c r="H54" s="1">
        <f t="shared" si="150"/>
        <v>1720.38390674368</v>
      </c>
      <c r="I54" s="1">
        <f t="shared" si="150"/>
        <v>0</v>
      </c>
      <c r="J54" s="1">
        <f>标准模型!$I$65/1*$B54/$B$3</f>
        <v>0.3096</v>
      </c>
      <c r="K54" s="1">
        <f>J54*标准模型!$J$63</f>
        <v>0.3096</v>
      </c>
      <c r="L54" s="1">
        <f t="shared" si="1"/>
        <v>11999.6777495372</v>
      </c>
      <c r="M54" s="1">
        <f t="shared" si="2"/>
        <v>3915.4871079464</v>
      </c>
      <c r="N54" s="1">
        <f t="shared" si="3"/>
        <v>2610.32473863093</v>
      </c>
      <c r="O54" s="1">
        <f t="shared" ref="O54:W54" si="151">O$5+(O$6-O$5)*(POWER(O$7,$B54-1)-1)/(POWER(O$7,$B$3-1)-1)</f>
        <v>0.54209378523907</v>
      </c>
      <c r="P54" s="1">
        <f t="shared" si="151"/>
        <v>0.0233593849171743</v>
      </c>
      <c r="Q54" s="1">
        <f t="shared" si="151"/>
        <v>0.298151581881489</v>
      </c>
      <c r="R54" s="1">
        <f t="shared" si="151"/>
        <v>1.01683751409563</v>
      </c>
      <c r="S54" s="1">
        <f t="shared" si="151"/>
        <v>0.104721920810791</v>
      </c>
      <c r="T54" s="1">
        <f t="shared" si="151"/>
        <v>2.16416576243237</v>
      </c>
      <c r="U54" s="1">
        <f t="shared" si="151"/>
        <v>1</v>
      </c>
      <c r="V54" s="1">
        <f t="shared" si="151"/>
        <v>1.04590741022654</v>
      </c>
      <c r="W54" s="1">
        <f t="shared" si="151"/>
        <v>1.13470011276502</v>
      </c>
      <c r="X54" s="1">
        <f t="shared" si="5"/>
        <v>0.731962350470941</v>
      </c>
      <c r="Y54" s="1">
        <f t="shared" si="6"/>
        <v>1.1692311126855</v>
      </c>
      <c r="Z54" s="1">
        <f t="shared" si="7"/>
        <v>14030.3965669588</v>
      </c>
      <c r="AA54" s="1">
        <f t="shared" si="8"/>
        <v>3915.4871079464</v>
      </c>
      <c r="AB54" s="1">
        <f t="shared" si="9"/>
        <v>2610.32473863093</v>
      </c>
      <c r="AC54" s="1">
        <f>AB54/(AB54+战斗公式!$M$27)</f>
        <v>0.0980944338060426</v>
      </c>
      <c r="AD54" s="1">
        <f t="shared" si="10"/>
        <v>15556.3920357727</v>
      </c>
      <c r="AE54" s="1">
        <f t="shared" si="11"/>
        <v>5.42793124436597</v>
      </c>
      <c r="AF54" s="1">
        <f t="shared" si="12"/>
        <v>3.39799486065288</v>
      </c>
      <c r="AG54" s="1">
        <f t="shared" si="13"/>
        <v>2.11024664621196</v>
      </c>
      <c r="AH54" s="1">
        <f t="shared" si="14"/>
        <v>0.402374352353428</v>
      </c>
      <c r="AI54" s="1">
        <f t="shared" si="15"/>
        <v>1.13337955448722</v>
      </c>
      <c r="AJ54" s="1">
        <f t="shared" si="16"/>
        <v>1.34242137956918</v>
      </c>
      <c r="AK54" s="1">
        <f t="shared" si="17"/>
        <v>1</v>
      </c>
      <c r="AL54" s="10">
        <f t="shared" si="18"/>
        <v>8713</v>
      </c>
      <c r="AM54" s="10">
        <f t="shared" si="19"/>
        <v>1575</v>
      </c>
      <c r="AN54" s="10">
        <f t="shared" si="20"/>
        <v>2610</v>
      </c>
      <c r="AO54" s="1">
        <f t="shared" si="21"/>
        <v>7322</v>
      </c>
      <c r="AP54" s="1">
        <f t="shared" si="22"/>
        <v>1575</v>
      </c>
      <c r="AR54" s="1">
        <f t="shared" ref="AR54:AX54" si="152">ROUNDUP(AR$10*$AO54,0)</f>
        <v>7322</v>
      </c>
      <c r="AS54" s="1">
        <f t="shared" si="152"/>
        <v>21966</v>
      </c>
      <c r="AT54" s="1">
        <f t="shared" si="152"/>
        <v>13180</v>
      </c>
      <c r="AU54" s="1">
        <f t="shared" si="152"/>
        <v>3661</v>
      </c>
      <c r="AV54" s="1">
        <f t="shared" si="152"/>
        <v>1099</v>
      </c>
      <c r="AW54" s="1">
        <f t="shared" si="152"/>
        <v>29288</v>
      </c>
      <c r="AX54" s="1">
        <f t="shared" si="152"/>
        <v>65898</v>
      </c>
      <c r="AY54" s="1">
        <f t="shared" si="24"/>
        <v>592508</v>
      </c>
      <c r="AZ54" s="1">
        <f t="shared" si="25"/>
        <v>296254</v>
      </c>
      <c r="BB54" s="1">
        <f t="shared" si="26"/>
        <v>43</v>
      </c>
    </row>
    <row r="55" spans="2:54">
      <c r="B55" s="4">
        <v>44</v>
      </c>
      <c r="C55" s="1">
        <f t="shared" ref="C55:I55" si="153">C$5+(C$6-C$5)*(POWER(C$7,$B55-1)-1)/(POWER(C$7,$B$3-1)-1)</f>
        <v>3476.77456969641</v>
      </c>
      <c r="D55" s="1">
        <f t="shared" si="153"/>
        <v>1043.03237090892</v>
      </c>
      <c r="E55" s="1">
        <f t="shared" si="153"/>
        <v>695.354913939281</v>
      </c>
      <c r="F55" s="1">
        <f t="shared" si="153"/>
        <v>8801.96093594027</v>
      </c>
      <c r="G55" s="1">
        <f t="shared" si="153"/>
        <v>2640.58828078208</v>
      </c>
      <c r="H55" s="1">
        <f t="shared" si="153"/>
        <v>1760.39218718805</v>
      </c>
      <c r="I55" s="1">
        <f t="shared" si="153"/>
        <v>0</v>
      </c>
      <c r="J55" s="1">
        <f>标准模型!$I$65/1*$B55/$B$3</f>
        <v>0.3168</v>
      </c>
      <c r="K55" s="1">
        <f>J55*标准模型!$J$63</f>
        <v>0.3168</v>
      </c>
      <c r="L55" s="1">
        <f t="shared" si="1"/>
        <v>12278.7355056367</v>
      </c>
      <c r="M55" s="1">
        <f t="shared" si="2"/>
        <v>4014.05330679495</v>
      </c>
      <c r="N55" s="1">
        <f t="shared" si="3"/>
        <v>2676.0355378633</v>
      </c>
      <c r="O55" s="1">
        <f t="shared" ref="O55:W55" si="154">O$5+(O$6-O$5)*(POWER(O$7,$B55-1)-1)/(POWER(O$7,$B$3-1)-1)</f>
        <v>0.543095996673047</v>
      </c>
      <c r="P55" s="1">
        <f t="shared" si="154"/>
        <v>0.0239336811200796</v>
      </c>
      <c r="Q55" s="1">
        <f t="shared" si="154"/>
        <v>0.298702798170176</v>
      </c>
      <c r="R55" s="1">
        <f t="shared" si="154"/>
        <v>1.01723839866922</v>
      </c>
      <c r="S55" s="1">
        <f t="shared" si="154"/>
        <v>0.106024795674962</v>
      </c>
      <c r="T55" s="1">
        <f t="shared" si="154"/>
        <v>2.16807438702489</v>
      </c>
      <c r="U55" s="1">
        <f t="shared" si="154"/>
        <v>1</v>
      </c>
      <c r="V55" s="1">
        <f t="shared" si="154"/>
        <v>1.04700042030326</v>
      </c>
      <c r="W55" s="1">
        <f t="shared" si="154"/>
        <v>1.13790718935375</v>
      </c>
      <c r="X55" s="1">
        <f t="shared" si="5"/>
        <v>0.737635374769187</v>
      </c>
      <c r="Y55" s="1">
        <f t="shared" si="6"/>
        <v>1.1791430928846</v>
      </c>
      <c r="Z55" s="1">
        <f t="shared" si="7"/>
        <v>14478.3861608283</v>
      </c>
      <c r="AA55" s="1">
        <f t="shared" si="8"/>
        <v>4014.05330679495</v>
      </c>
      <c r="AB55" s="1">
        <f t="shared" si="9"/>
        <v>2676.0355378633</v>
      </c>
      <c r="AC55" s="1">
        <f>AB55/(AB55+战斗公式!$M$27)</f>
        <v>0.100316088350722</v>
      </c>
      <c r="AD55" s="1">
        <f t="shared" si="10"/>
        <v>16092.7476565485</v>
      </c>
      <c r="AE55" s="1">
        <f t="shared" si="11"/>
        <v>5.43507235074753</v>
      </c>
      <c r="AF55" s="1">
        <f t="shared" si="12"/>
        <v>3.40001281823535</v>
      </c>
      <c r="AG55" s="1">
        <f t="shared" si="13"/>
        <v>2.13263745059642</v>
      </c>
      <c r="AH55" s="1">
        <f t="shared" si="14"/>
        <v>0.404918079600105</v>
      </c>
      <c r="AI55" s="1">
        <f t="shared" si="15"/>
        <v>1.12671057676242</v>
      </c>
      <c r="AJ55" s="1">
        <f t="shared" si="16"/>
        <v>1.33557228217041</v>
      </c>
      <c r="AK55" s="1">
        <f t="shared" si="17"/>
        <v>1</v>
      </c>
      <c r="AL55" s="10">
        <f t="shared" si="18"/>
        <v>9081</v>
      </c>
      <c r="AM55" s="10">
        <f t="shared" si="19"/>
        <v>1625</v>
      </c>
      <c r="AN55" s="10">
        <f t="shared" si="20"/>
        <v>2676</v>
      </c>
      <c r="AO55" s="1">
        <f t="shared" si="21"/>
        <v>7588</v>
      </c>
      <c r="AP55" s="1">
        <f t="shared" si="22"/>
        <v>1625</v>
      </c>
      <c r="AR55" s="1">
        <f t="shared" ref="AR55:AX55" si="155">ROUNDUP(AR$10*$AO55,0)</f>
        <v>7588</v>
      </c>
      <c r="AS55" s="1">
        <f t="shared" si="155"/>
        <v>22764</v>
      </c>
      <c r="AT55" s="1">
        <f t="shared" si="155"/>
        <v>13659</v>
      </c>
      <c r="AU55" s="1">
        <f t="shared" si="155"/>
        <v>3794</v>
      </c>
      <c r="AV55" s="1">
        <f t="shared" si="155"/>
        <v>1139</v>
      </c>
      <c r="AW55" s="1">
        <f t="shared" si="155"/>
        <v>30352</v>
      </c>
      <c r="AX55" s="1">
        <f t="shared" si="155"/>
        <v>68292</v>
      </c>
      <c r="AY55" s="1">
        <f t="shared" si="24"/>
        <v>613900</v>
      </c>
      <c r="AZ55" s="1">
        <f t="shared" si="25"/>
        <v>306950</v>
      </c>
      <c r="BB55" s="1">
        <f t="shared" si="26"/>
        <v>44</v>
      </c>
    </row>
    <row r="56" spans="2:54">
      <c r="B56" s="4">
        <v>45</v>
      </c>
      <c r="C56" s="1">
        <f t="shared" ref="C56:I56" si="156">C$5+(C$6-C$5)*(POWER(C$7,$B56-1)-1)/(POWER(C$7,$B$3-1)-1)</f>
        <v>3555.7908445649</v>
      </c>
      <c r="D56" s="1">
        <f t="shared" si="156"/>
        <v>1066.73725336947</v>
      </c>
      <c r="E56" s="1">
        <f t="shared" si="156"/>
        <v>711.158168912979</v>
      </c>
      <c r="F56" s="1">
        <f t="shared" si="156"/>
        <v>9002.00213813898</v>
      </c>
      <c r="G56" s="1">
        <f t="shared" si="156"/>
        <v>2700.60064144169</v>
      </c>
      <c r="H56" s="1">
        <f t="shared" si="156"/>
        <v>1800.4004276278</v>
      </c>
      <c r="I56" s="1">
        <f t="shared" si="156"/>
        <v>0</v>
      </c>
      <c r="J56" s="1">
        <f>标准模型!$I$65/1*$B56/$B$3</f>
        <v>0.324</v>
      </c>
      <c r="K56" s="1">
        <f>J56*标准模型!$J$63</f>
        <v>0.324</v>
      </c>
      <c r="L56" s="1">
        <f t="shared" si="1"/>
        <v>12557.7929827039</v>
      </c>
      <c r="M56" s="1">
        <f t="shared" si="2"/>
        <v>4112.96076490287</v>
      </c>
      <c r="N56" s="1">
        <f t="shared" si="3"/>
        <v>2741.97384326858</v>
      </c>
      <c r="O56" s="1">
        <f t="shared" ref="O56:W56" si="157">O$5+(O$6-O$5)*(POWER(O$7,$B56-1)-1)/(POWER(O$7,$B$3-1)-1)</f>
        <v>0.544098207104905</v>
      </c>
      <c r="P56" s="1">
        <f t="shared" si="157"/>
        <v>0.0245088387672894</v>
      </c>
      <c r="Q56" s="1">
        <f t="shared" si="157"/>
        <v>0.299254013907698</v>
      </c>
      <c r="R56" s="1">
        <f t="shared" si="157"/>
        <v>1.01763928284196</v>
      </c>
      <c r="S56" s="1">
        <f t="shared" si="157"/>
        <v>0.107327669236376</v>
      </c>
      <c r="T56" s="1">
        <f t="shared" si="157"/>
        <v>2.17198300770913</v>
      </c>
      <c r="U56" s="1">
        <f t="shared" si="157"/>
        <v>1</v>
      </c>
      <c r="V56" s="1">
        <f t="shared" si="157"/>
        <v>1.04809342928706</v>
      </c>
      <c r="W56" s="1">
        <f t="shared" si="157"/>
        <v>1.1411142627357</v>
      </c>
      <c r="X56" s="1">
        <f t="shared" si="5"/>
        <v>0.743346252468469</v>
      </c>
      <c r="Y56" s="1">
        <f t="shared" si="6"/>
        <v>1.18912940908632</v>
      </c>
      <c r="Z56" s="1">
        <f t="shared" si="7"/>
        <v>14932.840948951</v>
      </c>
      <c r="AA56" s="1">
        <f t="shared" si="8"/>
        <v>4112.96076490287</v>
      </c>
      <c r="AB56" s="1">
        <f t="shared" si="9"/>
        <v>2741.97384326858</v>
      </c>
      <c r="AC56" s="1">
        <f>AB56/(AB56+战斗公式!$M$27)</f>
        <v>0.102534459847241</v>
      </c>
      <c r="AD56" s="1">
        <f t="shared" si="10"/>
        <v>16638.9017526057</v>
      </c>
      <c r="AE56" s="1">
        <f t="shared" si="11"/>
        <v>5.44225559410755</v>
      </c>
      <c r="AF56" s="1">
        <f t="shared" si="12"/>
        <v>3.40205218199404</v>
      </c>
      <c r="AG56" s="1">
        <f t="shared" si="13"/>
        <v>2.154860323948</v>
      </c>
      <c r="AH56" s="1">
        <f t="shared" si="14"/>
        <v>0.407466894301275</v>
      </c>
      <c r="AI56" s="1">
        <f t="shared" si="15"/>
        <v>1.12037504792386</v>
      </c>
      <c r="AJ56" s="1">
        <f t="shared" si="16"/>
        <v>1.32886016671961</v>
      </c>
      <c r="AK56" s="1">
        <f t="shared" si="17"/>
        <v>1</v>
      </c>
      <c r="AL56" s="10">
        <f t="shared" si="18"/>
        <v>9458</v>
      </c>
      <c r="AM56" s="10">
        <f t="shared" si="19"/>
        <v>1676</v>
      </c>
      <c r="AN56" s="10">
        <f t="shared" si="20"/>
        <v>2742</v>
      </c>
      <c r="AO56" s="1">
        <f t="shared" si="21"/>
        <v>7857</v>
      </c>
      <c r="AP56" s="1">
        <f t="shared" si="22"/>
        <v>1676</v>
      </c>
      <c r="AR56" s="1">
        <f t="shared" ref="AR56:AX56" si="158">ROUNDUP(AR$10*$AO56,0)</f>
        <v>7857</v>
      </c>
      <c r="AS56" s="1">
        <f t="shared" si="158"/>
        <v>23571</v>
      </c>
      <c r="AT56" s="1">
        <f t="shared" si="158"/>
        <v>14143</v>
      </c>
      <c r="AU56" s="1">
        <f t="shared" si="158"/>
        <v>3929</v>
      </c>
      <c r="AV56" s="1">
        <f t="shared" si="158"/>
        <v>1179</v>
      </c>
      <c r="AW56" s="1">
        <f t="shared" si="158"/>
        <v>31428</v>
      </c>
      <c r="AX56" s="1">
        <f t="shared" si="158"/>
        <v>70713</v>
      </c>
      <c r="AY56" s="1">
        <f t="shared" si="24"/>
        <v>635790</v>
      </c>
      <c r="AZ56" s="1">
        <f t="shared" si="25"/>
        <v>317895</v>
      </c>
      <c r="BB56" s="1">
        <f t="shared" si="26"/>
        <v>45</v>
      </c>
    </row>
    <row r="57" spans="2:54">
      <c r="B57" s="4">
        <v>46</v>
      </c>
      <c r="C57" s="1">
        <f t="shared" ref="C57:I57" si="159">C$5+(C$6-C$5)*(POWER(C$7,$B57-1)-1)/(POWER(C$7,$B$3-1)-1)</f>
        <v>3634.80704041546</v>
      </c>
      <c r="D57" s="1">
        <f t="shared" si="159"/>
        <v>1090.44211212464</v>
      </c>
      <c r="E57" s="1">
        <f t="shared" si="159"/>
        <v>726.961408083093</v>
      </c>
      <c r="F57" s="1">
        <f t="shared" si="159"/>
        <v>9202.04314029231</v>
      </c>
      <c r="G57" s="1">
        <f t="shared" si="159"/>
        <v>2760.61294208769</v>
      </c>
      <c r="H57" s="1">
        <f t="shared" si="159"/>
        <v>1840.40862805846</v>
      </c>
      <c r="I57" s="1">
        <f t="shared" si="159"/>
        <v>0</v>
      </c>
      <c r="J57" s="1">
        <f>标准模型!$I$65/1*$B57/$B$3</f>
        <v>0.3312</v>
      </c>
      <c r="K57" s="1">
        <f>J57*标准模型!$J$63</f>
        <v>0.3312</v>
      </c>
      <c r="L57" s="1">
        <f t="shared" si="1"/>
        <v>12836.8501807078</v>
      </c>
      <c r="M57" s="1">
        <f t="shared" si="2"/>
        <v>4212.20948174801</v>
      </c>
      <c r="N57" s="1">
        <f t="shared" si="3"/>
        <v>2808.13965449868</v>
      </c>
      <c r="O57" s="1">
        <f t="shared" ref="O57:W57" si="160">O$5+(O$6-O$5)*(POWER(O$7,$B57-1)-1)/(POWER(O$7,$B$3-1)-1)</f>
        <v>0.545100416534531</v>
      </c>
      <c r="P57" s="1">
        <f t="shared" si="160"/>
        <v>0.0250848591509699</v>
      </c>
      <c r="Q57" s="1">
        <f t="shared" si="160"/>
        <v>0.299805229093992</v>
      </c>
      <c r="R57" s="1">
        <f t="shared" si="160"/>
        <v>1.01804016661381</v>
      </c>
      <c r="S57" s="1">
        <f t="shared" si="160"/>
        <v>0.10863054149489</v>
      </c>
      <c r="T57" s="1">
        <f t="shared" si="160"/>
        <v>2.17589162448467</v>
      </c>
      <c r="U57" s="1">
        <f t="shared" si="160"/>
        <v>1</v>
      </c>
      <c r="V57" s="1">
        <f t="shared" si="160"/>
        <v>1.04918643717783</v>
      </c>
      <c r="W57" s="1">
        <f t="shared" si="160"/>
        <v>1.1443213329105</v>
      </c>
      <c r="X57" s="1">
        <f t="shared" si="5"/>
        <v>0.749095212746393</v>
      </c>
      <c r="Y57" s="1">
        <f t="shared" si="6"/>
        <v>1.19919056838098</v>
      </c>
      <c r="Z57" s="1">
        <f t="shared" si="7"/>
        <v>15393.8296644244</v>
      </c>
      <c r="AA57" s="1">
        <f t="shared" si="8"/>
        <v>4212.20948174801</v>
      </c>
      <c r="AB57" s="1">
        <f t="shared" si="9"/>
        <v>2808.13965449868</v>
      </c>
      <c r="AC57" s="1">
        <f>AB57/(AB57+战斗公式!$M$27)</f>
        <v>0.104749516030943</v>
      </c>
      <c r="AD57" s="1">
        <f t="shared" si="10"/>
        <v>17194.997310894</v>
      </c>
      <c r="AE57" s="1">
        <f t="shared" si="11"/>
        <v>5.44948083047691</v>
      </c>
      <c r="AF57" s="1">
        <f t="shared" si="12"/>
        <v>3.40411283218714</v>
      </c>
      <c r="AG57" s="1">
        <f t="shared" si="13"/>
        <v>2.17691652574944</v>
      </c>
      <c r="AH57" s="1">
        <f t="shared" si="14"/>
        <v>0.410020806631848</v>
      </c>
      <c r="AI57" s="1">
        <f t="shared" si="15"/>
        <v>1.11435629552723</v>
      </c>
      <c r="AJ57" s="1">
        <f t="shared" si="16"/>
        <v>1.32228229357783</v>
      </c>
      <c r="AK57" s="1">
        <f t="shared" si="17"/>
        <v>1</v>
      </c>
      <c r="AL57" s="10">
        <f t="shared" si="18"/>
        <v>9844</v>
      </c>
      <c r="AM57" s="10">
        <f t="shared" si="19"/>
        <v>1727</v>
      </c>
      <c r="AN57" s="10">
        <f t="shared" si="20"/>
        <v>2808</v>
      </c>
      <c r="AO57" s="1">
        <f t="shared" si="21"/>
        <v>8131</v>
      </c>
      <c r="AP57" s="1">
        <f t="shared" si="22"/>
        <v>1727</v>
      </c>
      <c r="AR57" s="1">
        <f t="shared" ref="AR57:AX57" si="161">ROUNDUP(AR$10*$AO57,0)</f>
        <v>8131</v>
      </c>
      <c r="AS57" s="1">
        <f t="shared" si="161"/>
        <v>24393</v>
      </c>
      <c r="AT57" s="1">
        <f t="shared" si="161"/>
        <v>14636</v>
      </c>
      <c r="AU57" s="1">
        <f t="shared" si="161"/>
        <v>4066</v>
      </c>
      <c r="AV57" s="1">
        <f t="shared" si="161"/>
        <v>1220</v>
      </c>
      <c r="AW57" s="1">
        <f t="shared" si="161"/>
        <v>32524</v>
      </c>
      <c r="AX57" s="1">
        <f t="shared" si="161"/>
        <v>73179</v>
      </c>
      <c r="AY57" s="1">
        <f t="shared" si="24"/>
        <v>658183</v>
      </c>
      <c r="AZ57" s="1">
        <f t="shared" si="25"/>
        <v>329092</v>
      </c>
      <c r="BB57" s="1">
        <f t="shared" si="26"/>
        <v>46</v>
      </c>
    </row>
    <row r="58" spans="2:54">
      <c r="B58" s="4">
        <v>47</v>
      </c>
      <c r="C58" s="1">
        <f t="shared" ref="C58:I58" si="162">C$5+(C$6-C$5)*(POWER(C$7,$B58-1)-1)/(POWER(C$7,$B$3-1)-1)</f>
        <v>3713.82315723933</v>
      </c>
      <c r="D58" s="1">
        <f t="shared" si="162"/>
        <v>1114.1469471718</v>
      </c>
      <c r="E58" s="1">
        <f t="shared" si="162"/>
        <v>742.764631447866</v>
      </c>
      <c r="F58" s="1">
        <f t="shared" si="162"/>
        <v>9402.08394237806</v>
      </c>
      <c r="G58" s="1">
        <f t="shared" si="162"/>
        <v>2820.62518271342</v>
      </c>
      <c r="H58" s="1">
        <f t="shared" si="162"/>
        <v>1880.41678847561</v>
      </c>
      <c r="I58" s="1">
        <f t="shared" si="162"/>
        <v>0</v>
      </c>
      <c r="J58" s="1">
        <f>标准模型!$I$65/1*$B58/$B$3</f>
        <v>0.3384</v>
      </c>
      <c r="K58" s="1">
        <f>J58*标准模型!$J$63</f>
        <v>0.3384</v>
      </c>
      <c r="L58" s="1">
        <f t="shared" si="1"/>
        <v>13115.9070996174</v>
      </c>
      <c r="M58" s="1">
        <f t="shared" si="2"/>
        <v>4311.79945680815</v>
      </c>
      <c r="N58" s="1">
        <f t="shared" si="3"/>
        <v>2874.53297120544</v>
      </c>
      <c r="O58" s="1">
        <f t="shared" ref="O58:W58" si="163">O$5+(O$6-O$5)*(POWER(O$7,$B58-1)-1)/(POWER(O$7,$B$3-1)-1)</f>
        <v>0.546102624961814</v>
      </c>
      <c r="P58" s="1">
        <f t="shared" si="163"/>
        <v>0.025661743565226</v>
      </c>
      <c r="Q58" s="1">
        <f t="shared" si="163"/>
        <v>0.300356443728998</v>
      </c>
      <c r="R58" s="1">
        <f t="shared" si="163"/>
        <v>1.01844104998473</v>
      </c>
      <c r="S58" s="1">
        <f t="shared" si="163"/>
        <v>0.109933412450358</v>
      </c>
      <c r="T58" s="1">
        <f t="shared" si="163"/>
        <v>2.17980023735107</v>
      </c>
      <c r="U58" s="1">
        <f t="shared" si="163"/>
        <v>1</v>
      </c>
      <c r="V58" s="1">
        <f t="shared" si="163"/>
        <v>1.05027944397545</v>
      </c>
      <c r="W58" s="1">
        <f t="shared" si="163"/>
        <v>1.1475283998778</v>
      </c>
      <c r="X58" s="1">
        <f t="shared" si="5"/>
        <v>0.754882485868118</v>
      </c>
      <c r="Y58" s="1">
        <f t="shared" si="6"/>
        <v>1.20932708072827</v>
      </c>
      <c r="Z58" s="1">
        <f t="shared" si="7"/>
        <v>15861.4216438835</v>
      </c>
      <c r="AA58" s="1">
        <f t="shared" si="8"/>
        <v>4311.79945680815</v>
      </c>
      <c r="AB58" s="1">
        <f t="shared" si="9"/>
        <v>2874.53297120544</v>
      </c>
      <c r="AC58" s="1">
        <f>AB58/(AB58+战斗公式!$M$27)</f>
        <v>0.106961225122883</v>
      </c>
      <c r="AD58" s="1">
        <f t="shared" si="10"/>
        <v>17761.1791224474</v>
      </c>
      <c r="AE58" s="1">
        <f t="shared" si="11"/>
        <v>5.45674791712253</v>
      </c>
      <c r="AF58" s="1">
        <f t="shared" si="12"/>
        <v>3.40619464996393</v>
      </c>
      <c r="AG58" s="1">
        <f t="shared" si="13"/>
        <v>2.19880730603737</v>
      </c>
      <c r="AH58" s="1">
        <f t="shared" si="14"/>
        <v>0.412579826787082</v>
      </c>
      <c r="AI58" s="1">
        <f t="shared" si="15"/>
        <v>1.10863848075042</v>
      </c>
      <c r="AJ58" s="1">
        <f t="shared" si="16"/>
        <v>1.31583597789889</v>
      </c>
      <c r="AK58" s="1">
        <f t="shared" si="17"/>
        <v>1</v>
      </c>
      <c r="AL58" s="10">
        <f t="shared" si="18"/>
        <v>10239</v>
      </c>
      <c r="AM58" s="10">
        <f t="shared" si="19"/>
        <v>1779</v>
      </c>
      <c r="AN58" s="10">
        <f t="shared" si="20"/>
        <v>2875</v>
      </c>
      <c r="AO58" s="1">
        <f t="shared" si="21"/>
        <v>8410</v>
      </c>
      <c r="AP58" s="1">
        <f t="shared" si="22"/>
        <v>1779</v>
      </c>
      <c r="AR58" s="1">
        <f t="shared" ref="AR58:AX58" si="164">ROUNDUP(AR$10*$AO58,0)</f>
        <v>8410</v>
      </c>
      <c r="AS58" s="1">
        <f t="shared" si="164"/>
        <v>25230</v>
      </c>
      <c r="AT58" s="1">
        <f t="shared" si="164"/>
        <v>15138</v>
      </c>
      <c r="AU58" s="1">
        <f t="shared" si="164"/>
        <v>4205</v>
      </c>
      <c r="AV58" s="1">
        <f t="shared" si="164"/>
        <v>1262</v>
      </c>
      <c r="AW58" s="1">
        <f t="shared" si="164"/>
        <v>33640</v>
      </c>
      <c r="AX58" s="1">
        <f t="shared" si="164"/>
        <v>75690</v>
      </c>
      <c r="AY58" s="1">
        <f t="shared" si="24"/>
        <v>681081</v>
      </c>
      <c r="AZ58" s="1">
        <f t="shared" si="25"/>
        <v>340540</v>
      </c>
      <c r="BB58" s="1">
        <f t="shared" si="26"/>
        <v>47</v>
      </c>
    </row>
    <row r="59" spans="2:54">
      <c r="B59" s="4">
        <v>48</v>
      </c>
      <c r="C59" s="1">
        <f t="shared" ref="C59:I59" si="165">C$5+(C$6-C$5)*(POWER(C$7,$B59-1)-1)/(POWER(C$7,$B$3-1)-1)</f>
        <v>3792.83919506282</v>
      </c>
      <c r="D59" s="1">
        <f t="shared" si="165"/>
        <v>1137.85175851885</v>
      </c>
      <c r="E59" s="1">
        <f t="shared" si="165"/>
        <v>758.567839012564</v>
      </c>
      <c r="F59" s="1">
        <f t="shared" si="165"/>
        <v>9602.12454446284</v>
      </c>
      <c r="G59" s="1">
        <f t="shared" si="165"/>
        <v>2880.63736333885</v>
      </c>
      <c r="H59" s="1">
        <f t="shared" si="165"/>
        <v>1920.42490889257</v>
      </c>
      <c r="I59" s="1">
        <f t="shared" si="165"/>
        <v>0</v>
      </c>
      <c r="J59" s="1">
        <f>标准模型!$I$65/1*$B59/$B$3</f>
        <v>0.3456</v>
      </c>
      <c r="K59" s="1">
        <f>J59*标准模型!$J$63</f>
        <v>0.3456</v>
      </c>
      <c r="L59" s="1">
        <f t="shared" si="1"/>
        <v>13394.9637395257</v>
      </c>
      <c r="M59" s="1">
        <f t="shared" si="2"/>
        <v>4411.73068960181</v>
      </c>
      <c r="N59" s="1">
        <f t="shared" si="3"/>
        <v>2941.15379306787</v>
      </c>
      <c r="O59" s="1">
        <f t="shared" ref="O59:W59" si="166">O$5+(O$6-O$5)*(POWER(O$7,$B59-1)-1)/(POWER(O$7,$B$3-1)-1)</f>
        <v>0.547104832387088</v>
      </c>
      <c r="P59" s="1">
        <f t="shared" si="166"/>
        <v>0.0262394933061034</v>
      </c>
      <c r="Q59" s="1">
        <f t="shared" si="166"/>
        <v>0.300907657812899</v>
      </c>
      <c r="R59" s="1">
        <f t="shared" si="166"/>
        <v>1.01884193295484</v>
      </c>
      <c r="S59" s="1">
        <f t="shared" si="166"/>
        <v>0.111236282103215</v>
      </c>
      <c r="T59" s="1">
        <f t="shared" si="166"/>
        <v>2.18370884630964</v>
      </c>
      <c r="U59" s="1">
        <f t="shared" si="166"/>
        <v>1</v>
      </c>
      <c r="V59" s="1">
        <f t="shared" si="166"/>
        <v>1.05137244968028</v>
      </c>
      <c r="W59" s="1">
        <f t="shared" si="166"/>
        <v>1.15073546363868</v>
      </c>
      <c r="X59" s="1">
        <f t="shared" si="5"/>
        <v>0.760708303191392</v>
      </c>
      <c r="Y59" s="1">
        <f t="shared" si="6"/>
        <v>1.21953945897257</v>
      </c>
      <c r="Z59" s="1">
        <f t="shared" si="7"/>
        <v>16335.6868318583</v>
      </c>
      <c r="AA59" s="1">
        <f t="shared" si="8"/>
        <v>4411.73068960181</v>
      </c>
      <c r="AB59" s="1">
        <f t="shared" si="9"/>
        <v>2941.15379306787</v>
      </c>
      <c r="AC59" s="1">
        <f>AB59/(AB59+战斗公式!$M$27)</f>
        <v>0.109169555827436</v>
      </c>
      <c r="AD59" s="1">
        <f t="shared" si="10"/>
        <v>18337.593802187</v>
      </c>
      <c r="AE59" s="1">
        <f t="shared" si="11"/>
        <v>5.46405671254106</v>
      </c>
      <c r="AF59" s="1">
        <f t="shared" si="12"/>
        <v>3.4082975173599</v>
      </c>
      <c r="AG59" s="1">
        <f t="shared" si="13"/>
        <v>2.22053390547314</v>
      </c>
      <c r="AH59" s="1">
        <f t="shared" si="14"/>
        <v>0.415143964982627</v>
      </c>
      <c r="AI59" s="1">
        <f t="shared" si="15"/>
        <v>1.10320655671246</v>
      </c>
      <c r="AJ59" s="1">
        <f t="shared" si="16"/>
        <v>1.30951858853352</v>
      </c>
      <c r="AK59" s="1">
        <f t="shared" si="17"/>
        <v>1</v>
      </c>
      <c r="AL59" s="10">
        <f t="shared" si="18"/>
        <v>10643</v>
      </c>
      <c r="AM59" s="10">
        <f t="shared" si="19"/>
        <v>1832</v>
      </c>
      <c r="AN59" s="10">
        <f t="shared" si="20"/>
        <v>2941</v>
      </c>
      <c r="AO59" s="1">
        <f t="shared" si="21"/>
        <v>8693</v>
      </c>
      <c r="AP59" s="1">
        <f t="shared" si="22"/>
        <v>1832</v>
      </c>
      <c r="AR59" s="1">
        <f t="shared" ref="AR59:AX59" si="167">ROUNDUP(AR$10*$AO59,0)</f>
        <v>8693</v>
      </c>
      <c r="AS59" s="1">
        <f t="shared" si="167"/>
        <v>26079</v>
      </c>
      <c r="AT59" s="1">
        <f t="shared" si="167"/>
        <v>15648</v>
      </c>
      <c r="AU59" s="1">
        <f t="shared" si="167"/>
        <v>4347</v>
      </c>
      <c r="AV59" s="1">
        <f t="shared" si="167"/>
        <v>1304</v>
      </c>
      <c r="AW59" s="1">
        <f t="shared" si="167"/>
        <v>34772</v>
      </c>
      <c r="AX59" s="1">
        <f t="shared" si="167"/>
        <v>78237</v>
      </c>
      <c r="AY59" s="1">
        <f t="shared" si="24"/>
        <v>704486</v>
      </c>
      <c r="AZ59" s="1">
        <f t="shared" si="25"/>
        <v>352243</v>
      </c>
      <c r="BB59" s="1">
        <f t="shared" si="26"/>
        <v>48</v>
      </c>
    </row>
    <row r="60" spans="2:54">
      <c r="B60" s="4">
        <v>49</v>
      </c>
      <c r="C60" s="1">
        <f t="shared" ref="C60:I60" si="168">C$5+(C$6-C$5)*(POWER(C$7,$B60-1)-1)/(POWER(C$7,$B$3-1)-1)</f>
        <v>3871.85515385961</v>
      </c>
      <c r="D60" s="1">
        <f t="shared" si="168"/>
        <v>1161.55654615788</v>
      </c>
      <c r="E60" s="1">
        <f t="shared" si="168"/>
        <v>774.371030771923</v>
      </c>
      <c r="F60" s="1">
        <f t="shared" si="168"/>
        <v>9802.16494648003</v>
      </c>
      <c r="G60" s="1">
        <f t="shared" si="168"/>
        <v>2940.64948394401</v>
      </c>
      <c r="H60" s="1">
        <f t="shared" si="168"/>
        <v>1960.43298929601</v>
      </c>
      <c r="I60" s="1">
        <f t="shared" si="168"/>
        <v>0</v>
      </c>
      <c r="J60" s="1">
        <f>标准模型!$I$65/1*$B60/$B$3</f>
        <v>0.3528</v>
      </c>
      <c r="K60" s="1">
        <f>J60*标准模型!$J$63</f>
        <v>0.3528</v>
      </c>
      <c r="L60" s="1">
        <f t="shared" si="1"/>
        <v>13674.0201003396</v>
      </c>
      <c r="M60" s="1">
        <f t="shared" si="2"/>
        <v>4512.0031795864</v>
      </c>
      <c r="N60" s="1">
        <f t="shared" si="3"/>
        <v>3008.00211972426</v>
      </c>
      <c r="O60" s="1">
        <f t="shared" ref="O60:W60" si="169">O$5+(O$6-O$5)*(POWER(O$7,$B60-1)-1)/(POWER(O$7,$B$3-1)-1)</f>
        <v>0.54810703881002</v>
      </c>
      <c r="P60" s="1">
        <f t="shared" si="169"/>
        <v>0.0268181096715922</v>
      </c>
      <c r="Q60" s="1">
        <f t="shared" si="169"/>
        <v>0.301458871345511</v>
      </c>
      <c r="R60" s="1">
        <f t="shared" si="169"/>
        <v>1.01924281552401</v>
      </c>
      <c r="S60" s="1">
        <f t="shared" si="169"/>
        <v>0.112539150453026</v>
      </c>
      <c r="T60" s="1">
        <f t="shared" si="169"/>
        <v>2.18761745135908</v>
      </c>
      <c r="U60" s="1">
        <f t="shared" si="169"/>
        <v>1</v>
      </c>
      <c r="V60" s="1">
        <f t="shared" si="169"/>
        <v>1.05246545429195</v>
      </c>
      <c r="W60" s="1">
        <f t="shared" si="169"/>
        <v>1.15394252419206</v>
      </c>
      <c r="X60" s="1">
        <f t="shared" si="5"/>
        <v>0.766572897163724</v>
      </c>
      <c r="Y60" s="1">
        <f t="shared" si="6"/>
        <v>1.22982821884367</v>
      </c>
      <c r="Z60" s="1">
        <f t="shared" si="7"/>
        <v>16816.6957844333</v>
      </c>
      <c r="AA60" s="1">
        <f t="shared" si="8"/>
        <v>4512.0031795864</v>
      </c>
      <c r="AB60" s="1">
        <f t="shared" si="9"/>
        <v>3008.00211972426</v>
      </c>
      <c r="AC60" s="1">
        <f>AB60/(AB60+战斗公式!$M$27)</f>
        <v>0.111374477326758</v>
      </c>
      <c r="AD60" s="1">
        <f t="shared" si="10"/>
        <v>18924.3898080305</v>
      </c>
      <c r="AE60" s="1">
        <f t="shared" si="11"/>
        <v>5.47140707642475</v>
      </c>
      <c r="AF60" s="1">
        <f t="shared" si="12"/>
        <v>3.41042131728006</v>
      </c>
      <c r="AG60" s="1">
        <f t="shared" si="13"/>
        <v>2.24209755541315</v>
      </c>
      <c r="AH60" s="1">
        <f t="shared" si="14"/>
        <v>0.417713231454562</v>
      </c>
      <c r="AI60" s="1">
        <f t="shared" si="15"/>
        <v>1.0980462288764</v>
      </c>
      <c r="AJ60" s="1">
        <f t="shared" si="16"/>
        <v>1.30332754695546</v>
      </c>
      <c r="AK60" s="1">
        <f t="shared" si="17"/>
        <v>1</v>
      </c>
      <c r="AL60" s="10">
        <f t="shared" si="18"/>
        <v>11056</v>
      </c>
      <c r="AM60" s="10">
        <f t="shared" si="19"/>
        <v>1885</v>
      </c>
      <c r="AN60" s="10">
        <f t="shared" si="20"/>
        <v>3008</v>
      </c>
      <c r="AO60" s="1">
        <f t="shared" si="21"/>
        <v>8982</v>
      </c>
      <c r="AP60" s="1">
        <f t="shared" si="22"/>
        <v>1885</v>
      </c>
      <c r="AR60" s="1">
        <f t="shared" ref="AR60:AX60" si="170">ROUNDUP(AR$10*$AO60,0)</f>
        <v>8982</v>
      </c>
      <c r="AS60" s="1">
        <f t="shared" si="170"/>
        <v>26946</v>
      </c>
      <c r="AT60" s="1">
        <f t="shared" si="170"/>
        <v>16168</v>
      </c>
      <c r="AU60" s="1">
        <f t="shared" si="170"/>
        <v>4491</v>
      </c>
      <c r="AV60" s="1">
        <f t="shared" si="170"/>
        <v>1348</v>
      </c>
      <c r="AW60" s="1">
        <f t="shared" si="170"/>
        <v>35928</v>
      </c>
      <c r="AX60" s="1">
        <f t="shared" si="170"/>
        <v>80838</v>
      </c>
      <c r="AY60" s="1">
        <f t="shared" si="24"/>
        <v>728400</v>
      </c>
      <c r="AZ60" s="1">
        <f t="shared" si="25"/>
        <v>364200</v>
      </c>
      <c r="BB60" s="1">
        <f t="shared" si="26"/>
        <v>49</v>
      </c>
    </row>
    <row r="61" spans="2:54">
      <c r="B61" s="4">
        <v>50</v>
      </c>
      <c r="C61" s="1">
        <f t="shared" ref="C61:I61" si="171">C$5+(C$6-C$5)*(POWER(C$7,$B61-1)-1)/(POWER(C$7,$B$3-1)-1)</f>
        <v>3950.87103364725</v>
      </c>
      <c r="D61" s="1">
        <f t="shared" si="171"/>
        <v>1185.26131009418</v>
      </c>
      <c r="E61" s="1">
        <f t="shared" si="171"/>
        <v>790.174206729451</v>
      </c>
      <c r="F61" s="1">
        <f t="shared" si="171"/>
        <v>10002.2051484741</v>
      </c>
      <c r="G61" s="1">
        <f t="shared" si="171"/>
        <v>3000.66154454222</v>
      </c>
      <c r="H61" s="1">
        <f t="shared" si="171"/>
        <v>2000.44102969481</v>
      </c>
      <c r="I61" s="1">
        <f t="shared" si="171"/>
        <v>0</v>
      </c>
      <c r="J61" s="1">
        <f>标准模型!$I$65/1*$B61/$B$3</f>
        <v>0.36</v>
      </c>
      <c r="K61" s="1">
        <f>J61*标准模型!$J$63</f>
        <v>0.36</v>
      </c>
      <c r="L61" s="1">
        <f t="shared" si="1"/>
        <v>13953.0761821214</v>
      </c>
      <c r="M61" s="1">
        <f t="shared" si="2"/>
        <v>4612.6169262703</v>
      </c>
      <c r="N61" s="1">
        <f t="shared" si="3"/>
        <v>3075.07795084686</v>
      </c>
      <c r="O61" s="1">
        <f t="shared" ref="O61:W61" si="172">O$5+(O$6-O$5)*(POWER(O$7,$B61-1)-1)/(POWER(O$7,$B$3-1)-1)</f>
        <v>0.549109244230832</v>
      </c>
      <c r="P61" s="1">
        <f t="shared" si="172"/>
        <v>0.0273975939616292</v>
      </c>
      <c r="Q61" s="1">
        <f t="shared" si="172"/>
        <v>0.302010084326958</v>
      </c>
      <c r="R61" s="1">
        <f t="shared" si="172"/>
        <v>1.01964369769233</v>
      </c>
      <c r="S61" s="1">
        <f t="shared" si="172"/>
        <v>0.113842017500082</v>
      </c>
      <c r="T61" s="1">
        <f t="shared" si="172"/>
        <v>2.19152605250024</v>
      </c>
      <c r="U61" s="1">
        <f t="shared" si="172"/>
        <v>1</v>
      </c>
      <c r="V61" s="1">
        <f t="shared" si="172"/>
        <v>1.05355845781072</v>
      </c>
      <c r="W61" s="1">
        <f t="shared" si="172"/>
        <v>1.15714958153866</v>
      </c>
      <c r="X61" s="1">
        <f t="shared" si="5"/>
        <v>0.772476501331384</v>
      </c>
      <c r="Y61" s="1">
        <f t="shared" si="6"/>
        <v>1.24019387897947</v>
      </c>
      <c r="Z61" s="1">
        <f t="shared" si="7"/>
        <v>17304.5196740012</v>
      </c>
      <c r="AA61" s="1">
        <f t="shared" si="8"/>
        <v>4612.6169262703</v>
      </c>
      <c r="AB61" s="1">
        <f t="shared" si="9"/>
        <v>3075.07795084686</v>
      </c>
      <c r="AC61" s="1">
        <f>AB61/(AB61+战斗公式!$M$27)</f>
        <v>0.11357595927995</v>
      </c>
      <c r="AD61" s="1">
        <f t="shared" si="10"/>
        <v>19521.717461481</v>
      </c>
      <c r="AE61" s="1">
        <f t="shared" si="11"/>
        <v>5.47879886966983</v>
      </c>
      <c r="AF61" s="1">
        <f t="shared" si="12"/>
        <v>3.41256593350025</v>
      </c>
      <c r="AG61" s="1">
        <f t="shared" si="13"/>
        <v>2.2634994779786</v>
      </c>
      <c r="AH61" s="1">
        <f t="shared" si="14"/>
        <v>0.420287636459441</v>
      </c>
      <c r="AI61" s="1">
        <f t="shared" si="15"/>
        <v>1.09314391743214</v>
      </c>
      <c r="AJ61" s="1">
        <f t="shared" si="16"/>
        <v>1.29726032620896</v>
      </c>
      <c r="AK61" s="1">
        <f t="shared" si="17"/>
        <v>1</v>
      </c>
      <c r="AL61" s="10">
        <f t="shared" si="18"/>
        <v>11478</v>
      </c>
      <c r="AM61" s="10">
        <f t="shared" si="19"/>
        <v>1939</v>
      </c>
      <c r="AN61" s="10">
        <f t="shared" si="20"/>
        <v>3075</v>
      </c>
      <c r="AO61" s="1">
        <f t="shared" si="21"/>
        <v>9274</v>
      </c>
      <c r="AP61" s="1">
        <f t="shared" si="22"/>
        <v>1939</v>
      </c>
      <c r="AR61" s="1">
        <f t="shared" ref="AR61:AX61" si="173">ROUNDUP(AR$10*$AO61,0)</f>
        <v>9274</v>
      </c>
      <c r="AS61" s="1">
        <f t="shared" si="173"/>
        <v>27822</v>
      </c>
      <c r="AT61" s="1">
        <f t="shared" si="173"/>
        <v>16694</v>
      </c>
      <c r="AU61" s="1">
        <f t="shared" si="173"/>
        <v>4637</v>
      </c>
      <c r="AV61" s="1">
        <f t="shared" si="173"/>
        <v>1392</v>
      </c>
      <c r="AW61" s="1">
        <f t="shared" si="173"/>
        <v>37096</v>
      </c>
      <c r="AX61" s="1">
        <f t="shared" si="173"/>
        <v>83466</v>
      </c>
      <c r="AY61" s="1">
        <f t="shared" si="24"/>
        <v>752826</v>
      </c>
      <c r="AZ61" s="1">
        <f t="shared" si="25"/>
        <v>376413</v>
      </c>
      <c r="BB61" s="1">
        <f t="shared" si="26"/>
        <v>50</v>
      </c>
    </row>
    <row r="62" spans="2:54">
      <c r="B62" s="4">
        <v>51</v>
      </c>
      <c r="C62" s="1">
        <f t="shared" ref="C62:I62" si="174">C$5+(C$6-C$5)*(POWER(C$7,$B62-1)-1)/(POWER(C$7,$B$3-1)-1)</f>
        <v>4029.8868344082</v>
      </c>
      <c r="D62" s="1">
        <f t="shared" si="174"/>
        <v>1208.96605032246</v>
      </c>
      <c r="E62" s="1">
        <f t="shared" si="174"/>
        <v>805.977366881639</v>
      </c>
      <c r="F62" s="1">
        <f t="shared" si="174"/>
        <v>10202.2451504005</v>
      </c>
      <c r="G62" s="1">
        <f t="shared" si="174"/>
        <v>3060.67354512015</v>
      </c>
      <c r="H62" s="1">
        <f t="shared" si="174"/>
        <v>2040.4490300801</v>
      </c>
      <c r="I62" s="1">
        <f t="shared" si="174"/>
        <v>0</v>
      </c>
      <c r="J62" s="1">
        <f>标准模型!$I$65/1*$B62/$B$3</f>
        <v>0.3672</v>
      </c>
      <c r="K62" s="1">
        <f>J62*标准模型!$J$63</f>
        <v>0.3672</v>
      </c>
      <c r="L62" s="1">
        <f t="shared" si="1"/>
        <v>14232.1319848087</v>
      </c>
      <c r="M62" s="1">
        <f t="shared" si="2"/>
        <v>4713.57192912102</v>
      </c>
      <c r="N62" s="1">
        <f t="shared" si="3"/>
        <v>3142.38128608068</v>
      </c>
      <c r="O62" s="1">
        <f t="shared" ref="O62:W62" si="175">O$5+(O$6-O$5)*(POWER(O$7,$B62-1)-1)/(POWER(O$7,$B$3-1)-1)</f>
        <v>0.550111448649301</v>
      </c>
      <c r="P62" s="1">
        <f t="shared" si="175"/>
        <v>0.0279779474781012</v>
      </c>
      <c r="Q62" s="1">
        <f t="shared" si="175"/>
        <v>0.302561296757116</v>
      </c>
      <c r="R62" s="1">
        <f t="shared" si="175"/>
        <v>1.02004457945972</v>
      </c>
      <c r="S62" s="1">
        <f t="shared" si="175"/>
        <v>0.115144883244091</v>
      </c>
      <c r="T62" s="1">
        <f t="shared" si="175"/>
        <v>2.19543464973227</v>
      </c>
      <c r="U62" s="1">
        <f t="shared" si="175"/>
        <v>1</v>
      </c>
      <c r="V62" s="1">
        <f t="shared" si="175"/>
        <v>1.05465146023633</v>
      </c>
      <c r="W62" s="1">
        <f t="shared" si="175"/>
        <v>1.16035663567776</v>
      </c>
      <c r="X62" s="1">
        <f t="shared" si="5"/>
        <v>0.778419350337104</v>
      </c>
      <c r="Y62" s="1">
        <f t="shared" si="6"/>
        <v>1.2506369609277</v>
      </c>
      <c r="Z62" s="1">
        <f t="shared" si="7"/>
        <v>17799.2302930031</v>
      </c>
      <c r="AA62" s="1">
        <f t="shared" si="8"/>
        <v>4713.57192912102</v>
      </c>
      <c r="AB62" s="1">
        <f t="shared" si="9"/>
        <v>3142.38128608068</v>
      </c>
      <c r="AC62" s="1">
        <f>AB62/(AB62+战斗公式!$M$27)</f>
        <v>0.115773971817726</v>
      </c>
      <c r="AD62" s="1">
        <f t="shared" si="10"/>
        <v>20129.7289671436</v>
      </c>
      <c r="AE62" s="1">
        <f t="shared" si="11"/>
        <v>5.48623195434445</v>
      </c>
      <c r="AF62" s="1">
        <f t="shared" si="12"/>
        <v>3.41473125065136</v>
      </c>
      <c r="AG62" s="1">
        <f t="shared" si="13"/>
        <v>2.28474088612482</v>
      </c>
      <c r="AH62" s="1">
        <f t="shared" si="14"/>
        <v>0.42286719027433</v>
      </c>
      <c r="AI62" s="1">
        <f t="shared" si="15"/>
        <v>1.08848672156009</v>
      </c>
      <c r="AJ62" s="1">
        <f t="shared" si="16"/>
        <v>1.2913144498774</v>
      </c>
      <c r="AK62" s="1">
        <f t="shared" si="17"/>
        <v>1</v>
      </c>
      <c r="AL62" s="10">
        <f t="shared" si="18"/>
        <v>11909</v>
      </c>
      <c r="AM62" s="10">
        <f t="shared" si="19"/>
        <v>1993</v>
      </c>
      <c r="AN62" s="10">
        <f t="shared" si="20"/>
        <v>3142</v>
      </c>
      <c r="AO62" s="1">
        <f t="shared" si="21"/>
        <v>9572</v>
      </c>
      <c r="AP62" s="1">
        <f t="shared" si="22"/>
        <v>1993</v>
      </c>
      <c r="AR62" s="1">
        <f t="shared" ref="AR62:AX62" si="176">ROUNDUP(AR$10*$AO62,0)</f>
        <v>9572</v>
      </c>
      <c r="AS62" s="1">
        <f t="shared" si="176"/>
        <v>28716</v>
      </c>
      <c r="AT62" s="1">
        <f t="shared" si="176"/>
        <v>17230</v>
      </c>
      <c r="AU62" s="1">
        <f t="shared" si="176"/>
        <v>4786</v>
      </c>
      <c r="AV62" s="1">
        <f t="shared" si="176"/>
        <v>1436</v>
      </c>
      <c r="AW62" s="1">
        <f t="shared" si="176"/>
        <v>38288</v>
      </c>
      <c r="AX62" s="1">
        <f t="shared" si="176"/>
        <v>86148</v>
      </c>
      <c r="AY62" s="1">
        <f t="shared" si="24"/>
        <v>777767</v>
      </c>
      <c r="AZ62" s="1">
        <f t="shared" si="25"/>
        <v>388884</v>
      </c>
      <c r="BB62" s="1">
        <f t="shared" si="26"/>
        <v>51</v>
      </c>
    </row>
    <row r="63" spans="2:54">
      <c r="B63" s="4">
        <v>52</v>
      </c>
      <c r="C63" s="1">
        <f t="shared" ref="C63:I63" si="177">C$5+(C$6-C$5)*(POWER(C$7,$B63-1)-1)/(POWER(C$7,$B$3-1)-1)</f>
        <v>4108.90255616876</v>
      </c>
      <c r="D63" s="1">
        <f t="shared" si="177"/>
        <v>1232.67076685063</v>
      </c>
      <c r="E63" s="1">
        <f t="shared" si="177"/>
        <v>821.780511233752</v>
      </c>
      <c r="F63" s="1">
        <f t="shared" si="177"/>
        <v>10402.284952326</v>
      </c>
      <c r="G63" s="1">
        <f t="shared" si="177"/>
        <v>3120.68548569779</v>
      </c>
      <c r="H63" s="1">
        <f t="shared" si="177"/>
        <v>2080.4569904652</v>
      </c>
      <c r="I63" s="1">
        <f t="shared" si="177"/>
        <v>0</v>
      </c>
      <c r="J63" s="1">
        <f>标准模型!$I$65/1*$B63/$B$3</f>
        <v>0.3744</v>
      </c>
      <c r="K63" s="1">
        <f>J63*标准模型!$J$63</f>
        <v>0.3744</v>
      </c>
      <c r="L63" s="1">
        <f t="shared" si="1"/>
        <v>14511.1875084948</v>
      </c>
      <c r="M63" s="1">
        <f t="shared" si="2"/>
        <v>4814.8681876573</v>
      </c>
      <c r="N63" s="1">
        <f t="shared" si="3"/>
        <v>3209.91212510486</v>
      </c>
      <c r="O63" s="1">
        <f t="shared" ref="O63:W63" si="178">O$5+(O$6-O$5)*(POWER(O$7,$B63-1)-1)/(POWER(O$7,$B$3-1)-1)</f>
        <v>0.551113652065761</v>
      </c>
      <c r="P63" s="1">
        <f t="shared" si="178"/>
        <v>0.028559171524848</v>
      </c>
      <c r="Q63" s="1">
        <f t="shared" si="178"/>
        <v>0.303112508636169</v>
      </c>
      <c r="R63" s="1">
        <f t="shared" si="178"/>
        <v>1.0204454608263</v>
      </c>
      <c r="S63" s="1">
        <f t="shared" si="178"/>
        <v>0.11644774768549</v>
      </c>
      <c r="T63" s="1">
        <f t="shared" si="178"/>
        <v>2.19934324305647</v>
      </c>
      <c r="U63" s="1">
        <f t="shared" si="178"/>
        <v>1</v>
      </c>
      <c r="V63" s="1">
        <f t="shared" si="178"/>
        <v>1.05574446156916</v>
      </c>
      <c r="W63" s="1">
        <f t="shared" si="178"/>
        <v>1.16356368661044</v>
      </c>
      <c r="X63" s="1">
        <f t="shared" si="5"/>
        <v>0.784401679928059</v>
      </c>
      <c r="Y63" s="1">
        <f t="shared" si="6"/>
        <v>1.26115798916676</v>
      </c>
      <c r="Z63" s="1">
        <f t="shared" si="7"/>
        <v>18300.9000586351</v>
      </c>
      <c r="AA63" s="1">
        <f t="shared" si="8"/>
        <v>4814.8681876573</v>
      </c>
      <c r="AB63" s="1">
        <f t="shared" si="9"/>
        <v>3209.91212510486</v>
      </c>
      <c r="AC63" s="1">
        <f>AB63/(AB63+战斗公式!$M$27)</f>
        <v>0.117968485541094</v>
      </c>
      <c r="AD63" s="1">
        <f t="shared" si="10"/>
        <v>20748.5784335744</v>
      </c>
      <c r="AE63" s="1">
        <f t="shared" si="11"/>
        <v>5.49370619369379</v>
      </c>
      <c r="AF63" s="1">
        <f t="shared" si="12"/>
        <v>3.41691715421928</v>
      </c>
      <c r="AG63" s="1">
        <f t="shared" si="13"/>
        <v>2.30582298370993</v>
      </c>
      <c r="AH63" s="1">
        <f t="shared" si="14"/>
        <v>0.425451903196849</v>
      </c>
      <c r="AI63" s="1">
        <f t="shared" si="15"/>
        <v>1.08406238548165</v>
      </c>
      <c r="AJ63" s="1">
        <f t="shared" si="16"/>
        <v>1.28548749107246</v>
      </c>
      <c r="AK63" s="1">
        <f t="shared" si="17"/>
        <v>1</v>
      </c>
      <c r="AL63" s="10">
        <f t="shared" si="18"/>
        <v>12350</v>
      </c>
      <c r="AM63" s="10">
        <f t="shared" si="19"/>
        <v>2048</v>
      </c>
      <c r="AN63" s="10">
        <f t="shared" si="20"/>
        <v>3210</v>
      </c>
      <c r="AO63" s="1">
        <f t="shared" si="21"/>
        <v>9874</v>
      </c>
      <c r="AP63" s="1">
        <f t="shared" si="22"/>
        <v>2048</v>
      </c>
      <c r="AR63" s="1">
        <f t="shared" ref="AR63:AX63" si="179">ROUNDUP(AR$10*$AO63,0)</f>
        <v>9874</v>
      </c>
      <c r="AS63" s="1">
        <f t="shared" si="179"/>
        <v>29622</v>
      </c>
      <c r="AT63" s="1">
        <f t="shared" si="179"/>
        <v>17774</v>
      </c>
      <c r="AU63" s="1">
        <f t="shared" si="179"/>
        <v>4937</v>
      </c>
      <c r="AV63" s="1">
        <f t="shared" si="179"/>
        <v>1482</v>
      </c>
      <c r="AW63" s="1">
        <f t="shared" si="179"/>
        <v>39496</v>
      </c>
      <c r="AX63" s="1">
        <f t="shared" si="179"/>
        <v>88866</v>
      </c>
      <c r="AY63" s="1">
        <f t="shared" si="24"/>
        <v>803290</v>
      </c>
      <c r="AZ63" s="1">
        <f t="shared" si="25"/>
        <v>401645</v>
      </c>
      <c r="BB63" s="1">
        <f t="shared" si="26"/>
        <v>52</v>
      </c>
    </row>
    <row r="64" spans="2:54">
      <c r="B64" s="4">
        <v>53</v>
      </c>
      <c r="C64" s="1">
        <f t="shared" ref="C64:I64" si="180">C$5+(C$6-C$5)*(POWER(C$7,$B64-1)-1)/(POWER(C$7,$B$3-1)-1)</f>
        <v>4187.91819890263</v>
      </c>
      <c r="D64" s="1">
        <f t="shared" si="180"/>
        <v>1256.37545967079</v>
      </c>
      <c r="E64" s="1">
        <f t="shared" si="180"/>
        <v>837.583639780525</v>
      </c>
      <c r="F64" s="1">
        <f t="shared" si="180"/>
        <v>10602.3245541839</v>
      </c>
      <c r="G64" s="1">
        <f t="shared" si="180"/>
        <v>3180.69736625516</v>
      </c>
      <c r="H64" s="1">
        <f t="shared" si="180"/>
        <v>2120.46491083677</v>
      </c>
      <c r="I64" s="1">
        <f t="shared" si="180"/>
        <v>0</v>
      </c>
      <c r="J64" s="1">
        <f>标准模型!$I$65/1*$B64/$B$3</f>
        <v>0.3816</v>
      </c>
      <c r="K64" s="1">
        <f>J64*标准模型!$J$63</f>
        <v>0.3816</v>
      </c>
      <c r="L64" s="1">
        <f t="shared" si="1"/>
        <v>14790.2427530865</v>
      </c>
      <c r="M64" s="1">
        <f t="shared" si="2"/>
        <v>4916.50570133632</v>
      </c>
      <c r="N64" s="1">
        <f t="shared" si="3"/>
        <v>3277.67046755755</v>
      </c>
      <c r="O64" s="1">
        <f t="shared" ref="O64:W64" si="181">O$5+(O$6-O$5)*(POWER(O$7,$B64-1)-1)/(POWER(O$7,$B$3-1)-1)</f>
        <v>0.552115854479879</v>
      </c>
      <c r="P64" s="1">
        <f t="shared" si="181"/>
        <v>0.0291412674076649</v>
      </c>
      <c r="Q64" s="1">
        <f t="shared" si="181"/>
        <v>0.303663719963934</v>
      </c>
      <c r="R64" s="1">
        <f t="shared" si="181"/>
        <v>1.02084634179195</v>
      </c>
      <c r="S64" s="1">
        <f t="shared" si="181"/>
        <v>0.117750610823843</v>
      </c>
      <c r="T64" s="1">
        <f t="shared" si="181"/>
        <v>2.20325183247153</v>
      </c>
      <c r="U64" s="1">
        <f t="shared" si="181"/>
        <v>1</v>
      </c>
      <c r="V64" s="1">
        <f t="shared" si="181"/>
        <v>1.05683746180883</v>
      </c>
      <c r="W64" s="1">
        <f t="shared" si="181"/>
        <v>1.16677073433561</v>
      </c>
      <c r="X64" s="1">
        <f t="shared" si="5"/>
        <v>0.790423726952324</v>
      </c>
      <c r="Y64" s="1">
        <f t="shared" si="6"/>
        <v>1.27175749110516</v>
      </c>
      <c r="Z64" s="1">
        <f t="shared" si="7"/>
        <v>18809.6020165015</v>
      </c>
      <c r="AA64" s="1">
        <f t="shared" si="8"/>
        <v>4916.50570133632</v>
      </c>
      <c r="AB64" s="1">
        <f t="shared" si="9"/>
        <v>3277.67046755755</v>
      </c>
      <c r="AC64" s="1">
        <f>AB64/(AB64+战斗公式!$M$27)</f>
        <v>0.120159471515569</v>
      </c>
      <c r="AD64" s="1">
        <f t="shared" si="10"/>
        <v>21378.4218930015</v>
      </c>
      <c r="AE64" s="1">
        <f t="shared" si="11"/>
        <v>5.50122145210413</v>
      </c>
      <c r="AF64" s="1">
        <f t="shared" si="12"/>
        <v>3.41912353052747</v>
      </c>
      <c r="AG64" s="1">
        <f t="shared" si="13"/>
        <v>2.32674696556316</v>
      </c>
      <c r="AH64" s="1">
        <f t="shared" si="14"/>
        <v>0.428041785545213</v>
      </c>
      <c r="AI64" s="1">
        <f t="shared" si="15"/>
        <v>1.07985926620712</v>
      </c>
      <c r="AJ64" s="1">
        <f t="shared" si="16"/>
        <v>1.27977707144362</v>
      </c>
      <c r="AK64" s="1">
        <f t="shared" si="17"/>
        <v>1</v>
      </c>
      <c r="AL64" s="10">
        <f t="shared" si="18"/>
        <v>12800</v>
      </c>
      <c r="AM64" s="10">
        <f t="shared" si="19"/>
        <v>2104</v>
      </c>
      <c r="AN64" s="10">
        <f t="shared" si="20"/>
        <v>3278</v>
      </c>
      <c r="AO64" s="1">
        <f t="shared" si="21"/>
        <v>10181</v>
      </c>
      <c r="AP64" s="1">
        <f t="shared" si="22"/>
        <v>2104</v>
      </c>
      <c r="AR64" s="1">
        <f t="shared" ref="AR64:AX64" si="182">ROUNDUP(AR$10*$AO64,0)</f>
        <v>10181</v>
      </c>
      <c r="AS64" s="1">
        <f t="shared" si="182"/>
        <v>30543</v>
      </c>
      <c r="AT64" s="1">
        <f t="shared" si="182"/>
        <v>18326</v>
      </c>
      <c r="AU64" s="1">
        <f t="shared" si="182"/>
        <v>5091</v>
      </c>
      <c r="AV64" s="1">
        <f t="shared" si="182"/>
        <v>1528</v>
      </c>
      <c r="AW64" s="1">
        <f t="shared" si="182"/>
        <v>40724</v>
      </c>
      <c r="AX64" s="1">
        <f t="shared" si="182"/>
        <v>91629</v>
      </c>
      <c r="AY64" s="1">
        <f t="shared" si="24"/>
        <v>829332</v>
      </c>
      <c r="AZ64" s="1">
        <f t="shared" si="25"/>
        <v>414666</v>
      </c>
      <c r="BB64" s="1">
        <f t="shared" si="26"/>
        <v>53</v>
      </c>
    </row>
    <row r="65" spans="2:54">
      <c r="B65" s="4">
        <v>54</v>
      </c>
      <c r="C65" s="1">
        <f t="shared" ref="C65:I65" si="183">C$5+(C$6-C$5)*(POWER(C$7,$B65-1)-1)/(POWER(C$7,$B$3-1)-1)</f>
        <v>4266.93376261857</v>
      </c>
      <c r="D65" s="1">
        <f t="shared" si="183"/>
        <v>1280.08012878557</v>
      </c>
      <c r="E65" s="1">
        <f t="shared" si="183"/>
        <v>853.386752523714</v>
      </c>
      <c r="F65" s="1">
        <f t="shared" si="183"/>
        <v>10802.3639559964</v>
      </c>
      <c r="G65" s="1">
        <f t="shared" si="183"/>
        <v>3240.70918679891</v>
      </c>
      <c r="H65" s="1">
        <f t="shared" si="183"/>
        <v>2160.47279119928</v>
      </c>
      <c r="I65" s="1">
        <f t="shared" si="183"/>
        <v>0</v>
      </c>
      <c r="J65" s="1">
        <f>标准模型!$I$65/1*$B65/$B$3</f>
        <v>0.3888</v>
      </c>
      <c r="K65" s="1">
        <f>J65*标准模型!$J$63</f>
        <v>0.3888</v>
      </c>
      <c r="L65" s="1">
        <f t="shared" si="1"/>
        <v>15069.297718615</v>
      </c>
      <c r="M65" s="1">
        <f t="shared" si="2"/>
        <v>5018.48446965631</v>
      </c>
      <c r="N65" s="1">
        <f t="shared" si="3"/>
        <v>3345.65631310421</v>
      </c>
      <c r="O65" s="1">
        <f t="shared" ref="O65:W65" si="184">O$5+(O$6-O$5)*(POWER(O$7,$B65-1)-1)/(POWER(O$7,$B$3-1)-1)</f>
        <v>0.553118055891765</v>
      </c>
      <c r="P65" s="1">
        <f t="shared" si="184"/>
        <v>0.029724236434306</v>
      </c>
      <c r="Q65" s="1">
        <f t="shared" si="184"/>
        <v>0.304214930740471</v>
      </c>
      <c r="R65" s="1">
        <f t="shared" si="184"/>
        <v>1.02124722235671</v>
      </c>
      <c r="S65" s="1">
        <f t="shared" si="184"/>
        <v>0.119053472659295</v>
      </c>
      <c r="T65" s="1">
        <f t="shared" si="184"/>
        <v>2.20716041797789</v>
      </c>
      <c r="U65" s="1">
        <f t="shared" si="184"/>
        <v>1</v>
      </c>
      <c r="V65" s="1">
        <f t="shared" si="184"/>
        <v>1.05793046095546</v>
      </c>
      <c r="W65" s="1">
        <f t="shared" si="184"/>
        <v>1.16997777885365</v>
      </c>
      <c r="X65" s="1">
        <f t="shared" si="5"/>
        <v>0.79648572936751</v>
      </c>
      <c r="Y65" s="1">
        <f t="shared" si="6"/>
        <v>1.28243599710361</v>
      </c>
      <c r="Z65" s="1">
        <f t="shared" si="7"/>
        <v>19325.4098454232</v>
      </c>
      <c r="AA65" s="1">
        <f t="shared" si="8"/>
        <v>5018.48446965631</v>
      </c>
      <c r="AB65" s="1">
        <f t="shared" si="9"/>
        <v>3345.65631310421</v>
      </c>
      <c r="AC65" s="1">
        <f>AB65/(AB65+战斗公式!$M$27)</f>
        <v>0.122346901270055</v>
      </c>
      <c r="AD65" s="1">
        <f t="shared" si="10"/>
        <v>22019.4173226176</v>
      </c>
      <c r="AE65" s="1">
        <f t="shared" si="11"/>
        <v>5.50877759511022</v>
      </c>
      <c r="AF65" s="1">
        <f t="shared" si="12"/>
        <v>3.42135026673793</v>
      </c>
      <c r="AG65" s="1">
        <f t="shared" si="13"/>
        <v>2.34751401755249</v>
      </c>
      <c r="AH65" s="1">
        <f t="shared" si="14"/>
        <v>0.430636847658274</v>
      </c>
      <c r="AI65" s="1">
        <f t="shared" si="15"/>
        <v>1.07586630289633</v>
      </c>
      <c r="AJ65" s="1">
        <f t="shared" si="16"/>
        <v>1.27418086020736</v>
      </c>
      <c r="AK65" s="1">
        <f t="shared" si="17"/>
        <v>1</v>
      </c>
      <c r="AL65" s="10">
        <f t="shared" si="18"/>
        <v>13260</v>
      </c>
      <c r="AM65" s="10">
        <f t="shared" si="19"/>
        <v>2161</v>
      </c>
      <c r="AN65" s="10">
        <f t="shared" si="20"/>
        <v>3346</v>
      </c>
      <c r="AO65" s="1">
        <f t="shared" si="21"/>
        <v>10493</v>
      </c>
      <c r="AP65" s="1">
        <f t="shared" si="22"/>
        <v>2161</v>
      </c>
      <c r="AR65" s="1">
        <f t="shared" ref="AR65:AX65" si="185">ROUNDUP(AR$10*$AO65,0)</f>
        <v>10493</v>
      </c>
      <c r="AS65" s="1">
        <f t="shared" si="185"/>
        <v>31479</v>
      </c>
      <c r="AT65" s="1">
        <f t="shared" si="185"/>
        <v>18888</v>
      </c>
      <c r="AU65" s="1">
        <f t="shared" si="185"/>
        <v>5247</v>
      </c>
      <c r="AV65" s="1">
        <f t="shared" si="185"/>
        <v>1574</v>
      </c>
      <c r="AW65" s="1">
        <f t="shared" si="185"/>
        <v>41972</v>
      </c>
      <c r="AX65" s="1">
        <f t="shared" si="185"/>
        <v>94437</v>
      </c>
      <c r="AY65" s="1">
        <f t="shared" si="24"/>
        <v>855959</v>
      </c>
      <c r="AZ65" s="1">
        <f t="shared" si="25"/>
        <v>427980</v>
      </c>
      <c r="BB65" s="1">
        <f t="shared" si="26"/>
        <v>54</v>
      </c>
    </row>
    <row r="66" spans="2:54">
      <c r="B66" s="4">
        <v>55</v>
      </c>
      <c r="C66" s="1">
        <f t="shared" ref="C66:I66" si="186">C$5+(C$6-C$5)*(POWER(C$7,$B66-1)-1)/(POWER(C$7,$B$3-1)-1)</f>
        <v>4345.94924732536</v>
      </c>
      <c r="D66" s="1">
        <f t="shared" si="186"/>
        <v>1303.78477419761</v>
      </c>
      <c r="E66" s="1">
        <f t="shared" si="186"/>
        <v>869.189849465072</v>
      </c>
      <c r="F66" s="1">
        <f t="shared" si="186"/>
        <v>11002.4031577857</v>
      </c>
      <c r="G66" s="1">
        <f t="shared" si="186"/>
        <v>3300.72094733572</v>
      </c>
      <c r="H66" s="1">
        <f t="shared" si="186"/>
        <v>2200.48063155714</v>
      </c>
      <c r="I66" s="1">
        <f t="shared" si="186"/>
        <v>0</v>
      </c>
      <c r="J66" s="1">
        <f>标准模型!$I$65/1*$B66/$B$3</f>
        <v>0.396</v>
      </c>
      <c r="K66" s="1">
        <f>J66*标准模型!$J$63</f>
        <v>0.396</v>
      </c>
      <c r="L66" s="1">
        <f t="shared" si="1"/>
        <v>15348.3524051111</v>
      </c>
      <c r="M66" s="1">
        <f t="shared" si="2"/>
        <v>5120.80449211558</v>
      </c>
      <c r="N66" s="1">
        <f t="shared" si="3"/>
        <v>3413.86966141038</v>
      </c>
      <c r="O66" s="1">
        <f t="shared" ref="O66:W66" si="187">O$5+(O$6-O$5)*(POWER(O$7,$B66-1)-1)/(POWER(O$7,$B$3-1)-1)</f>
        <v>0.554120256301532</v>
      </c>
      <c r="P66" s="1">
        <f t="shared" si="187"/>
        <v>0.0303080799144871</v>
      </c>
      <c r="Q66" s="1">
        <f t="shared" si="187"/>
        <v>0.304766140965842</v>
      </c>
      <c r="R66" s="1">
        <f t="shared" si="187"/>
        <v>1.02164810252061</v>
      </c>
      <c r="S66" s="1">
        <f t="shared" si="187"/>
        <v>0.120356333191991</v>
      </c>
      <c r="T66" s="1">
        <f t="shared" si="187"/>
        <v>2.21106899957597</v>
      </c>
      <c r="U66" s="1">
        <f t="shared" si="187"/>
        <v>1</v>
      </c>
      <c r="V66" s="1">
        <f t="shared" si="187"/>
        <v>1.05902345900919</v>
      </c>
      <c r="W66" s="1">
        <f t="shared" si="187"/>
        <v>1.1731848201649</v>
      </c>
      <c r="X66" s="1">
        <f t="shared" si="5"/>
        <v>0.802587926241255</v>
      </c>
      <c r="Y66" s="1">
        <f t="shared" si="6"/>
        <v>1.29319404048203</v>
      </c>
      <c r="Z66" s="1">
        <f t="shared" si="7"/>
        <v>19848.3978615077</v>
      </c>
      <c r="AA66" s="1">
        <f t="shared" si="8"/>
        <v>5120.80449211558</v>
      </c>
      <c r="AB66" s="1">
        <f t="shared" si="9"/>
        <v>3413.86966141038</v>
      </c>
      <c r="AC66" s="1">
        <f>AB66/(AB66+战斗公式!$M$27)</f>
        <v>0.124530746792598</v>
      </c>
      <c r="AD66" s="1">
        <f t="shared" si="10"/>
        <v>22671.7246651329</v>
      </c>
      <c r="AE66" s="1">
        <f t="shared" si="11"/>
        <v>5.51637448937421</v>
      </c>
      <c r="AF66" s="1">
        <f t="shared" si="12"/>
        <v>3.42359725084004</v>
      </c>
      <c r="AG66" s="1">
        <f t="shared" si="13"/>
        <v>2.3681253166519</v>
      </c>
      <c r="AH66" s="1">
        <f t="shared" si="14"/>
        <v>0.43323709989556</v>
      </c>
      <c r="AI66" s="1">
        <f t="shared" si="15"/>
        <v>1.07207298775107</v>
      </c>
      <c r="AJ66" s="1">
        <f t="shared" si="16"/>
        <v>1.26869657319583</v>
      </c>
      <c r="AK66" s="1">
        <f t="shared" si="17"/>
        <v>1</v>
      </c>
      <c r="AL66" s="10">
        <f t="shared" si="18"/>
        <v>13729</v>
      </c>
      <c r="AM66" s="10">
        <f t="shared" si="19"/>
        <v>2219</v>
      </c>
      <c r="AN66" s="10">
        <f t="shared" si="20"/>
        <v>3414</v>
      </c>
      <c r="AO66" s="1">
        <f t="shared" si="21"/>
        <v>10810</v>
      </c>
      <c r="AP66" s="1">
        <f t="shared" si="22"/>
        <v>2219</v>
      </c>
      <c r="AR66" s="1">
        <f t="shared" ref="AR66:AX66" si="188">ROUNDUP(AR$10*$AO66,0)</f>
        <v>10810</v>
      </c>
      <c r="AS66" s="1">
        <f t="shared" si="188"/>
        <v>32430</v>
      </c>
      <c r="AT66" s="1">
        <f t="shared" si="188"/>
        <v>19458</v>
      </c>
      <c r="AU66" s="1">
        <f t="shared" si="188"/>
        <v>5405</v>
      </c>
      <c r="AV66" s="1">
        <f t="shared" si="188"/>
        <v>1622</v>
      </c>
      <c r="AW66" s="1">
        <f t="shared" si="188"/>
        <v>43240</v>
      </c>
      <c r="AX66" s="1">
        <f t="shared" si="188"/>
        <v>97290</v>
      </c>
      <c r="AY66" s="1">
        <f t="shared" si="24"/>
        <v>883109</v>
      </c>
      <c r="AZ66" s="1">
        <f t="shared" si="25"/>
        <v>441555</v>
      </c>
      <c r="BB66" s="1">
        <f t="shared" si="26"/>
        <v>55</v>
      </c>
    </row>
    <row r="67" spans="2:54">
      <c r="B67" s="4">
        <v>56</v>
      </c>
      <c r="C67" s="1">
        <f t="shared" ref="C67:I67" si="189">C$5+(C$6-C$5)*(POWER(C$7,$B67-1)-1)/(POWER(C$7,$B$3-1)-1)</f>
        <v>4424.96465301422</v>
      </c>
      <c r="D67" s="1">
        <f t="shared" si="189"/>
        <v>1327.48939590427</v>
      </c>
      <c r="E67" s="1">
        <f t="shared" si="189"/>
        <v>884.992930602845</v>
      </c>
      <c r="F67" s="1">
        <f t="shared" si="189"/>
        <v>11202.4421595297</v>
      </c>
      <c r="G67" s="1">
        <f t="shared" si="189"/>
        <v>3360.73264785891</v>
      </c>
      <c r="H67" s="1">
        <f t="shared" si="189"/>
        <v>2240.48843190594</v>
      </c>
      <c r="I67" s="1">
        <f t="shared" si="189"/>
        <v>0</v>
      </c>
      <c r="J67" s="1">
        <f>标准模型!$I$65/1*$B67/$B$3</f>
        <v>0.4032</v>
      </c>
      <c r="K67" s="1">
        <f>J67*标准模型!$J$63</f>
        <v>0.4032</v>
      </c>
      <c r="L67" s="1">
        <f t="shared" si="1"/>
        <v>15627.4068125439</v>
      </c>
      <c r="M67" s="1">
        <f t="shared" si="2"/>
        <v>5223.46576819177</v>
      </c>
      <c r="N67" s="1">
        <f t="shared" si="3"/>
        <v>3482.31051212785</v>
      </c>
      <c r="O67" s="1">
        <f t="shared" ref="O67:W67" si="190">O$5+(O$6-O$5)*(POWER(O$7,$B67-1)-1)/(POWER(O$7,$B$3-1)-1)</f>
        <v>0.555122455709067</v>
      </c>
      <c r="P67" s="1">
        <f t="shared" si="190"/>
        <v>0.0308927991598884</v>
      </c>
      <c r="Q67" s="1">
        <f t="shared" si="190"/>
        <v>0.305317350639987</v>
      </c>
      <c r="R67" s="1">
        <f t="shared" si="190"/>
        <v>1.02204898228363</v>
      </c>
      <c r="S67" s="1">
        <f t="shared" si="190"/>
        <v>0.121659192421787</v>
      </c>
      <c r="T67" s="1">
        <f t="shared" si="190"/>
        <v>2.21497757726536</v>
      </c>
      <c r="U67" s="1">
        <f t="shared" si="190"/>
        <v>1</v>
      </c>
      <c r="V67" s="1">
        <f t="shared" si="190"/>
        <v>1.06011645596989</v>
      </c>
      <c r="W67" s="1">
        <f t="shared" si="190"/>
        <v>1.17639185826901</v>
      </c>
      <c r="X67" s="1">
        <f t="shared" si="5"/>
        <v>0.808730557752916</v>
      </c>
      <c r="Y67" s="1">
        <f t="shared" si="6"/>
        <v>1.30403215752872</v>
      </c>
      <c r="Z67" s="1">
        <f t="shared" si="7"/>
        <v>20378.6410223407</v>
      </c>
      <c r="AA67" s="1">
        <f t="shared" si="8"/>
        <v>5223.46576819177</v>
      </c>
      <c r="AB67" s="1">
        <f t="shared" si="9"/>
        <v>3482.31051212785</v>
      </c>
      <c r="AC67" s="1">
        <f>AB67/(AB67+战斗公式!$M$27)</f>
        <v>0.126710980526587</v>
      </c>
      <c r="AD67" s="1">
        <f t="shared" si="10"/>
        <v>23335.5058496315</v>
      </c>
      <c r="AE67" s="1">
        <f t="shared" si="11"/>
        <v>5.52401200266895</v>
      </c>
      <c r="AF67" s="1">
        <f t="shared" si="12"/>
        <v>3.42586437164136</v>
      </c>
      <c r="AG67" s="1">
        <f t="shared" si="13"/>
        <v>2.38858203100806</v>
      </c>
      <c r="AH67" s="1">
        <f t="shared" si="14"/>
        <v>0.435842552637322</v>
      </c>
      <c r="AI67" s="1">
        <f t="shared" si="15"/>
        <v>1.06846933836308</v>
      </c>
      <c r="AJ67" s="1">
        <f t="shared" si="16"/>
        <v>1.26332197192452</v>
      </c>
      <c r="AK67" s="1">
        <f t="shared" si="17"/>
        <v>1</v>
      </c>
      <c r="AL67" s="10">
        <f t="shared" si="18"/>
        <v>14208</v>
      </c>
      <c r="AM67" s="10">
        <f t="shared" si="19"/>
        <v>2277</v>
      </c>
      <c r="AN67" s="10">
        <f t="shared" si="20"/>
        <v>3482</v>
      </c>
      <c r="AO67" s="1">
        <f t="shared" si="21"/>
        <v>11132</v>
      </c>
      <c r="AP67" s="1">
        <f t="shared" si="22"/>
        <v>2277</v>
      </c>
      <c r="AR67" s="1">
        <f t="shared" ref="AR67:AX67" si="191">ROUNDUP(AR$10*$AO67,0)</f>
        <v>11132</v>
      </c>
      <c r="AS67" s="1">
        <f t="shared" si="191"/>
        <v>33396</v>
      </c>
      <c r="AT67" s="1">
        <f t="shared" si="191"/>
        <v>20038</v>
      </c>
      <c r="AU67" s="1">
        <f t="shared" si="191"/>
        <v>5566</v>
      </c>
      <c r="AV67" s="1">
        <f t="shared" si="191"/>
        <v>1670</v>
      </c>
      <c r="AW67" s="1">
        <f t="shared" si="191"/>
        <v>44528</v>
      </c>
      <c r="AX67" s="1">
        <f t="shared" si="191"/>
        <v>100188</v>
      </c>
      <c r="AY67" s="1">
        <f t="shared" si="24"/>
        <v>910849</v>
      </c>
      <c r="AZ67" s="1">
        <f t="shared" si="25"/>
        <v>455424</v>
      </c>
      <c r="BB67" s="1">
        <f t="shared" si="26"/>
        <v>56</v>
      </c>
    </row>
    <row r="68" spans="2:54">
      <c r="B68" s="4">
        <v>57</v>
      </c>
      <c r="C68" s="1">
        <f t="shared" ref="C68:I68" si="192">C$5+(C$6-C$5)*(POWER(C$7,$B68-1)-1)/(POWER(C$7,$B$3-1)-1)</f>
        <v>4503.97997969394</v>
      </c>
      <c r="D68" s="1">
        <f t="shared" si="192"/>
        <v>1351.19399390818</v>
      </c>
      <c r="E68" s="1">
        <f t="shared" si="192"/>
        <v>900.795995938788</v>
      </c>
      <c r="F68" s="1">
        <f t="shared" si="192"/>
        <v>11402.4809612505</v>
      </c>
      <c r="G68" s="1">
        <f t="shared" si="192"/>
        <v>3420.74428837514</v>
      </c>
      <c r="H68" s="1">
        <f t="shared" si="192"/>
        <v>2280.4961922501</v>
      </c>
      <c r="I68" s="1">
        <f t="shared" si="192"/>
        <v>0</v>
      </c>
      <c r="J68" s="1">
        <f>标准模型!$I$65/1*$B68/$B$3</f>
        <v>0.4104</v>
      </c>
      <c r="K68" s="1">
        <f>J68*标准模型!$J$63</f>
        <v>0.4104</v>
      </c>
      <c r="L68" s="1">
        <f t="shared" si="1"/>
        <v>15906.4609409444</v>
      </c>
      <c r="M68" s="1">
        <f t="shared" si="2"/>
        <v>5326.46829738324</v>
      </c>
      <c r="N68" s="1">
        <f t="shared" si="3"/>
        <v>3550.97886492216</v>
      </c>
      <c r="O68" s="1">
        <f t="shared" ref="O68:W68" si="193">O$5+(O$6-O$5)*(POWER(O$7,$B68-1)-1)/(POWER(O$7,$B$3-1)-1)</f>
        <v>0.556124654114481</v>
      </c>
      <c r="P68" s="1">
        <f t="shared" si="193"/>
        <v>0.0314783954841579</v>
      </c>
      <c r="Q68" s="1">
        <f t="shared" si="193"/>
        <v>0.305868559762965</v>
      </c>
      <c r="R68" s="1">
        <f t="shared" si="193"/>
        <v>1.02244986164579</v>
      </c>
      <c r="S68" s="1">
        <f t="shared" si="193"/>
        <v>0.122962050348826</v>
      </c>
      <c r="T68" s="1">
        <f t="shared" si="193"/>
        <v>2.21888615104648</v>
      </c>
      <c r="U68" s="1">
        <f t="shared" si="193"/>
        <v>1</v>
      </c>
      <c r="V68" s="1">
        <f t="shared" si="193"/>
        <v>1.06120945183767</v>
      </c>
      <c r="W68" s="1">
        <f t="shared" si="193"/>
        <v>1.17959889316634</v>
      </c>
      <c r="X68" s="1">
        <f t="shared" si="5"/>
        <v>0.814913865198749</v>
      </c>
      <c r="Y68" s="1">
        <f t="shared" si="6"/>
        <v>1.3149508875161</v>
      </c>
      <c r="Z68" s="1">
        <f t="shared" si="7"/>
        <v>20916.2149315351</v>
      </c>
      <c r="AA68" s="1">
        <f t="shared" si="8"/>
        <v>5326.46829738324</v>
      </c>
      <c r="AB68" s="1">
        <f t="shared" si="9"/>
        <v>3550.97886492216</v>
      </c>
      <c r="AC68" s="1">
        <f>AB68/(AB68+战斗公式!$M$27)</f>
        <v>0.128887575368266</v>
      </c>
      <c r="AD68" s="1">
        <f t="shared" si="10"/>
        <v>24010.9248130372</v>
      </c>
      <c r="AE68" s="1">
        <f t="shared" si="11"/>
        <v>5.53169000387327</v>
      </c>
      <c r="AF68" s="1">
        <f t="shared" si="12"/>
        <v>3.42815151876342</v>
      </c>
      <c r="AG68" s="1">
        <f t="shared" si="13"/>
        <v>2.40888532000655</v>
      </c>
      <c r="AH68" s="1">
        <f t="shared" si="14"/>
        <v>0.438453216284567</v>
      </c>
      <c r="AI68" s="1">
        <f t="shared" si="15"/>
        <v>1.06504587144448</v>
      </c>
      <c r="AJ68" s="1">
        <f t="shared" si="16"/>
        <v>1.25805486267864</v>
      </c>
      <c r="AK68" s="1">
        <f t="shared" si="17"/>
        <v>1</v>
      </c>
      <c r="AL68" s="10">
        <f t="shared" si="18"/>
        <v>14697</v>
      </c>
      <c r="AM68" s="10">
        <f t="shared" si="19"/>
        <v>2335</v>
      </c>
      <c r="AN68" s="10">
        <f t="shared" si="20"/>
        <v>3551</v>
      </c>
      <c r="AO68" s="1">
        <f t="shared" si="21"/>
        <v>11459</v>
      </c>
      <c r="AP68" s="1">
        <f t="shared" si="22"/>
        <v>2335</v>
      </c>
      <c r="AR68" s="1">
        <f t="shared" ref="AR68:AX68" si="194">ROUNDUP(AR$10*$AO68,0)</f>
        <v>11459</v>
      </c>
      <c r="AS68" s="1">
        <f t="shared" si="194"/>
        <v>34377</v>
      </c>
      <c r="AT68" s="1">
        <f t="shared" si="194"/>
        <v>20627</v>
      </c>
      <c r="AU68" s="1">
        <f t="shared" si="194"/>
        <v>5730</v>
      </c>
      <c r="AV68" s="1">
        <f t="shared" si="194"/>
        <v>1719</v>
      </c>
      <c r="AW68" s="1">
        <f t="shared" si="194"/>
        <v>45836</v>
      </c>
      <c r="AX68" s="1">
        <f t="shared" si="194"/>
        <v>103131</v>
      </c>
      <c r="AY68" s="1">
        <f t="shared" si="24"/>
        <v>939179</v>
      </c>
      <c r="AZ68" s="1">
        <f t="shared" si="25"/>
        <v>469589</v>
      </c>
      <c r="BB68" s="1">
        <f t="shared" si="26"/>
        <v>57</v>
      </c>
    </row>
    <row r="69" spans="2:54">
      <c r="B69" s="4">
        <v>58</v>
      </c>
      <c r="C69" s="1">
        <f t="shared" ref="C69:I69" si="195">C$5+(C$6-C$5)*(POWER(C$7,$B69-1)-1)/(POWER(C$7,$B$3-1)-1)</f>
        <v>4582.99522735573</v>
      </c>
      <c r="D69" s="1">
        <f t="shared" si="195"/>
        <v>1374.89856820672</v>
      </c>
      <c r="E69" s="1">
        <f t="shared" si="195"/>
        <v>916.599045471146</v>
      </c>
      <c r="F69" s="1">
        <f t="shared" si="195"/>
        <v>11602.5195629259</v>
      </c>
      <c r="G69" s="1">
        <f t="shared" si="195"/>
        <v>3480.75586887777</v>
      </c>
      <c r="H69" s="1">
        <f t="shared" si="195"/>
        <v>2320.50391258518</v>
      </c>
      <c r="I69" s="1">
        <f t="shared" si="195"/>
        <v>0</v>
      </c>
      <c r="J69" s="1">
        <f>标准模型!$I$65/1*$B69/$B$3</f>
        <v>0.4176</v>
      </c>
      <c r="K69" s="1">
        <f>J69*标准模型!$J$63</f>
        <v>0.4176</v>
      </c>
      <c r="L69" s="1">
        <f t="shared" si="1"/>
        <v>16185.5147902816</v>
      </c>
      <c r="M69" s="1">
        <f t="shared" si="2"/>
        <v>5429.81207916761</v>
      </c>
      <c r="N69" s="1">
        <f t="shared" si="3"/>
        <v>3619.87471944508</v>
      </c>
      <c r="O69" s="1">
        <f t="shared" ref="O69:W69" si="196">O$5+(O$6-O$5)*(POWER(O$7,$B69-1)-1)/(POWER(O$7,$B$3-1)-1)</f>
        <v>0.557126851517665</v>
      </c>
      <c r="P69" s="1">
        <f t="shared" si="196"/>
        <v>0.0320648702029137</v>
      </c>
      <c r="Q69" s="1">
        <f t="shared" si="196"/>
        <v>0.306419768334716</v>
      </c>
      <c r="R69" s="1">
        <f t="shared" si="196"/>
        <v>1.02285074060707</v>
      </c>
      <c r="S69" s="1">
        <f t="shared" si="196"/>
        <v>0.124264906972964</v>
      </c>
      <c r="T69" s="1">
        <f t="shared" si="196"/>
        <v>2.22279472091889</v>
      </c>
      <c r="U69" s="1">
        <f t="shared" si="196"/>
        <v>1</v>
      </c>
      <c r="V69" s="1">
        <f t="shared" si="196"/>
        <v>1.06230244661243</v>
      </c>
      <c r="W69" s="1">
        <f t="shared" si="196"/>
        <v>1.18280592485653</v>
      </c>
      <c r="X69" s="1">
        <f t="shared" si="5"/>
        <v>0.821138090992393</v>
      </c>
      <c r="Y69" s="1">
        <f t="shared" si="6"/>
        <v>1.32595077270771</v>
      </c>
      <c r="Z69" s="1">
        <f t="shared" si="7"/>
        <v>21461.1958428461</v>
      </c>
      <c r="AA69" s="1">
        <f t="shared" si="8"/>
        <v>5429.81207916761</v>
      </c>
      <c r="AB69" s="1">
        <f t="shared" si="9"/>
        <v>3619.87471944508</v>
      </c>
      <c r="AC69" s="1">
        <f>AB69/(AB69+战斗公式!$M$27)</f>
        <v>0.131060504662485</v>
      </c>
      <c r="AD69" s="1">
        <f t="shared" si="10"/>
        <v>24698.1475212035</v>
      </c>
      <c r="AE69" s="1">
        <f t="shared" si="11"/>
        <v>5.53940836295171</v>
      </c>
      <c r="AF69" s="1">
        <f t="shared" si="12"/>
        <v>3.43045858263106</v>
      </c>
      <c r="AG69" s="1">
        <f t="shared" si="13"/>
        <v>2.42903633433756</v>
      </c>
      <c r="AH69" s="1">
        <f t="shared" si="14"/>
        <v>0.441069101259106</v>
      </c>
      <c r="AI69" s="1">
        <f t="shared" si="15"/>
        <v>1.06179357787182</v>
      </c>
      <c r="AJ69" s="1">
        <f t="shared" si="16"/>
        <v>1.25289309561768</v>
      </c>
      <c r="AK69" s="1">
        <f t="shared" si="17"/>
        <v>1</v>
      </c>
      <c r="AL69" s="10">
        <f t="shared" si="18"/>
        <v>15196</v>
      </c>
      <c r="AM69" s="10">
        <f t="shared" si="19"/>
        <v>2395</v>
      </c>
      <c r="AN69" s="10">
        <f t="shared" si="20"/>
        <v>3620</v>
      </c>
      <c r="AO69" s="1">
        <f t="shared" si="21"/>
        <v>11791</v>
      </c>
      <c r="AP69" s="1">
        <f t="shared" si="22"/>
        <v>2395</v>
      </c>
      <c r="AR69" s="1">
        <f t="shared" ref="AR69:AX69" si="197">ROUNDUP(AR$10*$AO69,0)</f>
        <v>11791</v>
      </c>
      <c r="AS69" s="1">
        <f t="shared" si="197"/>
        <v>35373</v>
      </c>
      <c r="AT69" s="1">
        <f t="shared" si="197"/>
        <v>21224</v>
      </c>
      <c r="AU69" s="1">
        <f t="shared" si="197"/>
        <v>5896</v>
      </c>
      <c r="AV69" s="1">
        <f t="shared" si="197"/>
        <v>1769</v>
      </c>
      <c r="AW69" s="1">
        <f t="shared" si="197"/>
        <v>47164</v>
      </c>
      <c r="AX69" s="1">
        <f t="shared" si="197"/>
        <v>106119</v>
      </c>
      <c r="AY69" s="1">
        <f t="shared" si="24"/>
        <v>968101</v>
      </c>
      <c r="AZ69" s="1">
        <f t="shared" si="25"/>
        <v>484050</v>
      </c>
      <c r="BB69" s="1">
        <f t="shared" si="26"/>
        <v>58</v>
      </c>
    </row>
    <row r="70" spans="2:54">
      <c r="B70" s="4">
        <v>59</v>
      </c>
      <c r="C70" s="1">
        <f t="shared" ref="C70:I70" si="198">C$5+(C$6-C$5)*(POWER(C$7,$B70-1)-1)/(POWER(C$7,$B$3-1)-1)</f>
        <v>4662.01039599959</v>
      </c>
      <c r="D70" s="1">
        <f t="shared" si="198"/>
        <v>1398.60311879988</v>
      </c>
      <c r="E70" s="1">
        <f t="shared" si="198"/>
        <v>932.402079199919</v>
      </c>
      <c r="F70" s="1">
        <f t="shared" si="198"/>
        <v>11802.5579645559</v>
      </c>
      <c r="G70" s="1">
        <f t="shared" si="198"/>
        <v>3540.76738936678</v>
      </c>
      <c r="H70" s="1">
        <f t="shared" si="198"/>
        <v>2360.51159291119</v>
      </c>
      <c r="I70" s="1">
        <f t="shared" si="198"/>
        <v>0</v>
      </c>
      <c r="J70" s="1">
        <f>标准模型!$I$65/1*$B70/$B$3</f>
        <v>0.4248</v>
      </c>
      <c r="K70" s="1">
        <f>J70*标准模型!$J$63</f>
        <v>0.4248</v>
      </c>
      <c r="L70" s="1">
        <f t="shared" si="1"/>
        <v>16464.5683605555</v>
      </c>
      <c r="M70" s="1">
        <f t="shared" si="2"/>
        <v>5533.49711303285</v>
      </c>
      <c r="N70" s="1">
        <f t="shared" si="3"/>
        <v>3688.99807535523</v>
      </c>
      <c r="O70" s="1">
        <f t="shared" ref="O70:W70" si="199">O$5+(O$6-O$5)*(POWER(O$7,$B70-1)-1)/(POWER(O$7,$B$3-1)-1)</f>
        <v>0.558129047918617</v>
      </c>
      <c r="P70" s="1">
        <f t="shared" si="199"/>
        <v>0.0326522246337477</v>
      </c>
      <c r="Q70" s="1">
        <f t="shared" si="199"/>
        <v>0.306970976355239</v>
      </c>
      <c r="R70" s="1">
        <f t="shared" si="199"/>
        <v>1.02325161916745</v>
      </c>
      <c r="S70" s="1">
        <f t="shared" si="199"/>
        <v>0.125567762294202</v>
      </c>
      <c r="T70" s="1">
        <f t="shared" si="199"/>
        <v>2.22670328688261</v>
      </c>
      <c r="U70" s="1">
        <f t="shared" si="199"/>
        <v>1</v>
      </c>
      <c r="V70" s="1">
        <f t="shared" si="199"/>
        <v>1.06339544029415</v>
      </c>
      <c r="W70" s="1">
        <f t="shared" si="199"/>
        <v>1.18601295333957</v>
      </c>
      <c r="X70" s="1">
        <f t="shared" si="5"/>
        <v>0.827403478669507</v>
      </c>
      <c r="Y70" s="1">
        <f t="shared" si="6"/>
        <v>1.33703235837297</v>
      </c>
      <c r="Z70" s="1">
        <f t="shared" si="7"/>
        <v>22013.6606647064</v>
      </c>
      <c r="AA70" s="1">
        <f t="shared" si="8"/>
        <v>5533.49711303285</v>
      </c>
      <c r="AB70" s="1">
        <f t="shared" si="9"/>
        <v>3688.99807535523</v>
      </c>
      <c r="AC70" s="1">
        <f>AB70/(AB70+战斗公式!$M$27)</f>
        <v>0.133229742199977</v>
      </c>
      <c r="AD70" s="1">
        <f t="shared" si="10"/>
        <v>25397.3419906908</v>
      </c>
      <c r="AE70" s="1">
        <f t="shared" si="11"/>
        <v>5.54716695094831</v>
      </c>
      <c r="AF70" s="1">
        <f t="shared" si="12"/>
        <v>3.43278545446755</v>
      </c>
      <c r="AG70" s="1">
        <f t="shared" si="13"/>
        <v>2.44903621606108</v>
      </c>
      <c r="AH70" s="1">
        <f t="shared" si="14"/>
        <v>0.443690218003594</v>
      </c>
      <c r="AI70" s="1">
        <f t="shared" si="15"/>
        <v>1.05870389897779</v>
      </c>
      <c r="AJ70" s="1">
        <f t="shared" si="16"/>
        <v>1.24783456389794</v>
      </c>
      <c r="AK70" s="1">
        <f t="shared" si="17"/>
        <v>1</v>
      </c>
      <c r="AL70" s="10">
        <f t="shared" si="18"/>
        <v>15705</v>
      </c>
      <c r="AM70" s="10">
        <f t="shared" si="19"/>
        <v>2455</v>
      </c>
      <c r="AN70" s="10">
        <f t="shared" si="20"/>
        <v>3689</v>
      </c>
      <c r="AO70" s="1">
        <f t="shared" si="21"/>
        <v>12128</v>
      </c>
      <c r="AP70" s="1">
        <f t="shared" si="22"/>
        <v>2455</v>
      </c>
      <c r="AR70" s="1">
        <f t="shared" ref="AR70:AX70" si="200">ROUNDUP(AR$10*$AO70,0)</f>
        <v>12128</v>
      </c>
      <c r="AS70" s="1">
        <f t="shared" si="200"/>
        <v>36384</v>
      </c>
      <c r="AT70" s="1">
        <f t="shared" si="200"/>
        <v>21831</v>
      </c>
      <c r="AU70" s="1">
        <f t="shared" si="200"/>
        <v>6064</v>
      </c>
      <c r="AV70" s="1">
        <f t="shared" si="200"/>
        <v>1820</v>
      </c>
      <c r="AW70" s="1">
        <f t="shared" si="200"/>
        <v>48512</v>
      </c>
      <c r="AX70" s="1">
        <f t="shared" si="200"/>
        <v>109152</v>
      </c>
      <c r="AY70" s="1">
        <f t="shared" si="24"/>
        <v>997617</v>
      </c>
      <c r="AZ70" s="1">
        <f t="shared" si="25"/>
        <v>498808</v>
      </c>
      <c r="BB70" s="1">
        <f t="shared" si="26"/>
        <v>59</v>
      </c>
    </row>
    <row r="71" spans="2:54">
      <c r="B71" s="4">
        <v>60</v>
      </c>
      <c r="C71" s="1">
        <f t="shared" ref="C71:I71" si="201">C$5+(C$6-C$5)*(POWER(C$7,$B71-1)-1)/(POWER(C$7,$B$3-1)-1)</f>
        <v>4741.02548562553</v>
      </c>
      <c r="D71" s="1">
        <f t="shared" si="201"/>
        <v>1422.30764568766</v>
      </c>
      <c r="E71" s="1">
        <f t="shared" si="201"/>
        <v>948.205097125107</v>
      </c>
      <c r="F71" s="1">
        <f t="shared" si="201"/>
        <v>12002.5961661406</v>
      </c>
      <c r="G71" s="1">
        <f t="shared" si="201"/>
        <v>3600.77884984218</v>
      </c>
      <c r="H71" s="1">
        <f t="shared" si="201"/>
        <v>2400.51923322812</v>
      </c>
      <c r="I71" s="1">
        <f t="shared" si="201"/>
        <v>0</v>
      </c>
      <c r="J71" s="1">
        <f>标准模型!$I$65/1*$B71/$B$3</f>
        <v>0.432</v>
      </c>
      <c r="K71" s="1">
        <f>J71*标准模型!$J$63</f>
        <v>0.432</v>
      </c>
      <c r="L71" s="1">
        <f t="shared" si="1"/>
        <v>16743.6216517661</v>
      </c>
      <c r="M71" s="1">
        <f t="shared" si="2"/>
        <v>5637.52339846691</v>
      </c>
      <c r="N71" s="1">
        <f t="shared" si="3"/>
        <v>3758.34893231127</v>
      </c>
      <c r="O71" s="1">
        <f t="shared" ref="O71:W71" si="202">O$5+(O$6-O$5)*(POWER(O$7,$B71-1)-1)/(POWER(O$7,$B$3-1)-1)</f>
        <v>0.559131243317338</v>
      </c>
      <c r="P71" s="1">
        <f t="shared" si="202"/>
        <v>0.033240460096228</v>
      </c>
      <c r="Q71" s="1">
        <f t="shared" si="202"/>
        <v>0.307522183824536</v>
      </c>
      <c r="R71" s="1">
        <f t="shared" si="202"/>
        <v>1.02365249732693</v>
      </c>
      <c r="S71" s="1">
        <f t="shared" si="202"/>
        <v>0.126870616312539</v>
      </c>
      <c r="T71" s="1">
        <f t="shared" si="202"/>
        <v>2.23061184893762</v>
      </c>
      <c r="U71" s="1">
        <f t="shared" si="202"/>
        <v>1</v>
      </c>
      <c r="V71" s="1">
        <f t="shared" si="202"/>
        <v>1.06448843288284</v>
      </c>
      <c r="W71" s="1">
        <f t="shared" si="202"/>
        <v>1.18921997861548</v>
      </c>
      <c r="X71" s="1">
        <f t="shared" si="5"/>
        <v>0.833710272890064</v>
      </c>
      <c r="Y71" s="1">
        <f t="shared" si="6"/>
        <v>1.34819619279754</v>
      </c>
      <c r="Z71" s="1">
        <f t="shared" si="7"/>
        <v>22573.6869645536</v>
      </c>
      <c r="AA71" s="1">
        <f t="shared" si="8"/>
        <v>5637.52339846691</v>
      </c>
      <c r="AB71" s="1">
        <f t="shared" si="9"/>
        <v>3758.34893231127</v>
      </c>
      <c r="AC71" s="1">
        <f>AB71/(AB71+战斗公式!$M$27)</f>
        <v>0.135395262213758</v>
      </c>
      <c r="AD71" s="1">
        <f t="shared" si="10"/>
        <v>26108.6783104519</v>
      </c>
      <c r="AE71" s="1">
        <f t="shared" si="11"/>
        <v>5.55496563997258</v>
      </c>
      <c r="AF71" s="1">
        <f t="shared" si="12"/>
        <v>3.43513202628657</v>
      </c>
      <c r="AG71" s="1">
        <f t="shared" si="13"/>
        <v>2.46888609867167</v>
      </c>
      <c r="AH71" s="1">
        <f t="shared" si="14"/>
        <v>0.446316576981572</v>
      </c>
      <c r="AI71" s="1">
        <f t="shared" si="15"/>
        <v>1.05576870402846</v>
      </c>
      <c r="AJ71" s="1">
        <f t="shared" si="16"/>
        <v>1.24287720281259</v>
      </c>
      <c r="AK71" s="1">
        <f t="shared" si="17"/>
        <v>1</v>
      </c>
      <c r="AL71" s="10">
        <f t="shared" si="18"/>
        <v>16224</v>
      </c>
      <c r="AM71" s="10">
        <f t="shared" si="19"/>
        <v>2516</v>
      </c>
      <c r="AN71" s="10">
        <f t="shared" si="20"/>
        <v>3758</v>
      </c>
      <c r="AO71" s="1">
        <f t="shared" si="21"/>
        <v>12470</v>
      </c>
      <c r="AP71" s="1">
        <f t="shared" si="22"/>
        <v>2516</v>
      </c>
      <c r="AR71" s="1">
        <f t="shared" ref="AR71:AX71" si="203">ROUNDUP(AR$10*$AO71,0)</f>
        <v>12470</v>
      </c>
      <c r="AS71" s="1">
        <f t="shared" si="203"/>
        <v>37410</v>
      </c>
      <c r="AT71" s="1">
        <f t="shared" si="203"/>
        <v>22446</v>
      </c>
      <c r="AU71" s="1">
        <f t="shared" si="203"/>
        <v>6235</v>
      </c>
      <c r="AV71" s="1">
        <f t="shared" si="203"/>
        <v>1871</v>
      </c>
      <c r="AW71" s="1">
        <f t="shared" si="203"/>
        <v>49880</v>
      </c>
      <c r="AX71" s="1">
        <f t="shared" si="203"/>
        <v>112230</v>
      </c>
      <c r="AY71" s="1">
        <f t="shared" si="24"/>
        <v>1027727</v>
      </c>
      <c r="AZ71" s="1">
        <f t="shared" si="25"/>
        <v>513864</v>
      </c>
      <c r="BB71" s="1">
        <f t="shared" si="26"/>
        <v>60</v>
      </c>
    </row>
    <row r="72" spans="2:54">
      <c r="B72" s="4">
        <v>61</v>
      </c>
      <c r="C72" s="1">
        <f t="shared" ref="C72:I72" si="204">C$5+(C$6-C$5)*(POWER(C$7,$B72-1)-1)/(POWER(C$7,$B$3-1)-1)</f>
        <v>4820.04049624232</v>
      </c>
      <c r="D72" s="1">
        <f t="shared" si="204"/>
        <v>1446.0121488727</v>
      </c>
      <c r="E72" s="1">
        <f t="shared" si="204"/>
        <v>964.008099248465</v>
      </c>
      <c r="F72" s="1">
        <f t="shared" si="204"/>
        <v>12202.6341677021</v>
      </c>
      <c r="G72" s="1">
        <f t="shared" si="204"/>
        <v>3660.79025031062</v>
      </c>
      <c r="H72" s="1">
        <f t="shared" si="204"/>
        <v>2440.52683354042</v>
      </c>
      <c r="I72" s="1">
        <f t="shared" si="204"/>
        <v>0</v>
      </c>
      <c r="J72" s="1">
        <f>标准模型!$I$65/1*$B72/$B$3</f>
        <v>0.4392</v>
      </c>
      <c r="K72" s="1">
        <f>J72*标准模型!$J$63</f>
        <v>0.4392</v>
      </c>
      <c r="L72" s="1">
        <f t="shared" si="1"/>
        <v>17022.6746639444</v>
      </c>
      <c r="M72" s="1">
        <f t="shared" si="2"/>
        <v>5741.89093496821</v>
      </c>
      <c r="N72" s="1">
        <f t="shared" si="3"/>
        <v>3827.92728997881</v>
      </c>
      <c r="O72" s="1">
        <f t="shared" ref="O72:W72" si="205">O$5+(O$6-O$5)*(POWER(O$7,$B72-1)-1)/(POWER(O$7,$B$3-1)-1)</f>
        <v>0.560133437713938</v>
      </c>
      <c r="P72" s="1">
        <f t="shared" si="205"/>
        <v>0.0338295779119019</v>
      </c>
      <c r="Q72" s="1">
        <f t="shared" si="205"/>
        <v>0.308073390742666</v>
      </c>
      <c r="R72" s="1">
        <f t="shared" si="205"/>
        <v>1.02405337508558</v>
      </c>
      <c r="S72" s="1">
        <f t="shared" si="205"/>
        <v>0.12817346902812</v>
      </c>
      <c r="T72" s="1">
        <f t="shared" si="205"/>
        <v>2.23452040708436</v>
      </c>
      <c r="U72" s="1">
        <f t="shared" si="205"/>
        <v>1</v>
      </c>
      <c r="V72" s="1">
        <f t="shared" si="205"/>
        <v>1.06558142437862</v>
      </c>
      <c r="W72" s="1">
        <f t="shared" si="205"/>
        <v>1.1924270006846</v>
      </c>
      <c r="X72" s="1">
        <f t="shared" si="5"/>
        <v>0.840058719441798</v>
      </c>
      <c r="Y72" s="1">
        <f t="shared" si="6"/>
        <v>1.35944282729598</v>
      </c>
      <c r="Z72" s="1">
        <f t="shared" si="7"/>
        <v>23141.3529732923</v>
      </c>
      <c r="AA72" s="1">
        <f t="shared" si="8"/>
        <v>5741.89093496821</v>
      </c>
      <c r="AB72" s="1">
        <f t="shared" si="9"/>
        <v>3827.92728997881</v>
      </c>
      <c r="AC72" s="1">
        <f>AB72/(AB72+战斗公式!$M$27)</f>
        <v>0.137557039375954</v>
      </c>
      <c r="AD72" s="1">
        <f t="shared" si="10"/>
        <v>26832.3286638547</v>
      </c>
      <c r="AE72" s="1">
        <f t="shared" si="11"/>
        <v>5.56280430318948</v>
      </c>
      <c r="AF72" s="1">
        <f t="shared" si="12"/>
        <v>3.43749819088585</v>
      </c>
      <c r="AG72" s="1">
        <f t="shared" si="13"/>
        <v>2.48858710716269</v>
      </c>
      <c r="AH72" s="1">
        <f t="shared" si="14"/>
        <v>0.448948188677505</v>
      </c>
      <c r="AI72" s="1">
        <f t="shared" si="15"/>
        <v>1.05298026882659</v>
      </c>
      <c r="AJ72" s="1">
        <f t="shared" si="16"/>
        <v>1.23801898894895</v>
      </c>
      <c r="AK72" s="1">
        <f t="shared" si="17"/>
        <v>1</v>
      </c>
      <c r="AL72" s="10">
        <f t="shared" si="18"/>
        <v>16753</v>
      </c>
      <c r="AM72" s="10">
        <f t="shared" si="19"/>
        <v>2578</v>
      </c>
      <c r="AN72" s="10">
        <f t="shared" si="20"/>
        <v>3828</v>
      </c>
      <c r="AO72" s="1">
        <f t="shared" si="21"/>
        <v>12817</v>
      </c>
      <c r="AP72" s="1">
        <f t="shared" si="22"/>
        <v>2578</v>
      </c>
      <c r="AR72" s="1">
        <f t="shared" ref="AR72:AX72" si="206">ROUNDUP(AR$10*$AO72,0)</f>
        <v>12817</v>
      </c>
      <c r="AS72" s="1">
        <f t="shared" si="206"/>
        <v>38451</v>
      </c>
      <c r="AT72" s="1">
        <f t="shared" si="206"/>
        <v>23071</v>
      </c>
      <c r="AU72" s="1">
        <f t="shared" si="206"/>
        <v>6409</v>
      </c>
      <c r="AV72" s="1">
        <f t="shared" si="206"/>
        <v>1923</v>
      </c>
      <c r="AW72" s="1">
        <f t="shared" si="206"/>
        <v>51268</v>
      </c>
      <c r="AX72" s="1">
        <f t="shared" si="206"/>
        <v>115353</v>
      </c>
      <c r="AY72" s="1">
        <f t="shared" si="24"/>
        <v>1058435</v>
      </c>
      <c r="AZ72" s="1">
        <f t="shared" si="25"/>
        <v>529217</v>
      </c>
      <c r="BB72" s="1">
        <f t="shared" si="26"/>
        <v>61</v>
      </c>
    </row>
    <row r="73" spans="2:54">
      <c r="B73" s="4">
        <v>62</v>
      </c>
      <c r="C73" s="1">
        <f t="shared" ref="C73:I73" si="207">C$5+(C$6-C$5)*(POWER(C$7,$B73-1)-1)/(POWER(C$7,$B$3-1)-1)</f>
        <v>4899.05542784119</v>
      </c>
      <c r="D73" s="1">
        <f t="shared" si="207"/>
        <v>1469.71662835236</v>
      </c>
      <c r="E73" s="1">
        <f t="shared" si="207"/>
        <v>979.811085568237</v>
      </c>
      <c r="F73" s="1">
        <f t="shared" si="207"/>
        <v>12402.6719692182</v>
      </c>
      <c r="G73" s="1">
        <f t="shared" si="207"/>
        <v>3720.80159076546</v>
      </c>
      <c r="H73" s="1">
        <f t="shared" si="207"/>
        <v>2480.53439384364</v>
      </c>
      <c r="I73" s="1">
        <f t="shared" si="207"/>
        <v>0</v>
      </c>
      <c r="J73" s="1">
        <f>标准模型!$I$65/1*$B73/$B$3</f>
        <v>0.4464</v>
      </c>
      <c r="K73" s="1">
        <f>J73*标准模型!$J$63</f>
        <v>0.4464</v>
      </c>
      <c r="L73" s="1">
        <f t="shared" si="1"/>
        <v>17301.7273970594</v>
      </c>
      <c r="M73" s="1">
        <f t="shared" si="2"/>
        <v>5846.59972201431</v>
      </c>
      <c r="N73" s="1">
        <f t="shared" si="3"/>
        <v>3897.73314800954</v>
      </c>
      <c r="O73" s="1">
        <f t="shared" ref="O73:W73" si="208">O$5+(O$6-O$5)*(POWER(O$7,$B73-1)-1)/(POWER(O$7,$B$3-1)-1)</f>
        <v>0.561135631108308</v>
      </c>
      <c r="P73" s="1">
        <f t="shared" si="208"/>
        <v>0.0344195794042994</v>
      </c>
      <c r="Q73" s="1">
        <f t="shared" si="208"/>
        <v>0.308624597109569</v>
      </c>
      <c r="R73" s="1">
        <f t="shared" si="208"/>
        <v>1.02445425244332</v>
      </c>
      <c r="S73" s="1">
        <f t="shared" si="208"/>
        <v>0.1294763204408</v>
      </c>
      <c r="T73" s="1">
        <f t="shared" si="208"/>
        <v>2.2384289613224</v>
      </c>
      <c r="U73" s="1">
        <f t="shared" si="208"/>
        <v>1</v>
      </c>
      <c r="V73" s="1">
        <f t="shared" si="208"/>
        <v>1.06667441478137</v>
      </c>
      <c r="W73" s="1">
        <f t="shared" si="208"/>
        <v>1.19563401954658</v>
      </c>
      <c r="X73" s="1">
        <f t="shared" si="5"/>
        <v>0.846449065241288</v>
      </c>
      <c r="Y73" s="1">
        <f t="shared" si="6"/>
        <v>1.37077281621981</v>
      </c>
      <c r="Z73" s="1">
        <f t="shared" si="7"/>
        <v>23716.7375895345</v>
      </c>
      <c r="AA73" s="1">
        <f t="shared" si="8"/>
        <v>5846.59972201431</v>
      </c>
      <c r="AB73" s="1">
        <f t="shared" si="9"/>
        <v>3897.73314800954</v>
      </c>
      <c r="AC73" s="1">
        <f>AB73/(AB73+战斗公式!$M$27)</f>
        <v>0.139715048793763</v>
      </c>
      <c r="AD73" s="1">
        <f t="shared" si="10"/>
        <v>27568.4673505917</v>
      </c>
      <c r="AE73" s="1">
        <f t="shared" si="11"/>
        <v>5.57068281480171</v>
      </c>
      <c r="AF73" s="1">
        <f t="shared" si="12"/>
        <v>3.43988384183751</v>
      </c>
      <c r="AG73" s="1">
        <f t="shared" si="13"/>
        <v>2.50814035809002</v>
      </c>
      <c r="AH73" s="1">
        <f t="shared" si="14"/>
        <v>0.45158506359683</v>
      </c>
      <c r="AI73" s="1">
        <f t="shared" si="15"/>
        <v>1.05033125538482</v>
      </c>
      <c r="AJ73" s="1">
        <f t="shared" si="16"/>
        <v>1.23325793936258</v>
      </c>
      <c r="AK73" s="1">
        <f t="shared" si="17"/>
        <v>1</v>
      </c>
      <c r="AL73" s="10">
        <f t="shared" si="18"/>
        <v>17293</v>
      </c>
      <c r="AM73" s="10">
        <f t="shared" si="19"/>
        <v>2640</v>
      </c>
      <c r="AN73" s="10">
        <f t="shared" si="20"/>
        <v>3898</v>
      </c>
      <c r="AO73" s="1">
        <f t="shared" si="21"/>
        <v>13169</v>
      </c>
      <c r="AP73" s="1">
        <f t="shared" si="22"/>
        <v>2640</v>
      </c>
      <c r="AR73" s="1">
        <f t="shared" ref="AR73:AX73" si="209">ROUNDUP(AR$10*$AO73,0)</f>
        <v>13169</v>
      </c>
      <c r="AS73" s="1">
        <f t="shared" si="209"/>
        <v>39507</v>
      </c>
      <c r="AT73" s="1">
        <f t="shared" si="209"/>
        <v>23705</v>
      </c>
      <c r="AU73" s="1">
        <f t="shared" si="209"/>
        <v>6585</v>
      </c>
      <c r="AV73" s="1">
        <f t="shared" si="209"/>
        <v>1976</v>
      </c>
      <c r="AW73" s="1">
        <f t="shared" si="209"/>
        <v>52676</v>
      </c>
      <c r="AX73" s="1">
        <f t="shared" si="209"/>
        <v>118521</v>
      </c>
      <c r="AY73" s="1">
        <f t="shared" si="24"/>
        <v>1089803</v>
      </c>
      <c r="AZ73" s="1">
        <f t="shared" si="25"/>
        <v>544901</v>
      </c>
      <c r="BB73" s="1">
        <f t="shared" si="26"/>
        <v>62</v>
      </c>
    </row>
    <row r="74" spans="2:54">
      <c r="B74" s="4">
        <v>63</v>
      </c>
      <c r="C74" s="1">
        <f t="shared" ref="C74:I74" si="210">C$5+(C$6-C$5)*(POWER(C$7,$B74-1)-1)/(POWER(C$7,$B$3-1)-1)</f>
        <v>4978.07028042213</v>
      </c>
      <c r="D74" s="1">
        <f t="shared" si="210"/>
        <v>1493.42108412664</v>
      </c>
      <c r="E74" s="1">
        <f t="shared" si="210"/>
        <v>995.614056084425</v>
      </c>
      <c r="F74" s="1">
        <f t="shared" si="210"/>
        <v>12602.7095706889</v>
      </c>
      <c r="G74" s="1">
        <f t="shared" si="210"/>
        <v>3780.81287120668</v>
      </c>
      <c r="H74" s="1">
        <f t="shared" si="210"/>
        <v>2520.54191413779</v>
      </c>
      <c r="I74" s="1">
        <f t="shared" si="210"/>
        <v>0</v>
      </c>
      <c r="J74" s="1">
        <f>标准模型!$I$65/1*$B74/$B$3</f>
        <v>0.4536</v>
      </c>
      <c r="K74" s="1">
        <f>J74*标准模型!$J$63</f>
        <v>0.4536</v>
      </c>
      <c r="L74" s="1">
        <f t="shared" si="1"/>
        <v>17580.779851111</v>
      </c>
      <c r="M74" s="1">
        <f t="shared" si="2"/>
        <v>5951.64975909316</v>
      </c>
      <c r="N74" s="1">
        <f t="shared" si="3"/>
        <v>3967.76650606211</v>
      </c>
      <c r="O74" s="1">
        <f t="shared" ref="O74:W74" si="211">O$5+(O$6-O$5)*(POWER(O$7,$B74-1)-1)/(POWER(O$7,$B$3-1)-1)</f>
        <v>0.562137823500445</v>
      </c>
      <c r="P74" s="1">
        <f t="shared" si="211"/>
        <v>0.0350104658989355</v>
      </c>
      <c r="Q74" s="1">
        <f t="shared" si="211"/>
        <v>0.309175802925245</v>
      </c>
      <c r="R74" s="1">
        <f t="shared" si="211"/>
        <v>1.02485512940018</v>
      </c>
      <c r="S74" s="1">
        <f t="shared" si="211"/>
        <v>0.130779170550579</v>
      </c>
      <c r="T74" s="1">
        <f t="shared" si="211"/>
        <v>2.24233751165174</v>
      </c>
      <c r="U74" s="1">
        <f t="shared" si="211"/>
        <v>1</v>
      </c>
      <c r="V74" s="1">
        <f t="shared" si="211"/>
        <v>1.06776740409108</v>
      </c>
      <c r="W74" s="1">
        <f t="shared" si="211"/>
        <v>1.19884103520143</v>
      </c>
      <c r="X74" s="1">
        <f t="shared" si="5"/>
        <v>0.852881558338649</v>
      </c>
      <c r="Y74" s="1">
        <f t="shared" si="6"/>
        <v>1.3821867169725</v>
      </c>
      <c r="Z74" s="1">
        <f t="shared" si="7"/>
        <v>24299.9203842235</v>
      </c>
      <c r="AA74" s="1">
        <f t="shared" si="8"/>
        <v>5951.64975909316</v>
      </c>
      <c r="AB74" s="1">
        <f t="shared" si="9"/>
        <v>3967.76650606211</v>
      </c>
      <c r="AC74" s="1">
        <f>AB74/(AB74+战斗公式!$M$27)</f>
        <v>0.141869266006711</v>
      </c>
      <c r="AD74" s="1">
        <f t="shared" si="10"/>
        <v>28317.2708092443</v>
      </c>
      <c r="AE74" s="1">
        <f t="shared" si="11"/>
        <v>5.57860105004425</v>
      </c>
      <c r="AF74" s="1">
        <f t="shared" si="12"/>
        <v>3.44228887348366</v>
      </c>
      <c r="AG74" s="1">
        <f t="shared" si="13"/>
        <v>2.5275469596354</v>
      </c>
      <c r="AH74" s="1">
        <f t="shared" si="14"/>
        <v>0.454227212265994</v>
      </c>
      <c r="AI74" s="1">
        <f t="shared" si="15"/>
        <v>1.04781469261514</v>
      </c>
      <c r="AJ74" s="1">
        <f t="shared" si="16"/>
        <v>1.22859211076794</v>
      </c>
      <c r="AK74" s="1">
        <f t="shared" si="17"/>
        <v>1</v>
      </c>
      <c r="AL74" s="10">
        <f t="shared" si="18"/>
        <v>17843</v>
      </c>
      <c r="AM74" s="10">
        <f t="shared" si="19"/>
        <v>2703</v>
      </c>
      <c r="AN74" s="10">
        <f t="shared" si="20"/>
        <v>3968</v>
      </c>
      <c r="AO74" s="1">
        <f t="shared" si="21"/>
        <v>13527</v>
      </c>
      <c r="AP74" s="1">
        <f t="shared" si="22"/>
        <v>2703</v>
      </c>
      <c r="AR74" s="1">
        <f t="shared" ref="AR74:AX74" si="212">ROUNDUP(AR$10*$AO74,0)</f>
        <v>13527</v>
      </c>
      <c r="AS74" s="1">
        <f t="shared" si="212"/>
        <v>40581</v>
      </c>
      <c r="AT74" s="1">
        <f t="shared" si="212"/>
        <v>24349</v>
      </c>
      <c r="AU74" s="1">
        <f t="shared" si="212"/>
        <v>6764</v>
      </c>
      <c r="AV74" s="1">
        <f t="shared" si="212"/>
        <v>2030</v>
      </c>
      <c r="AW74" s="1">
        <f t="shared" si="212"/>
        <v>54108</v>
      </c>
      <c r="AX74" s="1">
        <f t="shared" si="212"/>
        <v>121743</v>
      </c>
      <c r="AY74" s="1">
        <f t="shared" si="24"/>
        <v>1121769</v>
      </c>
      <c r="AZ74" s="1">
        <f t="shared" si="25"/>
        <v>560885</v>
      </c>
      <c r="BB74" s="1">
        <f t="shared" si="26"/>
        <v>63</v>
      </c>
    </row>
    <row r="75" spans="2:54">
      <c r="B75" s="4">
        <v>64</v>
      </c>
      <c r="C75" s="1">
        <f t="shared" ref="C75:I75" si="213">C$5+(C$6-C$5)*(POWER(C$7,$B75-1)-1)/(POWER(C$7,$B$3-1)-1)</f>
        <v>5057.08505399391</v>
      </c>
      <c r="D75" s="1">
        <f t="shared" si="213"/>
        <v>1517.12551619817</v>
      </c>
      <c r="E75" s="1">
        <f t="shared" si="213"/>
        <v>1011.41701079878</v>
      </c>
      <c r="F75" s="1">
        <f t="shared" si="213"/>
        <v>12802.7469721365</v>
      </c>
      <c r="G75" s="1">
        <f t="shared" si="213"/>
        <v>3840.82409164095</v>
      </c>
      <c r="H75" s="1">
        <f t="shared" si="213"/>
        <v>2560.5493944273</v>
      </c>
      <c r="I75" s="1">
        <f t="shared" si="213"/>
        <v>0</v>
      </c>
      <c r="J75" s="1">
        <f>标准模型!$I$65/1*$B75/$B$3</f>
        <v>0.4608</v>
      </c>
      <c r="K75" s="1">
        <f>J75*标准模型!$J$63</f>
        <v>0.4608</v>
      </c>
      <c r="L75" s="1">
        <f t="shared" si="1"/>
        <v>17859.8320261304</v>
      </c>
      <c r="M75" s="1">
        <f t="shared" si="2"/>
        <v>6057.04104570324</v>
      </c>
      <c r="N75" s="1">
        <f t="shared" si="3"/>
        <v>4038.02736380216</v>
      </c>
      <c r="O75" s="1">
        <f t="shared" ref="O75:W75" si="214">O$5+(O$6-O$5)*(POWER(O$7,$B75-1)-1)/(POWER(O$7,$B$3-1)-1)</f>
        <v>0.563140014890463</v>
      </c>
      <c r="P75" s="1">
        <f t="shared" si="214"/>
        <v>0.0356022387233134</v>
      </c>
      <c r="Q75" s="1">
        <f t="shared" si="214"/>
        <v>0.309727008189755</v>
      </c>
      <c r="R75" s="1">
        <f t="shared" si="214"/>
        <v>1.02525600595619</v>
      </c>
      <c r="S75" s="1">
        <f t="shared" si="214"/>
        <v>0.132082019357602</v>
      </c>
      <c r="T75" s="1">
        <f t="shared" si="214"/>
        <v>2.24624605807281</v>
      </c>
      <c r="U75" s="1">
        <f t="shared" si="214"/>
        <v>1</v>
      </c>
      <c r="V75" s="1">
        <f t="shared" si="214"/>
        <v>1.06886039230789</v>
      </c>
      <c r="W75" s="1">
        <f t="shared" si="214"/>
        <v>1.20204804764948</v>
      </c>
      <c r="X75" s="1">
        <f t="shared" si="5"/>
        <v>0.859356447920428</v>
      </c>
      <c r="Y75" s="1">
        <f t="shared" si="6"/>
        <v>1.39368509002108</v>
      </c>
      <c r="Z75" s="1">
        <f t="shared" si="7"/>
        <v>24890.9816050989</v>
      </c>
      <c r="AA75" s="1">
        <f t="shared" si="8"/>
        <v>6057.04104570324</v>
      </c>
      <c r="AB75" s="1">
        <f t="shared" si="9"/>
        <v>4038.02736380216</v>
      </c>
      <c r="AC75" s="1">
        <f>AB75/(AB75+战斗公式!$M$27)</f>
        <v>0.144019666983254</v>
      </c>
      <c r="AD75" s="1">
        <f t="shared" si="10"/>
        <v>29078.9176398191</v>
      </c>
      <c r="AE75" s="1">
        <f t="shared" si="11"/>
        <v>5.58655888517288</v>
      </c>
      <c r="AF75" s="1">
        <f t="shared" si="12"/>
        <v>3.44471318092947</v>
      </c>
      <c r="AG75" s="1">
        <f t="shared" si="13"/>
        <v>2.54680801166918</v>
      </c>
      <c r="AH75" s="1">
        <f t="shared" si="14"/>
        <v>0.456874645232496</v>
      </c>
      <c r="AI75" s="1">
        <f t="shared" si="15"/>
        <v>1.04542395798395</v>
      </c>
      <c r="AJ75" s="1">
        <f t="shared" si="16"/>
        <v>1.2240195987452</v>
      </c>
      <c r="AK75" s="1">
        <f t="shared" si="17"/>
        <v>1</v>
      </c>
      <c r="AL75" s="10">
        <f t="shared" si="18"/>
        <v>18403</v>
      </c>
      <c r="AM75" s="10">
        <f t="shared" si="19"/>
        <v>2767</v>
      </c>
      <c r="AN75" s="10">
        <f t="shared" si="20"/>
        <v>4038</v>
      </c>
      <c r="AO75" s="1">
        <f t="shared" si="21"/>
        <v>13889</v>
      </c>
      <c r="AP75" s="1">
        <f t="shared" si="22"/>
        <v>2767</v>
      </c>
      <c r="AR75" s="1">
        <f t="shared" ref="AR75:AX75" si="215">ROUNDUP(AR$10*$AO75,0)</f>
        <v>13889</v>
      </c>
      <c r="AS75" s="1">
        <f t="shared" si="215"/>
        <v>41667</v>
      </c>
      <c r="AT75" s="1">
        <f t="shared" si="215"/>
        <v>25001</v>
      </c>
      <c r="AU75" s="1">
        <f t="shared" si="215"/>
        <v>6945</v>
      </c>
      <c r="AV75" s="1">
        <f t="shared" si="215"/>
        <v>2084</v>
      </c>
      <c r="AW75" s="1">
        <f t="shared" si="215"/>
        <v>55556</v>
      </c>
      <c r="AX75" s="1">
        <f t="shared" si="215"/>
        <v>125001</v>
      </c>
      <c r="AY75" s="1">
        <f t="shared" si="24"/>
        <v>1154336</v>
      </c>
      <c r="AZ75" s="1">
        <f t="shared" si="25"/>
        <v>577168</v>
      </c>
      <c r="BB75" s="1">
        <f t="shared" si="26"/>
        <v>64</v>
      </c>
    </row>
    <row r="76" spans="2:54">
      <c r="B76" s="4">
        <v>65</v>
      </c>
      <c r="C76" s="1">
        <f t="shared" ref="C76:I76" si="216">C$5+(C$6-C$5)*(POWER(C$7,$B76-1)-1)/(POWER(C$7,$B$3-1)-1)</f>
        <v>5136.09974854778</v>
      </c>
      <c r="D76" s="1">
        <f t="shared" si="216"/>
        <v>1540.82992456433</v>
      </c>
      <c r="E76" s="1">
        <f t="shared" si="216"/>
        <v>1027.21994970956</v>
      </c>
      <c r="F76" s="1">
        <f t="shared" si="216"/>
        <v>13002.7841735387</v>
      </c>
      <c r="G76" s="1">
        <f t="shared" si="216"/>
        <v>3900.8352520616</v>
      </c>
      <c r="H76" s="1">
        <f t="shared" si="216"/>
        <v>2600.55683470774</v>
      </c>
      <c r="I76" s="1">
        <f t="shared" si="216"/>
        <v>0</v>
      </c>
      <c r="J76" s="1">
        <f>标准模型!$I$65/1*$B76/$B$3</f>
        <v>0.468</v>
      </c>
      <c r="K76" s="1">
        <f>J76*标准模型!$J$63</f>
        <v>0.468</v>
      </c>
      <c r="L76" s="1">
        <f t="shared" ref="L76:L139" si="217">C76*(1+I76)+F76</f>
        <v>18138.8839220865</v>
      </c>
      <c r="M76" s="1">
        <f t="shared" ref="M76:M139" si="218">D76*(1+J76)+G76</f>
        <v>6162.77358132204</v>
      </c>
      <c r="N76" s="1">
        <f t="shared" ref="N76:N139" si="219">E76*(1+K76)+H76</f>
        <v>4108.51572088136</v>
      </c>
      <c r="O76" s="1">
        <f t="shared" ref="O76:W76" si="220">O$5+(O$6-O$5)*(POWER(O$7,$B76-1)-1)/(POWER(O$7,$B$3-1)-1)</f>
        <v>0.56414220527825</v>
      </c>
      <c r="P76" s="1">
        <f t="shared" si="220"/>
        <v>0.036194899206928</v>
      </c>
      <c r="Q76" s="1">
        <f t="shared" si="220"/>
        <v>0.310278212903037</v>
      </c>
      <c r="R76" s="1">
        <f t="shared" si="220"/>
        <v>1.0256568821113</v>
      </c>
      <c r="S76" s="1">
        <f t="shared" si="220"/>
        <v>0.133384866861725</v>
      </c>
      <c r="T76" s="1">
        <f t="shared" si="220"/>
        <v>2.25015460058517</v>
      </c>
      <c r="U76" s="1">
        <f t="shared" si="220"/>
        <v>1</v>
      </c>
      <c r="V76" s="1">
        <f t="shared" si="220"/>
        <v>1.06995337943166</v>
      </c>
      <c r="W76" s="1">
        <f t="shared" si="220"/>
        <v>1.2052550568904</v>
      </c>
      <c r="X76" s="1">
        <f t="shared" ref="X76:X139" si="221">(1+S76*(T76-1))*U76*W76*(O76+P76)*R76</f>
        <v>0.865873984310681</v>
      </c>
      <c r="Y76" s="1">
        <f t="shared" ref="Y76:Y139" si="222">(1+S76*(T76-1))*(O76+P76+Q76)*U76*V76*W76*R76</f>
        <v>1.40526849890425</v>
      </c>
      <c r="Z76" s="1">
        <f t="shared" ref="Z76:Z139" si="223">Y76*L76</f>
        <v>25490.0021809888</v>
      </c>
      <c r="AA76" s="1">
        <f t="shared" ref="AA76:AA139" si="224">M76</f>
        <v>6162.77358132204</v>
      </c>
      <c r="AB76" s="1">
        <f t="shared" ref="AB76:AB139" si="225">N76</f>
        <v>4108.51572088136</v>
      </c>
      <c r="AC76" s="1">
        <f>AB76/(AB76+战斗公式!$M$27)</f>
        <v>0.146166228116742</v>
      </c>
      <c r="AD76" s="1">
        <f t="shared" ref="AD76:AD139" si="226">Z76/(1-AC76)</f>
        <v>29853.5886262344</v>
      </c>
      <c r="AE76" s="1">
        <f t="shared" ref="AE76:AE139" si="227">AD76/AA76/X76</f>
        <v>5.5945561974468</v>
      </c>
      <c r="AF76" s="1">
        <f t="shared" ref="AF76:AF139" si="228">AD76/AA76/Y76</f>
        <v>3.44715666003366</v>
      </c>
      <c r="AG76" s="1">
        <f t="shared" ref="AG76:AG139" si="229">AG$5+(AG$6-AG$5)*(POWER(AG$7,$B76-1)-1)/(POWER(AG$7,$B$3-1)-1)</f>
        <v>2.56592460581272</v>
      </c>
      <c r="AH76" s="1">
        <f t="shared" ref="AH76:AH139" si="230">$AH$5+($AH$6-$AH$5)*(POWER($AH$7,$B76-1)-1)/(POWER($AH$7,$B$3-1)-1)</f>
        <v>0.459527373064931</v>
      </c>
      <c r="AI76" s="1">
        <f t="shared" ref="AI76:AI139" si="231">$AI$5+($AI$6-$AI$5)*(POWER($AI$7,$B76-1)-1)/(POWER($AI$7,$B$3-1)-1)</f>
        <v>1.04315276008431</v>
      </c>
      <c r="AJ76" s="1">
        <f t="shared" ref="AJ76:AJ139" si="232">$AJ$5+($AJ$6-$AJ$5)*(POWER($AJ$7,$B76-1)-1)/(POWER($AJ$7,$B$3-1)-1)</f>
        <v>1.21953853696291</v>
      </c>
      <c r="AK76" s="1">
        <f t="shared" ref="AK76:AK139" si="233">$AK$5+($AK$6-$AK$5)*(POWER($AK$7,$B76-1)-1)/(POWER($AK$7,$B$3-1)-1)</f>
        <v>1</v>
      </c>
      <c r="AL76" s="10">
        <f t="shared" ref="AL76:AL139" si="234">ROUND(Z76/AF76*AG76,0)</f>
        <v>18974</v>
      </c>
      <c r="AM76" s="10">
        <f t="shared" ref="AM76:AM139" si="235">ROUND(AA76*AH76,0)</f>
        <v>2832</v>
      </c>
      <c r="AN76" s="10">
        <f t="shared" ref="AN76:AN139" si="236">ROUND(AB76,0)</f>
        <v>4109</v>
      </c>
      <c r="AO76" s="1">
        <f t="shared" ref="AO76:AO139" si="237">ROUND(Z76/$AE76*AG76*AJ76,0)</f>
        <v>14258</v>
      </c>
      <c r="AP76" s="1">
        <f t="shared" ref="AP76:AP139" si="238">ROUND(AM76*AK76,0)</f>
        <v>2832</v>
      </c>
      <c r="AR76" s="1">
        <f t="shared" ref="AR76:AX76" si="239">ROUNDUP(AR$10*$AO76,0)</f>
        <v>14258</v>
      </c>
      <c r="AS76" s="1">
        <f t="shared" si="239"/>
        <v>42774</v>
      </c>
      <c r="AT76" s="1">
        <f t="shared" si="239"/>
        <v>25665</v>
      </c>
      <c r="AU76" s="1">
        <f t="shared" si="239"/>
        <v>7129</v>
      </c>
      <c r="AV76" s="1">
        <f t="shared" si="239"/>
        <v>2139</v>
      </c>
      <c r="AW76" s="1">
        <f t="shared" si="239"/>
        <v>57032</v>
      </c>
      <c r="AX76" s="1">
        <f t="shared" si="239"/>
        <v>128322</v>
      </c>
      <c r="AY76" s="1">
        <f t="shared" ref="AY76:AY139" si="240">ROUND(AL76*$AY$10*AI76,0)</f>
        <v>1187567</v>
      </c>
      <c r="AZ76" s="1">
        <f t="shared" ref="AZ76:AZ139" si="241">ROUND(AL76*$AZ$10*AI76,0)</f>
        <v>593783</v>
      </c>
      <c r="BB76" s="1">
        <f t="shared" ref="BB76:BB139" si="242">B76</f>
        <v>65</v>
      </c>
    </row>
    <row r="77" spans="2:54">
      <c r="B77" s="4">
        <v>66</v>
      </c>
      <c r="C77" s="1">
        <f t="shared" ref="C77:I77" si="243">C$5+(C$6-C$5)*(POWER(C$7,$B77-1)-1)/(POWER(C$7,$B$3-1)-1)</f>
        <v>5215.11436408372</v>
      </c>
      <c r="D77" s="1">
        <f t="shared" si="243"/>
        <v>1564.53430922511</v>
      </c>
      <c r="E77" s="1">
        <f t="shared" si="243"/>
        <v>1043.02287281674</v>
      </c>
      <c r="F77" s="1">
        <f t="shared" si="243"/>
        <v>13202.8211748955</v>
      </c>
      <c r="G77" s="1">
        <f t="shared" si="243"/>
        <v>3960.84635246865</v>
      </c>
      <c r="H77" s="1">
        <f t="shared" si="243"/>
        <v>2640.5642349791</v>
      </c>
      <c r="I77" s="1">
        <f t="shared" si="243"/>
        <v>0</v>
      </c>
      <c r="J77" s="1">
        <f>标准模型!$I$65/1*$B77/$B$3</f>
        <v>0.4752</v>
      </c>
      <c r="K77" s="1">
        <f>J77*标准模型!$J$63</f>
        <v>0.4752</v>
      </c>
      <c r="L77" s="1">
        <f t="shared" si="217"/>
        <v>18417.9355389792</v>
      </c>
      <c r="M77" s="1">
        <f t="shared" si="218"/>
        <v>6268.84736543753</v>
      </c>
      <c r="N77" s="1">
        <f t="shared" si="219"/>
        <v>4179.23157695836</v>
      </c>
      <c r="O77" s="1">
        <f t="shared" ref="O77:W77" si="244">O$5+(O$6-O$5)*(POWER(O$7,$B77-1)-1)/(POWER(O$7,$B$3-1)-1)</f>
        <v>0.565144394663805</v>
      </c>
      <c r="P77" s="1">
        <f t="shared" si="244"/>
        <v>0.036788448681268</v>
      </c>
      <c r="Q77" s="1">
        <f t="shared" si="244"/>
        <v>0.310829417065093</v>
      </c>
      <c r="R77" s="1">
        <f t="shared" si="244"/>
        <v>1.02605775786552</v>
      </c>
      <c r="S77" s="1">
        <f t="shared" si="244"/>
        <v>0.134687713062947</v>
      </c>
      <c r="T77" s="1">
        <f t="shared" si="244"/>
        <v>2.25406313918884</v>
      </c>
      <c r="U77" s="1">
        <f t="shared" si="244"/>
        <v>1</v>
      </c>
      <c r="V77" s="1">
        <f t="shared" si="244"/>
        <v>1.07104636546241</v>
      </c>
      <c r="W77" s="1">
        <f t="shared" si="244"/>
        <v>1.20846206292418</v>
      </c>
      <c r="X77" s="1">
        <f t="shared" si="221"/>
        <v>0.872434418975684</v>
      </c>
      <c r="Y77" s="1">
        <f t="shared" si="222"/>
        <v>1.4169375102475</v>
      </c>
      <c r="Z77" s="1">
        <f t="shared" si="223"/>
        <v>26097.0637265001</v>
      </c>
      <c r="AA77" s="1">
        <f t="shared" si="224"/>
        <v>6268.84736543753</v>
      </c>
      <c r="AB77" s="1">
        <f t="shared" si="225"/>
        <v>4179.23157695836</v>
      </c>
      <c r="AC77" s="1">
        <f>AB77/(AB77+战斗公式!$M$27)</f>
        <v>0.14830892622266</v>
      </c>
      <c r="AD77" s="1">
        <f t="shared" si="226"/>
        <v>30641.466759487</v>
      </c>
      <c r="AE77" s="1">
        <f t="shared" si="227"/>
        <v>5.60259286512365</v>
      </c>
      <c r="AF77" s="1">
        <f t="shared" si="228"/>
        <v>3.44961920740435</v>
      </c>
      <c r="AG77" s="1">
        <f t="shared" si="229"/>
        <v>2.58489782550017</v>
      </c>
      <c r="AH77" s="1">
        <f t="shared" si="230"/>
        <v>0.462185406353032</v>
      </c>
      <c r="AI77" s="1">
        <f t="shared" si="231"/>
        <v>1.04099512207965</v>
      </c>
      <c r="AJ77" s="1">
        <f t="shared" si="232"/>
        <v>1.21514709641626</v>
      </c>
      <c r="AK77" s="1">
        <f t="shared" si="233"/>
        <v>1</v>
      </c>
      <c r="AL77" s="10">
        <f t="shared" si="234"/>
        <v>19555</v>
      </c>
      <c r="AM77" s="10">
        <f t="shared" si="235"/>
        <v>2897</v>
      </c>
      <c r="AN77" s="10">
        <f t="shared" si="236"/>
        <v>4179</v>
      </c>
      <c r="AO77" s="1">
        <f t="shared" si="237"/>
        <v>14631</v>
      </c>
      <c r="AP77" s="1">
        <f t="shared" si="238"/>
        <v>2897</v>
      </c>
      <c r="AR77" s="1">
        <f t="shared" ref="AR77:AX77" si="245">ROUNDUP(AR$10*$AO77,0)</f>
        <v>14631</v>
      </c>
      <c r="AS77" s="1">
        <f t="shared" si="245"/>
        <v>43893</v>
      </c>
      <c r="AT77" s="1">
        <f t="shared" si="245"/>
        <v>26336</v>
      </c>
      <c r="AU77" s="1">
        <f t="shared" si="245"/>
        <v>7316</v>
      </c>
      <c r="AV77" s="1">
        <f t="shared" si="245"/>
        <v>2195</v>
      </c>
      <c r="AW77" s="1">
        <f t="shared" si="245"/>
        <v>58524</v>
      </c>
      <c r="AX77" s="1">
        <f t="shared" si="245"/>
        <v>131679</v>
      </c>
      <c r="AY77" s="1">
        <f t="shared" si="240"/>
        <v>1221400</v>
      </c>
      <c r="AZ77" s="1">
        <f t="shared" si="241"/>
        <v>610700</v>
      </c>
      <c r="BB77" s="1">
        <f t="shared" si="242"/>
        <v>66</v>
      </c>
    </row>
    <row r="78" spans="2:54">
      <c r="B78" s="4">
        <v>67</v>
      </c>
      <c r="C78" s="1">
        <f t="shared" ref="C78:I78" si="246">C$5+(C$6-C$5)*(POWER(C$7,$B78-1)-1)/(POWER(C$7,$B$3-1)-1)</f>
        <v>5294.1289006105</v>
      </c>
      <c r="D78" s="1">
        <f t="shared" si="246"/>
        <v>1588.23867018315</v>
      </c>
      <c r="E78" s="1">
        <f t="shared" si="246"/>
        <v>1058.8257801221</v>
      </c>
      <c r="F78" s="1">
        <f t="shared" si="246"/>
        <v>13402.8579762291</v>
      </c>
      <c r="G78" s="1">
        <f t="shared" si="246"/>
        <v>4020.85739286874</v>
      </c>
      <c r="H78" s="1">
        <f t="shared" si="246"/>
        <v>2680.57159524582</v>
      </c>
      <c r="I78" s="1">
        <f t="shared" si="246"/>
        <v>0</v>
      </c>
      <c r="J78" s="1">
        <f>标准模型!$I$65/1*$B78/$B$3</f>
        <v>0.4824</v>
      </c>
      <c r="K78" s="1">
        <f>J78*标准模型!$J$63</f>
        <v>0.4824</v>
      </c>
      <c r="L78" s="1">
        <f t="shared" si="217"/>
        <v>18696.9868768396</v>
      </c>
      <c r="M78" s="1">
        <f t="shared" si="218"/>
        <v>6375.26239754824</v>
      </c>
      <c r="N78" s="1">
        <f t="shared" si="219"/>
        <v>4250.17493169883</v>
      </c>
      <c r="O78" s="1">
        <f t="shared" ref="O78:W78" si="247">O$5+(O$6-O$5)*(POWER(O$7,$B78-1)-1)/(POWER(O$7,$B$3-1)-1)</f>
        <v>0.56614658304724</v>
      </c>
      <c r="P78" s="1">
        <f t="shared" si="247"/>
        <v>0.0373828884798196</v>
      </c>
      <c r="Q78" s="1">
        <f t="shared" si="247"/>
        <v>0.311380620675982</v>
      </c>
      <c r="R78" s="1">
        <f t="shared" si="247"/>
        <v>1.0264586332189</v>
      </c>
      <c r="S78" s="1">
        <f t="shared" si="247"/>
        <v>0.135990557961412</v>
      </c>
      <c r="T78" s="1">
        <f t="shared" si="247"/>
        <v>2.25797167388424</v>
      </c>
      <c r="U78" s="1">
        <f t="shared" si="247"/>
        <v>1</v>
      </c>
      <c r="V78" s="1">
        <f t="shared" si="247"/>
        <v>1.07213935040024</v>
      </c>
      <c r="W78" s="1">
        <f t="shared" si="247"/>
        <v>1.21166906575117</v>
      </c>
      <c r="X78" s="1">
        <f t="shared" si="221"/>
        <v>0.879038004526891</v>
      </c>
      <c r="Y78" s="1">
        <f t="shared" si="222"/>
        <v>1.42869269377482</v>
      </c>
      <c r="Z78" s="1">
        <f t="shared" si="223"/>
        <v>26712.2485465445</v>
      </c>
      <c r="AA78" s="1">
        <f t="shared" si="224"/>
        <v>6375.26239754824</v>
      </c>
      <c r="AB78" s="1">
        <f t="shared" si="225"/>
        <v>4250.17493169883</v>
      </c>
      <c r="AC78" s="1">
        <f>AB78/(AB78+战斗公式!$M$27)</f>
        <v>0.150447738535233</v>
      </c>
      <c r="AD78" s="1">
        <f t="shared" si="226"/>
        <v>31442.7372607874</v>
      </c>
      <c r="AE78" s="1">
        <f t="shared" si="227"/>
        <v>5.61066876744857</v>
      </c>
      <c r="AF78" s="1">
        <f t="shared" si="228"/>
        <v>3.45210072039234</v>
      </c>
      <c r="AG78" s="1">
        <f t="shared" si="229"/>
        <v>2.60372874603997</v>
      </c>
      <c r="AH78" s="1">
        <f t="shared" si="230"/>
        <v>0.464848755707708</v>
      </c>
      <c r="AI78" s="1">
        <f t="shared" si="231"/>
        <v>1.03894536597523</v>
      </c>
      <c r="AJ78" s="1">
        <f t="shared" si="232"/>
        <v>1.21084348468055</v>
      </c>
      <c r="AK78" s="1">
        <f t="shared" si="233"/>
        <v>1</v>
      </c>
      <c r="AL78" s="10">
        <f t="shared" si="234"/>
        <v>20148</v>
      </c>
      <c r="AM78" s="10">
        <f t="shared" si="235"/>
        <v>2964</v>
      </c>
      <c r="AN78" s="10">
        <f t="shared" si="236"/>
        <v>4250</v>
      </c>
      <c r="AO78" s="1">
        <f t="shared" si="237"/>
        <v>15010</v>
      </c>
      <c r="AP78" s="1">
        <f t="shared" si="238"/>
        <v>2964</v>
      </c>
      <c r="AR78" s="1">
        <f t="shared" ref="AR78:AX78" si="248">ROUNDUP(AR$10*$AO78,0)</f>
        <v>15010</v>
      </c>
      <c r="AS78" s="1">
        <f t="shared" si="248"/>
        <v>45030</v>
      </c>
      <c r="AT78" s="1">
        <f t="shared" si="248"/>
        <v>27018</v>
      </c>
      <c r="AU78" s="1">
        <f t="shared" si="248"/>
        <v>7505</v>
      </c>
      <c r="AV78" s="1">
        <f t="shared" si="248"/>
        <v>2252</v>
      </c>
      <c r="AW78" s="1">
        <f t="shared" si="248"/>
        <v>60040</v>
      </c>
      <c r="AX78" s="1">
        <f t="shared" si="248"/>
        <v>135090</v>
      </c>
      <c r="AY78" s="1">
        <f t="shared" si="240"/>
        <v>1255960</v>
      </c>
      <c r="AZ78" s="1">
        <f t="shared" si="241"/>
        <v>627980</v>
      </c>
      <c r="BB78" s="1">
        <f t="shared" si="242"/>
        <v>67</v>
      </c>
    </row>
    <row r="79" spans="2:54">
      <c r="B79" s="4">
        <v>68</v>
      </c>
      <c r="C79" s="1">
        <f t="shared" ref="C79:I79" si="249">C$5+(C$6-C$5)*(POWER(C$7,$B79-1)-1)/(POWER(C$7,$B$3-1)-1)</f>
        <v>5373.14335811937</v>
      </c>
      <c r="D79" s="1">
        <f t="shared" si="249"/>
        <v>1611.94300743581</v>
      </c>
      <c r="E79" s="1">
        <f t="shared" si="249"/>
        <v>1074.62867162387</v>
      </c>
      <c r="F79" s="1">
        <f t="shared" si="249"/>
        <v>13602.8945775174</v>
      </c>
      <c r="G79" s="1">
        <f t="shared" si="249"/>
        <v>4080.86837325521</v>
      </c>
      <c r="H79" s="1">
        <f t="shared" si="249"/>
        <v>2720.57891550348</v>
      </c>
      <c r="I79" s="1">
        <f t="shared" si="249"/>
        <v>0</v>
      </c>
      <c r="J79" s="1">
        <f>标准模型!$I$65/1*$B79/$B$3</f>
        <v>0.4896</v>
      </c>
      <c r="K79" s="1">
        <f>J79*标准模型!$J$63</f>
        <v>0.4896</v>
      </c>
      <c r="L79" s="1">
        <f t="shared" si="217"/>
        <v>18976.0379356368</v>
      </c>
      <c r="M79" s="1">
        <f t="shared" si="218"/>
        <v>6482.0186771316</v>
      </c>
      <c r="N79" s="1">
        <f t="shared" si="219"/>
        <v>4321.3457847544</v>
      </c>
      <c r="O79" s="1">
        <f t="shared" ref="O79:W79" si="250">O$5+(O$6-O$5)*(POWER(O$7,$B79-1)-1)/(POWER(O$7,$B$3-1)-1)</f>
        <v>0.567148770428444</v>
      </c>
      <c r="P79" s="1">
        <f t="shared" si="250"/>
        <v>0.0379782199380689</v>
      </c>
      <c r="Q79" s="1">
        <f t="shared" si="250"/>
        <v>0.311931823735644</v>
      </c>
      <c r="R79" s="1">
        <f t="shared" si="250"/>
        <v>1.02685950817138</v>
      </c>
      <c r="S79" s="1">
        <f t="shared" si="250"/>
        <v>0.137293401556977</v>
      </c>
      <c r="T79" s="1">
        <f t="shared" si="250"/>
        <v>2.26188020467093</v>
      </c>
      <c r="U79" s="1">
        <f t="shared" si="250"/>
        <v>1</v>
      </c>
      <c r="V79" s="1">
        <f t="shared" si="250"/>
        <v>1.07323233424504</v>
      </c>
      <c r="W79" s="1">
        <f t="shared" si="250"/>
        <v>1.21487606537102</v>
      </c>
      <c r="X79" s="1">
        <f t="shared" si="221"/>
        <v>0.885684994721953</v>
      </c>
      <c r="Y79" s="1">
        <f t="shared" si="222"/>
        <v>1.44053462231683</v>
      </c>
      <c r="Z79" s="1">
        <f t="shared" si="223"/>
        <v>27335.6396406824</v>
      </c>
      <c r="AA79" s="1">
        <f t="shared" si="224"/>
        <v>6482.0186771316</v>
      </c>
      <c r="AB79" s="1">
        <f t="shared" si="225"/>
        <v>4321.3457847544</v>
      </c>
      <c r="AC79" s="1">
        <f>AB79/(AB79+战斗公式!$M$27)</f>
        <v>0.152582642703392</v>
      </c>
      <c r="AD79" s="1">
        <f t="shared" si="226"/>
        <v>32257.5876046335</v>
      </c>
      <c r="AE79" s="1">
        <f t="shared" si="227"/>
        <v>5.61878378463725</v>
      </c>
      <c r="AF79" s="1">
        <f t="shared" si="228"/>
        <v>3.45460109708193</v>
      </c>
      <c r="AG79" s="1">
        <f t="shared" si="229"/>
        <v>2.62241843467573</v>
      </c>
      <c r="AH79" s="1">
        <f t="shared" si="230"/>
        <v>0.467517431761093</v>
      </c>
      <c r="AI79" s="1">
        <f t="shared" si="231"/>
        <v>1.03699809767603</v>
      </c>
      <c r="AJ79" s="1">
        <f t="shared" si="232"/>
        <v>1.20662594517955</v>
      </c>
      <c r="AK79" s="1">
        <f t="shared" si="233"/>
        <v>1</v>
      </c>
      <c r="AL79" s="10">
        <f t="shared" si="234"/>
        <v>20751</v>
      </c>
      <c r="AM79" s="10">
        <f t="shared" si="235"/>
        <v>3030</v>
      </c>
      <c r="AN79" s="10">
        <f t="shared" si="236"/>
        <v>4321</v>
      </c>
      <c r="AO79" s="1">
        <f t="shared" si="237"/>
        <v>15394</v>
      </c>
      <c r="AP79" s="1">
        <f t="shared" si="238"/>
        <v>3030</v>
      </c>
      <c r="AR79" s="1">
        <f t="shared" ref="AR79:AX79" si="251">ROUNDUP(AR$10*$AO79,0)</f>
        <v>15394</v>
      </c>
      <c r="AS79" s="1">
        <f t="shared" si="251"/>
        <v>46182</v>
      </c>
      <c r="AT79" s="1">
        <f t="shared" si="251"/>
        <v>27710</v>
      </c>
      <c r="AU79" s="1">
        <f t="shared" si="251"/>
        <v>7697</v>
      </c>
      <c r="AV79" s="1">
        <f t="shared" si="251"/>
        <v>2310</v>
      </c>
      <c r="AW79" s="1">
        <f t="shared" si="251"/>
        <v>61576</v>
      </c>
      <c r="AX79" s="1">
        <f t="shared" si="251"/>
        <v>138546</v>
      </c>
      <c r="AY79" s="1">
        <f t="shared" si="240"/>
        <v>1291125</v>
      </c>
      <c r="AZ79" s="1">
        <f t="shared" si="241"/>
        <v>645562</v>
      </c>
      <c r="BB79" s="1">
        <f t="shared" si="242"/>
        <v>68</v>
      </c>
    </row>
    <row r="80" spans="2:54">
      <c r="B80" s="4">
        <v>69</v>
      </c>
      <c r="C80" s="1">
        <f t="shared" ref="C80:I80" si="252">C$5+(C$6-C$5)*(POWER(C$7,$B80-1)-1)/(POWER(C$7,$B$3-1)-1)</f>
        <v>5452.1577366103</v>
      </c>
      <c r="D80" s="1">
        <f t="shared" si="252"/>
        <v>1635.64732098309</v>
      </c>
      <c r="E80" s="1">
        <f t="shared" si="252"/>
        <v>1090.43154732206</v>
      </c>
      <c r="F80" s="1">
        <f t="shared" si="252"/>
        <v>13802.9309787603</v>
      </c>
      <c r="G80" s="1">
        <f t="shared" si="252"/>
        <v>4140.87929362808</v>
      </c>
      <c r="H80" s="1">
        <f t="shared" si="252"/>
        <v>2760.58619575205</v>
      </c>
      <c r="I80" s="1">
        <f t="shared" si="252"/>
        <v>0</v>
      </c>
      <c r="J80" s="1">
        <f>标准模型!$I$65/1*$B80/$B$3</f>
        <v>0.4968</v>
      </c>
      <c r="K80" s="1">
        <f>J80*标准模型!$J$63</f>
        <v>0.4968</v>
      </c>
      <c r="L80" s="1">
        <f t="shared" si="217"/>
        <v>19255.0887153706</v>
      </c>
      <c r="M80" s="1">
        <f t="shared" si="218"/>
        <v>6589.11620367557</v>
      </c>
      <c r="N80" s="1">
        <f t="shared" si="219"/>
        <v>4392.74413578371</v>
      </c>
      <c r="O80" s="1">
        <f t="shared" ref="O80:W80" si="253">O$5+(O$6-O$5)*(POWER(O$7,$B80-1)-1)/(POWER(O$7,$B$3-1)-1)</f>
        <v>0.568150956807416</v>
      </c>
      <c r="P80" s="1">
        <f t="shared" si="253"/>
        <v>0.0385744443935056</v>
      </c>
      <c r="Q80" s="1">
        <f t="shared" si="253"/>
        <v>0.312483026244079</v>
      </c>
      <c r="R80" s="1">
        <f t="shared" si="253"/>
        <v>1.02726038272297</v>
      </c>
      <c r="S80" s="1">
        <f t="shared" si="253"/>
        <v>0.138596243849641</v>
      </c>
      <c r="T80" s="1">
        <f t="shared" si="253"/>
        <v>2.26578873154892</v>
      </c>
      <c r="U80" s="1">
        <f t="shared" si="253"/>
        <v>1</v>
      </c>
      <c r="V80" s="1">
        <f t="shared" si="253"/>
        <v>1.07432531699681</v>
      </c>
      <c r="W80" s="1">
        <f t="shared" si="253"/>
        <v>1.21808306178373</v>
      </c>
      <c r="X80" s="1">
        <f t="shared" si="221"/>
        <v>0.892375644469523</v>
      </c>
      <c r="Y80" s="1">
        <f t="shared" si="222"/>
        <v>1.45246387182604</v>
      </c>
      <c r="Z80" s="1">
        <f t="shared" si="223"/>
        <v>27967.3207078811</v>
      </c>
      <c r="AA80" s="1">
        <f t="shared" si="224"/>
        <v>6589.11620367557</v>
      </c>
      <c r="AB80" s="1">
        <f t="shared" si="225"/>
        <v>4392.74413578371</v>
      </c>
      <c r="AC80" s="1">
        <f>AB80/(AB80+战斗公式!$M$27)</f>
        <v>0.154713616788012</v>
      </c>
      <c r="AD80" s="1">
        <f t="shared" si="226"/>
        <v>33086.2075425947</v>
      </c>
      <c r="AE80" s="1">
        <f t="shared" si="227"/>
        <v>5.62693779787131</v>
      </c>
      <c r="AF80" s="1">
        <f t="shared" si="228"/>
        <v>3.45712023628683</v>
      </c>
      <c r="AG80" s="1">
        <f t="shared" si="229"/>
        <v>2.64096795064671</v>
      </c>
      <c r="AH80" s="1">
        <f t="shared" si="230"/>
        <v>0.470191445166586</v>
      </c>
      <c r="AI80" s="1">
        <f t="shared" si="231"/>
        <v>1.03514819279179</v>
      </c>
      <c r="AJ80" s="1">
        <f t="shared" si="232"/>
        <v>1.20249275646857</v>
      </c>
      <c r="AK80" s="1">
        <f t="shared" si="233"/>
        <v>1</v>
      </c>
      <c r="AL80" s="10">
        <f t="shared" si="234"/>
        <v>21365</v>
      </c>
      <c r="AM80" s="10">
        <f t="shared" si="235"/>
        <v>3098</v>
      </c>
      <c r="AN80" s="10">
        <f t="shared" si="236"/>
        <v>4393</v>
      </c>
      <c r="AO80" s="1">
        <f t="shared" si="237"/>
        <v>15784</v>
      </c>
      <c r="AP80" s="1">
        <f t="shared" si="238"/>
        <v>3098</v>
      </c>
      <c r="AR80" s="1">
        <f t="shared" ref="AR80:AX80" si="254">ROUNDUP(AR$10*$AO80,0)</f>
        <v>15784</v>
      </c>
      <c r="AS80" s="1">
        <f t="shared" si="254"/>
        <v>47352</v>
      </c>
      <c r="AT80" s="1">
        <f t="shared" si="254"/>
        <v>28412</v>
      </c>
      <c r="AU80" s="1">
        <f t="shared" si="254"/>
        <v>7892</v>
      </c>
      <c r="AV80" s="1">
        <f t="shared" si="254"/>
        <v>2368</v>
      </c>
      <c r="AW80" s="1">
        <f t="shared" si="254"/>
        <v>63136</v>
      </c>
      <c r="AX80" s="1">
        <f t="shared" si="254"/>
        <v>142056</v>
      </c>
      <c r="AY80" s="1">
        <f t="shared" si="240"/>
        <v>1326956</v>
      </c>
      <c r="AZ80" s="1">
        <f t="shared" si="241"/>
        <v>663478</v>
      </c>
      <c r="BB80" s="1">
        <f t="shared" si="242"/>
        <v>69</v>
      </c>
    </row>
    <row r="81" spans="2:54">
      <c r="B81" s="4">
        <v>70</v>
      </c>
      <c r="C81" s="1">
        <f t="shared" ref="C81:I81" si="255">C$5+(C$6-C$5)*(POWER(C$7,$B81-1)-1)/(POWER(C$7,$B$3-1)-1)</f>
        <v>5531.17203609209</v>
      </c>
      <c r="D81" s="1">
        <f t="shared" si="255"/>
        <v>1659.35161082763</v>
      </c>
      <c r="E81" s="1">
        <f t="shared" si="255"/>
        <v>1106.23440721842</v>
      </c>
      <c r="F81" s="1">
        <f t="shared" si="255"/>
        <v>14002.96717998</v>
      </c>
      <c r="G81" s="1">
        <f t="shared" si="255"/>
        <v>4200.89015399399</v>
      </c>
      <c r="H81" s="1">
        <f t="shared" si="255"/>
        <v>2800.593435996</v>
      </c>
      <c r="I81" s="1">
        <f t="shared" si="255"/>
        <v>0</v>
      </c>
      <c r="J81" s="1">
        <f>标准模型!$I$65/1*$B81/$B$3</f>
        <v>0.504</v>
      </c>
      <c r="K81" s="1">
        <f>J81*标准模型!$J$63</f>
        <v>0.504</v>
      </c>
      <c r="L81" s="1">
        <f t="shared" si="217"/>
        <v>19534.1392160721</v>
      </c>
      <c r="M81" s="1">
        <f t="shared" si="218"/>
        <v>6696.55497667874</v>
      </c>
      <c r="N81" s="1">
        <f t="shared" si="219"/>
        <v>4464.3699844525</v>
      </c>
      <c r="O81" s="1">
        <f t="shared" ref="O81:W81" si="256">O$5+(O$6-O$5)*(POWER(O$7,$B81-1)-1)/(POWER(O$7,$B$3-1)-1)</f>
        <v>0.569153142184268</v>
      </c>
      <c r="P81" s="1">
        <f t="shared" si="256"/>
        <v>0.0391715631856255</v>
      </c>
      <c r="Q81" s="1">
        <f t="shared" si="256"/>
        <v>0.313034228201348</v>
      </c>
      <c r="R81" s="1">
        <f t="shared" si="256"/>
        <v>1.02766125687371</v>
      </c>
      <c r="S81" s="1">
        <f t="shared" si="256"/>
        <v>0.139899084839549</v>
      </c>
      <c r="T81" s="1">
        <f t="shared" si="256"/>
        <v>2.26969725451865</v>
      </c>
      <c r="U81" s="1">
        <f t="shared" si="256"/>
        <v>1</v>
      </c>
      <c r="V81" s="1">
        <f t="shared" si="256"/>
        <v>1.07541829865566</v>
      </c>
      <c r="W81" s="1">
        <f t="shared" si="256"/>
        <v>1.22129005498966</v>
      </c>
      <c r="X81" s="1">
        <f t="shared" si="221"/>
        <v>0.899110209832228</v>
      </c>
      <c r="Y81" s="1">
        <f t="shared" si="222"/>
        <v>1.46448102138869</v>
      </c>
      <c r="Z81" s="1">
        <f t="shared" si="223"/>
        <v>28607.3761511021</v>
      </c>
      <c r="AA81" s="1">
        <f t="shared" si="224"/>
        <v>6696.55497667874</v>
      </c>
      <c r="AB81" s="1">
        <f t="shared" si="225"/>
        <v>4464.3699844525</v>
      </c>
      <c r="AC81" s="1">
        <f>AB81/(AB81+战斗公式!$M$27)</f>
        <v>0.156840639258518</v>
      </c>
      <c r="AD81" s="1">
        <f t="shared" si="226"/>
        <v>33928.7891270572</v>
      </c>
      <c r="AE81" s="1">
        <f t="shared" si="227"/>
        <v>5.63513068928783</v>
      </c>
      <c r="AF81" s="1">
        <f t="shared" si="228"/>
        <v>3.45965803754371</v>
      </c>
      <c r="AG81" s="1">
        <f t="shared" si="229"/>
        <v>2.65937834524791</v>
      </c>
      <c r="AH81" s="1">
        <f t="shared" si="230"/>
        <v>0.472870806598889</v>
      </c>
      <c r="AI81" s="1">
        <f t="shared" si="231"/>
        <v>1.03339078315176</v>
      </c>
      <c r="AJ81" s="1">
        <f t="shared" si="232"/>
        <v>1.19844223153181</v>
      </c>
      <c r="AK81" s="1">
        <f t="shared" si="233"/>
        <v>1</v>
      </c>
      <c r="AL81" s="10">
        <f t="shared" si="234"/>
        <v>21990</v>
      </c>
      <c r="AM81" s="10">
        <f t="shared" si="235"/>
        <v>3167</v>
      </c>
      <c r="AN81" s="10">
        <f t="shared" si="236"/>
        <v>4464</v>
      </c>
      <c r="AO81" s="1">
        <f t="shared" si="237"/>
        <v>16180</v>
      </c>
      <c r="AP81" s="1">
        <f t="shared" si="238"/>
        <v>3167</v>
      </c>
      <c r="AR81" s="1">
        <f t="shared" ref="AR81:AX81" si="257">ROUNDUP(AR$10*$AO81,0)</f>
        <v>16180</v>
      </c>
      <c r="AS81" s="1">
        <f t="shared" si="257"/>
        <v>48540</v>
      </c>
      <c r="AT81" s="1">
        <f t="shared" si="257"/>
        <v>29124</v>
      </c>
      <c r="AU81" s="1">
        <f t="shared" si="257"/>
        <v>8090</v>
      </c>
      <c r="AV81" s="1">
        <f t="shared" si="257"/>
        <v>2427</v>
      </c>
      <c r="AW81" s="1">
        <f t="shared" si="257"/>
        <v>64720</v>
      </c>
      <c r="AX81" s="1">
        <f t="shared" si="257"/>
        <v>145620</v>
      </c>
      <c r="AY81" s="1">
        <f t="shared" si="240"/>
        <v>1363456</v>
      </c>
      <c r="AZ81" s="1">
        <f t="shared" si="241"/>
        <v>681728</v>
      </c>
      <c r="BB81" s="1">
        <f t="shared" si="242"/>
        <v>70</v>
      </c>
    </row>
    <row r="82" spans="2:54">
      <c r="B82" s="4">
        <v>71</v>
      </c>
      <c r="C82" s="1">
        <f t="shared" ref="C82:I82" si="258">C$5+(C$6-C$5)*(POWER(C$7,$B82-1)-1)/(POWER(C$7,$B$3-1)-1)</f>
        <v>5610.18625656472</v>
      </c>
      <c r="D82" s="1">
        <f t="shared" si="258"/>
        <v>1683.05587696942</v>
      </c>
      <c r="E82" s="1">
        <f t="shared" si="258"/>
        <v>1122.03725131294</v>
      </c>
      <c r="F82" s="1">
        <f t="shared" si="258"/>
        <v>14203.0031811765</v>
      </c>
      <c r="G82" s="1">
        <f t="shared" si="258"/>
        <v>4260.90095435296</v>
      </c>
      <c r="H82" s="1">
        <f t="shared" si="258"/>
        <v>2840.6006362353</v>
      </c>
      <c r="I82" s="1">
        <f t="shared" si="258"/>
        <v>0</v>
      </c>
      <c r="J82" s="1">
        <f>标准模型!$I$65/1*$B82/$B$3</f>
        <v>0.5112</v>
      </c>
      <c r="K82" s="1">
        <f>J82*标准模型!$J$63</f>
        <v>0.5112</v>
      </c>
      <c r="L82" s="1">
        <f t="shared" si="217"/>
        <v>19813.1894377412</v>
      </c>
      <c r="M82" s="1">
        <f t="shared" si="218"/>
        <v>6804.33499562914</v>
      </c>
      <c r="N82" s="1">
        <f t="shared" si="219"/>
        <v>4536.22333041943</v>
      </c>
      <c r="O82" s="1">
        <f t="shared" ref="O82:W82" si="259">O$5+(O$6-O$5)*(POWER(O$7,$B82-1)-1)/(POWER(O$7,$B$3-1)-1)</f>
        <v>0.570155326559001</v>
      </c>
      <c r="P82" s="1">
        <f t="shared" si="259"/>
        <v>0.0397695776559335</v>
      </c>
      <c r="Q82" s="1">
        <f t="shared" si="259"/>
        <v>0.31358542960745</v>
      </c>
      <c r="R82" s="1">
        <f t="shared" si="259"/>
        <v>1.0280621306236</v>
      </c>
      <c r="S82" s="1">
        <f t="shared" si="259"/>
        <v>0.141201924526701</v>
      </c>
      <c r="T82" s="1">
        <f t="shared" si="259"/>
        <v>2.2736057735801</v>
      </c>
      <c r="U82" s="1">
        <f t="shared" si="259"/>
        <v>1</v>
      </c>
      <c r="V82" s="1">
        <f t="shared" si="259"/>
        <v>1.07651127922161</v>
      </c>
      <c r="W82" s="1">
        <f t="shared" si="259"/>
        <v>1.2244970449888</v>
      </c>
      <c r="X82" s="1">
        <f t="shared" si="221"/>
        <v>0.905888948028287</v>
      </c>
      <c r="Y82" s="1">
        <f t="shared" si="222"/>
        <v>1.47658665323404</v>
      </c>
      <c r="Z82" s="1">
        <f t="shared" si="223"/>
        <v>29255.8910817663</v>
      </c>
      <c r="AA82" s="1">
        <f t="shared" si="224"/>
        <v>6804.33499562914</v>
      </c>
      <c r="AB82" s="1">
        <f t="shared" si="225"/>
        <v>4536.22333041943</v>
      </c>
      <c r="AC82" s="1">
        <f>AB82/(AB82+战斗公式!$M$27)</f>
        <v>0.15896368898907</v>
      </c>
      <c r="AD82" s="1">
        <f t="shared" si="226"/>
        <v>34785.5267349879</v>
      </c>
      <c r="AE82" s="1">
        <f t="shared" si="227"/>
        <v>5.64336234196486</v>
      </c>
      <c r="AF82" s="1">
        <f t="shared" si="228"/>
        <v>3.4622144011041</v>
      </c>
      <c r="AG82" s="1">
        <f t="shared" si="229"/>
        <v>2.67765066188961</v>
      </c>
      <c r="AH82" s="1">
        <f t="shared" si="230"/>
        <v>0.475555526754057</v>
      </c>
      <c r="AI82" s="1">
        <f t="shared" si="231"/>
        <v>1.03172124399373</v>
      </c>
      <c r="AJ82" s="1">
        <f t="shared" si="232"/>
        <v>1.19447271709378</v>
      </c>
      <c r="AK82" s="1">
        <f t="shared" si="233"/>
        <v>1</v>
      </c>
      <c r="AL82" s="10">
        <f t="shared" si="234"/>
        <v>22626</v>
      </c>
      <c r="AM82" s="10">
        <f t="shared" si="235"/>
        <v>3236</v>
      </c>
      <c r="AN82" s="10">
        <f t="shared" si="236"/>
        <v>4536</v>
      </c>
      <c r="AO82" s="1">
        <f t="shared" si="237"/>
        <v>16581</v>
      </c>
      <c r="AP82" s="1">
        <f t="shared" si="238"/>
        <v>3236</v>
      </c>
      <c r="AR82" s="1">
        <f t="shared" ref="AR82:AX82" si="260">ROUNDUP(AR$10*$AO82,0)</f>
        <v>16581</v>
      </c>
      <c r="AS82" s="1">
        <f t="shared" si="260"/>
        <v>49743</v>
      </c>
      <c r="AT82" s="1">
        <f t="shared" si="260"/>
        <v>29846</v>
      </c>
      <c r="AU82" s="1">
        <f t="shared" si="260"/>
        <v>8291</v>
      </c>
      <c r="AV82" s="1">
        <f t="shared" si="260"/>
        <v>2488</v>
      </c>
      <c r="AW82" s="1">
        <f t="shared" si="260"/>
        <v>66324</v>
      </c>
      <c r="AX82" s="1">
        <f t="shared" si="260"/>
        <v>149229</v>
      </c>
      <c r="AY82" s="1">
        <f t="shared" si="240"/>
        <v>1400623</v>
      </c>
      <c r="AZ82" s="1">
        <f t="shared" si="241"/>
        <v>700312</v>
      </c>
      <c r="BB82" s="1">
        <f t="shared" si="242"/>
        <v>71</v>
      </c>
    </row>
    <row r="83" spans="2:54">
      <c r="B83" s="4">
        <v>72</v>
      </c>
      <c r="C83" s="1">
        <f t="shared" ref="C83:I83" si="261">C$5+(C$6-C$5)*(POWER(C$7,$B83-1)-1)/(POWER(C$7,$B$3-1)-1)</f>
        <v>5689.20039801943</v>
      </c>
      <c r="D83" s="1">
        <f t="shared" si="261"/>
        <v>1706.76011940583</v>
      </c>
      <c r="E83" s="1">
        <f t="shared" si="261"/>
        <v>1137.84007960389</v>
      </c>
      <c r="F83" s="1">
        <f t="shared" si="261"/>
        <v>14403.0389823277</v>
      </c>
      <c r="G83" s="1">
        <f t="shared" si="261"/>
        <v>4320.9116946983</v>
      </c>
      <c r="H83" s="1">
        <f t="shared" si="261"/>
        <v>2880.60779646554</v>
      </c>
      <c r="I83" s="1">
        <f t="shared" si="261"/>
        <v>0</v>
      </c>
      <c r="J83" s="1">
        <f>标准模型!$I$65/1*$B83/$B$3</f>
        <v>0.5184</v>
      </c>
      <c r="K83" s="1">
        <f>J83*标准模型!$J$63</f>
        <v>0.5184</v>
      </c>
      <c r="L83" s="1">
        <f t="shared" si="217"/>
        <v>20092.2393803471</v>
      </c>
      <c r="M83" s="1">
        <f t="shared" si="218"/>
        <v>6912.45626000412</v>
      </c>
      <c r="N83" s="1">
        <f t="shared" si="219"/>
        <v>4608.30417333608</v>
      </c>
      <c r="O83" s="1">
        <f t="shared" ref="O83:W83" si="262">O$5+(O$6-O$5)*(POWER(O$7,$B83-1)-1)/(POWER(O$7,$B$3-1)-1)</f>
        <v>0.571157509931501</v>
      </c>
      <c r="P83" s="1">
        <f t="shared" si="262"/>
        <v>0.0403684891479471</v>
      </c>
      <c r="Q83" s="1">
        <f t="shared" si="262"/>
        <v>0.314136630462326</v>
      </c>
      <c r="R83" s="1">
        <f t="shared" si="262"/>
        <v>1.0284630039726</v>
      </c>
      <c r="S83" s="1">
        <f t="shared" si="262"/>
        <v>0.142504762910952</v>
      </c>
      <c r="T83" s="1">
        <f t="shared" si="262"/>
        <v>2.27751428873286</v>
      </c>
      <c r="U83" s="1">
        <f t="shared" si="262"/>
        <v>1</v>
      </c>
      <c r="V83" s="1">
        <f t="shared" si="262"/>
        <v>1.07760425869453</v>
      </c>
      <c r="W83" s="1">
        <f t="shared" si="262"/>
        <v>1.2277040317808</v>
      </c>
      <c r="X83" s="1">
        <f t="shared" si="221"/>
        <v>0.912712117434467</v>
      </c>
      <c r="Y83" s="1">
        <f t="shared" si="222"/>
        <v>1.4887813527462</v>
      </c>
      <c r="Z83" s="1">
        <f t="shared" si="223"/>
        <v>29912.9513243738</v>
      </c>
      <c r="AA83" s="1">
        <f t="shared" si="224"/>
        <v>6912.45626000412</v>
      </c>
      <c r="AB83" s="1">
        <f t="shared" si="225"/>
        <v>4608.30417333608</v>
      </c>
      <c r="AC83" s="1">
        <f>AB83/(AB83+战斗公式!$M$27)</f>
        <v>0.161082745255176</v>
      </c>
      <c r="AD83" s="1">
        <f t="shared" si="226"/>
        <v>35656.6170920784</v>
      </c>
      <c r="AE83" s="1">
        <f t="shared" si="227"/>
        <v>5.65163263991118</v>
      </c>
      <c r="AF83" s="1">
        <f t="shared" si="228"/>
        <v>3.46478922792797</v>
      </c>
      <c r="AG83" s="1">
        <f t="shared" si="229"/>
        <v>2.69578593615649</v>
      </c>
      <c r="AH83" s="1">
        <f t="shared" si="230"/>
        <v>0.478245616349535</v>
      </c>
      <c r="AI83" s="1">
        <f t="shared" si="231"/>
        <v>1.0301351817936</v>
      </c>
      <c r="AJ83" s="1">
        <f t="shared" si="232"/>
        <v>1.19058259294452</v>
      </c>
      <c r="AK83" s="1">
        <f t="shared" si="233"/>
        <v>1</v>
      </c>
      <c r="AL83" s="10">
        <f t="shared" si="234"/>
        <v>23274</v>
      </c>
      <c r="AM83" s="10">
        <f t="shared" si="235"/>
        <v>3306</v>
      </c>
      <c r="AN83" s="10">
        <f t="shared" si="236"/>
        <v>4608</v>
      </c>
      <c r="AO83" s="1">
        <f t="shared" si="237"/>
        <v>16988</v>
      </c>
      <c r="AP83" s="1">
        <f t="shared" si="238"/>
        <v>3306</v>
      </c>
      <c r="AR83" s="1">
        <f t="shared" ref="AR83:AX83" si="263">ROUNDUP(AR$10*$AO83,0)</f>
        <v>16988</v>
      </c>
      <c r="AS83" s="1">
        <f t="shared" si="263"/>
        <v>50964</v>
      </c>
      <c r="AT83" s="1">
        <f t="shared" si="263"/>
        <v>30579</v>
      </c>
      <c r="AU83" s="1">
        <f t="shared" si="263"/>
        <v>8494</v>
      </c>
      <c r="AV83" s="1">
        <f t="shared" si="263"/>
        <v>2549</v>
      </c>
      <c r="AW83" s="1">
        <f t="shared" si="263"/>
        <v>67952</v>
      </c>
      <c r="AX83" s="1">
        <f t="shared" si="263"/>
        <v>152892</v>
      </c>
      <c r="AY83" s="1">
        <f t="shared" si="240"/>
        <v>1438522</v>
      </c>
      <c r="AZ83" s="1">
        <f t="shared" si="241"/>
        <v>719261</v>
      </c>
      <c r="BB83" s="1">
        <f t="shared" si="242"/>
        <v>72</v>
      </c>
    </row>
    <row r="84" spans="2:54">
      <c r="B84" s="4">
        <v>73</v>
      </c>
      <c r="C84" s="1">
        <f t="shared" ref="C84:I84" si="264">C$5+(C$6-C$5)*(POWER(C$7,$B84-1)-1)/(POWER(C$7,$B$3-1)-1)</f>
        <v>5768.21446045622</v>
      </c>
      <c r="D84" s="1">
        <f t="shared" si="264"/>
        <v>1730.46433813687</v>
      </c>
      <c r="E84" s="1">
        <f t="shared" si="264"/>
        <v>1153.64289209124</v>
      </c>
      <c r="F84" s="1">
        <f t="shared" si="264"/>
        <v>14603.0745834335</v>
      </c>
      <c r="G84" s="1">
        <f t="shared" si="264"/>
        <v>4380.92237503004</v>
      </c>
      <c r="H84" s="1">
        <f t="shared" si="264"/>
        <v>2920.61491668669</v>
      </c>
      <c r="I84" s="1">
        <f t="shared" si="264"/>
        <v>0</v>
      </c>
      <c r="J84" s="1">
        <f>标准模型!$I$65/1*$B84/$B$3</f>
        <v>0.5256</v>
      </c>
      <c r="K84" s="1">
        <f>J84*标准模型!$J$63</f>
        <v>0.5256</v>
      </c>
      <c r="L84" s="1">
        <f t="shared" si="217"/>
        <v>20371.2890438897</v>
      </c>
      <c r="M84" s="1">
        <f t="shared" si="218"/>
        <v>7020.91876929164</v>
      </c>
      <c r="N84" s="1">
        <f t="shared" si="219"/>
        <v>4680.6125128611</v>
      </c>
      <c r="O84" s="1">
        <f t="shared" ref="O84:W84" si="265">O$5+(O$6-O$5)*(POWER(O$7,$B84-1)-1)/(POWER(O$7,$B$3-1)-1)</f>
        <v>0.572159692301771</v>
      </c>
      <c r="P84" s="1">
        <f t="shared" si="265"/>
        <v>0.0409682990071986</v>
      </c>
      <c r="Q84" s="1">
        <f t="shared" si="265"/>
        <v>0.314687830765974</v>
      </c>
      <c r="R84" s="1">
        <f t="shared" si="265"/>
        <v>1.02886387692071</v>
      </c>
      <c r="S84" s="1">
        <f t="shared" si="265"/>
        <v>0.143807599992302</v>
      </c>
      <c r="T84" s="1">
        <f t="shared" si="265"/>
        <v>2.28142279997691</v>
      </c>
      <c r="U84" s="1">
        <f t="shared" si="265"/>
        <v>1</v>
      </c>
      <c r="V84" s="1">
        <f t="shared" si="265"/>
        <v>1.07869723707441</v>
      </c>
      <c r="W84" s="1">
        <f t="shared" si="265"/>
        <v>1.23091101536567</v>
      </c>
      <c r="X84" s="1">
        <f t="shared" si="221"/>
        <v>0.919579977590333</v>
      </c>
      <c r="Y84" s="1">
        <f t="shared" si="222"/>
        <v>1.50106570847844</v>
      </c>
      <c r="Z84" s="1">
        <f t="shared" si="223"/>
        <v>30578.6434212854</v>
      </c>
      <c r="AA84" s="1">
        <f t="shared" si="224"/>
        <v>7020.91876929164</v>
      </c>
      <c r="AB84" s="1">
        <f t="shared" si="225"/>
        <v>4680.6125128611</v>
      </c>
      <c r="AC84" s="1">
        <f>AB84/(AB84+战斗公式!$M$27)</f>
        <v>0.163197787730726</v>
      </c>
      <c r="AD84" s="1">
        <f t="shared" si="226"/>
        <v>36542.2592972848</v>
      </c>
      <c r="AE84" s="1">
        <f t="shared" si="227"/>
        <v>5.65994146806018</v>
      </c>
      <c r="AF84" s="1">
        <f t="shared" si="228"/>
        <v>3.46738241967916</v>
      </c>
      <c r="AG84" s="1">
        <f t="shared" si="229"/>
        <v>2.71378519586637</v>
      </c>
      <c r="AH84" s="1">
        <f t="shared" si="230"/>
        <v>0.480941086124205</v>
      </c>
      <c r="AI84" s="1">
        <f t="shared" si="231"/>
        <v>1.02862842270348</v>
      </c>
      <c r="AJ84" s="1">
        <f t="shared" si="232"/>
        <v>1.18677027127824</v>
      </c>
      <c r="AK84" s="1">
        <f t="shared" si="233"/>
        <v>1</v>
      </c>
      <c r="AL84" s="10">
        <f t="shared" si="234"/>
        <v>23933</v>
      </c>
      <c r="AM84" s="10">
        <f t="shared" si="235"/>
        <v>3377</v>
      </c>
      <c r="AN84" s="10">
        <f t="shared" si="236"/>
        <v>4681</v>
      </c>
      <c r="AO84" s="1">
        <f t="shared" si="237"/>
        <v>17400</v>
      </c>
      <c r="AP84" s="1">
        <f t="shared" si="238"/>
        <v>3377</v>
      </c>
      <c r="AR84" s="1">
        <f t="shared" ref="AR84:AX84" si="266">ROUNDUP(AR$10*$AO84,0)</f>
        <v>17400</v>
      </c>
      <c r="AS84" s="1">
        <f t="shared" si="266"/>
        <v>52200</v>
      </c>
      <c r="AT84" s="1">
        <f t="shared" si="266"/>
        <v>31320</v>
      </c>
      <c r="AU84" s="1">
        <f t="shared" si="266"/>
        <v>8700</v>
      </c>
      <c r="AV84" s="1">
        <f t="shared" si="266"/>
        <v>2610</v>
      </c>
      <c r="AW84" s="1">
        <f t="shared" si="266"/>
        <v>69600</v>
      </c>
      <c r="AX84" s="1">
        <f t="shared" si="266"/>
        <v>156600</v>
      </c>
      <c r="AY84" s="1">
        <f t="shared" si="240"/>
        <v>1477090</v>
      </c>
      <c r="AZ84" s="1">
        <f t="shared" si="241"/>
        <v>738545</v>
      </c>
      <c r="BB84" s="1">
        <f t="shared" si="242"/>
        <v>73</v>
      </c>
    </row>
    <row r="85" spans="2:54">
      <c r="B85" s="4">
        <v>74</v>
      </c>
      <c r="C85" s="1">
        <f t="shared" ref="C85:I85" si="267">C$5+(C$6-C$5)*(POWER(C$7,$B85-1)-1)/(POWER(C$7,$B$3-1)-1)</f>
        <v>5847.22844388385</v>
      </c>
      <c r="D85" s="1">
        <f t="shared" si="267"/>
        <v>1754.16853316516</v>
      </c>
      <c r="E85" s="1">
        <f t="shared" si="267"/>
        <v>1169.44568877677</v>
      </c>
      <c r="F85" s="1">
        <f t="shared" si="267"/>
        <v>14803.1099845161</v>
      </c>
      <c r="G85" s="1">
        <f t="shared" si="267"/>
        <v>4440.93299535483</v>
      </c>
      <c r="H85" s="1">
        <f t="shared" si="267"/>
        <v>2960.62199690322</v>
      </c>
      <c r="I85" s="1">
        <f t="shared" si="267"/>
        <v>0</v>
      </c>
      <c r="J85" s="1">
        <f>标准模型!$I$65/1*$B85/$B$3</f>
        <v>0.5328</v>
      </c>
      <c r="K85" s="1">
        <f>J85*标准模型!$J$63</f>
        <v>0.5328</v>
      </c>
      <c r="L85" s="1">
        <f t="shared" si="217"/>
        <v>20650.3384284</v>
      </c>
      <c r="M85" s="1">
        <f t="shared" si="218"/>
        <v>7129.72252299038</v>
      </c>
      <c r="N85" s="1">
        <f t="shared" si="219"/>
        <v>4753.14834866025</v>
      </c>
      <c r="O85" s="1">
        <f t="shared" ref="O85:W85" si="268">O$5+(O$6-O$5)*(POWER(O$7,$B85-1)-1)/(POWER(O$7,$B$3-1)-1)</f>
        <v>0.57316187366992</v>
      </c>
      <c r="P85" s="1">
        <f t="shared" si="268"/>
        <v>0.041569008581239</v>
      </c>
      <c r="Q85" s="1">
        <f t="shared" si="268"/>
        <v>0.315239030518456</v>
      </c>
      <c r="R85" s="1">
        <f t="shared" si="268"/>
        <v>1.02926474946797</v>
      </c>
      <c r="S85" s="1">
        <f t="shared" si="268"/>
        <v>0.145110435770896</v>
      </c>
      <c r="T85" s="1">
        <f t="shared" si="268"/>
        <v>2.28533130731269</v>
      </c>
      <c r="U85" s="1">
        <f t="shared" si="268"/>
        <v>1</v>
      </c>
      <c r="V85" s="1">
        <f t="shared" si="268"/>
        <v>1.07979021436138</v>
      </c>
      <c r="W85" s="1">
        <f t="shared" si="268"/>
        <v>1.23411799574374</v>
      </c>
      <c r="X85" s="1">
        <f t="shared" si="221"/>
        <v>0.926492789201193</v>
      </c>
      <c r="Y85" s="1">
        <f t="shared" si="222"/>
        <v>1.51344031216501</v>
      </c>
      <c r="Z85" s="1">
        <f t="shared" si="223"/>
        <v>31253.0546373907</v>
      </c>
      <c r="AA85" s="1">
        <f t="shared" si="224"/>
        <v>7129.72252299038</v>
      </c>
      <c r="AB85" s="1">
        <f t="shared" si="225"/>
        <v>4753.14834866025</v>
      </c>
      <c r="AC85" s="1">
        <f>AB85/(AB85+战斗公式!$M$27)</f>
        <v>0.165308796484602</v>
      </c>
      <c r="AD85" s="1">
        <f t="shared" si="226"/>
        <v>37442.6548474033</v>
      </c>
      <c r="AE85" s="1">
        <f t="shared" si="227"/>
        <v>5.66828871225997</v>
      </c>
      <c r="AF85" s="1">
        <f t="shared" si="228"/>
        <v>3.46999387871915</v>
      </c>
      <c r="AG85" s="1">
        <f t="shared" si="229"/>
        <v>2.73164946112842</v>
      </c>
      <c r="AH85" s="1">
        <f t="shared" si="230"/>
        <v>0.483641946838423</v>
      </c>
      <c r="AI85" s="1">
        <f t="shared" si="231"/>
        <v>1.02719700156787</v>
      </c>
      <c r="AJ85" s="1">
        <f t="shared" si="232"/>
        <v>1.18303419604529</v>
      </c>
      <c r="AK85" s="1">
        <f t="shared" si="233"/>
        <v>1</v>
      </c>
      <c r="AL85" s="10">
        <f t="shared" si="234"/>
        <v>24603</v>
      </c>
      <c r="AM85" s="10">
        <f t="shared" si="235"/>
        <v>3448</v>
      </c>
      <c r="AN85" s="10">
        <f t="shared" si="236"/>
        <v>4753</v>
      </c>
      <c r="AO85" s="1">
        <f t="shared" si="237"/>
        <v>17818</v>
      </c>
      <c r="AP85" s="1">
        <f t="shared" si="238"/>
        <v>3448</v>
      </c>
      <c r="AR85" s="1">
        <f t="shared" ref="AR85:AX85" si="269">ROUNDUP(AR$10*$AO85,0)</f>
        <v>17818</v>
      </c>
      <c r="AS85" s="1">
        <f t="shared" si="269"/>
        <v>53454</v>
      </c>
      <c r="AT85" s="1">
        <f t="shared" si="269"/>
        <v>32073</v>
      </c>
      <c r="AU85" s="1">
        <f t="shared" si="269"/>
        <v>8909</v>
      </c>
      <c r="AV85" s="1">
        <f t="shared" si="269"/>
        <v>2673</v>
      </c>
      <c r="AW85" s="1">
        <f t="shared" si="269"/>
        <v>71272</v>
      </c>
      <c r="AX85" s="1">
        <f t="shared" si="269"/>
        <v>160362</v>
      </c>
      <c r="AY85" s="1">
        <f t="shared" si="240"/>
        <v>1516328</v>
      </c>
      <c r="AZ85" s="1">
        <f t="shared" si="241"/>
        <v>758164</v>
      </c>
      <c r="BB85" s="1">
        <f t="shared" si="242"/>
        <v>74</v>
      </c>
    </row>
    <row r="86" spans="2:54">
      <c r="B86" s="4">
        <v>75</v>
      </c>
      <c r="C86" s="1">
        <f t="shared" ref="C86:I86" si="270">C$5+(C$6-C$5)*(POWER(C$7,$B86-1)-1)/(POWER(C$7,$B$3-1)-1)</f>
        <v>5926.24234829356</v>
      </c>
      <c r="D86" s="1">
        <f t="shared" si="270"/>
        <v>1777.87270448807</v>
      </c>
      <c r="E86" s="1">
        <f t="shared" si="270"/>
        <v>1185.24846965871</v>
      </c>
      <c r="F86" s="1">
        <f t="shared" si="270"/>
        <v>15003.1451855533</v>
      </c>
      <c r="G86" s="1">
        <f t="shared" si="270"/>
        <v>4500.943555666</v>
      </c>
      <c r="H86" s="1">
        <f t="shared" si="270"/>
        <v>3000.62903711067</v>
      </c>
      <c r="I86" s="1">
        <f t="shared" si="270"/>
        <v>0</v>
      </c>
      <c r="J86" s="1">
        <f>标准模型!$I$65/1*$B86/$B$3</f>
        <v>0.54</v>
      </c>
      <c r="K86" s="1">
        <f>J86*标准模型!$J$63</f>
        <v>0.54</v>
      </c>
      <c r="L86" s="1">
        <f t="shared" si="217"/>
        <v>20929.3875338469</v>
      </c>
      <c r="M86" s="1">
        <f t="shared" si="218"/>
        <v>7238.86752057762</v>
      </c>
      <c r="N86" s="1">
        <f t="shared" si="219"/>
        <v>4825.91168038508</v>
      </c>
      <c r="O86" s="1">
        <f t="shared" ref="O86:W86" si="271">O$5+(O$6-O$5)*(POWER(O$7,$B86-1)-1)/(POWER(O$7,$B$3-1)-1)</f>
        <v>0.574164054035838</v>
      </c>
      <c r="P86" s="1">
        <f t="shared" si="271"/>
        <v>0.0421706192196405</v>
      </c>
      <c r="Q86" s="1">
        <f t="shared" si="271"/>
        <v>0.315790229719711</v>
      </c>
      <c r="R86" s="1">
        <f t="shared" si="271"/>
        <v>1.02966562161434</v>
      </c>
      <c r="S86" s="1">
        <f t="shared" si="271"/>
        <v>0.14641327024659</v>
      </c>
      <c r="T86" s="1">
        <f t="shared" si="271"/>
        <v>2.28923981073977</v>
      </c>
      <c r="U86" s="1">
        <f t="shared" si="271"/>
        <v>1</v>
      </c>
      <c r="V86" s="1">
        <f t="shared" si="271"/>
        <v>1.08088319055532</v>
      </c>
      <c r="W86" s="1">
        <f t="shared" si="271"/>
        <v>1.23732497291468</v>
      </c>
      <c r="X86" s="1">
        <f t="shared" si="221"/>
        <v>0.933450814139136</v>
      </c>
      <c r="Y86" s="1">
        <f t="shared" si="222"/>
        <v>1.52590575872942</v>
      </c>
      <c r="Z86" s="1">
        <f t="shared" si="223"/>
        <v>31936.2729645766</v>
      </c>
      <c r="AA86" s="1">
        <f t="shared" si="224"/>
        <v>7238.86752057762</v>
      </c>
      <c r="AB86" s="1">
        <f t="shared" si="225"/>
        <v>4825.91168038508</v>
      </c>
      <c r="AC86" s="1">
        <f>AB86/(AB86+战斗公式!$M$27)</f>
        <v>0.167415751976682</v>
      </c>
      <c r="AD86" s="1">
        <f t="shared" si="226"/>
        <v>38358.0076615648</v>
      </c>
      <c r="AE86" s="1">
        <f t="shared" si="227"/>
        <v>5.67667425925735</v>
      </c>
      <c r="AF86" s="1">
        <f t="shared" si="228"/>
        <v>3.47262350809837</v>
      </c>
      <c r="AG86" s="1">
        <f t="shared" si="229"/>
        <v>2.74937974440101</v>
      </c>
      <c r="AH86" s="1">
        <f t="shared" si="230"/>
        <v>0.48634820927407</v>
      </c>
      <c r="AI86" s="1">
        <f t="shared" si="231"/>
        <v>1.02583715148903</v>
      </c>
      <c r="AJ86" s="1">
        <f t="shared" si="232"/>
        <v>1.17937284231699</v>
      </c>
      <c r="AK86" s="1">
        <f t="shared" si="233"/>
        <v>1</v>
      </c>
      <c r="AL86" s="10">
        <f t="shared" si="234"/>
        <v>25285</v>
      </c>
      <c r="AM86" s="10">
        <f t="shared" si="235"/>
        <v>3521</v>
      </c>
      <c r="AN86" s="10">
        <f t="shared" si="236"/>
        <v>4826</v>
      </c>
      <c r="AO86" s="1">
        <f t="shared" si="237"/>
        <v>18242</v>
      </c>
      <c r="AP86" s="1">
        <f t="shared" si="238"/>
        <v>3521</v>
      </c>
      <c r="AR86" s="1">
        <f t="shared" ref="AR86:AX86" si="272">ROUNDUP(AR$10*$AO86,0)</f>
        <v>18242</v>
      </c>
      <c r="AS86" s="1">
        <f t="shared" si="272"/>
        <v>54726</v>
      </c>
      <c r="AT86" s="1">
        <f t="shared" si="272"/>
        <v>32836</v>
      </c>
      <c r="AU86" s="1">
        <f t="shared" si="272"/>
        <v>9121</v>
      </c>
      <c r="AV86" s="1">
        <f t="shared" si="272"/>
        <v>2737</v>
      </c>
      <c r="AW86" s="1">
        <f t="shared" si="272"/>
        <v>72968</v>
      </c>
      <c r="AX86" s="1">
        <f t="shared" si="272"/>
        <v>164178</v>
      </c>
      <c r="AY86" s="1">
        <f t="shared" si="240"/>
        <v>1556298</v>
      </c>
      <c r="AZ86" s="1">
        <f t="shared" si="241"/>
        <v>778149</v>
      </c>
      <c r="BB86" s="1">
        <f t="shared" si="242"/>
        <v>75</v>
      </c>
    </row>
    <row r="87" spans="2:54">
      <c r="B87" s="4">
        <v>76</v>
      </c>
      <c r="C87" s="1">
        <f t="shared" ref="C87:I87" si="273">C$5+(C$6-C$5)*(POWER(C$7,$B87-1)-1)/(POWER(C$7,$B$3-1)-1)</f>
        <v>6005.25617368535</v>
      </c>
      <c r="D87" s="1">
        <f t="shared" si="273"/>
        <v>1801.5768521056</v>
      </c>
      <c r="E87" s="1">
        <f t="shared" si="273"/>
        <v>1201.05123473707</v>
      </c>
      <c r="F87" s="1">
        <f t="shared" si="273"/>
        <v>15203.1801865452</v>
      </c>
      <c r="G87" s="1">
        <f t="shared" si="273"/>
        <v>4560.95405596356</v>
      </c>
      <c r="H87" s="1">
        <f t="shared" si="273"/>
        <v>3040.63603730904</v>
      </c>
      <c r="I87" s="1">
        <f t="shared" si="273"/>
        <v>0</v>
      </c>
      <c r="J87" s="1">
        <f>标准模型!$I$65/1*$B87/$B$3</f>
        <v>0.5472</v>
      </c>
      <c r="K87" s="1">
        <f>J87*标准模型!$J$63</f>
        <v>0.5472</v>
      </c>
      <c r="L87" s="1">
        <f t="shared" si="217"/>
        <v>21208.4363602305</v>
      </c>
      <c r="M87" s="1">
        <f t="shared" si="218"/>
        <v>7348.35376154135</v>
      </c>
      <c r="N87" s="1">
        <f t="shared" si="219"/>
        <v>4898.90250769423</v>
      </c>
      <c r="O87" s="1">
        <f t="shared" ref="O87:W87" si="274">O$5+(O$6-O$5)*(POWER(O$7,$B87-1)-1)/(POWER(O$7,$B$3-1)-1)</f>
        <v>0.575166233399525</v>
      </c>
      <c r="P87" s="1">
        <f t="shared" si="274"/>
        <v>0.0427731322739996</v>
      </c>
      <c r="Q87" s="1">
        <f t="shared" si="274"/>
        <v>0.316341428369739</v>
      </c>
      <c r="R87" s="1">
        <f t="shared" si="274"/>
        <v>1.03006649335981</v>
      </c>
      <c r="S87" s="1">
        <f t="shared" si="274"/>
        <v>0.147716103419382</v>
      </c>
      <c r="T87" s="1">
        <f t="shared" si="274"/>
        <v>2.29314831025815</v>
      </c>
      <c r="U87" s="1">
        <f t="shared" si="274"/>
        <v>1</v>
      </c>
      <c r="V87" s="1">
        <f t="shared" si="274"/>
        <v>1.08197616565623</v>
      </c>
      <c r="W87" s="1">
        <f t="shared" si="274"/>
        <v>1.24053194687848</v>
      </c>
      <c r="X87" s="1">
        <f t="shared" si="221"/>
        <v>0.940454315447923</v>
      </c>
      <c r="Y87" s="1">
        <f t="shared" si="222"/>
        <v>1.53846264629998</v>
      </c>
      <c r="Z87" s="1">
        <f t="shared" si="223"/>
        <v>32628.3871266449</v>
      </c>
      <c r="AA87" s="1">
        <f t="shared" si="224"/>
        <v>7348.35376154135</v>
      </c>
      <c r="AB87" s="1">
        <f t="shared" si="225"/>
        <v>4898.90250769423</v>
      </c>
      <c r="AC87" s="1">
        <f>AB87/(AB87+战斗公式!$M$27)</f>
        <v>0.169518635055083</v>
      </c>
      <c r="AD87" s="1">
        <f t="shared" si="226"/>
        <v>39288.524106509</v>
      </c>
      <c r="AE87" s="1">
        <f t="shared" si="227"/>
        <v>5.68509799669419</v>
      </c>
      <c r="AF87" s="1">
        <f t="shared" si="228"/>
        <v>3.47527121155264</v>
      </c>
      <c r="AG87" s="1">
        <f t="shared" si="229"/>
        <v>2.76697705054905</v>
      </c>
      <c r="AH87" s="1">
        <f t="shared" si="230"/>
        <v>0.489059884234589</v>
      </c>
      <c r="AI87" s="1">
        <f t="shared" si="231"/>
        <v>1.02454529391414</v>
      </c>
      <c r="AJ87" s="1">
        <f t="shared" si="232"/>
        <v>1.17578471566327</v>
      </c>
      <c r="AK87" s="1">
        <f t="shared" si="233"/>
        <v>1</v>
      </c>
      <c r="AL87" s="10">
        <f t="shared" si="234"/>
        <v>25978</v>
      </c>
      <c r="AM87" s="10">
        <f t="shared" si="235"/>
        <v>3594</v>
      </c>
      <c r="AN87" s="10">
        <f t="shared" si="236"/>
        <v>4899</v>
      </c>
      <c r="AO87" s="1">
        <f t="shared" si="237"/>
        <v>18672</v>
      </c>
      <c r="AP87" s="1">
        <f t="shared" si="238"/>
        <v>3594</v>
      </c>
      <c r="AR87" s="1">
        <f t="shared" ref="AR87:AX87" si="275">ROUNDUP(AR$10*$AO87,0)</f>
        <v>18672</v>
      </c>
      <c r="AS87" s="1">
        <f t="shared" si="275"/>
        <v>56016</v>
      </c>
      <c r="AT87" s="1">
        <f t="shared" si="275"/>
        <v>33610</v>
      </c>
      <c r="AU87" s="1">
        <f t="shared" si="275"/>
        <v>9336</v>
      </c>
      <c r="AV87" s="1">
        <f t="shared" si="275"/>
        <v>2801</v>
      </c>
      <c r="AW87" s="1">
        <f t="shared" si="275"/>
        <v>74688</v>
      </c>
      <c r="AX87" s="1">
        <f t="shared" si="275"/>
        <v>168048</v>
      </c>
      <c r="AY87" s="1">
        <f t="shared" si="240"/>
        <v>1596938</v>
      </c>
      <c r="AZ87" s="1">
        <f t="shared" si="241"/>
        <v>798469</v>
      </c>
      <c r="BB87" s="1">
        <f t="shared" si="242"/>
        <v>76</v>
      </c>
    </row>
    <row r="88" spans="2:54">
      <c r="B88" s="4">
        <v>77</v>
      </c>
      <c r="C88" s="1">
        <f t="shared" ref="C88:I88" si="276">C$5+(C$6-C$5)*(POWER(C$7,$B88-1)-1)/(POWER(C$7,$B$3-1)-1)</f>
        <v>6084.26992006798</v>
      </c>
      <c r="D88" s="1">
        <f t="shared" si="276"/>
        <v>1825.28097602039</v>
      </c>
      <c r="E88" s="1">
        <f t="shared" si="276"/>
        <v>1216.8539840136</v>
      </c>
      <c r="F88" s="1">
        <f t="shared" si="276"/>
        <v>15403.2149875139</v>
      </c>
      <c r="G88" s="1">
        <f t="shared" si="276"/>
        <v>4620.96449625416</v>
      </c>
      <c r="H88" s="1">
        <f t="shared" si="276"/>
        <v>3080.64299750278</v>
      </c>
      <c r="I88" s="1">
        <f t="shared" si="276"/>
        <v>0</v>
      </c>
      <c r="J88" s="1">
        <f>标准模型!$I$65/1*$B88/$B$3</f>
        <v>0.5544</v>
      </c>
      <c r="K88" s="1">
        <f>J88*标准模型!$J$63</f>
        <v>0.5544</v>
      </c>
      <c r="L88" s="1">
        <f t="shared" si="217"/>
        <v>21487.4849075819</v>
      </c>
      <c r="M88" s="1">
        <f t="shared" si="218"/>
        <v>7458.18124538026</v>
      </c>
      <c r="N88" s="1">
        <f t="shared" si="219"/>
        <v>4972.12083025351</v>
      </c>
      <c r="O88" s="1">
        <f t="shared" ref="O88:W88" si="277">O$5+(O$6-O$5)*(POWER(O$7,$B88-1)-1)/(POWER(O$7,$B$3-1)-1)</f>
        <v>0.576168411761092</v>
      </c>
      <c r="P88" s="1">
        <f t="shared" si="277"/>
        <v>0.0433765490979401</v>
      </c>
      <c r="Q88" s="1">
        <f t="shared" si="277"/>
        <v>0.3168926264686</v>
      </c>
      <c r="R88" s="1">
        <f t="shared" si="277"/>
        <v>1.03046736470444</v>
      </c>
      <c r="S88" s="1">
        <f t="shared" si="277"/>
        <v>0.149018935289419</v>
      </c>
      <c r="T88" s="1">
        <f t="shared" si="277"/>
        <v>2.29705680586826</v>
      </c>
      <c r="U88" s="1">
        <f t="shared" si="277"/>
        <v>1</v>
      </c>
      <c r="V88" s="1">
        <f t="shared" si="277"/>
        <v>1.08306913966423</v>
      </c>
      <c r="W88" s="1">
        <f t="shared" si="277"/>
        <v>1.24373891763549</v>
      </c>
      <c r="X88" s="1">
        <f t="shared" si="221"/>
        <v>0.947503557346021</v>
      </c>
      <c r="Y88" s="1">
        <f t="shared" si="222"/>
        <v>1.55111157622189</v>
      </c>
      <c r="Z88" s="1">
        <f t="shared" si="223"/>
        <v>33329.4865840435</v>
      </c>
      <c r="AA88" s="1">
        <f t="shared" si="224"/>
        <v>7458.18124538026</v>
      </c>
      <c r="AB88" s="1">
        <f t="shared" si="225"/>
        <v>4972.12083025351</v>
      </c>
      <c r="AC88" s="1">
        <f>AB88/(AB88+战斗公式!$M$27)</f>
        <v>0.171617426952792</v>
      </c>
      <c r="AD88" s="1">
        <f t="shared" si="226"/>
        <v>40234.4130218008</v>
      </c>
      <c r="AE88" s="1">
        <f t="shared" si="227"/>
        <v>5.69355981309788</v>
      </c>
      <c r="AF88" s="1">
        <f t="shared" si="228"/>
        <v>3.47793689349712</v>
      </c>
      <c r="AG88" s="1">
        <f t="shared" si="229"/>
        <v>2.78444237690099</v>
      </c>
      <c r="AH88" s="1">
        <f t="shared" si="230"/>
        <v>0.491776982545028</v>
      </c>
      <c r="AI88" s="1">
        <f t="shared" si="231"/>
        <v>1.02331802921799</v>
      </c>
      <c r="AJ88" s="1">
        <f t="shared" si="232"/>
        <v>1.17226835154261</v>
      </c>
      <c r="AK88" s="1">
        <f t="shared" si="233"/>
        <v>1</v>
      </c>
      <c r="AL88" s="10">
        <f t="shared" si="234"/>
        <v>26684</v>
      </c>
      <c r="AM88" s="10">
        <f t="shared" si="235"/>
        <v>3668</v>
      </c>
      <c r="AN88" s="10">
        <f t="shared" si="236"/>
        <v>4972</v>
      </c>
      <c r="AO88" s="1">
        <f t="shared" si="237"/>
        <v>19108</v>
      </c>
      <c r="AP88" s="1">
        <f t="shared" si="238"/>
        <v>3668</v>
      </c>
      <c r="AR88" s="1">
        <f t="shared" ref="AR88:AX88" si="278">ROUNDUP(AR$10*$AO88,0)</f>
        <v>19108</v>
      </c>
      <c r="AS88" s="1">
        <f t="shared" si="278"/>
        <v>57324</v>
      </c>
      <c r="AT88" s="1">
        <f t="shared" si="278"/>
        <v>34395</v>
      </c>
      <c r="AU88" s="1">
        <f t="shared" si="278"/>
        <v>9554</v>
      </c>
      <c r="AV88" s="1">
        <f t="shared" si="278"/>
        <v>2867</v>
      </c>
      <c r="AW88" s="1">
        <f t="shared" si="278"/>
        <v>76432</v>
      </c>
      <c r="AX88" s="1">
        <f t="shared" si="278"/>
        <v>171972</v>
      </c>
      <c r="AY88" s="1">
        <f t="shared" si="240"/>
        <v>1638373</v>
      </c>
      <c r="AZ88" s="1">
        <f t="shared" si="241"/>
        <v>819187</v>
      </c>
      <c r="BB88" s="1">
        <f t="shared" si="242"/>
        <v>77</v>
      </c>
    </row>
    <row r="89" spans="2:54">
      <c r="B89" s="4">
        <v>78</v>
      </c>
      <c r="C89" s="1">
        <f t="shared" ref="C89:I89" si="279">C$5+(C$6-C$5)*(POWER(C$7,$B89-1)-1)/(POWER(C$7,$B$3-1)-1)</f>
        <v>6163.28358744146</v>
      </c>
      <c r="D89" s="1">
        <f t="shared" si="279"/>
        <v>1848.98507623244</v>
      </c>
      <c r="E89" s="1">
        <f t="shared" si="279"/>
        <v>1232.65671748829</v>
      </c>
      <c r="F89" s="1">
        <f t="shared" si="279"/>
        <v>15603.2495884594</v>
      </c>
      <c r="G89" s="1">
        <f t="shared" si="279"/>
        <v>4680.97487653782</v>
      </c>
      <c r="H89" s="1">
        <f t="shared" si="279"/>
        <v>3120.64991769188</v>
      </c>
      <c r="I89" s="1">
        <f t="shared" si="279"/>
        <v>0</v>
      </c>
      <c r="J89" s="1">
        <f>标准模型!$I$65/1*$B89/$B$3</f>
        <v>0.5616</v>
      </c>
      <c r="K89" s="1">
        <f>J89*标准模型!$J$63</f>
        <v>0.5616</v>
      </c>
      <c r="L89" s="1">
        <f t="shared" si="217"/>
        <v>21766.5331759009</v>
      </c>
      <c r="M89" s="1">
        <f t="shared" si="218"/>
        <v>7568.3499715824</v>
      </c>
      <c r="N89" s="1">
        <f t="shared" si="219"/>
        <v>5045.5666477216</v>
      </c>
      <c r="O89" s="1">
        <f t="shared" ref="O89:W89" si="280">O$5+(O$6-O$5)*(POWER(O$7,$B89-1)-1)/(POWER(O$7,$B$3-1)-1)</f>
        <v>0.577170589120538</v>
      </c>
      <c r="P89" s="1">
        <f t="shared" si="280"/>
        <v>0.0439808710471167</v>
      </c>
      <c r="Q89" s="1">
        <f t="shared" si="280"/>
        <v>0.317443824016296</v>
      </c>
      <c r="R89" s="1">
        <f t="shared" si="280"/>
        <v>1.03086823564822</v>
      </c>
      <c r="S89" s="1">
        <f t="shared" si="280"/>
        <v>0.150321765856699</v>
      </c>
      <c r="T89" s="1">
        <f t="shared" si="280"/>
        <v>2.3009652975701</v>
      </c>
      <c r="U89" s="1">
        <f t="shared" si="280"/>
        <v>1</v>
      </c>
      <c r="V89" s="1">
        <f t="shared" si="280"/>
        <v>1.08416211257932</v>
      </c>
      <c r="W89" s="1">
        <f t="shared" si="280"/>
        <v>1.24694588518572</v>
      </c>
      <c r="X89" s="1">
        <f t="shared" si="221"/>
        <v>0.954598805228242</v>
      </c>
      <c r="Y89" s="1">
        <f t="shared" si="222"/>
        <v>1.56385315306669</v>
      </c>
      <c r="Z89" s="1">
        <f t="shared" si="223"/>
        <v>34039.6615384632</v>
      </c>
      <c r="AA89" s="1">
        <f t="shared" si="224"/>
        <v>7568.3499715824</v>
      </c>
      <c r="AB89" s="1">
        <f t="shared" si="225"/>
        <v>5045.5666477216</v>
      </c>
      <c r="AC89" s="1">
        <f>AB89/(AB89+战斗公式!$M$27)</f>
        <v>0.173712109283892</v>
      </c>
      <c r="AD89" s="1">
        <f t="shared" si="226"/>
        <v>41195.8857450549</v>
      </c>
      <c r="AE89" s="1">
        <f t="shared" si="227"/>
        <v>5.70205959786771</v>
      </c>
      <c r="AF89" s="1">
        <f t="shared" si="228"/>
        <v>3.48062045901866</v>
      </c>
      <c r="AG89" s="1">
        <f t="shared" si="229"/>
        <v>2.80177671330528</v>
      </c>
      <c r="AH89" s="1">
        <f t="shared" si="230"/>
        <v>0.494499515052088</v>
      </c>
      <c r="AI89" s="1">
        <f t="shared" si="231"/>
        <v>1.02215212775665</v>
      </c>
      <c r="AJ89" s="1">
        <f t="shared" si="232"/>
        <v>1.16882231470437</v>
      </c>
      <c r="AK89" s="1">
        <f t="shared" si="233"/>
        <v>1</v>
      </c>
      <c r="AL89" s="10">
        <f t="shared" si="234"/>
        <v>27401</v>
      </c>
      <c r="AM89" s="10">
        <f t="shared" si="235"/>
        <v>3743</v>
      </c>
      <c r="AN89" s="10">
        <f t="shared" si="236"/>
        <v>5046</v>
      </c>
      <c r="AO89" s="1">
        <f t="shared" si="237"/>
        <v>19549</v>
      </c>
      <c r="AP89" s="1">
        <f t="shared" si="238"/>
        <v>3743</v>
      </c>
      <c r="AR89" s="1">
        <f t="shared" ref="AR89:AX89" si="281">ROUNDUP(AR$10*$AO89,0)</f>
        <v>19549</v>
      </c>
      <c r="AS89" s="1">
        <f t="shared" si="281"/>
        <v>58647</v>
      </c>
      <c r="AT89" s="1">
        <f t="shared" si="281"/>
        <v>35189</v>
      </c>
      <c r="AU89" s="1">
        <f t="shared" si="281"/>
        <v>9775</v>
      </c>
      <c r="AV89" s="1">
        <f t="shared" si="281"/>
        <v>2933</v>
      </c>
      <c r="AW89" s="1">
        <f t="shared" si="281"/>
        <v>78196</v>
      </c>
      <c r="AX89" s="1">
        <f t="shared" si="281"/>
        <v>175941</v>
      </c>
      <c r="AY89" s="1">
        <f t="shared" si="240"/>
        <v>1680479</v>
      </c>
      <c r="AZ89" s="1">
        <f t="shared" si="241"/>
        <v>840240</v>
      </c>
      <c r="BB89" s="1">
        <f t="shared" si="242"/>
        <v>78</v>
      </c>
    </row>
    <row r="90" spans="2:54">
      <c r="B90" s="4">
        <v>79</v>
      </c>
      <c r="C90" s="1">
        <f t="shared" ref="C90:I90" si="282">C$5+(C$6-C$5)*(POWER(C$7,$B90-1)-1)/(POWER(C$7,$B$3-1)-1)</f>
        <v>6242.29717579702</v>
      </c>
      <c r="D90" s="1">
        <f t="shared" si="282"/>
        <v>1872.68915273911</v>
      </c>
      <c r="E90" s="1">
        <f t="shared" si="282"/>
        <v>1248.4594351594</v>
      </c>
      <c r="F90" s="1">
        <f t="shared" si="282"/>
        <v>15803.2839893595</v>
      </c>
      <c r="G90" s="1">
        <f t="shared" si="282"/>
        <v>4740.98519680786</v>
      </c>
      <c r="H90" s="1">
        <f t="shared" si="282"/>
        <v>3160.65679787191</v>
      </c>
      <c r="I90" s="1">
        <f t="shared" si="282"/>
        <v>0</v>
      </c>
      <c r="J90" s="1">
        <f>标准模型!$I$65/1*$B90/$B$3</f>
        <v>0.5688</v>
      </c>
      <c r="K90" s="1">
        <f>J90*标准模型!$J$63</f>
        <v>0.5688</v>
      </c>
      <c r="L90" s="1">
        <f t="shared" si="217"/>
        <v>22045.5811651565</v>
      </c>
      <c r="M90" s="1">
        <f t="shared" si="218"/>
        <v>7678.85993962497</v>
      </c>
      <c r="N90" s="1">
        <f t="shared" si="219"/>
        <v>5119.23995974998</v>
      </c>
      <c r="O90" s="1">
        <f t="shared" ref="O90:W90" si="283">O$5+(O$6-O$5)*(POWER(O$7,$B90-1)-1)/(POWER(O$7,$B$3-1)-1)</f>
        <v>0.578172765477753</v>
      </c>
      <c r="P90" s="1">
        <f t="shared" si="283"/>
        <v>0.0445860994792169</v>
      </c>
      <c r="Q90" s="1">
        <f t="shared" si="283"/>
        <v>0.317995021012764</v>
      </c>
      <c r="R90" s="1">
        <f t="shared" si="283"/>
        <v>1.0312691061911</v>
      </c>
      <c r="S90" s="1">
        <f t="shared" si="283"/>
        <v>0.151624595121079</v>
      </c>
      <c r="T90" s="1">
        <f t="shared" si="283"/>
        <v>2.30487378536324</v>
      </c>
      <c r="U90" s="1">
        <f t="shared" si="283"/>
        <v>1</v>
      </c>
      <c r="V90" s="1">
        <f t="shared" si="283"/>
        <v>1.08525508440138</v>
      </c>
      <c r="W90" s="1">
        <f t="shared" si="283"/>
        <v>1.25015284952881</v>
      </c>
      <c r="X90" s="1">
        <f t="shared" si="221"/>
        <v>0.9617403256687</v>
      </c>
      <c r="Y90" s="1">
        <f t="shared" si="222"/>
        <v>1.57668798464413</v>
      </c>
      <c r="Z90" s="1">
        <f t="shared" si="223"/>
        <v>34759.0029375992</v>
      </c>
      <c r="AA90" s="1">
        <f t="shared" si="224"/>
        <v>7678.85993962497</v>
      </c>
      <c r="AB90" s="1">
        <f t="shared" si="225"/>
        <v>5119.23995974998</v>
      </c>
      <c r="AC90" s="1">
        <f>AB90/(AB90+战斗公式!$M$27)</f>
        <v>0.175802664040203</v>
      </c>
      <c r="AD90" s="1">
        <f t="shared" si="226"/>
        <v>42173.156137567</v>
      </c>
      <c r="AE90" s="1">
        <f t="shared" si="227"/>
        <v>5.71059724126552</v>
      </c>
      <c r="AF90" s="1">
        <f t="shared" si="228"/>
        <v>3.4833218138699</v>
      </c>
      <c r="AG90" s="1">
        <f t="shared" si="229"/>
        <v>2.81898104218655</v>
      </c>
      <c r="AH90" s="1">
        <f t="shared" si="230"/>
        <v>0.497227492624163</v>
      </c>
      <c r="AI90" s="1">
        <f t="shared" si="231"/>
        <v>1.02104452136838</v>
      </c>
      <c r="AJ90" s="1">
        <f t="shared" si="232"/>
        <v>1.1654451986029</v>
      </c>
      <c r="AK90" s="1">
        <f t="shared" si="233"/>
        <v>1</v>
      </c>
      <c r="AL90" s="10">
        <f t="shared" si="234"/>
        <v>28130</v>
      </c>
      <c r="AM90" s="10">
        <f t="shared" si="235"/>
        <v>3818</v>
      </c>
      <c r="AN90" s="10">
        <f t="shared" si="236"/>
        <v>5119</v>
      </c>
      <c r="AO90" s="1">
        <f t="shared" si="237"/>
        <v>19997</v>
      </c>
      <c r="AP90" s="1">
        <f t="shared" si="238"/>
        <v>3818</v>
      </c>
      <c r="AR90" s="1">
        <f t="shared" ref="AR90:AX90" si="284">ROUNDUP(AR$10*$AO90,0)</f>
        <v>19997</v>
      </c>
      <c r="AS90" s="1">
        <f t="shared" si="284"/>
        <v>59991</v>
      </c>
      <c r="AT90" s="1">
        <f t="shared" si="284"/>
        <v>35995</v>
      </c>
      <c r="AU90" s="1">
        <f t="shared" si="284"/>
        <v>9999</v>
      </c>
      <c r="AV90" s="1">
        <f t="shared" si="284"/>
        <v>3000</v>
      </c>
      <c r="AW90" s="1">
        <f t="shared" si="284"/>
        <v>79988</v>
      </c>
      <c r="AX90" s="1">
        <f t="shared" si="284"/>
        <v>179973</v>
      </c>
      <c r="AY90" s="1">
        <f t="shared" si="240"/>
        <v>1723319</v>
      </c>
      <c r="AZ90" s="1">
        <f t="shared" si="241"/>
        <v>861659</v>
      </c>
      <c r="BB90" s="1">
        <f t="shared" si="242"/>
        <v>79</v>
      </c>
    </row>
    <row r="91" spans="2:54">
      <c r="B91" s="4">
        <v>80</v>
      </c>
      <c r="C91" s="1">
        <f t="shared" ref="C91:I91" si="285">C$5+(C$6-C$5)*(POWER(C$7,$B91-1)-1)/(POWER(C$7,$B$3-1)-1)</f>
        <v>6321.31068513465</v>
      </c>
      <c r="D91" s="1">
        <f t="shared" si="285"/>
        <v>1896.3932055404</v>
      </c>
      <c r="E91" s="1">
        <f t="shared" si="285"/>
        <v>1264.26213702693</v>
      </c>
      <c r="F91" s="1">
        <f t="shared" si="285"/>
        <v>16003.3181902143</v>
      </c>
      <c r="G91" s="1">
        <f t="shared" si="285"/>
        <v>4800.99545706429</v>
      </c>
      <c r="H91" s="1">
        <f t="shared" si="285"/>
        <v>3200.66363804286</v>
      </c>
      <c r="I91" s="1">
        <f t="shared" si="285"/>
        <v>0</v>
      </c>
      <c r="J91" s="1">
        <f>标准模型!$I$65/1*$B91/$B$3</f>
        <v>0.576</v>
      </c>
      <c r="K91" s="1">
        <f>J91*标准模型!$J$63</f>
        <v>0.576</v>
      </c>
      <c r="L91" s="1">
        <f t="shared" si="217"/>
        <v>22324.6288753489</v>
      </c>
      <c r="M91" s="1">
        <f t="shared" si="218"/>
        <v>7789.71114899596</v>
      </c>
      <c r="N91" s="1">
        <f t="shared" si="219"/>
        <v>5193.1407659973</v>
      </c>
      <c r="O91" s="1">
        <f t="shared" ref="O91:W91" si="286">O$5+(O$6-O$5)*(POWER(O$7,$B91-1)-1)/(POWER(O$7,$B$3-1)-1)</f>
        <v>0.579174940832737</v>
      </c>
      <c r="P91" s="1">
        <f t="shared" si="286"/>
        <v>0.0451922357539654</v>
      </c>
      <c r="Q91" s="1">
        <f t="shared" si="286"/>
        <v>0.318546217458005</v>
      </c>
      <c r="R91" s="1">
        <f t="shared" si="286"/>
        <v>1.03166997633309</v>
      </c>
      <c r="S91" s="1">
        <f t="shared" si="286"/>
        <v>0.152927423082558</v>
      </c>
      <c r="T91" s="1">
        <f t="shared" si="286"/>
        <v>2.30878226924767</v>
      </c>
      <c r="U91" s="1">
        <f t="shared" si="286"/>
        <v>1</v>
      </c>
      <c r="V91" s="1">
        <f t="shared" si="286"/>
        <v>1.0863480551304</v>
      </c>
      <c r="W91" s="1">
        <f t="shared" si="286"/>
        <v>1.25335981066476</v>
      </c>
      <c r="X91" s="1">
        <f t="shared" si="221"/>
        <v>0.96892838642518</v>
      </c>
      <c r="Y91" s="1">
        <f t="shared" si="222"/>
        <v>1.58961668201693</v>
      </c>
      <c r="Z91" s="1">
        <f t="shared" si="223"/>
        <v>35487.6024800916</v>
      </c>
      <c r="AA91" s="1">
        <f t="shared" si="224"/>
        <v>7789.71114899596</v>
      </c>
      <c r="AB91" s="1">
        <f t="shared" si="225"/>
        <v>5193.1407659973</v>
      </c>
      <c r="AC91" s="1">
        <f>AB91/(AB91+战斗公式!$M$27)</f>
        <v>0.177889073588341</v>
      </c>
      <c r="AD91" s="1">
        <f t="shared" si="226"/>
        <v>43166.4406103778</v>
      </c>
      <c r="AE91" s="1">
        <f t="shared" si="227"/>
        <v>5.71917263441059</v>
      </c>
      <c r="AF91" s="1">
        <f t="shared" si="228"/>
        <v>3.48604086446513</v>
      </c>
      <c r="AG91" s="1">
        <f t="shared" si="229"/>
        <v>2.8360563386012</v>
      </c>
      <c r="AH91" s="1">
        <f t="shared" si="230"/>
        <v>0.499960926151381</v>
      </c>
      <c r="AI91" s="1">
        <f t="shared" si="231"/>
        <v>1.01999229529952</v>
      </c>
      <c r="AJ91" s="1">
        <f t="shared" si="232"/>
        <v>1.16213562482345</v>
      </c>
      <c r="AK91" s="1">
        <f t="shared" si="233"/>
        <v>1</v>
      </c>
      <c r="AL91" s="10">
        <f t="shared" si="234"/>
        <v>28871</v>
      </c>
      <c r="AM91" s="10">
        <f t="shared" si="235"/>
        <v>3895</v>
      </c>
      <c r="AN91" s="10">
        <f t="shared" si="236"/>
        <v>5193</v>
      </c>
      <c r="AO91" s="1">
        <f t="shared" si="237"/>
        <v>20451</v>
      </c>
      <c r="AP91" s="1">
        <f t="shared" si="238"/>
        <v>3895</v>
      </c>
      <c r="AR91" s="1">
        <f t="shared" ref="AR91:AX91" si="287">ROUNDUP(AR$10*$AO91,0)</f>
        <v>20451</v>
      </c>
      <c r="AS91" s="1">
        <f t="shared" si="287"/>
        <v>61353</v>
      </c>
      <c r="AT91" s="1">
        <f t="shared" si="287"/>
        <v>36812</v>
      </c>
      <c r="AU91" s="1">
        <f t="shared" si="287"/>
        <v>10226</v>
      </c>
      <c r="AV91" s="1">
        <f t="shared" si="287"/>
        <v>3068</v>
      </c>
      <c r="AW91" s="1">
        <f t="shared" si="287"/>
        <v>81804</v>
      </c>
      <c r="AX91" s="1">
        <f t="shared" si="287"/>
        <v>184059</v>
      </c>
      <c r="AY91" s="1">
        <f t="shared" si="240"/>
        <v>1766892</v>
      </c>
      <c r="AZ91" s="1">
        <f t="shared" si="241"/>
        <v>883446</v>
      </c>
      <c r="BB91" s="1">
        <f t="shared" si="242"/>
        <v>80</v>
      </c>
    </row>
    <row r="92" spans="2:54">
      <c r="B92" s="4">
        <v>81</v>
      </c>
      <c r="C92" s="1">
        <f t="shared" ref="C92:I92" si="288">C$5+(C$6-C$5)*(POWER(C$7,$B92-1)-1)/(POWER(C$7,$B$3-1)-1)</f>
        <v>6400.32411546313</v>
      </c>
      <c r="D92" s="1">
        <f t="shared" si="288"/>
        <v>1920.09723463894</v>
      </c>
      <c r="E92" s="1">
        <f t="shared" si="288"/>
        <v>1280.06482309263</v>
      </c>
      <c r="F92" s="1">
        <f t="shared" si="288"/>
        <v>16203.3521910459</v>
      </c>
      <c r="G92" s="1">
        <f t="shared" si="288"/>
        <v>4861.00565731377</v>
      </c>
      <c r="H92" s="1">
        <f t="shared" si="288"/>
        <v>3240.67043820918</v>
      </c>
      <c r="I92" s="1">
        <f t="shared" si="288"/>
        <v>0</v>
      </c>
      <c r="J92" s="1">
        <f>标准模型!$I$65/1*$B92/$B$3</f>
        <v>0.5832</v>
      </c>
      <c r="K92" s="1">
        <f>J92*标准模型!$J$63</f>
        <v>0.5832</v>
      </c>
      <c r="L92" s="1">
        <f t="shared" si="217"/>
        <v>22603.676306509</v>
      </c>
      <c r="M92" s="1">
        <f t="shared" si="218"/>
        <v>7900.90359919414</v>
      </c>
      <c r="N92" s="1">
        <f t="shared" si="219"/>
        <v>5267.26906612943</v>
      </c>
      <c r="O92" s="1">
        <f t="shared" ref="O92:W92" si="289">O$5+(O$6-O$5)*(POWER(O$7,$B92-1)-1)/(POWER(O$7,$B$3-1)-1)</f>
        <v>0.580177115185601</v>
      </c>
      <c r="P92" s="1">
        <f t="shared" si="289"/>
        <v>0.045799281233126</v>
      </c>
      <c r="Q92" s="1">
        <f t="shared" si="289"/>
        <v>0.31909741335208</v>
      </c>
      <c r="R92" s="1">
        <f t="shared" si="289"/>
        <v>1.03207084607424</v>
      </c>
      <c r="S92" s="1">
        <f t="shared" si="289"/>
        <v>0.154230249741281</v>
      </c>
      <c r="T92" s="1">
        <f t="shared" si="289"/>
        <v>2.31269074922384</v>
      </c>
      <c r="U92" s="1">
        <f t="shared" si="289"/>
        <v>1</v>
      </c>
      <c r="V92" s="1">
        <f t="shared" si="289"/>
        <v>1.08744102476652</v>
      </c>
      <c r="W92" s="1">
        <f t="shared" si="289"/>
        <v>1.25656676859392</v>
      </c>
      <c r="X92" s="1">
        <f t="shared" si="221"/>
        <v>0.976163256442171</v>
      </c>
      <c r="Y92" s="1">
        <f t="shared" si="222"/>
        <v>1.60263985951284</v>
      </c>
      <c r="Z92" s="1">
        <f t="shared" si="223"/>
        <v>36225.5526203373</v>
      </c>
      <c r="AA92" s="1">
        <f t="shared" si="224"/>
        <v>7900.90359919414</v>
      </c>
      <c r="AB92" s="1">
        <f t="shared" si="225"/>
        <v>5267.26906612943</v>
      </c>
      <c r="AC92" s="1">
        <f>AB92/(AB92+战斗公式!$M$27)</f>
        <v>0.179971320666374</v>
      </c>
      <c r="AD92" s="1">
        <f t="shared" si="226"/>
        <v>44175.9581503601</v>
      </c>
      <c r="AE92" s="1">
        <f t="shared" si="227"/>
        <v>5.72778566927056</v>
      </c>
      <c r="AF92" s="1">
        <f t="shared" si="228"/>
        <v>3.4887775178745</v>
      </c>
      <c r="AG92" s="1">
        <f t="shared" si="229"/>
        <v>2.85300357029274</v>
      </c>
      <c r="AH92" s="1">
        <f t="shared" si="230"/>
        <v>0.502699826545654</v>
      </c>
      <c r="AI92" s="1">
        <f t="shared" si="231"/>
        <v>1.01899268053411</v>
      </c>
      <c r="AJ92" s="1">
        <f t="shared" si="232"/>
        <v>1.15889224251959</v>
      </c>
      <c r="AK92" s="1">
        <f t="shared" si="233"/>
        <v>1</v>
      </c>
      <c r="AL92" s="10">
        <f t="shared" si="234"/>
        <v>29624</v>
      </c>
      <c r="AM92" s="10">
        <f t="shared" si="235"/>
        <v>3972</v>
      </c>
      <c r="AN92" s="10">
        <f t="shared" si="236"/>
        <v>5267</v>
      </c>
      <c r="AO92" s="1">
        <f t="shared" si="237"/>
        <v>20911</v>
      </c>
      <c r="AP92" s="1">
        <f t="shared" si="238"/>
        <v>3972</v>
      </c>
      <c r="AR92" s="1">
        <f t="shared" ref="AR92:AX92" si="290">ROUNDUP(AR$10*$AO92,0)</f>
        <v>20911</v>
      </c>
      <c r="AS92" s="1">
        <f t="shared" si="290"/>
        <v>62733</v>
      </c>
      <c r="AT92" s="1">
        <f t="shared" si="290"/>
        <v>37640</v>
      </c>
      <c r="AU92" s="1">
        <f t="shared" si="290"/>
        <v>10456</v>
      </c>
      <c r="AV92" s="1">
        <f t="shared" si="290"/>
        <v>3137</v>
      </c>
      <c r="AW92" s="1">
        <f t="shared" si="290"/>
        <v>83644</v>
      </c>
      <c r="AX92" s="1">
        <f t="shared" si="290"/>
        <v>188199</v>
      </c>
      <c r="AY92" s="1">
        <f t="shared" si="240"/>
        <v>1811198</v>
      </c>
      <c r="AZ92" s="1">
        <f t="shared" si="241"/>
        <v>905599</v>
      </c>
      <c r="BB92" s="1">
        <f t="shared" si="242"/>
        <v>81</v>
      </c>
    </row>
    <row r="93" spans="2:54">
      <c r="B93" s="4">
        <v>82</v>
      </c>
      <c r="C93" s="1">
        <f t="shared" ref="C93:I93" si="291">C$5+(C$6-C$5)*(POWER(C$7,$B93-1)-1)/(POWER(C$7,$B$3-1)-1)</f>
        <v>6479.33746678246</v>
      </c>
      <c r="D93" s="1">
        <f t="shared" si="291"/>
        <v>1943.80124003474</v>
      </c>
      <c r="E93" s="1">
        <f t="shared" si="291"/>
        <v>1295.86749335649</v>
      </c>
      <c r="F93" s="1">
        <f t="shared" si="291"/>
        <v>16403.3859918543</v>
      </c>
      <c r="G93" s="1">
        <f t="shared" si="291"/>
        <v>4921.0157975563</v>
      </c>
      <c r="H93" s="1">
        <f t="shared" si="291"/>
        <v>3280.67719837087</v>
      </c>
      <c r="I93" s="1">
        <f t="shared" si="291"/>
        <v>0</v>
      </c>
      <c r="J93" s="1">
        <f>标准模型!$I$65/1*$B93/$B$3</f>
        <v>0.5904</v>
      </c>
      <c r="K93" s="1">
        <f>J93*标准模型!$J$63</f>
        <v>0.5904</v>
      </c>
      <c r="L93" s="1">
        <f t="shared" si="217"/>
        <v>22882.7234586368</v>
      </c>
      <c r="M93" s="1">
        <f t="shared" si="218"/>
        <v>8012.43728970755</v>
      </c>
      <c r="N93" s="1">
        <f t="shared" si="219"/>
        <v>5341.62485980503</v>
      </c>
      <c r="O93" s="1">
        <f t="shared" ref="O93:W93" si="292">O$5+(O$6-O$5)*(POWER(O$7,$B93-1)-1)/(POWER(O$7,$B$3-1)-1)</f>
        <v>0.581179288536344</v>
      </c>
      <c r="P93" s="1">
        <f t="shared" si="292"/>
        <v>0.0464072372805053</v>
      </c>
      <c r="Q93" s="1">
        <f t="shared" si="292"/>
        <v>0.319648608694989</v>
      </c>
      <c r="R93" s="1">
        <f t="shared" si="292"/>
        <v>1.03247171541454</v>
      </c>
      <c r="S93" s="1">
        <f t="shared" si="292"/>
        <v>0.155533075097248</v>
      </c>
      <c r="T93" s="1">
        <f t="shared" si="292"/>
        <v>2.31659922529174</v>
      </c>
      <c r="U93" s="1">
        <f t="shared" si="292"/>
        <v>1</v>
      </c>
      <c r="V93" s="1">
        <f t="shared" si="292"/>
        <v>1.08853399330972</v>
      </c>
      <c r="W93" s="1">
        <f t="shared" si="292"/>
        <v>1.2597737233163</v>
      </c>
      <c r="X93" s="1">
        <f t="shared" si="221"/>
        <v>0.983445205852498</v>
      </c>
      <c r="Y93" s="1">
        <f t="shared" si="222"/>
        <v>1.61575813473414</v>
      </c>
      <c r="Z93" s="1">
        <f t="shared" si="223"/>
        <v>36972.9465731641</v>
      </c>
      <c r="AA93" s="1">
        <f t="shared" si="224"/>
        <v>8012.43728970755</v>
      </c>
      <c r="AB93" s="1">
        <f t="shared" si="225"/>
        <v>5341.62485980503</v>
      </c>
      <c r="AC93" s="1">
        <f>AB93/(AB93+战斗公式!$M$27)</f>
        <v>0.182049388380072</v>
      </c>
      <c r="AD93" s="1">
        <f t="shared" si="226"/>
        <v>45201.9303463081</v>
      </c>
      <c r="AE93" s="1">
        <f t="shared" si="227"/>
        <v>5.7364362386482</v>
      </c>
      <c r="AF93" s="1">
        <f t="shared" si="228"/>
        <v>3.49153168181658</v>
      </c>
      <c r="AG93" s="1">
        <f t="shared" si="229"/>
        <v>2.8698236977466</v>
      </c>
      <c r="AH93" s="1">
        <f t="shared" si="230"/>
        <v>0.505444204740715</v>
      </c>
      <c r="AI93" s="1">
        <f t="shared" si="231"/>
        <v>1.01804304650696</v>
      </c>
      <c r="AJ93" s="1">
        <f t="shared" si="232"/>
        <v>1.15571372786181</v>
      </c>
      <c r="AK93" s="1">
        <f t="shared" si="233"/>
        <v>1</v>
      </c>
      <c r="AL93" s="10">
        <f t="shared" si="234"/>
        <v>30389</v>
      </c>
      <c r="AM93" s="10">
        <f t="shared" si="235"/>
        <v>4050</v>
      </c>
      <c r="AN93" s="10">
        <f t="shared" si="236"/>
        <v>5342</v>
      </c>
      <c r="AO93" s="1">
        <f t="shared" si="237"/>
        <v>21377</v>
      </c>
      <c r="AP93" s="1">
        <f t="shared" si="238"/>
        <v>4050</v>
      </c>
      <c r="AR93" s="1">
        <f t="shared" ref="AR93:AX93" si="293">ROUNDUP(AR$10*$AO93,0)</f>
        <v>21377</v>
      </c>
      <c r="AS93" s="1">
        <f t="shared" si="293"/>
        <v>64131</v>
      </c>
      <c r="AT93" s="1">
        <f t="shared" si="293"/>
        <v>38479</v>
      </c>
      <c r="AU93" s="1">
        <f t="shared" si="293"/>
        <v>10689</v>
      </c>
      <c r="AV93" s="1">
        <f t="shared" si="293"/>
        <v>3207</v>
      </c>
      <c r="AW93" s="1">
        <f t="shared" si="293"/>
        <v>85508</v>
      </c>
      <c r="AX93" s="1">
        <f t="shared" si="293"/>
        <v>192393</v>
      </c>
      <c r="AY93" s="1">
        <f t="shared" si="240"/>
        <v>1856239</v>
      </c>
      <c r="AZ93" s="1">
        <f t="shared" si="241"/>
        <v>928119</v>
      </c>
      <c r="BB93" s="1">
        <f t="shared" si="242"/>
        <v>82</v>
      </c>
    </row>
    <row r="94" spans="2:54">
      <c r="B94" s="4">
        <v>83</v>
      </c>
      <c r="C94" s="1">
        <f t="shared" ref="C94:I94" si="294">C$5+(C$6-C$5)*(POWER(C$7,$B94-1)-1)/(POWER(C$7,$B$3-1)-1)</f>
        <v>6558.35073908387</v>
      </c>
      <c r="D94" s="1">
        <f t="shared" si="294"/>
        <v>1967.50522172516</v>
      </c>
      <c r="E94" s="1">
        <f t="shared" si="294"/>
        <v>1311.67014781677</v>
      </c>
      <c r="F94" s="1">
        <f t="shared" si="294"/>
        <v>16603.4195926174</v>
      </c>
      <c r="G94" s="1">
        <f t="shared" si="294"/>
        <v>4981.02587778521</v>
      </c>
      <c r="H94" s="1">
        <f t="shared" si="294"/>
        <v>3320.68391852348</v>
      </c>
      <c r="I94" s="1">
        <f t="shared" si="294"/>
        <v>0</v>
      </c>
      <c r="J94" s="1">
        <f>标准模型!$I$65/1*$B94/$B$3</f>
        <v>0.5976</v>
      </c>
      <c r="K94" s="1">
        <f>J94*标准模型!$J$63</f>
        <v>0.5976</v>
      </c>
      <c r="L94" s="1">
        <f t="shared" si="217"/>
        <v>23161.7703317013</v>
      </c>
      <c r="M94" s="1">
        <f t="shared" si="218"/>
        <v>8124.31222001333</v>
      </c>
      <c r="N94" s="1">
        <f t="shared" si="219"/>
        <v>5416.20814667555</v>
      </c>
      <c r="O94" s="1">
        <f t="shared" ref="O94:W94" si="295">O$5+(O$6-O$5)*(POWER(O$7,$B94-1)-1)/(POWER(O$7,$B$3-1)-1)</f>
        <v>0.582181460884857</v>
      </c>
      <c r="P94" s="1">
        <f t="shared" si="295"/>
        <v>0.0470161052619557</v>
      </c>
      <c r="Q94" s="1">
        <f t="shared" si="295"/>
        <v>0.320199803486671</v>
      </c>
      <c r="R94" s="1">
        <f t="shared" si="295"/>
        <v>1.03287258435394</v>
      </c>
      <c r="S94" s="1">
        <f t="shared" si="295"/>
        <v>0.156835899150314</v>
      </c>
      <c r="T94" s="1">
        <f t="shared" si="295"/>
        <v>2.32050769745094</v>
      </c>
      <c r="U94" s="1">
        <f t="shared" si="295"/>
        <v>1</v>
      </c>
      <c r="V94" s="1">
        <f t="shared" si="295"/>
        <v>1.08962696075989</v>
      </c>
      <c r="W94" s="1">
        <f t="shared" si="295"/>
        <v>1.26298067483154</v>
      </c>
      <c r="X94" s="1">
        <f t="shared" si="221"/>
        <v>0.99077450598031</v>
      </c>
      <c r="Y94" s="1">
        <f t="shared" si="222"/>
        <v>1.62897212856972</v>
      </c>
      <c r="Z94" s="1">
        <f t="shared" si="223"/>
        <v>37729.8783186744</v>
      </c>
      <c r="AA94" s="1">
        <f t="shared" si="224"/>
        <v>8124.31222001333</v>
      </c>
      <c r="AB94" s="1">
        <f t="shared" si="225"/>
        <v>5416.20814667555</v>
      </c>
      <c r="AC94" s="1">
        <f>AB94/(AB94+战斗公式!$M$27)</f>
        <v>0.184123260199587</v>
      </c>
      <c r="AD94" s="1">
        <f t="shared" si="226"/>
        <v>46244.5814154528</v>
      </c>
      <c r="AE94" s="1">
        <f t="shared" si="227"/>
        <v>5.74512423617269</v>
      </c>
      <c r="AF94" s="1">
        <f t="shared" si="228"/>
        <v>3.49430326465275</v>
      </c>
      <c r="AG94" s="1">
        <f t="shared" si="229"/>
        <v>2.88651767424455</v>
      </c>
      <c r="AH94" s="1">
        <f t="shared" si="230"/>
        <v>0.508194071692167</v>
      </c>
      <c r="AI94" s="1">
        <f t="shared" si="231"/>
        <v>1.01714089418117</v>
      </c>
      <c r="AJ94" s="1">
        <f t="shared" si="232"/>
        <v>1.15259878349719</v>
      </c>
      <c r="AK94" s="1">
        <f t="shared" si="233"/>
        <v>1</v>
      </c>
      <c r="AL94" s="10">
        <f t="shared" si="234"/>
        <v>31167</v>
      </c>
      <c r="AM94" s="10">
        <f t="shared" si="235"/>
        <v>4129</v>
      </c>
      <c r="AN94" s="10">
        <f t="shared" si="236"/>
        <v>5416</v>
      </c>
      <c r="AO94" s="1">
        <f t="shared" si="237"/>
        <v>21849</v>
      </c>
      <c r="AP94" s="1">
        <f t="shared" si="238"/>
        <v>4129</v>
      </c>
      <c r="AR94" s="1">
        <f t="shared" ref="AR94:AX94" si="296">ROUNDUP(AR$10*$AO94,0)</f>
        <v>21849</v>
      </c>
      <c r="AS94" s="1">
        <f t="shared" si="296"/>
        <v>65547</v>
      </c>
      <c r="AT94" s="1">
        <f t="shared" si="296"/>
        <v>39329</v>
      </c>
      <c r="AU94" s="1">
        <f t="shared" si="296"/>
        <v>10925</v>
      </c>
      <c r="AV94" s="1">
        <f t="shared" si="296"/>
        <v>3278</v>
      </c>
      <c r="AW94" s="1">
        <f t="shared" si="296"/>
        <v>87396</v>
      </c>
      <c r="AX94" s="1">
        <f t="shared" si="296"/>
        <v>196641</v>
      </c>
      <c r="AY94" s="1">
        <f t="shared" si="240"/>
        <v>1902074</v>
      </c>
      <c r="AZ94" s="1">
        <f t="shared" si="241"/>
        <v>951037</v>
      </c>
      <c r="BB94" s="1">
        <f t="shared" si="242"/>
        <v>83</v>
      </c>
    </row>
    <row r="95" spans="2:54">
      <c r="B95" s="4">
        <v>84</v>
      </c>
      <c r="C95" s="1">
        <f t="shared" ref="C95:I95" si="297">C$5+(C$6-C$5)*(POWER(C$7,$B95-1)-1)/(POWER(C$7,$B$3-1)-1)</f>
        <v>6637.36393237612</v>
      </c>
      <c r="D95" s="1">
        <f t="shared" si="297"/>
        <v>1991.20917971284</v>
      </c>
      <c r="E95" s="1">
        <f t="shared" si="297"/>
        <v>1327.47278647522</v>
      </c>
      <c r="F95" s="1">
        <f t="shared" si="297"/>
        <v>16803.4529933573</v>
      </c>
      <c r="G95" s="1">
        <f t="shared" si="297"/>
        <v>5041.03589800718</v>
      </c>
      <c r="H95" s="1">
        <f t="shared" si="297"/>
        <v>3360.69059867145</v>
      </c>
      <c r="I95" s="1">
        <f t="shared" si="297"/>
        <v>0</v>
      </c>
      <c r="J95" s="1">
        <f>标准模型!$I$65/1*$B95/$B$3</f>
        <v>0.6048</v>
      </c>
      <c r="K95" s="1">
        <f>J95*标准模型!$J$63</f>
        <v>0.6048</v>
      </c>
      <c r="L95" s="1">
        <f t="shared" si="217"/>
        <v>23440.8169257334</v>
      </c>
      <c r="M95" s="1">
        <f t="shared" si="218"/>
        <v>8236.52838961034</v>
      </c>
      <c r="N95" s="1">
        <f t="shared" si="219"/>
        <v>5491.01892640689</v>
      </c>
      <c r="O95" s="1">
        <f t="shared" ref="O95:W95" si="298">O$5+(O$6-O$5)*(POWER(O$7,$B95-1)-1)/(POWER(O$7,$B$3-1)-1)</f>
        <v>0.583183632231249</v>
      </c>
      <c r="P95" s="1">
        <f t="shared" si="298"/>
        <v>0.0476258865453782</v>
      </c>
      <c r="Q95" s="1">
        <f t="shared" si="298"/>
        <v>0.320750997727187</v>
      </c>
      <c r="R95" s="1">
        <f t="shared" si="298"/>
        <v>1.0332734528925</v>
      </c>
      <c r="S95" s="1">
        <f t="shared" si="298"/>
        <v>0.158138721900623</v>
      </c>
      <c r="T95" s="1">
        <f t="shared" si="298"/>
        <v>2.32441616570187</v>
      </c>
      <c r="U95" s="1">
        <f t="shared" si="298"/>
        <v>1</v>
      </c>
      <c r="V95" s="1">
        <f t="shared" si="298"/>
        <v>1.09071992711716</v>
      </c>
      <c r="W95" s="1">
        <f t="shared" si="298"/>
        <v>1.26618762314</v>
      </c>
      <c r="X95" s="1">
        <f t="shared" si="221"/>
        <v>0.998151429346225</v>
      </c>
      <c r="Y95" s="1">
        <f t="shared" si="222"/>
        <v>1.64228246521129</v>
      </c>
      <c r="Z95" s="1">
        <f t="shared" si="223"/>
        <v>38496.4426073601</v>
      </c>
      <c r="AA95" s="1">
        <f t="shared" si="224"/>
        <v>8236.52838961034</v>
      </c>
      <c r="AB95" s="1">
        <f t="shared" si="225"/>
        <v>5491.01892640689</v>
      </c>
      <c r="AC95" s="1">
        <f>AB95/(AB95+战斗公式!$M$27)</f>
        <v>0.18619291995673</v>
      </c>
      <c r="AD95" s="1">
        <f t="shared" si="226"/>
        <v>47304.1382305414</v>
      </c>
      <c r="AE95" s="1">
        <f t="shared" si="227"/>
        <v>5.75384955629689</v>
      </c>
      <c r="AF95" s="1">
        <f t="shared" si="228"/>
        <v>3.49709217538408</v>
      </c>
      <c r="AG95" s="1">
        <f t="shared" si="229"/>
        <v>2.90308644591877</v>
      </c>
      <c r="AH95" s="1">
        <f t="shared" si="230"/>
        <v>0.510949438377522</v>
      </c>
      <c r="AI95" s="1">
        <f t="shared" si="231"/>
        <v>1.01628384947167</v>
      </c>
      <c r="AJ95" s="1">
        <f t="shared" si="232"/>
        <v>1.14954613801986</v>
      </c>
      <c r="AK95" s="1">
        <f t="shared" si="233"/>
        <v>1</v>
      </c>
      <c r="AL95" s="10">
        <f t="shared" si="234"/>
        <v>31958</v>
      </c>
      <c r="AM95" s="10">
        <f t="shared" si="235"/>
        <v>4208</v>
      </c>
      <c r="AN95" s="10">
        <f t="shared" si="236"/>
        <v>5491</v>
      </c>
      <c r="AO95" s="1">
        <f t="shared" si="237"/>
        <v>22328</v>
      </c>
      <c r="AP95" s="1">
        <f t="shared" si="238"/>
        <v>4208</v>
      </c>
      <c r="AR95" s="1">
        <f t="shared" ref="AR95:AX95" si="299">ROUNDUP(AR$10*$AO95,0)</f>
        <v>22328</v>
      </c>
      <c r="AS95" s="1">
        <f t="shared" si="299"/>
        <v>66984</v>
      </c>
      <c r="AT95" s="1">
        <f t="shared" si="299"/>
        <v>40191</v>
      </c>
      <c r="AU95" s="1">
        <f t="shared" si="299"/>
        <v>11164</v>
      </c>
      <c r="AV95" s="1">
        <f t="shared" si="299"/>
        <v>3350</v>
      </c>
      <c r="AW95" s="1">
        <f t="shared" si="299"/>
        <v>89312</v>
      </c>
      <c r="AX95" s="1">
        <f t="shared" si="299"/>
        <v>200952</v>
      </c>
      <c r="AY95" s="1">
        <f t="shared" si="240"/>
        <v>1948704</v>
      </c>
      <c r="AZ95" s="1">
        <f t="shared" si="241"/>
        <v>974352</v>
      </c>
      <c r="BB95" s="1">
        <f t="shared" si="242"/>
        <v>84</v>
      </c>
    </row>
    <row r="96" spans="2:54">
      <c r="B96" s="4">
        <v>85</v>
      </c>
      <c r="C96" s="1">
        <f t="shared" ref="C96:I96" si="300">C$5+(C$6-C$5)*(POWER(C$7,$B96-1)-1)/(POWER(C$7,$B$3-1)-1)</f>
        <v>6716.37704665045</v>
      </c>
      <c r="D96" s="1">
        <f t="shared" si="300"/>
        <v>2014.91311399513</v>
      </c>
      <c r="E96" s="1">
        <f t="shared" si="300"/>
        <v>1343.27540933009</v>
      </c>
      <c r="F96" s="1">
        <f t="shared" si="300"/>
        <v>17003.4861940518</v>
      </c>
      <c r="G96" s="1">
        <f t="shared" si="300"/>
        <v>5101.04585821553</v>
      </c>
      <c r="H96" s="1">
        <f t="shared" si="300"/>
        <v>3400.69723881035</v>
      </c>
      <c r="I96" s="1">
        <f t="shared" si="300"/>
        <v>0</v>
      </c>
      <c r="J96" s="1">
        <f>标准模型!$I$65/1*$B96/$B$3</f>
        <v>0.612</v>
      </c>
      <c r="K96" s="1">
        <f>J96*标准模型!$J$63</f>
        <v>0.612</v>
      </c>
      <c r="L96" s="1">
        <f t="shared" si="217"/>
        <v>23719.8632407022</v>
      </c>
      <c r="M96" s="1">
        <f t="shared" si="218"/>
        <v>8349.08579797568</v>
      </c>
      <c r="N96" s="1">
        <f t="shared" si="219"/>
        <v>5566.05719865046</v>
      </c>
      <c r="O96" s="1">
        <f t="shared" ref="O96:W96" si="301">O$5+(O$6-O$5)*(POWER(O$7,$B96-1)-1)/(POWER(O$7,$B$3-1)-1)</f>
        <v>0.58418580257541</v>
      </c>
      <c r="P96" s="1">
        <f t="shared" si="301"/>
        <v>0.0482365825007258</v>
      </c>
      <c r="Q96" s="1">
        <f t="shared" si="301"/>
        <v>0.321302191416475</v>
      </c>
      <c r="R96" s="1">
        <f t="shared" si="301"/>
        <v>1.03367432103016</v>
      </c>
      <c r="S96" s="1">
        <f t="shared" si="301"/>
        <v>0.159441543348033</v>
      </c>
      <c r="T96" s="1">
        <f t="shared" si="301"/>
        <v>2.3283246300441</v>
      </c>
      <c r="U96" s="1">
        <f t="shared" si="301"/>
        <v>1</v>
      </c>
      <c r="V96" s="1">
        <f t="shared" si="301"/>
        <v>1.09181289238139</v>
      </c>
      <c r="W96" s="1">
        <f t="shared" si="301"/>
        <v>1.26939456824131</v>
      </c>
      <c r="X96" s="1">
        <f t="shared" si="221"/>
        <v>1.00557624966754</v>
      </c>
      <c r="Y96" s="1">
        <f t="shared" si="222"/>
        <v>1.65568977216019</v>
      </c>
      <c r="Z96" s="1">
        <f t="shared" si="223"/>
        <v>39272.7349646692</v>
      </c>
      <c r="AA96" s="1">
        <f t="shared" si="224"/>
        <v>8349.08579797568</v>
      </c>
      <c r="AB96" s="1">
        <f t="shared" si="225"/>
        <v>5566.05719865046</v>
      </c>
      <c r="AC96" s="1">
        <f>AB96/(AB96+战斗公式!$M$27)</f>
        <v>0.188258351840858</v>
      </c>
      <c r="AD96" s="1">
        <f t="shared" si="226"/>
        <v>48380.8303463688</v>
      </c>
      <c r="AE96" s="1">
        <f t="shared" si="227"/>
        <v>5.76261209428052</v>
      </c>
      <c r="AF96" s="1">
        <f t="shared" si="228"/>
        <v>3.49989832364245</v>
      </c>
      <c r="AG96" s="1">
        <f t="shared" si="229"/>
        <v>2.91953095180543</v>
      </c>
      <c r="AH96" s="1">
        <f t="shared" si="230"/>
        <v>0.513710315796247</v>
      </c>
      <c r="AI96" s="1">
        <f t="shared" si="231"/>
        <v>1.01546965699765</v>
      </c>
      <c r="AJ96" s="1">
        <f t="shared" si="232"/>
        <v>1.14655454545207</v>
      </c>
      <c r="AK96" s="1">
        <f t="shared" si="233"/>
        <v>1</v>
      </c>
      <c r="AL96" s="10">
        <f t="shared" si="234"/>
        <v>32760</v>
      </c>
      <c r="AM96" s="10">
        <f t="shared" si="235"/>
        <v>4289</v>
      </c>
      <c r="AN96" s="10">
        <f t="shared" si="236"/>
        <v>5566</v>
      </c>
      <c r="AO96" s="1">
        <f t="shared" si="237"/>
        <v>22813</v>
      </c>
      <c r="AP96" s="1">
        <f t="shared" si="238"/>
        <v>4289</v>
      </c>
      <c r="AR96" s="1">
        <f t="shared" ref="AR96:AX96" si="302">ROUNDUP(AR$10*$AO96,0)</f>
        <v>22813</v>
      </c>
      <c r="AS96" s="1">
        <f t="shared" si="302"/>
        <v>68439</v>
      </c>
      <c r="AT96" s="1">
        <f t="shared" si="302"/>
        <v>41064</v>
      </c>
      <c r="AU96" s="1">
        <f t="shared" si="302"/>
        <v>11407</v>
      </c>
      <c r="AV96" s="1">
        <f t="shared" si="302"/>
        <v>3422</v>
      </c>
      <c r="AW96" s="1">
        <f t="shared" si="302"/>
        <v>91252</v>
      </c>
      <c r="AX96" s="1">
        <f t="shared" si="302"/>
        <v>205317</v>
      </c>
      <c r="AY96" s="1">
        <f t="shared" si="240"/>
        <v>1996007</v>
      </c>
      <c r="AZ96" s="1">
        <f t="shared" si="241"/>
        <v>998004</v>
      </c>
      <c r="BB96" s="1">
        <f t="shared" si="242"/>
        <v>85</v>
      </c>
    </row>
    <row r="97" spans="2:54">
      <c r="B97" s="4">
        <v>86</v>
      </c>
      <c r="C97" s="1">
        <f t="shared" ref="C97:I97" si="303">C$5+(C$6-C$5)*(POWER(C$7,$B97-1)-1)/(POWER(C$7,$B$3-1)-1)</f>
        <v>6795.39008190685</v>
      </c>
      <c r="D97" s="1">
        <f t="shared" si="303"/>
        <v>2038.61702457205</v>
      </c>
      <c r="E97" s="1">
        <f t="shared" si="303"/>
        <v>1359.07801638137</v>
      </c>
      <c r="F97" s="1">
        <f t="shared" si="303"/>
        <v>17203.5191947009</v>
      </c>
      <c r="G97" s="1">
        <f t="shared" si="303"/>
        <v>5161.05575841027</v>
      </c>
      <c r="H97" s="1">
        <f t="shared" si="303"/>
        <v>3440.70383894018</v>
      </c>
      <c r="I97" s="1">
        <f t="shared" si="303"/>
        <v>0</v>
      </c>
      <c r="J97" s="1">
        <f>标准模型!$I$65/1*$B97/$B$3</f>
        <v>0.6192</v>
      </c>
      <c r="K97" s="1">
        <f>J97*标准模型!$J$63</f>
        <v>0.6192</v>
      </c>
      <c r="L97" s="1">
        <f t="shared" si="217"/>
        <v>23998.9092766078</v>
      </c>
      <c r="M97" s="1">
        <f t="shared" si="218"/>
        <v>8461.98444459734</v>
      </c>
      <c r="N97" s="1">
        <f t="shared" si="219"/>
        <v>5641.32296306489</v>
      </c>
      <c r="O97" s="1">
        <f t="shared" ref="O97:W97" si="304">O$5+(O$6-O$5)*(POWER(O$7,$B97-1)-1)/(POWER(O$7,$B$3-1)-1)</f>
        <v>0.585187971917339</v>
      </c>
      <c r="P97" s="1">
        <f t="shared" si="304"/>
        <v>0.0488481945000066</v>
      </c>
      <c r="Q97" s="1">
        <f t="shared" si="304"/>
        <v>0.321853384554537</v>
      </c>
      <c r="R97" s="1">
        <f t="shared" si="304"/>
        <v>1.03407518876694</v>
      </c>
      <c r="S97" s="1">
        <f t="shared" si="304"/>
        <v>0.160744363492541</v>
      </c>
      <c r="T97" s="1">
        <f t="shared" si="304"/>
        <v>2.33223309047762</v>
      </c>
      <c r="U97" s="1">
        <f t="shared" si="304"/>
        <v>1</v>
      </c>
      <c r="V97" s="1">
        <f t="shared" si="304"/>
        <v>1.09290585655259</v>
      </c>
      <c r="W97" s="1">
        <f t="shared" si="304"/>
        <v>1.27260151013549</v>
      </c>
      <c r="X97" s="1">
        <f t="shared" si="221"/>
        <v>1.0130492418634</v>
      </c>
      <c r="Y97" s="1">
        <f t="shared" si="222"/>
        <v>1.66919468024369</v>
      </c>
      <c r="Z97" s="1">
        <f t="shared" si="223"/>
        <v>40058.8516961645</v>
      </c>
      <c r="AA97" s="1">
        <f t="shared" si="224"/>
        <v>8461.98444459734</v>
      </c>
      <c r="AB97" s="1">
        <f t="shared" si="225"/>
        <v>5641.32296306489</v>
      </c>
      <c r="AC97" s="1">
        <f>AB97/(AB97+战斗公式!$M$27)</f>
        <v>0.190319540396168</v>
      </c>
      <c r="AD97" s="1">
        <f t="shared" si="226"/>
        <v>49474.8900273138</v>
      </c>
      <c r="AE97" s="1">
        <f t="shared" si="227"/>
        <v>5.77141174618777</v>
      </c>
      <c r="AF97" s="1">
        <f t="shared" si="228"/>
        <v>3.50272161968757</v>
      </c>
      <c r="AG97" s="1">
        <f t="shared" si="229"/>
        <v>2.93585212389795</v>
      </c>
      <c r="AH97" s="1">
        <f t="shared" si="230"/>
        <v>0.51647671496981</v>
      </c>
      <c r="AI97" s="1">
        <f t="shared" si="231"/>
        <v>1.01469617414733</v>
      </c>
      <c r="AJ97" s="1">
        <f t="shared" si="232"/>
        <v>1.14362278473564</v>
      </c>
      <c r="AK97" s="1">
        <f t="shared" si="233"/>
        <v>1</v>
      </c>
      <c r="AL97" s="10">
        <f t="shared" si="234"/>
        <v>33576</v>
      </c>
      <c r="AM97" s="10">
        <f t="shared" si="235"/>
        <v>4370</v>
      </c>
      <c r="AN97" s="10">
        <f t="shared" si="236"/>
        <v>5641</v>
      </c>
      <c r="AO97" s="1">
        <f t="shared" si="237"/>
        <v>23304</v>
      </c>
      <c r="AP97" s="1">
        <f t="shared" si="238"/>
        <v>4370</v>
      </c>
      <c r="AR97" s="1">
        <f t="shared" ref="AR97:AX97" si="305">ROUNDUP(AR$10*$AO97,0)</f>
        <v>23304</v>
      </c>
      <c r="AS97" s="1">
        <f t="shared" si="305"/>
        <v>69912</v>
      </c>
      <c r="AT97" s="1">
        <f t="shared" si="305"/>
        <v>41948</v>
      </c>
      <c r="AU97" s="1">
        <f t="shared" si="305"/>
        <v>11652</v>
      </c>
      <c r="AV97" s="1">
        <f t="shared" si="305"/>
        <v>3496</v>
      </c>
      <c r="AW97" s="1">
        <f t="shared" si="305"/>
        <v>93216</v>
      </c>
      <c r="AX97" s="1">
        <f t="shared" si="305"/>
        <v>209736</v>
      </c>
      <c r="AY97" s="1">
        <f t="shared" si="240"/>
        <v>2044166</v>
      </c>
      <c r="AZ97" s="1">
        <f t="shared" si="241"/>
        <v>1022083</v>
      </c>
      <c r="BB97" s="1">
        <f t="shared" si="242"/>
        <v>86</v>
      </c>
    </row>
    <row r="98" spans="2:54">
      <c r="B98" s="4">
        <v>87</v>
      </c>
      <c r="C98" s="1">
        <f t="shared" ref="C98:I98" si="306">C$5+(C$6-C$5)*(POWER(C$7,$B98-1)-1)/(POWER(C$7,$B$3-1)-1)</f>
        <v>6874.4030381541</v>
      </c>
      <c r="D98" s="1">
        <f t="shared" si="306"/>
        <v>2062.32091144623</v>
      </c>
      <c r="E98" s="1">
        <f t="shared" si="306"/>
        <v>1374.88060763082</v>
      </c>
      <c r="F98" s="1">
        <f t="shared" si="306"/>
        <v>17403.5519953268</v>
      </c>
      <c r="G98" s="1">
        <f t="shared" si="306"/>
        <v>5221.06559859805</v>
      </c>
      <c r="H98" s="1">
        <f t="shared" si="306"/>
        <v>3480.71039906537</v>
      </c>
      <c r="I98" s="1">
        <f t="shared" si="306"/>
        <v>0</v>
      </c>
      <c r="J98" s="1">
        <f>标准模型!$I$65/1*$B98/$B$3</f>
        <v>0.6264</v>
      </c>
      <c r="K98" s="1">
        <f>J98*标准模型!$J$63</f>
        <v>0.6264</v>
      </c>
      <c r="L98" s="1">
        <f t="shared" si="217"/>
        <v>24277.9550334809</v>
      </c>
      <c r="M98" s="1">
        <f t="shared" si="218"/>
        <v>8575.2243289742</v>
      </c>
      <c r="N98" s="1">
        <f t="shared" si="219"/>
        <v>5716.81621931613</v>
      </c>
      <c r="O98" s="1">
        <f t="shared" ref="O98:W98" si="307">O$5+(O$6-O$5)*(POWER(O$7,$B98-1)-1)/(POWER(O$7,$B$3-1)-1)</f>
        <v>0.586190140257149</v>
      </c>
      <c r="P98" s="1">
        <f t="shared" si="307"/>
        <v>0.0494607239172862</v>
      </c>
      <c r="Q98" s="1">
        <f t="shared" si="307"/>
        <v>0.322404577141432</v>
      </c>
      <c r="R98" s="1">
        <f t="shared" si="307"/>
        <v>1.03447605610286</v>
      </c>
      <c r="S98" s="1">
        <f t="shared" si="307"/>
        <v>0.162047182334293</v>
      </c>
      <c r="T98" s="1">
        <f t="shared" si="307"/>
        <v>2.33614154700288</v>
      </c>
      <c r="U98" s="1">
        <f t="shared" si="307"/>
        <v>1</v>
      </c>
      <c r="V98" s="1">
        <f t="shared" si="307"/>
        <v>1.09399881963087</v>
      </c>
      <c r="W98" s="1">
        <f t="shared" si="307"/>
        <v>1.27580844882288</v>
      </c>
      <c r="X98" s="1">
        <f t="shared" si="221"/>
        <v>1.02057068205786</v>
      </c>
      <c r="Y98" s="1">
        <f t="shared" si="222"/>
        <v>1.68279782362724</v>
      </c>
      <c r="Z98" s="1">
        <f t="shared" si="223"/>
        <v>40854.8898924617</v>
      </c>
      <c r="AA98" s="1">
        <f t="shared" si="224"/>
        <v>8575.2243289742</v>
      </c>
      <c r="AB98" s="1">
        <f t="shared" si="225"/>
        <v>5716.81621931613</v>
      </c>
      <c r="AC98" s="1">
        <f>AB98/(AB98+战斗公式!$M$27)</f>
        <v>0.192376470518405</v>
      </c>
      <c r="AD98" s="1">
        <f t="shared" si="226"/>
        <v>50586.5522747784</v>
      </c>
      <c r="AE98" s="1">
        <f t="shared" si="227"/>
        <v>5.78024840887893</v>
      </c>
      <c r="AF98" s="1">
        <f t="shared" si="228"/>
        <v>3.50556197440161</v>
      </c>
      <c r="AG98" s="1">
        <f t="shared" si="229"/>
        <v>2.95205088719976</v>
      </c>
      <c r="AH98" s="1">
        <f t="shared" si="230"/>
        <v>0.51924864694172</v>
      </c>
      <c r="AI98" s="1">
        <f t="shared" si="231"/>
        <v>1.01396136543952</v>
      </c>
      <c r="AJ98" s="1">
        <f t="shared" si="232"/>
        <v>1.14074965923354</v>
      </c>
      <c r="AK98" s="1">
        <f t="shared" si="233"/>
        <v>1</v>
      </c>
      <c r="AL98" s="10">
        <f t="shared" si="234"/>
        <v>34404</v>
      </c>
      <c r="AM98" s="10">
        <f t="shared" si="235"/>
        <v>4453</v>
      </c>
      <c r="AN98" s="10">
        <f t="shared" si="236"/>
        <v>5717</v>
      </c>
      <c r="AO98" s="1">
        <f t="shared" si="237"/>
        <v>23802</v>
      </c>
      <c r="AP98" s="1">
        <f t="shared" si="238"/>
        <v>4453</v>
      </c>
      <c r="AR98" s="1">
        <f t="shared" ref="AR98:AX98" si="308">ROUNDUP(AR$10*$AO98,0)</f>
        <v>23802</v>
      </c>
      <c r="AS98" s="1">
        <f t="shared" si="308"/>
        <v>71406</v>
      </c>
      <c r="AT98" s="1">
        <f t="shared" si="308"/>
        <v>42844</v>
      </c>
      <c r="AU98" s="1">
        <f t="shared" si="308"/>
        <v>11901</v>
      </c>
      <c r="AV98" s="1">
        <f t="shared" si="308"/>
        <v>3571</v>
      </c>
      <c r="AW98" s="1">
        <f t="shared" si="308"/>
        <v>95208</v>
      </c>
      <c r="AX98" s="1">
        <f t="shared" si="308"/>
        <v>214218</v>
      </c>
      <c r="AY98" s="1">
        <f t="shared" si="240"/>
        <v>2093060</v>
      </c>
      <c r="AZ98" s="1">
        <f t="shared" si="241"/>
        <v>1046530</v>
      </c>
      <c r="BB98" s="1">
        <f t="shared" si="242"/>
        <v>87</v>
      </c>
    </row>
    <row r="99" spans="2:54">
      <c r="B99" s="4">
        <v>88</v>
      </c>
      <c r="C99" s="1">
        <f t="shared" ref="C99:I99" si="309">C$5+(C$6-C$5)*(POWER(C$7,$B99-1)-1)/(POWER(C$7,$B$3-1)-1)</f>
        <v>6953.4159153922</v>
      </c>
      <c r="D99" s="1">
        <f t="shared" si="309"/>
        <v>2086.02477461766</v>
      </c>
      <c r="E99" s="1">
        <f t="shared" si="309"/>
        <v>1390.68318307844</v>
      </c>
      <c r="F99" s="1">
        <f t="shared" si="309"/>
        <v>17603.5845959296</v>
      </c>
      <c r="G99" s="1">
        <f t="shared" si="309"/>
        <v>5281.07537877889</v>
      </c>
      <c r="H99" s="1">
        <f t="shared" si="309"/>
        <v>3520.71691918592</v>
      </c>
      <c r="I99" s="1">
        <f t="shared" si="309"/>
        <v>0</v>
      </c>
      <c r="J99" s="1">
        <f>标准模型!$I$65/1*$B99/$B$3</f>
        <v>0.6336</v>
      </c>
      <c r="K99" s="1">
        <f>J99*标准模型!$J$63</f>
        <v>0.6336</v>
      </c>
      <c r="L99" s="1">
        <f t="shared" si="217"/>
        <v>24557.0005113218</v>
      </c>
      <c r="M99" s="1">
        <f t="shared" si="218"/>
        <v>8688.8054505943</v>
      </c>
      <c r="N99" s="1">
        <f t="shared" si="219"/>
        <v>5792.53696706286</v>
      </c>
      <c r="O99" s="1">
        <f t="shared" ref="O99:W99" si="310">O$5+(O$6-O$5)*(POWER(O$7,$B99-1)-1)/(POWER(O$7,$B$3-1)-1)</f>
        <v>0.587192307594838</v>
      </c>
      <c r="P99" s="1">
        <f t="shared" si="310"/>
        <v>0.0500741721286918</v>
      </c>
      <c r="Q99" s="1">
        <f t="shared" si="310"/>
        <v>0.322955769177161</v>
      </c>
      <c r="R99" s="1">
        <f t="shared" si="310"/>
        <v>1.03487692303794</v>
      </c>
      <c r="S99" s="1">
        <f t="shared" si="310"/>
        <v>0.163349999873289</v>
      </c>
      <c r="T99" s="1">
        <f t="shared" si="310"/>
        <v>2.34004999961987</v>
      </c>
      <c r="U99" s="1">
        <f t="shared" si="310"/>
        <v>1</v>
      </c>
      <c r="V99" s="1">
        <f t="shared" si="310"/>
        <v>1.09509178161625</v>
      </c>
      <c r="W99" s="1">
        <f t="shared" si="310"/>
        <v>1.27901538430348</v>
      </c>
      <c r="X99" s="1">
        <f t="shared" si="221"/>
        <v>1.02814084758151</v>
      </c>
      <c r="Y99" s="1">
        <f t="shared" si="222"/>
        <v>1.69649983982408</v>
      </c>
      <c r="Z99" s="1">
        <f t="shared" si="223"/>
        <v>41660.9474340173</v>
      </c>
      <c r="AA99" s="1">
        <f t="shared" si="224"/>
        <v>8688.8054505943</v>
      </c>
      <c r="AB99" s="1">
        <f t="shared" si="225"/>
        <v>5792.53696706286</v>
      </c>
      <c r="AC99" s="1">
        <f>AB99/(AB99+战斗公式!$M$27)</f>
        <v>0.194429127451174</v>
      </c>
      <c r="AD99" s="1">
        <f t="shared" si="226"/>
        <v>51716.0548546177</v>
      </c>
      <c r="AE99" s="1">
        <f t="shared" si="227"/>
        <v>5.78912197999788</v>
      </c>
      <c r="AF99" s="1">
        <f t="shared" si="228"/>
        <v>3.50841929928208</v>
      </c>
      <c r="AG99" s="1">
        <f t="shared" si="229"/>
        <v>2.96812815977682</v>
      </c>
      <c r="AH99" s="1">
        <f t="shared" si="230"/>
        <v>0.522026122777573</v>
      </c>
      <c r="AI99" s="1">
        <f t="shared" si="231"/>
        <v>1.0132632971671</v>
      </c>
      <c r="AJ99" s="1">
        <f t="shared" si="232"/>
        <v>1.13793399624148</v>
      </c>
      <c r="AK99" s="1">
        <f t="shared" si="233"/>
        <v>1</v>
      </c>
      <c r="AL99" s="10">
        <f t="shared" si="234"/>
        <v>35245</v>
      </c>
      <c r="AM99" s="10">
        <f t="shared" si="235"/>
        <v>4536</v>
      </c>
      <c r="AN99" s="10">
        <f t="shared" si="236"/>
        <v>5793</v>
      </c>
      <c r="AO99" s="1">
        <f t="shared" si="237"/>
        <v>24306</v>
      </c>
      <c r="AP99" s="1">
        <f t="shared" si="238"/>
        <v>4536</v>
      </c>
      <c r="AR99" s="1">
        <f t="shared" ref="AR99:AX99" si="311">ROUNDUP(AR$10*$AO99,0)</f>
        <v>24306</v>
      </c>
      <c r="AS99" s="1">
        <f t="shared" si="311"/>
        <v>72918</v>
      </c>
      <c r="AT99" s="1">
        <f t="shared" si="311"/>
        <v>43751</v>
      </c>
      <c r="AU99" s="1">
        <f t="shared" si="311"/>
        <v>12153</v>
      </c>
      <c r="AV99" s="1">
        <f t="shared" si="311"/>
        <v>3646</v>
      </c>
      <c r="AW99" s="1">
        <f t="shared" si="311"/>
        <v>97224</v>
      </c>
      <c r="AX99" s="1">
        <f t="shared" si="311"/>
        <v>218754</v>
      </c>
      <c r="AY99" s="1">
        <f t="shared" si="240"/>
        <v>2142748</v>
      </c>
      <c r="AZ99" s="1">
        <f t="shared" si="241"/>
        <v>1071374</v>
      </c>
      <c r="BB99" s="1">
        <f t="shared" si="242"/>
        <v>88</v>
      </c>
    </row>
    <row r="100" spans="2:54">
      <c r="B100" s="4">
        <v>89</v>
      </c>
      <c r="C100" s="1">
        <f t="shared" ref="C100:I100" si="312">C$5+(C$6-C$5)*(POWER(C$7,$B100-1)-1)/(POWER(C$7,$B$3-1)-1)</f>
        <v>7032.42871362115</v>
      </c>
      <c r="D100" s="1">
        <f t="shared" si="312"/>
        <v>2109.72861408634</v>
      </c>
      <c r="E100" s="1">
        <f t="shared" si="312"/>
        <v>1406.48574272423</v>
      </c>
      <c r="F100" s="1">
        <f t="shared" si="312"/>
        <v>17803.6169965092</v>
      </c>
      <c r="G100" s="1">
        <f t="shared" si="312"/>
        <v>5341.08509895277</v>
      </c>
      <c r="H100" s="1">
        <f t="shared" si="312"/>
        <v>3560.72339930185</v>
      </c>
      <c r="I100" s="1">
        <f t="shared" si="312"/>
        <v>0</v>
      </c>
      <c r="J100" s="1">
        <f>标准模型!$I$65/1*$B100/$B$3</f>
        <v>0.6408</v>
      </c>
      <c r="K100" s="1">
        <f>J100*标准模型!$J$63</f>
        <v>0.6408</v>
      </c>
      <c r="L100" s="1">
        <f t="shared" si="217"/>
        <v>24836.0457101304</v>
      </c>
      <c r="M100" s="1">
        <f t="shared" si="218"/>
        <v>8802.72780894565</v>
      </c>
      <c r="N100" s="1">
        <f t="shared" si="219"/>
        <v>5868.48520596377</v>
      </c>
      <c r="O100" s="1">
        <f t="shared" ref="O100:W100" si="313">O$5+(O$6-O$5)*(POWER(O$7,$B100-1)-1)/(POWER(O$7,$B$3-1)-1)</f>
        <v>0.588194473930407</v>
      </c>
      <c r="P100" s="1">
        <f t="shared" si="313"/>
        <v>0.0506885405124144</v>
      </c>
      <c r="Q100" s="1">
        <f t="shared" si="313"/>
        <v>0.323506960661724</v>
      </c>
      <c r="R100" s="1">
        <f t="shared" si="313"/>
        <v>1.03527778957216</v>
      </c>
      <c r="S100" s="1">
        <f t="shared" si="313"/>
        <v>0.164652816109529</v>
      </c>
      <c r="T100" s="1">
        <f t="shared" si="313"/>
        <v>2.34395844832859</v>
      </c>
      <c r="U100" s="1">
        <f t="shared" si="313"/>
        <v>1</v>
      </c>
      <c r="V100" s="1">
        <f t="shared" si="313"/>
        <v>1.09618474250872</v>
      </c>
      <c r="W100" s="1">
        <f t="shared" si="313"/>
        <v>1.2822223165773</v>
      </c>
      <c r="X100" s="1">
        <f t="shared" si="221"/>
        <v>1.03576001697524</v>
      </c>
      <c r="Y100" s="1">
        <f t="shared" si="222"/>
        <v>1.7103013697089</v>
      </c>
      <c r="Z100" s="1">
        <f t="shared" si="223"/>
        <v>42477.1229961888</v>
      </c>
      <c r="AA100" s="1">
        <f t="shared" si="224"/>
        <v>8802.72780894565</v>
      </c>
      <c r="AB100" s="1">
        <f t="shared" si="225"/>
        <v>5868.48520596377</v>
      </c>
      <c r="AC100" s="1">
        <f>AB100/(AB100+战斗公式!$M$27)</f>
        <v>0.196477496782864</v>
      </c>
      <c r="AD100" s="1">
        <f t="shared" si="226"/>
        <v>52863.6383251487</v>
      </c>
      <c r="AE100" s="1">
        <f t="shared" si="227"/>
        <v>5.7980323579659</v>
      </c>
      <c r="AF100" s="1">
        <f t="shared" si="228"/>
        <v>3.51129350643733</v>
      </c>
      <c r="AG100" s="1">
        <f t="shared" si="229"/>
        <v>2.98408485280954</v>
      </c>
      <c r="AH100" s="1">
        <f t="shared" si="230"/>
        <v>0.524809153565098</v>
      </c>
      <c r="AI100" s="1">
        <f t="shared" si="231"/>
        <v>1.01260013230831</v>
      </c>
      <c r="AJ100" s="1">
        <f t="shared" si="232"/>
        <v>1.13517464650926</v>
      </c>
      <c r="AK100" s="1">
        <f t="shared" si="233"/>
        <v>1</v>
      </c>
      <c r="AL100" s="10">
        <f t="shared" si="234"/>
        <v>36099</v>
      </c>
      <c r="AM100" s="10">
        <f t="shared" si="235"/>
        <v>4620</v>
      </c>
      <c r="AN100" s="10">
        <f t="shared" si="236"/>
        <v>5868</v>
      </c>
      <c r="AO100" s="1">
        <f t="shared" si="237"/>
        <v>24817</v>
      </c>
      <c r="AP100" s="1">
        <f t="shared" si="238"/>
        <v>4620</v>
      </c>
      <c r="AR100" s="1">
        <f t="shared" ref="AR100:AX100" si="314">ROUNDUP(AR$10*$AO100,0)</f>
        <v>24817</v>
      </c>
      <c r="AS100" s="1">
        <f t="shared" si="314"/>
        <v>74451</v>
      </c>
      <c r="AT100" s="1">
        <f t="shared" si="314"/>
        <v>44671</v>
      </c>
      <c r="AU100" s="1">
        <f t="shared" si="314"/>
        <v>12409</v>
      </c>
      <c r="AV100" s="1">
        <f t="shared" si="314"/>
        <v>3723</v>
      </c>
      <c r="AW100" s="1">
        <f t="shared" si="314"/>
        <v>99268</v>
      </c>
      <c r="AX100" s="1">
        <f t="shared" si="314"/>
        <v>223353</v>
      </c>
      <c r="AY100" s="1">
        <f t="shared" si="240"/>
        <v>2193231</v>
      </c>
      <c r="AZ100" s="1">
        <f t="shared" si="241"/>
        <v>1096616</v>
      </c>
      <c r="BB100" s="1">
        <f t="shared" si="242"/>
        <v>89</v>
      </c>
    </row>
    <row r="101" spans="2:54">
      <c r="B101" s="4">
        <v>90</v>
      </c>
      <c r="C101" s="1">
        <f t="shared" ref="C101:I101" si="315">C$5+(C$6-C$5)*(POWER(C$7,$B101-1)-1)/(POWER(C$7,$B$3-1)-1)</f>
        <v>7111.44143283217</v>
      </c>
      <c r="D101" s="1">
        <f t="shared" si="315"/>
        <v>2133.43242984965</v>
      </c>
      <c r="E101" s="1">
        <f t="shared" si="315"/>
        <v>1422.28828656643</v>
      </c>
      <c r="F101" s="1">
        <f t="shared" si="315"/>
        <v>18003.6491970435</v>
      </c>
      <c r="G101" s="1">
        <f t="shared" si="315"/>
        <v>5401.09475911304</v>
      </c>
      <c r="H101" s="1">
        <f t="shared" si="315"/>
        <v>3600.7298394087</v>
      </c>
      <c r="I101" s="1">
        <f t="shared" si="315"/>
        <v>0</v>
      </c>
      <c r="J101" s="1">
        <f>标准模型!$I$65/1*$B101/$B$3</f>
        <v>0.648</v>
      </c>
      <c r="K101" s="1">
        <f>J101*标准模型!$J$63</f>
        <v>0.648</v>
      </c>
      <c r="L101" s="1">
        <f t="shared" si="217"/>
        <v>25115.0906298757</v>
      </c>
      <c r="M101" s="1">
        <f t="shared" si="218"/>
        <v>8916.99140350527</v>
      </c>
      <c r="N101" s="1">
        <f t="shared" si="219"/>
        <v>5944.66093567018</v>
      </c>
      <c r="O101" s="1">
        <f t="shared" ref="O101:W101" si="316">O$5+(O$6-O$5)*(POWER(O$7,$B101-1)-1)/(POWER(O$7,$B$3-1)-1)</f>
        <v>0.589196639263745</v>
      </c>
      <c r="P101" s="1">
        <f t="shared" si="316"/>
        <v>0.0513038304487126</v>
      </c>
      <c r="Q101" s="1">
        <f t="shared" si="316"/>
        <v>0.32405815159506</v>
      </c>
      <c r="R101" s="1">
        <f t="shared" si="316"/>
        <v>1.0356786557055</v>
      </c>
      <c r="S101" s="1">
        <f t="shared" si="316"/>
        <v>0.165955631042868</v>
      </c>
      <c r="T101" s="1">
        <f t="shared" si="316"/>
        <v>2.3478668931286</v>
      </c>
      <c r="U101" s="1">
        <f t="shared" si="316"/>
        <v>1</v>
      </c>
      <c r="V101" s="1">
        <f t="shared" si="316"/>
        <v>1.09727770230815</v>
      </c>
      <c r="W101" s="1">
        <f t="shared" si="316"/>
        <v>1.28542924564398</v>
      </c>
      <c r="X101" s="1">
        <f t="shared" si="221"/>
        <v>1.04342846999256</v>
      </c>
      <c r="Y101" s="1">
        <f t="shared" si="222"/>
        <v>1.72420305752873</v>
      </c>
      <c r="Z101" s="1">
        <f t="shared" si="223"/>
        <v>43303.5160541427</v>
      </c>
      <c r="AA101" s="1">
        <f t="shared" si="224"/>
        <v>8916.99140350527</v>
      </c>
      <c r="AB101" s="1">
        <f t="shared" si="225"/>
        <v>5944.66093567018</v>
      </c>
      <c r="AC101" s="1">
        <f>AB101/(AB101+战斗公式!$M$27)</f>
        <v>0.198521564443192</v>
      </c>
      <c r="AD101" s="1">
        <f t="shared" si="226"/>
        <v>54029.5460651523</v>
      </c>
      <c r="AE101" s="1">
        <f t="shared" si="227"/>
        <v>5.80697944197154</v>
      </c>
      <c r="AF101" s="1">
        <f t="shared" si="228"/>
        <v>3.51418450858052</v>
      </c>
      <c r="AG101" s="1">
        <f t="shared" si="229"/>
        <v>2.99992187064452</v>
      </c>
      <c r="AH101" s="1">
        <f t="shared" si="230"/>
        <v>0.527597750414199</v>
      </c>
      <c r="AI101" s="1">
        <f t="shared" si="231"/>
        <v>1.01197012569245</v>
      </c>
      <c r="AJ101" s="1">
        <f t="shared" si="232"/>
        <v>1.13247048377169</v>
      </c>
      <c r="AK101" s="1">
        <f t="shared" si="233"/>
        <v>1</v>
      </c>
      <c r="AL101" s="10">
        <f t="shared" si="234"/>
        <v>36967</v>
      </c>
      <c r="AM101" s="10">
        <f t="shared" si="235"/>
        <v>4705</v>
      </c>
      <c r="AN101" s="10">
        <f t="shared" si="236"/>
        <v>5945</v>
      </c>
      <c r="AO101" s="1">
        <f t="shared" si="237"/>
        <v>25334</v>
      </c>
      <c r="AP101" s="1">
        <f t="shared" si="238"/>
        <v>4705</v>
      </c>
      <c r="AR101" s="1">
        <f t="shared" ref="AR101:AX101" si="317">ROUNDUP(AR$10*$AO101,0)</f>
        <v>25334</v>
      </c>
      <c r="AS101" s="1">
        <f t="shared" si="317"/>
        <v>76002</v>
      </c>
      <c r="AT101" s="1">
        <f t="shared" si="317"/>
        <v>45602</v>
      </c>
      <c r="AU101" s="1">
        <f t="shared" si="317"/>
        <v>12667</v>
      </c>
      <c r="AV101" s="1">
        <f t="shared" si="317"/>
        <v>3801</v>
      </c>
      <c r="AW101" s="1">
        <f t="shared" si="317"/>
        <v>101336</v>
      </c>
      <c r="AX101" s="1">
        <f t="shared" si="317"/>
        <v>228006</v>
      </c>
      <c r="AY101" s="1">
        <f t="shared" si="240"/>
        <v>2244570</v>
      </c>
      <c r="AZ101" s="1">
        <f t="shared" si="241"/>
        <v>1122285</v>
      </c>
      <c r="BB101" s="1">
        <f t="shared" si="242"/>
        <v>90</v>
      </c>
    </row>
    <row r="102" spans="2:54">
      <c r="B102" s="4">
        <v>91</v>
      </c>
      <c r="C102" s="1">
        <f t="shared" ref="C102:I102" si="318">C$5+(C$6-C$5)*(POWER(C$7,$B102-1)-1)/(POWER(C$7,$B$3-1)-1)</f>
        <v>7190.45407302527</v>
      </c>
      <c r="D102" s="1">
        <f t="shared" si="318"/>
        <v>2157.13622190758</v>
      </c>
      <c r="E102" s="1">
        <f t="shared" si="318"/>
        <v>1438.09081460505</v>
      </c>
      <c r="F102" s="1">
        <f t="shared" si="318"/>
        <v>18203.6811975323</v>
      </c>
      <c r="G102" s="1">
        <f t="shared" si="318"/>
        <v>5461.1043592597</v>
      </c>
      <c r="H102" s="1">
        <f t="shared" si="318"/>
        <v>3640.73623950647</v>
      </c>
      <c r="I102" s="1">
        <f t="shared" si="318"/>
        <v>0</v>
      </c>
      <c r="J102" s="1">
        <f>标准模型!$I$65/1*$B102/$B$3</f>
        <v>0.6552</v>
      </c>
      <c r="K102" s="1">
        <f>J102*标准模型!$J$63</f>
        <v>0.6552</v>
      </c>
      <c r="L102" s="1">
        <f t="shared" si="217"/>
        <v>25394.1352705576</v>
      </c>
      <c r="M102" s="1">
        <f t="shared" si="218"/>
        <v>9031.59623376113</v>
      </c>
      <c r="N102" s="1">
        <f t="shared" si="219"/>
        <v>6021.06415584075</v>
      </c>
      <c r="O102" s="1">
        <f t="shared" ref="O102:W102" si="319">O$5+(O$6-O$5)*(POWER(O$7,$B102-1)-1)/(POWER(O$7,$B$3-1)-1)</f>
        <v>0.590198803594851</v>
      </c>
      <c r="P102" s="1">
        <f t="shared" si="319"/>
        <v>0.0519200433199153</v>
      </c>
      <c r="Q102" s="1">
        <f t="shared" si="319"/>
        <v>0.324609341977168</v>
      </c>
      <c r="R102" s="1">
        <f t="shared" si="319"/>
        <v>1.03607952143794</v>
      </c>
      <c r="S102" s="1">
        <f t="shared" si="319"/>
        <v>0.167258444673307</v>
      </c>
      <c r="T102" s="1">
        <f t="shared" si="319"/>
        <v>2.35177533401992</v>
      </c>
      <c r="U102" s="1">
        <f t="shared" si="319"/>
        <v>1</v>
      </c>
      <c r="V102" s="1">
        <f t="shared" si="319"/>
        <v>1.09837066101456</v>
      </c>
      <c r="W102" s="1">
        <f t="shared" si="319"/>
        <v>1.28863617150352</v>
      </c>
      <c r="X102" s="1">
        <f t="shared" si="221"/>
        <v>1.05114648760419</v>
      </c>
      <c r="Y102" s="1">
        <f t="shared" si="222"/>
        <v>1.73820555091818</v>
      </c>
      <c r="Z102" s="1">
        <f t="shared" si="223"/>
        <v>44140.2268880504</v>
      </c>
      <c r="AA102" s="1">
        <f t="shared" si="224"/>
        <v>9031.59623376113</v>
      </c>
      <c r="AB102" s="1">
        <f t="shared" si="225"/>
        <v>6021.06415584075</v>
      </c>
      <c r="AC102" s="1">
        <f>AB102/(AB102+战斗公式!$M$27)</f>
        <v>0.200561316700338</v>
      </c>
      <c r="AD102" s="1">
        <f t="shared" si="226"/>
        <v>55214.0243024803</v>
      </c>
      <c r="AE102" s="1">
        <f t="shared" si="227"/>
        <v>5.81596313196666</v>
      </c>
      <c r="AF102" s="1">
        <f t="shared" si="228"/>
        <v>3.51709221902604</v>
      </c>
      <c r="AG102" s="1">
        <f t="shared" si="229"/>
        <v>3.01564011084574</v>
      </c>
      <c r="AH102" s="1">
        <f t="shared" si="230"/>
        <v>0.530391924456997</v>
      </c>
      <c r="AI102" s="1">
        <f t="shared" si="231"/>
        <v>1.01137161940739</v>
      </c>
      <c r="AJ102" s="1">
        <f t="shared" si="232"/>
        <v>1.12982040428887</v>
      </c>
      <c r="AK102" s="1">
        <f t="shared" si="233"/>
        <v>1</v>
      </c>
      <c r="AL102" s="10">
        <f t="shared" si="234"/>
        <v>37847</v>
      </c>
      <c r="AM102" s="10">
        <f t="shared" si="235"/>
        <v>4790</v>
      </c>
      <c r="AN102" s="10">
        <f t="shared" si="236"/>
        <v>6021</v>
      </c>
      <c r="AO102" s="1">
        <f t="shared" si="237"/>
        <v>25858</v>
      </c>
      <c r="AP102" s="1">
        <f t="shared" si="238"/>
        <v>4790</v>
      </c>
      <c r="AR102" s="1">
        <f t="shared" ref="AR102:AX102" si="320">ROUNDUP(AR$10*$AO102,0)</f>
        <v>25858</v>
      </c>
      <c r="AS102" s="1">
        <f t="shared" si="320"/>
        <v>77574</v>
      </c>
      <c r="AT102" s="1">
        <f t="shared" si="320"/>
        <v>46545</v>
      </c>
      <c r="AU102" s="1">
        <f t="shared" si="320"/>
        <v>12929</v>
      </c>
      <c r="AV102" s="1">
        <f t="shared" si="320"/>
        <v>3879</v>
      </c>
      <c r="AW102" s="1">
        <f t="shared" si="320"/>
        <v>103432</v>
      </c>
      <c r="AX102" s="1">
        <f t="shared" si="320"/>
        <v>232722</v>
      </c>
      <c r="AY102" s="1">
        <f t="shared" si="240"/>
        <v>2296643</v>
      </c>
      <c r="AZ102" s="1">
        <f t="shared" si="241"/>
        <v>1148321</v>
      </c>
      <c r="BB102" s="1">
        <f t="shared" si="242"/>
        <v>91</v>
      </c>
    </row>
    <row r="103" spans="2:54">
      <c r="B103" s="4">
        <v>92</v>
      </c>
      <c r="C103" s="1">
        <f t="shared" ref="C103:I103" si="321">C$5+(C$6-C$5)*(POWER(C$7,$B103-1)-1)/(POWER(C$7,$B$3-1)-1)</f>
        <v>7269.46663420922</v>
      </c>
      <c r="D103" s="1">
        <f t="shared" si="321"/>
        <v>2180.83999026277</v>
      </c>
      <c r="E103" s="1">
        <f t="shared" si="321"/>
        <v>1453.89332684184</v>
      </c>
      <c r="F103" s="1">
        <f t="shared" si="321"/>
        <v>18403.712997998</v>
      </c>
      <c r="G103" s="1">
        <f t="shared" si="321"/>
        <v>5521.11389939941</v>
      </c>
      <c r="H103" s="1">
        <f t="shared" si="321"/>
        <v>3680.74259959961</v>
      </c>
      <c r="I103" s="1">
        <f t="shared" si="321"/>
        <v>0</v>
      </c>
      <c r="J103" s="1">
        <f>标准模型!$I$65/1*$B103/$B$3</f>
        <v>0.6624</v>
      </c>
      <c r="K103" s="1">
        <f>J103*标准模型!$J$63</f>
        <v>0.6624</v>
      </c>
      <c r="L103" s="1">
        <f t="shared" si="217"/>
        <v>25673.1796322072</v>
      </c>
      <c r="M103" s="1">
        <f t="shared" si="218"/>
        <v>9146.54229921223</v>
      </c>
      <c r="N103" s="1">
        <f t="shared" si="219"/>
        <v>6097.69486614149</v>
      </c>
      <c r="O103" s="1">
        <f t="shared" ref="O103:W103" si="322">O$5+(O$6-O$5)*(POWER(O$7,$B103-1)-1)/(POWER(O$7,$B$3-1)-1)</f>
        <v>0.591200966923838</v>
      </c>
      <c r="P103" s="1">
        <f t="shared" si="322"/>
        <v>0.0525371805104248</v>
      </c>
      <c r="Q103" s="1">
        <f t="shared" si="322"/>
        <v>0.325160531808111</v>
      </c>
      <c r="R103" s="1">
        <f t="shared" si="322"/>
        <v>1.03648038676954</v>
      </c>
      <c r="S103" s="1">
        <f t="shared" si="322"/>
        <v>0.168561257000989</v>
      </c>
      <c r="T103" s="1">
        <f t="shared" si="322"/>
        <v>2.35568377100297</v>
      </c>
      <c r="U103" s="1">
        <f t="shared" si="322"/>
        <v>1</v>
      </c>
      <c r="V103" s="1">
        <f t="shared" si="322"/>
        <v>1.09946361862805</v>
      </c>
      <c r="W103" s="1">
        <f t="shared" si="322"/>
        <v>1.29184309415628</v>
      </c>
      <c r="X103" s="1">
        <f t="shared" si="221"/>
        <v>1.0589143520011</v>
      </c>
      <c r="Y103" s="1">
        <f t="shared" si="222"/>
        <v>1.75230950091192</v>
      </c>
      <c r="Z103" s="1">
        <f t="shared" si="223"/>
        <v>44987.3565881352</v>
      </c>
      <c r="AA103" s="1">
        <f t="shared" si="224"/>
        <v>9146.54229921223</v>
      </c>
      <c r="AB103" s="1">
        <f t="shared" si="225"/>
        <v>6097.69486614149</v>
      </c>
      <c r="AC103" s="1">
        <f>AB103/(AB103+战斗公式!$M$27)</f>
        <v>0.202596740157703</v>
      </c>
      <c r="AD103" s="1">
        <f t="shared" si="226"/>
        <v>56417.3221426665</v>
      </c>
      <c r="AE103" s="1">
        <f t="shared" si="227"/>
        <v>5.82498332865873</v>
      </c>
      <c r="AF103" s="1">
        <f t="shared" si="228"/>
        <v>3.52001655168443</v>
      </c>
      <c r="AG103" s="1">
        <f t="shared" si="229"/>
        <v>3.03124046424545</v>
      </c>
      <c r="AH103" s="1">
        <f t="shared" si="230"/>
        <v>0.533191686847882</v>
      </c>
      <c r="AI103" s="1">
        <f t="shared" si="231"/>
        <v>1.01080303843658</v>
      </c>
      <c r="AJ103" s="1">
        <f t="shared" si="232"/>
        <v>1.1272233263957</v>
      </c>
      <c r="AK103" s="1">
        <f t="shared" si="233"/>
        <v>1</v>
      </c>
      <c r="AL103" s="10">
        <f t="shared" si="234"/>
        <v>38741</v>
      </c>
      <c r="AM103" s="10">
        <f t="shared" si="235"/>
        <v>4877</v>
      </c>
      <c r="AN103" s="10">
        <f t="shared" si="236"/>
        <v>6098</v>
      </c>
      <c r="AO103" s="1">
        <f t="shared" si="237"/>
        <v>26389</v>
      </c>
      <c r="AP103" s="1">
        <f t="shared" si="238"/>
        <v>4877</v>
      </c>
      <c r="AR103" s="1">
        <f t="shared" ref="AR103:AX103" si="323">ROUNDUP(AR$10*$AO103,0)</f>
        <v>26389</v>
      </c>
      <c r="AS103" s="1">
        <f t="shared" si="323"/>
        <v>79167</v>
      </c>
      <c r="AT103" s="1">
        <f t="shared" si="323"/>
        <v>47501</v>
      </c>
      <c r="AU103" s="1">
        <f t="shared" si="323"/>
        <v>13195</v>
      </c>
      <c r="AV103" s="1">
        <f t="shared" si="323"/>
        <v>3959</v>
      </c>
      <c r="AW103" s="1">
        <f t="shared" si="323"/>
        <v>105556</v>
      </c>
      <c r="AX103" s="1">
        <f t="shared" si="323"/>
        <v>237501</v>
      </c>
      <c r="AY103" s="1">
        <f t="shared" si="240"/>
        <v>2349571</v>
      </c>
      <c r="AZ103" s="1">
        <f t="shared" si="241"/>
        <v>1174786</v>
      </c>
      <c r="BB103" s="1">
        <f t="shared" si="242"/>
        <v>92</v>
      </c>
    </row>
    <row r="104" spans="2:54">
      <c r="B104" s="4">
        <v>93</v>
      </c>
      <c r="C104" s="1">
        <f t="shared" ref="C104:I104" si="324">C$5+(C$6-C$5)*(POWER(C$7,$B104-1)-1)/(POWER(C$7,$B$3-1)-1)</f>
        <v>7348.47911638402</v>
      </c>
      <c r="D104" s="1">
        <f t="shared" si="324"/>
        <v>2204.5437349152</v>
      </c>
      <c r="E104" s="1">
        <f t="shared" si="324"/>
        <v>1469.6958232768</v>
      </c>
      <c r="F104" s="1">
        <f t="shared" si="324"/>
        <v>18603.7445984405</v>
      </c>
      <c r="G104" s="1">
        <f t="shared" si="324"/>
        <v>5581.12337953217</v>
      </c>
      <c r="H104" s="1">
        <f t="shared" si="324"/>
        <v>3720.74891968811</v>
      </c>
      <c r="I104" s="1">
        <f t="shared" si="324"/>
        <v>0</v>
      </c>
      <c r="J104" s="1">
        <f>标准模型!$I$65/1*$B104/$B$3</f>
        <v>0.6696</v>
      </c>
      <c r="K104" s="1">
        <f>J104*标准模型!$J$63</f>
        <v>0.6696</v>
      </c>
      <c r="L104" s="1">
        <f t="shared" si="217"/>
        <v>25952.2237148245</v>
      </c>
      <c r="M104" s="1">
        <f t="shared" si="218"/>
        <v>9261.82959934659</v>
      </c>
      <c r="N104" s="1">
        <f t="shared" si="219"/>
        <v>6174.55306623106</v>
      </c>
      <c r="O104" s="1">
        <f t="shared" ref="O104:W104" si="325">O$5+(O$6-O$5)*(POWER(O$7,$B104-1)-1)/(POWER(O$7,$B$3-1)-1)</f>
        <v>0.592203129250704</v>
      </c>
      <c r="P104" s="1">
        <f t="shared" si="325"/>
        <v>0.05315524340672</v>
      </c>
      <c r="Q104" s="1">
        <f t="shared" si="325"/>
        <v>0.325711721087887</v>
      </c>
      <c r="R104" s="1">
        <f t="shared" si="325"/>
        <v>1.03688125170028</v>
      </c>
      <c r="S104" s="1">
        <f t="shared" si="325"/>
        <v>0.169864068025915</v>
      </c>
      <c r="T104" s="1">
        <f t="shared" si="325"/>
        <v>2.35959220407775</v>
      </c>
      <c r="U104" s="1">
        <f t="shared" si="325"/>
        <v>1</v>
      </c>
      <c r="V104" s="1">
        <f t="shared" si="325"/>
        <v>1.10055657514863</v>
      </c>
      <c r="W104" s="1">
        <f t="shared" si="325"/>
        <v>1.29505001360225</v>
      </c>
      <c r="X104" s="1">
        <f t="shared" si="221"/>
        <v>1.06673234659616</v>
      </c>
      <c r="Y104" s="1">
        <f t="shared" si="222"/>
        <v>1.76651556195421</v>
      </c>
      <c r="Z104" s="1">
        <f t="shared" si="223"/>
        <v>45845.0070595547</v>
      </c>
      <c r="AA104" s="1">
        <f t="shared" si="224"/>
        <v>9261.82959934659</v>
      </c>
      <c r="AB104" s="1">
        <f t="shared" si="225"/>
        <v>6174.55306623106</v>
      </c>
      <c r="AC104" s="1">
        <f>AB104/(AB104+战斗公式!$M$27)</f>
        <v>0.204627821750279</v>
      </c>
      <c r="AD104" s="1">
        <f t="shared" si="226"/>
        <v>57639.6915975113</v>
      </c>
      <c r="AE104" s="1">
        <f t="shared" si="227"/>
        <v>5.83403993349858</v>
      </c>
      <c r="AF104" s="1">
        <f t="shared" si="228"/>
        <v>3.52295742105551</v>
      </c>
      <c r="AG104" s="1">
        <f t="shared" si="229"/>
        <v>3.04672381499466</v>
      </c>
      <c r="AH104" s="1">
        <f t="shared" si="230"/>
        <v>0.535997048763548</v>
      </c>
      <c r="AI104" s="1">
        <f t="shared" si="231"/>
        <v>1.01026288651431</v>
      </c>
      <c r="AJ104" s="1">
        <f t="shared" si="232"/>
        <v>1.1246781900604</v>
      </c>
      <c r="AK104" s="1">
        <f t="shared" si="233"/>
        <v>1</v>
      </c>
      <c r="AL104" s="10">
        <f t="shared" si="234"/>
        <v>39648</v>
      </c>
      <c r="AM104" s="10">
        <f t="shared" si="235"/>
        <v>4964</v>
      </c>
      <c r="AN104" s="10">
        <f t="shared" si="236"/>
        <v>6175</v>
      </c>
      <c r="AO104" s="1">
        <f t="shared" si="237"/>
        <v>26927</v>
      </c>
      <c r="AP104" s="1">
        <f t="shared" si="238"/>
        <v>4964</v>
      </c>
      <c r="AR104" s="1">
        <f t="shared" ref="AR104:AX104" si="326">ROUNDUP(AR$10*$AO104,0)</f>
        <v>26927</v>
      </c>
      <c r="AS104" s="1">
        <f t="shared" si="326"/>
        <v>80781</v>
      </c>
      <c r="AT104" s="1">
        <f t="shared" si="326"/>
        <v>48469</v>
      </c>
      <c r="AU104" s="1">
        <f t="shared" si="326"/>
        <v>13464</v>
      </c>
      <c r="AV104" s="1">
        <f t="shared" si="326"/>
        <v>4040</v>
      </c>
      <c r="AW104" s="1">
        <f t="shared" si="326"/>
        <v>107708</v>
      </c>
      <c r="AX104" s="1">
        <f t="shared" si="326"/>
        <v>242343</v>
      </c>
      <c r="AY104" s="1">
        <f t="shared" si="240"/>
        <v>2403294</v>
      </c>
      <c r="AZ104" s="1">
        <f t="shared" si="241"/>
        <v>1201647</v>
      </c>
      <c r="BB104" s="1">
        <f t="shared" si="242"/>
        <v>93</v>
      </c>
    </row>
    <row r="105" spans="2:54">
      <c r="B105" s="4">
        <v>94</v>
      </c>
      <c r="C105" s="1">
        <f t="shared" ref="C105:I105" si="327">C$5+(C$6-C$5)*(POWER(C$7,$B105-1)-1)/(POWER(C$7,$B$3-1)-1)</f>
        <v>7427.49151954089</v>
      </c>
      <c r="D105" s="1">
        <f t="shared" si="327"/>
        <v>2228.24745586227</v>
      </c>
      <c r="E105" s="1">
        <f t="shared" si="327"/>
        <v>1485.49830390818</v>
      </c>
      <c r="F105" s="1">
        <f t="shared" si="327"/>
        <v>18803.7759988377</v>
      </c>
      <c r="G105" s="1">
        <f t="shared" si="327"/>
        <v>5641.13279965131</v>
      </c>
      <c r="H105" s="1">
        <f t="shared" si="327"/>
        <v>3760.75519976754</v>
      </c>
      <c r="I105" s="1">
        <f t="shared" si="327"/>
        <v>0</v>
      </c>
      <c r="J105" s="1">
        <f>标准模型!$I$65/1*$B105/$B$3</f>
        <v>0.6768</v>
      </c>
      <c r="K105" s="1">
        <f>J105*标准模型!$J$63</f>
        <v>0.6768</v>
      </c>
      <c r="L105" s="1">
        <f t="shared" si="217"/>
        <v>26231.2675183786</v>
      </c>
      <c r="M105" s="1">
        <f t="shared" si="218"/>
        <v>9377.45813364116</v>
      </c>
      <c r="N105" s="1">
        <f t="shared" si="219"/>
        <v>6251.63875576077</v>
      </c>
      <c r="O105" s="1">
        <f t="shared" ref="O105:W105" si="328">O$5+(O$6-O$5)*(POWER(O$7,$B105-1)-1)/(POWER(O$7,$B$3-1)-1)</f>
        <v>0.593205290575339</v>
      </c>
      <c r="P105" s="1">
        <f t="shared" si="328"/>
        <v>0.0537742333973597</v>
      </c>
      <c r="Q105" s="1">
        <f t="shared" si="328"/>
        <v>0.326262909816437</v>
      </c>
      <c r="R105" s="1">
        <f t="shared" si="328"/>
        <v>1.03728211623014</v>
      </c>
      <c r="S105" s="1">
        <f t="shared" si="328"/>
        <v>0.171166877747941</v>
      </c>
      <c r="T105" s="1">
        <f t="shared" si="328"/>
        <v>2.36350063324382</v>
      </c>
      <c r="U105" s="1">
        <f t="shared" si="328"/>
        <v>1</v>
      </c>
      <c r="V105" s="1">
        <f t="shared" si="328"/>
        <v>1.10164953057618</v>
      </c>
      <c r="W105" s="1">
        <f t="shared" si="328"/>
        <v>1.29825692984109</v>
      </c>
      <c r="X105" s="1">
        <f t="shared" si="221"/>
        <v>1.07460075602721</v>
      </c>
      <c r="Y105" s="1">
        <f t="shared" si="222"/>
        <v>1.78082439191139</v>
      </c>
      <c r="Z105" s="1">
        <f t="shared" si="223"/>
        <v>46713.2810274816</v>
      </c>
      <c r="AA105" s="1">
        <f t="shared" si="224"/>
        <v>9377.45813364116</v>
      </c>
      <c r="AB105" s="1">
        <f t="shared" si="225"/>
        <v>6251.63875576077</v>
      </c>
      <c r="AC105" s="1">
        <f>AB105/(AB105+战斗公式!$M$27)</f>
        <v>0.206654548741439</v>
      </c>
      <c r="AD105" s="1">
        <f t="shared" si="226"/>
        <v>58881.3876141544</v>
      </c>
      <c r="AE105" s="1">
        <f t="shared" si="227"/>
        <v>5.84313284867292</v>
      </c>
      <c r="AF105" s="1">
        <f t="shared" si="228"/>
        <v>3.52591474222338</v>
      </c>
      <c r="AG105" s="1">
        <f t="shared" si="229"/>
        <v>3.06209104061326</v>
      </c>
      <c r="AH105" s="1">
        <f t="shared" si="230"/>
        <v>0.538808021403045</v>
      </c>
      <c r="AI105" s="1">
        <f t="shared" si="231"/>
        <v>1.00974974218815</v>
      </c>
      <c r="AJ105" s="1">
        <f t="shared" si="232"/>
        <v>1.1221839564518</v>
      </c>
      <c r="AK105" s="1">
        <f t="shared" si="233"/>
        <v>1</v>
      </c>
      <c r="AL105" s="10">
        <f t="shared" si="234"/>
        <v>40568</v>
      </c>
      <c r="AM105" s="10">
        <f t="shared" si="235"/>
        <v>5053</v>
      </c>
      <c r="AN105" s="10">
        <f t="shared" si="236"/>
        <v>6252</v>
      </c>
      <c r="AO105" s="1">
        <f t="shared" si="237"/>
        <v>27471</v>
      </c>
      <c r="AP105" s="1">
        <f t="shared" si="238"/>
        <v>5053</v>
      </c>
      <c r="AR105" s="1">
        <f t="shared" ref="AR105:AX105" si="329">ROUNDUP(AR$10*$AO105,0)</f>
        <v>27471</v>
      </c>
      <c r="AS105" s="1">
        <f t="shared" si="329"/>
        <v>82413</v>
      </c>
      <c r="AT105" s="1">
        <f t="shared" si="329"/>
        <v>49448</v>
      </c>
      <c r="AU105" s="1">
        <f t="shared" si="329"/>
        <v>13736</v>
      </c>
      <c r="AV105" s="1">
        <f t="shared" si="329"/>
        <v>4121</v>
      </c>
      <c r="AW105" s="1">
        <f t="shared" si="329"/>
        <v>109884</v>
      </c>
      <c r="AX105" s="1">
        <f t="shared" si="329"/>
        <v>247239</v>
      </c>
      <c r="AY105" s="1">
        <f t="shared" si="240"/>
        <v>2457812</v>
      </c>
      <c r="AZ105" s="1">
        <f t="shared" si="241"/>
        <v>1228906</v>
      </c>
      <c r="BB105" s="1">
        <f t="shared" si="242"/>
        <v>94</v>
      </c>
    </row>
    <row r="106" spans="2:54">
      <c r="B106" s="4">
        <v>95</v>
      </c>
      <c r="C106" s="1">
        <f t="shared" ref="C106:I106" si="330">C$5+(C$6-C$5)*(POWER(C$7,$B106-1)-1)/(POWER(C$7,$B$3-1)-1)</f>
        <v>7506.50384368861</v>
      </c>
      <c r="D106" s="1">
        <f t="shared" si="330"/>
        <v>2251.95115310658</v>
      </c>
      <c r="E106" s="1">
        <f t="shared" si="330"/>
        <v>1501.30076873772</v>
      </c>
      <c r="F106" s="1">
        <f t="shared" si="330"/>
        <v>19003.8071992117</v>
      </c>
      <c r="G106" s="1">
        <f t="shared" si="330"/>
        <v>5701.1421597635</v>
      </c>
      <c r="H106" s="1">
        <f t="shared" si="330"/>
        <v>3800.76143984233</v>
      </c>
      <c r="I106" s="1">
        <f t="shared" si="330"/>
        <v>0</v>
      </c>
      <c r="J106" s="1">
        <f>标准模型!$I$65/1*$B106/$B$3</f>
        <v>0.684</v>
      </c>
      <c r="K106" s="1">
        <f>J106*标准模型!$J$63</f>
        <v>0.684</v>
      </c>
      <c r="L106" s="1">
        <f t="shared" si="217"/>
        <v>26510.3110429003</v>
      </c>
      <c r="M106" s="1">
        <f t="shared" si="218"/>
        <v>9493.42790159499</v>
      </c>
      <c r="N106" s="1">
        <f t="shared" si="219"/>
        <v>6328.95193439666</v>
      </c>
      <c r="O106" s="1">
        <f t="shared" ref="O106:W106" si="331">O$5+(O$6-O$5)*(POWER(O$7,$B106-1)-1)/(POWER(O$7,$B$3-1)-1)</f>
        <v>0.594207450897854</v>
      </c>
      <c r="P106" s="1">
        <f t="shared" si="331"/>
        <v>0.0543941518729854</v>
      </c>
      <c r="Q106" s="1">
        <f t="shared" si="331"/>
        <v>0.32681409799382</v>
      </c>
      <c r="R106" s="1">
        <f t="shared" si="331"/>
        <v>1.03768298035914</v>
      </c>
      <c r="S106" s="1">
        <f t="shared" si="331"/>
        <v>0.17246968616721</v>
      </c>
      <c r="T106" s="1">
        <f t="shared" si="331"/>
        <v>2.36740905850163</v>
      </c>
      <c r="U106" s="1">
        <f t="shared" si="331"/>
        <v>1</v>
      </c>
      <c r="V106" s="1">
        <f t="shared" si="331"/>
        <v>1.10274248491082</v>
      </c>
      <c r="W106" s="1">
        <f t="shared" si="331"/>
        <v>1.30146384287313</v>
      </c>
      <c r="X106" s="1">
        <f t="shared" si="221"/>
        <v>1.08251986616241</v>
      </c>
      <c r="Y106" s="1">
        <f t="shared" si="222"/>
        <v>1.79523665208868</v>
      </c>
      <c r="Z106" s="1">
        <f t="shared" si="223"/>
        <v>47592.2820424859</v>
      </c>
      <c r="AA106" s="1">
        <f t="shared" si="224"/>
        <v>9493.42790159499</v>
      </c>
      <c r="AB106" s="1">
        <f t="shared" si="225"/>
        <v>6328.95193439666</v>
      </c>
      <c r="AC106" s="1">
        <f>AB106/(AB106+战斗公式!$M$27)</f>
        <v>0.208676908720307</v>
      </c>
      <c r="AD106" s="1">
        <f t="shared" si="226"/>
        <v>60142.6681047836</v>
      </c>
      <c r="AE106" s="1">
        <f t="shared" si="227"/>
        <v>5.8522619771028</v>
      </c>
      <c r="AF106" s="1">
        <f t="shared" si="228"/>
        <v>3.52888843085394</v>
      </c>
      <c r="AG106" s="1">
        <f t="shared" si="229"/>
        <v>3.07734301203971</v>
      </c>
      <c r="AH106" s="1">
        <f t="shared" si="230"/>
        <v>0.541624615987821</v>
      </c>
      <c r="AI106" s="1">
        <f t="shared" si="231"/>
        <v>1.00926225507831</v>
      </c>
      <c r="AJ106" s="1">
        <f t="shared" si="232"/>
        <v>1.11973960751538</v>
      </c>
      <c r="AK106" s="1">
        <f t="shared" si="233"/>
        <v>1</v>
      </c>
      <c r="AL106" s="10">
        <f t="shared" si="234"/>
        <v>41503</v>
      </c>
      <c r="AM106" s="10">
        <f t="shared" si="235"/>
        <v>5142</v>
      </c>
      <c r="AN106" s="10">
        <f t="shared" si="236"/>
        <v>6329</v>
      </c>
      <c r="AO106" s="1">
        <f t="shared" si="237"/>
        <v>28022</v>
      </c>
      <c r="AP106" s="1">
        <f t="shared" si="238"/>
        <v>5142</v>
      </c>
      <c r="AR106" s="1">
        <f t="shared" ref="AR106:AX106" si="332">ROUNDUP(AR$10*$AO106,0)</f>
        <v>28022</v>
      </c>
      <c r="AS106" s="1">
        <f t="shared" si="332"/>
        <v>84066</v>
      </c>
      <c r="AT106" s="1">
        <f t="shared" si="332"/>
        <v>50440</v>
      </c>
      <c r="AU106" s="1">
        <f t="shared" si="332"/>
        <v>14011</v>
      </c>
      <c r="AV106" s="1">
        <f t="shared" si="332"/>
        <v>4204</v>
      </c>
      <c r="AW106" s="1">
        <f t="shared" si="332"/>
        <v>112088</v>
      </c>
      <c r="AX106" s="1">
        <f t="shared" si="332"/>
        <v>252198</v>
      </c>
      <c r="AY106" s="1">
        <f t="shared" si="240"/>
        <v>2513245</v>
      </c>
      <c r="AZ106" s="1">
        <f t="shared" si="241"/>
        <v>1256622</v>
      </c>
      <c r="BB106" s="1">
        <f t="shared" si="242"/>
        <v>95</v>
      </c>
    </row>
    <row r="107" spans="2:54">
      <c r="B107" s="4">
        <v>96</v>
      </c>
      <c r="C107" s="1">
        <f t="shared" ref="C107:I107" si="333">C$5+(C$6-C$5)*(POWER(C$7,$B107-1)-1)/(POWER(C$7,$B$3-1)-1)</f>
        <v>7585.51608882718</v>
      </c>
      <c r="D107" s="1">
        <f t="shared" si="333"/>
        <v>2275.65482664815</v>
      </c>
      <c r="E107" s="1">
        <f t="shared" si="333"/>
        <v>1517.10321776544</v>
      </c>
      <c r="F107" s="1">
        <f t="shared" si="333"/>
        <v>19203.8381995625</v>
      </c>
      <c r="G107" s="1">
        <f t="shared" si="333"/>
        <v>5761.15145986874</v>
      </c>
      <c r="H107" s="1">
        <f t="shared" si="333"/>
        <v>3840.76763991249</v>
      </c>
      <c r="I107" s="1">
        <f t="shared" si="333"/>
        <v>0</v>
      </c>
      <c r="J107" s="1">
        <f>标准模型!$I$65/1*$B107/$B$3</f>
        <v>0.6912</v>
      </c>
      <c r="K107" s="1">
        <f>J107*标准模型!$J$63</f>
        <v>0.6912</v>
      </c>
      <c r="L107" s="1">
        <f t="shared" si="217"/>
        <v>26789.3542883897</v>
      </c>
      <c r="M107" s="1">
        <f t="shared" si="218"/>
        <v>9609.7389026961</v>
      </c>
      <c r="N107" s="1">
        <f t="shared" si="219"/>
        <v>6406.4926017974</v>
      </c>
      <c r="O107" s="1">
        <f t="shared" ref="O107:W107" si="334">O$5+(O$6-O$5)*(POWER(O$7,$B107-1)-1)/(POWER(O$7,$B$3-1)-1)</f>
        <v>0.595209610218249</v>
      </c>
      <c r="P107" s="1">
        <f t="shared" si="334"/>
        <v>0.0550150002263245</v>
      </c>
      <c r="Q107" s="1">
        <f t="shared" si="334"/>
        <v>0.327365285620037</v>
      </c>
      <c r="R107" s="1">
        <f t="shared" si="334"/>
        <v>1.0380838440873</v>
      </c>
      <c r="S107" s="1">
        <f t="shared" si="334"/>
        <v>0.173772493283724</v>
      </c>
      <c r="T107" s="1">
        <f t="shared" si="334"/>
        <v>2.37131747985117</v>
      </c>
      <c r="U107" s="1">
        <f t="shared" si="334"/>
        <v>1</v>
      </c>
      <c r="V107" s="1">
        <f t="shared" si="334"/>
        <v>1.10383543815255</v>
      </c>
      <c r="W107" s="1">
        <f t="shared" si="334"/>
        <v>1.3046707526984</v>
      </c>
      <c r="X107" s="1">
        <f t="shared" si="221"/>
        <v>1.09048996410114</v>
      </c>
      <c r="Y107" s="1">
        <f t="shared" si="222"/>
        <v>1.80975300723849</v>
      </c>
      <c r="Z107" s="1">
        <f t="shared" si="223"/>
        <v>48482.1144853906</v>
      </c>
      <c r="AA107" s="1">
        <f t="shared" si="224"/>
        <v>9609.7389026961</v>
      </c>
      <c r="AB107" s="1">
        <f t="shared" si="225"/>
        <v>6406.4926017974</v>
      </c>
      <c r="AC107" s="1">
        <f>AB107/(AB107+战斗公式!$M$27)</f>
        <v>0.210694889597977</v>
      </c>
      <c r="AD107" s="1">
        <f t="shared" si="226"/>
        <v>61423.7939758135</v>
      </c>
      <c r="AE107" s="1">
        <f t="shared" si="227"/>
        <v>5.86142722242992</v>
      </c>
      <c r="AF107" s="1">
        <f t="shared" si="228"/>
        <v>3.5318784031874</v>
      </c>
      <c r="AG107" s="1">
        <f t="shared" si="229"/>
        <v>3.09248059368046</v>
      </c>
      <c r="AH107" s="1">
        <f t="shared" si="230"/>
        <v>0.544446843761767</v>
      </c>
      <c r="AI107" s="1">
        <f t="shared" si="231"/>
        <v>1.00879914232395</v>
      </c>
      <c r="AJ107" s="1">
        <f t="shared" si="232"/>
        <v>1.11734414555768</v>
      </c>
      <c r="AK107" s="1">
        <f t="shared" si="233"/>
        <v>1</v>
      </c>
      <c r="AL107" s="10">
        <f t="shared" si="234"/>
        <v>42450</v>
      </c>
      <c r="AM107" s="10">
        <f t="shared" si="235"/>
        <v>5232</v>
      </c>
      <c r="AN107" s="10">
        <f t="shared" si="236"/>
        <v>6406</v>
      </c>
      <c r="AO107" s="1">
        <f t="shared" si="237"/>
        <v>28581</v>
      </c>
      <c r="AP107" s="1">
        <f t="shared" si="238"/>
        <v>5232</v>
      </c>
      <c r="AR107" s="1">
        <f t="shared" ref="AR107:AX107" si="335">ROUNDUP(AR$10*$AO107,0)</f>
        <v>28581</v>
      </c>
      <c r="AS107" s="1">
        <f t="shared" si="335"/>
        <v>85743</v>
      </c>
      <c r="AT107" s="1">
        <f t="shared" si="335"/>
        <v>51446</v>
      </c>
      <c r="AU107" s="1">
        <f t="shared" si="335"/>
        <v>14291</v>
      </c>
      <c r="AV107" s="1">
        <f t="shared" si="335"/>
        <v>4288</v>
      </c>
      <c r="AW107" s="1">
        <f t="shared" si="335"/>
        <v>114324</v>
      </c>
      <c r="AX107" s="1">
        <f t="shared" si="335"/>
        <v>257229</v>
      </c>
      <c r="AY107" s="1">
        <f t="shared" si="240"/>
        <v>2569411</v>
      </c>
      <c r="AZ107" s="1">
        <f t="shared" si="241"/>
        <v>1284706</v>
      </c>
      <c r="BB107" s="1">
        <f t="shared" si="242"/>
        <v>96</v>
      </c>
    </row>
    <row r="108" spans="2:54">
      <c r="B108" s="4">
        <v>97</v>
      </c>
      <c r="C108" s="1">
        <f t="shared" ref="C108:I108" si="336">C$5+(C$6-C$5)*(POWER(C$7,$B108-1)-1)/(POWER(C$7,$B$3-1)-1)</f>
        <v>7664.52825494782</v>
      </c>
      <c r="D108" s="1">
        <f t="shared" si="336"/>
        <v>2299.35847648435</v>
      </c>
      <c r="E108" s="1">
        <f t="shared" si="336"/>
        <v>1532.90565098956</v>
      </c>
      <c r="F108" s="1">
        <f t="shared" si="336"/>
        <v>19403.8689998679</v>
      </c>
      <c r="G108" s="1">
        <f t="shared" si="336"/>
        <v>5821.16069996037</v>
      </c>
      <c r="H108" s="1">
        <f t="shared" si="336"/>
        <v>3880.77379997358</v>
      </c>
      <c r="I108" s="1">
        <f t="shared" si="336"/>
        <v>0</v>
      </c>
      <c r="J108" s="1">
        <f>标准模型!$I$65/1*$B108/$B$3</f>
        <v>0.6984</v>
      </c>
      <c r="K108" s="1">
        <f>J108*标准模型!$J$63</f>
        <v>0.6984</v>
      </c>
      <c r="L108" s="1">
        <f t="shared" si="217"/>
        <v>27068.3972548157</v>
      </c>
      <c r="M108" s="1">
        <f t="shared" si="218"/>
        <v>9726.39113642138</v>
      </c>
      <c r="N108" s="1">
        <f t="shared" si="219"/>
        <v>6484.26075761426</v>
      </c>
      <c r="O108" s="1">
        <f t="shared" ref="O108:W108" si="337">O$5+(O$6-O$5)*(POWER(O$7,$B108-1)-1)/(POWER(O$7,$B$3-1)-1)</f>
        <v>0.596211768536412</v>
      </c>
      <c r="P108" s="1">
        <f t="shared" si="337"/>
        <v>0.0556367798521936</v>
      </c>
      <c r="Q108" s="1">
        <f t="shared" si="337"/>
        <v>0.327916472695027</v>
      </c>
      <c r="R108" s="1">
        <f t="shared" si="337"/>
        <v>1.03848470741456</v>
      </c>
      <c r="S108" s="1">
        <f t="shared" si="337"/>
        <v>0.175075299097336</v>
      </c>
      <c r="T108" s="1">
        <f t="shared" si="337"/>
        <v>2.37522589729201</v>
      </c>
      <c r="U108" s="1">
        <f t="shared" si="337"/>
        <v>1</v>
      </c>
      <c r="V108" s="1">
        <f t="shared" si="337"/>
        <v>1.10492839030125</v>
      </c>
      <c r="W108" s="1">
        <f t="shared" si="337"/>
        <v>1.30787765931652</v>
      </c>
      <c r="X108" s="1">
        <f t="shared" si="221"/>
        <v>1.09851133817702</v>
      </c>
      <c r="Y108" s="1">
        <f t="shared" si="222"/>
        <v>1.82437412557278</v>
      </c>
      <c r="Z108" s="1">
        <f t="shared" si="223"/>
        <v>49382.883572411</v>
      </c>
      <c r="AA108" s="1">
        <f t="shared" si="224"/>
        <v>9726.39113642138</v>
      </c>
      <c r="AB108" s="1">
        <f t="shared" si="225"/>
        <v>6484.26075761426</v>
      </c>
      <c r="AC108" s="1">
        <f>AB108/(AB108+战斗公式!$M$27)</f>
        <v>0.212708479604336</v>
      </c>
      <c r="AD108" s="1">
        <f t="shared" si="226"/>
        <v>62725.0291576785</v>
      </c>
      <c r="AE108" s="1">
        <f t="shared" si="227"/>
        <v>5.87062848900917</v>
      </c>
      <c r="AF108" s="1">
        <f t="shared" si="228"/>
        <v>3.53488457603339</v>
      </c>
      <c r="AG108" s="1">
        <f t="shared" si="229"/>
        <v>3.10750464345891</v>
      </c>
      <c r="AH108" s="1">
        <f t="shared" si="230"/>
        <v>0.547274715991261</v>
      </c>
      <c r="AI108" s="1">
        <f t="shared" si="231"/>
        <v>1.00835918520731</v>
      </c>
      <c r="AJ108" s="1">
        <f t="shared" si="232"/>
        <v>1.11499659283914</v>
      </c>
      <c r="AK108" s="1">
        <f t="shared" si="233"/>
        <v>1</v>
      </c>
      <c r="AL108" s="10">
        <f t="shared" si="234"/>
        <v>43412</v>
      </c>
      <c r="AM108" s="10">
        <f t="shared" si="235"/>
        <v>5323</v>
      </c>
      <c r="AN108" s="10">
        <f t="shared" si="236"/>
        <v>6484</v>
      </c>
      <c r="AO108" s="1">
        <f t="shared" si="237"/>
        <v>29146</v>
      </c>
      <c r="AP108" s="1">
        <f t="shared" si="238"/>
        <v>5323</v>
      </c>
      <c r="AR108" s="1">
        <f t="shared" ref="AR108:AX108" si="338">ROUNDUP(AR$10*$AO108,0)</f>
        <v>29146</v>
      </c>
      <c r="AS108" s="1">
        <f t="shared" si="338"/>
        <v>87438</v>
      </c>
      <c r="AT108" s="1">
        <f t="shared" si="338"/>
        <v>52463</v>
      </c>
      <c r="AU108" s="1">
        <f t="shared" si="338"/>
        <v>14573</v>
      </c>
      <c r="AV108" s="1">
        <f t="shared" si="338"/>
        <v>4372</v>
      </c>
      <c r="AW108" s="1">
        <f t="shared" si="338"/>
        <v>116584</v>
      </c>
      <c r="AX108" s="1">
        <f t="shared" si="338"/>
        <v>262314</v>
      </c>
      <c r="AY108" s="1">
        <f t="shared" si="240"/>
        <v>2626493</v>
      </c>
      <c r="AZ108" s="1">
        <f t="shared" si="241"/>
        <v>1313247</v>
      </c>
      <c r="BB108" s="1">
        <f t="shared" si="242"/>
        <v>97</v>
      </c>
    </row>
    <row r="109" spans="2:54">
      <c r="B109" s="4">
        <v>98</v>
      </c>
      <c r="C109" s="1">
        <f t="shared" ref="C109:I109" si="339">C$5+(C$6-C$5)*(POWER(C$7,$B109-1)-1)/(POWER(C$7,$B$3-1)-1)</f>
        <v>7743.54034205931</v>
      </c>
      <c r="D109" s="1">
        <f t="shared" si="339"/>
        <v>2323.06210261779</v>
      </c>
      <c r="E109" s="1">
        <f t="shared" si="339"/>
        <v>1548.70806841186</v>
      </c>
      <c r="F109" s="1">
        <f t="shared" si="339"/>
        <v>19603.8996001502</v>
      </c>
      <c r="G109" s="1">
        <f t="shared" si="339"/>
        <v>5881.16988004505</v>
      </c>
      <c r="H109" s="1">
        <f t="shared" si="339"/>
        <v>3920.77992003003</v>
      </c>
      <c r="I109" s="1">
        <f t="shared" si="339"/>
        <v>0</v>
      </c>
      <c r="J109" s="1">
        <f>标准模型!$I$65/1*$B109/$B$3</f>
        <v>0.7056</v>
      </c>
      <c r="K109" s="1">
        <f>J109*标准模型!$J$63</f>
        <v>0.7056</v>
      </c>
      <c r="L109" s="1">
        <f t="shared" si="217"/>
        <v>27347.4399422095</v>
      </c>
      <c r="M109" s="1">
        <f t="shared" si="218"/>
        <v>9843.38460226996</v>
      </c>
      <c r="N109" s="1">
        <f t="shared" si="219"/>
        <v>6562.2564015133</v>
      </c>
      <c r="O109" s="1">
        <f t="shared" ref="O109:W109" si="340">O$5+(O$6-O$5)*(POWER(O$7,$B109-1)-1)/(POWER(O$7,$B$3-1)-1)</f>
        <v>0.597213925852456</v>
      </c>
      <c r="P109" s="1">
        <f t="shared" si="340"/>
        <v>0.0562594921475015</v>
      </c>
      <c r="Q109" s="1">
        <f t="shared" si="340"/>
        <v>0.328467659218851</v>
      </c>
      <c r="R109" s="1">
        <f t="shared" si="340"/>
        <v>1.03888557034098</v>
      </c>
      <c r="S109" s="1">
        <f t="shared" si="340"/>
        <v>0.176378103608192</v>
      </c>
      <c r="T109" s="1">
        <f t="shared" si="340"/>
        <v>2.37913431082458</v>
      </c>
      <c r="U109" s="1">
        <f t="shared" si="340"/>
        <v>1</v>
      </c>
      <c r="V109" s="1">
        <f t="shared" si="340"/>
        <v>1.10602134135704</v>
      </c>
      <c r="W109" s="1">
        <f t="shared" si="340"/>
        <v>1.31108456272786</v>
      </c>
      <c r="X109" s="1">
        <f t="shared" si="221"/>
        <v>1.10658427796344</v>
      </c>
      <c r="Y109" s="1">
        <f t="shared" si="222"/>
        <v>1.83910067878027</v>
      </c>
      <c r="Z109" s="1">
        <f t="shared" si="223"/>
        <v>50294.6953606202</v>
      </c>
      <c r="AA109" s="1">
        <f t="shared" si="224"/>
        <v>9843.38460226996</v>
      </c>
      <c r="AB109" s="1">
        <f t="shared" si="225"/>
        <v>6562.2564015133</v>
      </c>
      <c r="AC109" s="1">
        <f>AB109/(AB109+战斗公式!$M$27)</f>
        <v>0.214717667285468</v>
      </c>
      <c r="AD109" s="1">
        <f t="shared" si="226"/>
        <v>64046.6406353032</v>
      </c>
      <c r="AE109" s="1">
        <f t="shared" si="227"/>
        <v>5.8798656819076</v>
      </c>
      <c r="AF109" s="1">
        <f t="shared" si="228"/>
        <v>3.53790686676872</v>
      </c>
      <c r="AG109" s="1">
        <f t="shared" si="229"/>
        <v>3.12241601286402</v>
      </c>
      <c r="AH109" s="1">
        <f t="shared" si="230"/>
        <v>0.550108243965214</v>
      </c>
      <c r="AI109" s="1">
        <f t="shared" si="231"/>
        <v>1.00794122594651</v>
      </c>
      <c r="AJ109" s="1">
        <f t="shared" si="232"/>
        <v>1.11269599117497</v>
      </c>
      <c r="AK109" s="1">
        <f t="shared" si="233"/>
        <v>1</v>
      </c>
      <c r="AL109" s="10">
        <f t="shared" si="234"/>
        <v>44388</v>
      </c>
      <c r="AM109" s="10">
        <f t="shared" si="235"/>
        <v>5415</v>
      </c>
      <c r="AN109" s="10">
        <f t="shared" si="236"/>
        <v>6562</v>
      </c>
      <c r="AO109" s="1">
        <f t="shared" si="237"/>
        <v>29718</v>
      </c>
      <c r="AP109" s="1">
        <f t="shared" si="238"/>
        <v>5415</v>
      </c>
      <c r="AR109" s="1">
        <f t="shared" ref="AR109:AX109" si="341">ROUNDUP(AR$10*$AO109,0)</f>
        <v>29718</v>
      </c>
      <c r="AS109" s="1">
        <f t="shared" si="341"/>
        <v>89154</v>
      </c>
      <c r="AT109" s="1">
        <f t="shared" si="341"/>
        <v>53493</v>
      </c>
      <c r="AU109" s="1">
        <f t="shared" si="341"/>
        <v>14859</v>
      </c>
      <c r="AV109" s="1">
        <f t="shared" si="341"/>
        <v>4458</v>
      </c>
      <c r="AW109" s="1">
        <f t="shared" si="341"/>
        <v>118872</v>
      </c>
      <c r="AX109" s="1">
        <f t="shared" si="341"/>
        <v>267462</v>
      </c>
      <c r="AY109" s="1">
        <f t="shared" si="240"/>
        <v>2684430</v>
      </c>
      <c r="AZ109" s="1">
        <f t="shared" si="241"/>
        <v>1342215</v>
      </c>
      <c r="BB109" s="1">
        <f t="shared" si="242"/>
        <v>98</v>
      </c>
    </row>
    <row r="110" spans="2:54">
      <c r="B110" s="4">
        <v>99</v>
      </c>
      <c r="C110" s="1">
        <f t="shared" ref="C110:I110" si="342">C$5+(C$6-C$5)*(POWER(C$7,$B110-1)-1)/(POWER(C$7,$B$3-1)-1)</f>
        <v>7822.55235016165</v>
      </c>
      <c r="D110" s="1">
        <f t="shared" si="342"/>
        <v>2346.7657050485</v>
      </c>
      <c r="E110" s="1">
        <f t="shared" si="342"/>
        <v>1564.51047003233</v>
      </c>
      <c r="F110" s="1">
        <f t="shared" si="342"/>
        <v>19803.9300004093</v>
      </c>
      <c r="G110" s="1">
        <f t="shared" si="342"/>
        <v>5941.17900012277</v>
      </c>
      <c r="H110" s="1">
        <f t="shared" si="342"/>
        <v>3960.78600008185</v>
      </c>
      <c r="I110" s="1">
        <f t="shared" si="342"/>
        <v>0</v>
      </c>
      <c r="J110" s="1">
        <f>标准模型!$I$65/1*$B110/$B$3</f>
        <v>0.7128</v>
      </c>
      <c r="K110" s="1">
        <f>J110*标准模型!$J$63</f>
        <v>0.7128</v>
      </c>
      <c r="L110" s="1">
        <f t="shared" si="217"/>
        <v>27626.482350571</v>
      </c>
      <c r="M110" s="1">
        <f t="shared" si="218"/>
        <v>9960.71929972984</v>
      </c>
      <c r="N110" s="1">
        <f t="shared" si="219"/>
        <v>6640.47953315323</v>
      </c>
      <c r="O110" s="1">
        <f t="shared" ref="O110:W110" si="343">O$5+(O$6-O$5)*(POWER(O$7,$B110-1)-1)/(POWER(O$7,$B$3-1)-1)</f>
        <v>0.598216082166379</v>
      </c>
      <c r="P110" s="1">
        <f t="shared" si="343"/>
        <v>0.0568831385112524</v>
      </c>
      <c r="Q110" s="1">
        <f t="shared" si="343"/>
        <v>0.329018845191508</v>
      </c>
      <c r="R110" s="1">
        <f t="shared" si="343"/>
        <v>1.03928643286655</v>
      </c>
      <c r="S110" s="1">
        <f t="shared" si="343"/>
        <v>0.177680906816293</v>
      </c>
      <c r="T110" s="1">
        <f t="shared" si="343"/>
        <v>2.38304272044888</v>
      </c>
      <c r="U110" s="1">
        <f t="shared" si="343"/>
        <v>1</v>
      </c>
      <c r="V110" s="1">
        <f t="shared" si="343"/>
        <v>1.10711429131991</v>
      </c>
      <c r="W110" s="1">
        <f t="shared" si="343"/>
        <v>1.31429146293241</v>
      </c>
      <c r="X110" s="1">
        <f t="shared" si="221"/>
        <v>1.11470907427431</v>
      </c>
      <c r="Y110" s="1">
        <f t="shared" si="222"/>
        <v>1.85393334203453</v>
      </c>
      <c r="Z110" s="1">
        <f t="shared" si="223"/>
        <v>51217.6567528521</v>
      </c>
      <c r="AA110" s="1">
        <f t="shared" si="224"/>
        <v>9960.71929972984</v>
      </c>
      <c r="AB110" s="1">
        <f t="shared" si="225"/>
        <v>6640.47953315323</v>
      </c>
      <c r="AC110" s="1">
        <f>AB110/(AB110+战斗公式!$M$27)</f>
        <v>0.216722441499918</v>
      </c>
      <c r="AD110" s="1">
        <f t="shared" si="226"/>
        <v>65388.898477993</v>
      </c>
      <c r="AE110" s="1">
        <f t="shared" si="227"/>
        <v>5.88913870689081</v>
      </c>
      <c r="AF110" s="1">
        <f t="shared" si="228"/>
        <v>3.54094519332993</v>
      </c>
      <c r="AG110" s="1">
        <f t="shared" si="229"/>
        <v>3.1372155469986</v>
      </c>
      <c r="AH110" s="1">
        <f t="shared" si="230"/>
        <v>0.552947438995114</v>
      </c>
      <c r="AI110" s="1">
        <f t="shared" si="231"/>
        <v>1.00754416464874</v>
      </c>
      <c r="AJ110" s="1">
        <f t="shared" si="232"/>
        <v>1.11044140154408</v>
      </c>
      <c r="AK110" s="1">
        <f t="shared" si="233"/>
        <v>1</v>
      </c>
      <c r="AL110" s="10">
        <f t="shared" si="234"/>
        <v>45378</v>
      </c>
      <c r="AM110" s="10">
        <f t="shared" si="235"/>
        <v>5508</v>
      </c>
      <c r="AN110" s="10">
        <f t="shared" si="236"/>
        <v>6640</v>
      </c>
      <c r="AO110" s="1">
        <f t="shared" si="237"/>
        <v>30298</v>
      </c>
      <c r="AP110" s="1">
        <f t="shared" si="238"/>
        <v>5508</v>
      </c>
      <c r="AR110" s="1">
        <f t="shared" ref="AR110:AX110" si="344">ROUNDUP(AR$10*$AO110,0)</f>
        <v>30298</v>
      </c>
      <c r="AS110" s="1">
        <f t="shared" si="344"/>
        <v>90894</v>
      </c>
      <c r="AT110" s="1">
        <f t="shared" si="344"/>
        <v>54537</v>
      </c>
      <c r="AU110" s="1">
        <f t="shared" si="344"/>
        <v>15149</v>
      </c>
      <c r="AV110" s="1">
        <f t="shared" si="344"/>
        <v>4545</v>
      </c>
      <c r="AW110" s="1">
        <f t="shared" si="344"/>
        <v>121192</v>
      </c>
      <c r="AX110" s="1">
        <f t="shared" si="344"/>
        <v>272682</v>
      </c>
      <c r="AY110" s="1">
        <f t="shared" si="240"/>
        <v>2743220</v>
      </c>
      <c r="AZ110" s="1">
        <f t="shared" si="241"/>
        <v>1371610</v>
      </c>
      <c r="BB110" s="1">
        <f t="shared" si="242"/>
        <v>99</v>
      </c>
    </row>
    <row r="111" spans="2:54">
      <c r="B111" s="4">
        <v>100</v>
      </c>
      <c r="C111" s="1">
        <f t="shared" ref="C111:I111" si="345">C$5+(C$6-C$5)*(POWER(C$7,$B111-1)-1)/(POWER(C$7,$B$3-1)-1)</f>
        <v>7901.56427924607</v>
      </c>
      <c r="D111" s="1">
        <f t="shared" si="345"/>
        <v>2370.46928377382</v>
      </c>
      <c r="E111" s="1">
        <f t="shared" si="345"/>
        <v>1580.31285584921</v>
      </c>
      <c r="F111" s="1">
        <f t="shared" si="345"/>
        <v>20003.960200623</v>
      </c>
      <c r="G111" s="1">
        <f t="shared" si="345"/>
        <v>6001.18806018689</v>
      </c>
      <c r="H111" s="1">
        <f t="shared" si="345"/>
        <v>4000.79204012459</v>
      </c>
      <c r="I111" s="1">
        <f t="shared" si="345"/>
        <v>0</v>
      </c>
      <c r="J111" s="1">
        <f>标准模型!$I$65/1*$B111/$B$3</f>
        <v>0.72</v>
      </c>
      <c r="K111" s="1">
        <f>J111*标准模型!$J$63</f>
        <v>0.72</v>
      </c>
      <c r="L111" s="1">
        <f t="shared" si="217"/>
        <v>27905.5244798691</v>
      </c>
      <c r="M111" s="1">
        <f t="shared" si="218"/>
        <v>10078.3952282779</v>
      </c>
      <c r="N111" s="1">
        <f t="shared" si="219"/>
        <v>6718.93015218524</v>
      </c>
      <c r="O111" s="1">
        <f t="shared" ref="O111:W111" si="346">O$5+(O$6-O$5)*(POWER(O$7,$B111-1)-1)/(POWER(O$7,$B$3-1)-1)</f>
        <v>0.599218237478071</v>
      </c>
      <c r="P111" s="1">
        <f t="shared" si="346"/>
        <v>0.0575077203445489</v>
      </c>
      <c r="Q111" s="1">
        <f t="shared" si="346"/>
        <v>0.329570030612939</v>
      </c>
      <c r="R111" s="1">
        <f t="shared" si="346"/>
        <v>1.03968729499123</v>
      </c>
      <c r="S111" s="1">
        <f t="shared" si="346"/>
        <v>0.178983708721492</v>
      </c>
      <c r="T111" s="1">
        <f t="shared" si="346"/>
        <v>2.38695112616448</v>
      </c>
      <c r="U111" s="1">
        <f t="shared" si="346"/>
        <v>1</v>
      </c>
      <c r="V111" s="1">
        <f t="shared" si="346"/>
        <v>1.10820724018976</v>
      </c>
      <c r="W111" s="1">
        <f t="shared" si="346"/>
        <v>1.31749835992983</v>
      </c>
      <c r="X111" s="1">
        <f t="shared" si="221"/>
        <v>1.12288601916724</v>
      </c>
      <c r="Y111" s="1">
        <f t="shared" si="222"/>
        <v>1.86887279400667</v>
      </c>
      <c r="Z111" s="1">
        <f t="shared" si="223"/>
        <v>52151.8755029144</v>
      </c>
      <c r="AA111" s="1">
        <f t="shared" si="224"/>
        <v>10078.3952282779</v>
      </c>
      <c r="AB111" s="1">
        <f t="shared" si="225"/>
        <v>6718.93015218524</v>
      </c>
      <c r="AC111" s="1">
        <f>AB111/(AB111+战斗公式!$M$27)</f>
        <v>0.218722791415549</v>
      </c>
      <c r="AD111" s="1">
        <f t="shared" si="226"/>
        <v>66752.0758699786</v>
      </c>
      <c r="AE111" s="1">
        <f t="shared" si="227"/>
        <v>5.89844747041586</v>
      </c>
      <c r="AF111" s="1">
        <f t="shared" si="228"/>
        <v>3.54399947420857</v>
      </c>
      <c r="AG111" s="1">
        <f t="shared" si="229"/>
        <v>3.15190408462716</v>
      </c>
      <c r="AH111" s="1">
        <f t="shared" si="230"/>
        <v>0.555792312415075</v>
      </c>
      <c r="AI111" s="1">
        <f t="shared" si="231"/>
        <v>1.00716695641586</v>
      </c>
      <c r="AJ111" s="1">
        <f t="shared" si="232"/>
        <v>1.10823190370581</v>
      </c>
      <c r="AK111" s="1">
        <f t="shared" si="233"/>
        <v>1</v>
      </c>
      <c r="AL111" s="10">
        <f t="shared" si="234"/>
        <v>46382</v>
      </c>
      <c r="AM111" s="10">
        <f t="shared" si="235"/>
        <v>5601</v>
      </c>
      <c r="AN111" s="10">
        <f t="shared" si="236"/>
        <v>6719</v>
      </c>
      <c r="AO111" s="1">
        <f t="shared" si="237"/>
        <v>30884</v>
      </c>
      <c r="AP111" s="1">
        <f t="shared" si="238"/>
        <v>5601</v>
      </c>
      <c r="AR111" s="1">
        <f t="shared" ref="AR111:AX111" si="347">ROUNDUP(AR$10*$AO111,0)</f>
        <v>30884</v>
      </c>
      <c r="AS111" s="1">
        <f t="shared" si="347"/>
        <v>92652</v>
      </c>
      <c r="AT111" s="1">
        <f t="shared" si="347"/>
        <v>55592</v>
      </c>
      <c r="AU111" s="1">
        <f t="shared" si="347"/>
        <v>15442</v>
      </c>
      <c r="AV111" s="1">
        <f t="shared" si="347"/>
        <v>4633</v>
      </c>
      <c r="AW111" s="1">
        <f t="shared" si="347"/>
        <v>123536</v>
      </c>
      <c r="AX111" s="1">
        <f t="shared" si="347"/>
        <v>277956</v>
      </c>
      <c r="AY111" s="1">
        <f t="shared" si="240"/>
        <v>2802865</v>
      </c>
      <c r="AZ111" s="1">
        <f t="shared" si="241"/>
        <v>1401433</v>
      </c>
      <c r="BB111" s="1">
        <f t="shared" si="242"/>
        <v>100</v>
      </c>
    </row>
    <row r="112" spans="2:54">
      <c r="B112" s="4">
        <v>101</v>
      </c>
      <c r="C112" s="1">
        <f t="shared" ref="C112:I112" si="348">C$5+(C$6-C$5)*(POWER(C$7,$B112-1)-1)/(POWER(C$7,$B$3-1)-1)</f>
        <v>7980.57612932133</v>
      </c>
      <c r="D112" s="1">
        <f t="shared" si="348"/>
        <v>2394.1728387964</v>
      </c>
      <c r="E112" s="1">
        <f t="shared" si="348"/>
        <v>1596.11522586427</v>
      </c>
      <c r="F112" s="1">
        <f t="shared" si="348"/>
        <v>20203.9902008135</v>
      </c>
      <c r="G112" s="1">
        <f t="shared" si="348"/>
        <v>6061.19706024405</v>
      </c>
      <c r="H112" s="1">
        <f t="shared" si="348"/>
        <v>4040.7980401627</v>
      </c>
      <c r="I112" s="1">
        <f t="shared" si="348"/>
        <v>0</v>
      </c>
      <c r="J112" s="1">
        <f>标准模型!$I$65/1*$B112/$B$3</f>
        <v>0.7272</v>
      </c>
      <c r="K112" s="1">
        <f>J112*标准模型!$J$63</f>
        <v>0.7272</v>
      </c>
      <c r="L112" s="1">
        <f t="shared" si="217"/>
        <v>28184.5663301348</v>
      </c>
      <c r="M112" s="1">
        <f t="shared" si="218"/>
        <v>10196.4123874132</v>
      </c>
      <c r="N112" s="1">
        <f t="shared" si="219"/>
        <v>6797.60825827546</v>
      </c>
      <c r="O112" s="1">
        <f t="shared" ref="O112:W112" si="349">O$5+(O$6-O$5)*(POWER(O$7,$B112-1)-1)/(POWER(O$7,$B$3-1)-1)</f>
        <v>0.600220391787643</v>
      </c>
      <c r="P112" s="1">
        <f t="shared" si="349"/>
        <v>0.0581332390505953</v>
      </c>
      <c r="Q112" s="1">
        <f t="shared" si="349"/>
        <v>0.330121215483204</v>
      </c>
      <c r="R112" s="1">
        <f t="shared" si="349"/>
        <v>1.04008815671506</v>
      </c>
      <c r="S112" s="1">
        <f t="shared" si="349"/>
        <v>0.180286509323936</v>
      </c>
      <c r="T112" s="1">
        <f t="shared" si="349"/>
        <v>2.39085952797181</v>
      </c>
      <c r="U112" s="1">
        <f t="shared" si="349"/>
        <v>1</v>
      </c>
      <c r="V112" s="1">
        <f t="shared" si="349"/>
        <v>1.10930018796669</v>
      </c>
      <c r="W112" s="1">
        <f t="shared" si="349"/>
        <v>1.32070525372046</v>
      </c>
      <c r="X112" s="1">
        <f t="shared" si="221"/>
        <v>1.13111540594899</v>
      </c>
      <c r="Y112" s="1">
        <f t="shared" si="222"/>
        <v>1.88391971688249</v>
      </c>
      <c r="Z112" s="1">
        <f t="shared" si="223"/>
        <v>53097.4602211233</v>
      </c>
      <c r="AA112" s="1">
        <f t="shared" si="224"/>
        <v>10196.4123874132</v>
      </c>
      <c r="AB112" s="1">
        <f t="shared" si="225"/>
        <v>6797.60825827546</v>
      </c>
      <c r="AC112" s="1">
        <f>AB112/(AB112+战斗公式!$M$27)</f>
        <v>0.220718706506987</v>
      </c>
      <c r="AD112" s="1">
        <f t="shared" si="226"/>
        <v>68136.4491416467</v>
      </c>
      <c r="AE112" s="1">
        <f t="shared" si="227"/>
        <v>5.90779187963054</v>
      </c>
      <c r="AF112" s="1">
        <f t="shared" si="228"/>
        <v>3.54706962844918</v>
      </c>
      <c r="AG112" s="1">
        <f t="shared" si="229"/>
        <v>3.16648245822351</v>
      </c>
      <c r="AH112" s="1">
        <f t="shared" si="230"/>
        <v>0.558642875581875</v>
      </c>
      <c r="AI112" s="1">
        <f t="shared" si="231"/>
        <v>1.00680860859463</v>
      </c>
      <c r="AJ112" s="1">
        <f t="shared" si="232"/>
        <v>1.10606659582431</v>
      </c>
      <c r="AK112" s="1">
        <f t="shared" si="233"/>
        <v>1</v>
      </c>
      <c r="AL112" s="10">
        <f t="shared" si="234"/>
        <v>47400</v>
      </c>
      <c r="AM112" s="10">
        <f t="shared" si="235"/>
        <v>5696</v>
      </c>
      <c r="AN112" s="10">
        <f t="shared" si="236"/>
        <v>6798</v>
      </c>
      <c r="AO112" s="1">
        <f t="shared" si="237"/>
        <v>31478</v>
      </c>
      <c r="AP112" s="1">
        <f t="shared" si="238"/>
        <v>5696</v>
      </c>
      <c r="AR112" s="1">
        <f t="shared" ref="AR112:AX112" si="350">ROUNDUP(AR$10*$AO112,0)</f>
        <v>31478</v>
      </c>
      <c r="AS112" s="1">
        <f t="shared" si="350"/>
        <v>94434</v>
      </c>
      <c r="AT112" s="1">
        <f t="shared" si="350"/>
        <v>56661</v>
      </c>
      <c r="AU112" s="1">
        <f t="shared" si="350"/>
        <v>15739</v>
      </c>
      <c r="AV112" s="1">
        <f t="shared" si="350"/>
        <v>4722</v>
      </c>
      <c r="AW112" s="1">
        <f t="shared" si="350"/>
        <v>125912</v>
      </c>
      <c r="AX112" s="1">
        <f t="shared" si="350"/>
        <v>283302</v>
      </c>
      <c r="AY112" s="1">
        <f t="shared" si="240"/>
        <v>2863364</v>
      </c>
      <c r="AZ112" s="1">
        <f t="shared" si="241"/>
        <v>1431682</v>
      </c>
      <c r="BB112" s="1">
        <f t="shared" si="242"/>
        <v>101</v>
      </c>
    </row>
    <row r="113" spans="2:54">
      <c r="B113" s="4">
        <v>102</v>
      </c>
      <c r="C113" s="1">
        <f t="shared" ref="C113:I113" si="351">C$5+(C$6-C$5)*(POWER(C$7,$B113-1)-1)/(POWER(C$7,$B$3-1)-1)</f>
        <v>8059.58790038745</v>
      </c>
      <c r="D113" s="1">
        <f t="shared" si="351"/>
        <v>2417.87637011623</v>
      </c>
      <c r="E113" s="1">
        <f t="shared" si="351"/>
        <v>1611.91758007749</v>
      </c>
      <c r="F113" s="1">
        <f t="shared" si="351"/>
        <v>20404.0200009809</v>
      </c>
      <c r="G113" s="1">
        <f t="shared" si="351"/>
        <v>6121.20600029426</v>
      </c>
      <c r="H113" s="1">
        <f t="shared" si="351"/>
        <v>4080.80400019618</v>
      </c>
      <c r="I113" s="1">
        <f t="shared" si="351"/>
        <v>0</v>
      </c>
      <c r="J113" s="1">
        <f>标准模型!$I$65/1*$B113/$B$3</f>
        <v>0.7344</v>
      </c>
      <c r="K113" s="1">
        <f>J113*标准模型!$J$63</f>
        <v>0.7344</v>
      </c>
      <c r="L113" s="1">
        <f t="shared" si="217"/>
        <v>28463.6079013683</v>
      </c>
      <c r="M113" s="1">
        <f t="shared" si="218"/>
        <v>10314.7707766239</v>
      </c>
      <c r="N113" s="1">
        <f t="shared" si="219"/>
        <v>6876.51385108257</v>
      </c>
      <c r="O113" s="1">
        <f t="shared" ref="O113:W113" si="352">O$5+(O$6-O$5)*(POWER(O$7,$B113-1)-1)/(POWER(O$7,$B$3-1)-1)</f>
        <v>0.601222545095095</v>
      </c>
      <c r="P113" s="1">
        <f t="shared" si="352"/>
        <v>0.0587596960347008</v>
      </c>
      <c r="Q113" s="1">
        <f t="shared" si="352"/>
        <v>0.330672399802302</v>
      </c>
      <c r="R113" s="1">
        <f t="shared" si="352"/>
        <v>1.04048901803804</v>
      </c>
      <c r="S113" s="1">
        <f t="shared" si="352"/>
        <v>0.181589308623623</v>
      </c>
      <c r="T113" s="1">
        <f t="shared" si="352"/>
        <v>2.39476792587087</v>
      </c>
      <c r="U113" s="1">
        <f t="shared" si="352"/>
        <v>1</v>
      </c>
      <c r="V113" s="1">
        <f t="shared" si="352"/>
        <v>1.11039313465072</v>
      </c>
      <c r="W113" s="1">
        <f t="shared" si="352"/>
        <v>1.3239121443043</v>
      </c>
      <c r="X113" s="1">
        <f t="shared" si="221"/>
        <v>1.13939752917633</v>
      </c>
      <c r="Y113" s="1">
        <f t="shared" si="222"/>
        <v>1.89907479637076</v>
      </c>
      <c r="Z113" s="1">
        <f t="shared" si="223"/>
        <v>54054.5203792683</v>
      </c>
      <c r="AA113" s="1">
        <f t="shared" si="224"/>
        <v>10314.7707766239</v>
      </c>
      <c r="AB113" s="1">
        <f t="shared" si="225"/>
        <v>6876.51385108257</v>
      </c>
      <c r="AC113" s="1">
        <f>AB113/(AB113+战斗公式!$M$27)</f>
        <v>0.222710176551926</v>
      </c>
      <c r="AD113" s="1">
        <f t="shared" si="226"/>
        <v>69542.2978001709</v>
      </c>
      <c r="AE113" s="1">
        <f t="shared" si="227"/>
        <v>5.91717184235993</v>
      </c>
      <c r="AF113" s="1">
        <f t="shared" si="228"/>
        <v>3.55015557564189</v>
      </c>
      <c r="AG113" s="1">
        <f t="shared" si="229"/>
        <v>3.18095149401788</v>
      </c>
      <c r="AH113" s="1">
        <f t="shared" si="230"/>
        <v>0.561499139875009</v>
      </c>
      <c r="AI113" s="1">
        <f t="shared" si="231"/>
        <v>1.00646817816446</v>
      </c>
      <c r="AJ113" s="1">
        <f t="shared" si="232"/>
        <v>1.10394459410043</v>
      </c>
      <c r="AK113" s="1">
        <f t="shared" si="233"/>
        <v>1</v>
      </c>
      <c r="AL113" s="10">
        <f t="shared" si="234"/>
        <v>48433</v>
      </c>
      <c r="AM113" s="10">
        <f t="shared" si="235"/>
        <v>5792</v>
      </c>
      <c r="AN113" s="10">
        <f t="shared" si="236"/>
        <v>6877</v>
      </c>
      <c r="AO113" s="1">
        <f t="shared" si="237"/>
        <v>32079</v>
      </c>
      <c r="AP113" s="1">
        <f t="shared" si="238"/>
        <v>5792</v>
      </c>
      <c r="AR113" s="1">
        <f t="shared" ref="AR113:AX113" si="353">ROUNDUP(AR$10*$AO113,0)</f>
        <v>32079</v>
      </c>
      <c r="AS113" s="1">
        <f t="shared" si="353"/>
        <v>96237</v>
      </c>
      <c r="AT113" s="1">
        <f t="shared" si="353"/>
        <v>57743</v>
      </c>
      <c r="AU113" s="1">
        <f t="shared" si="353"/>
        <v>16040</v>
      </c>
      <c r="AV113" s="1">
        <f t="shared" si="353"/>
        <v>4812</v>
      </c>
      <c r="AW113" s="1">
        <f t="shared" si="353"/>
        <v>128316</v>
      </c>
      <c r="AX113" s="1">
        <f t="shared" si="353"/>
        <v>288711</v>
      </c>
      <c r="AY113" s="1">
        <f t="shared" si="240"/>
        <v>2924776</v>
      </c>
      <c r="AZ113" s="1">
        <f t="shared" si="241"/>
        <v>1462388</v>
      </c>
      <c r="BB113" s="1">
        <f t="shared" si="242"/>
        <v>102</v>
      </c>
    </row>
    <row r="114" spans="2:54">
      <c r="B114" s="4">
        <v>103</v>
      </c>
      <c r="C114" s="1">
        <f t="shared" ref="C114:I114" si="354">C$5+(C$6-C$5)*(POWER(C$7,$B114-1)-1)/(POWER(C$7,$B$3-1)-1)</f>
        <v>8138.59959243563</v>
      </c>
      <c r="D114" s="1">
        <f t="shared" si="354"/>
        <v>2441.57987773069</v>
      </c>
      <c r="E114" s="1">
        <f t="shared" si="354"/>
        <v>1627.71991848713</v>
      </c>
      <c r="F114" s="1">
        <f t="shared" si="354"/>
        <v>20604.0496011029</v>
      </c>
      <c r="G114" s="1">
        <f t="shared" si="354"/>
        <v>6181.21488033086</v>
      </c>
      <c r="H114" s="1">
        <f t="shared" si="354"/>
        <v>4120.80992022057</v>
      </c>
      <c r="I114" s="1">
        <f t="shared" si="354"/>
        <v>0</v>
      </c>
      <c r="J114" s="1">
        <f>标准模型!$I$65/1*$B114/$B$3</f>
        <v>0.7416</v>
      </c>
      <c r="K114" s="1">
        <f>J114*标准模型!$J$63</f>
        <v>0.7416</v>
      </c>
      <c r="L114" s="1">
        <f t="shared" si="217"/>
        <v>28742.6491935385</v>
      </c>
      <c r="M114" s="1">
        <f t="shared" si="218"/>
        <v>10433.4703953866</v>
      </c>
      <c r="N114" s="1">
        <f t="shared" si="219"/>
        <v>6955.64693025775</v>
      </c>
      <c r="O114" s="1">
        <f t="shared" ref="O114:W114" si="355">O$5+(O$6-O$5)*(POWER(O$7,$B114-1)-1)/(POWER(O$7,$B$3-1)-1)</f>
        <v>0.602224697400315</v>
      </c>
      <c r="P114" s="1">
        <f t="shared" si="355"/>
        <v>0.0593870927042825</v>
      </c>
      <c r="Q114" s="1">
        <f t="shared" si="355"/>
        <v>0.331223583570173</v>
      </c>
      <c r="R114" s="1">
        <f t="shared" si="355"/>
        <v>1.04088987896013</v>
      </c>
      <c r="S114" s="1">
        <f t="shared" si="355"/>
        <v>0.18289210662041</v>
      </c>
      <c r="T114" s="1">
        <f t="shared" si="355"/>
        <v>2.39867631986123</v>
      </c>
      <c r="U114" s="1">
        <f t="shared" si="355"/>
        <v>1</v>
      </c>
      <c r="V114" s="1">
        <f t="shared" si="355"/>
        <v>1.11148608024171</v>
      </c>
      <c r="W114" s="1">
        <f t="shared" si="355"/>
        <v>1.32711903168101</v>
      </c>
      <c r="X114" s="1">
        <f t="shared" si="221"/>
        <v>1.14773268465914</v>
      </c>
      <c r="Y114" s="1">
        <f t="shared" si="222"/>
        <v>1.91433872171592</v>
      </c>
      <c r="Z114" s="1">
        <f t="shared" si="223"/>
        <v>55023.1663158876</v>
      </c>
      <c r="AA114" s="1">
        <f t="shared" si="224"/>
        <v>10433.4703953866</v>
      </c>
      <c r="AB114" s="1">
        <f t="shared" si="225"/>
        <v>6955.64693025775</v>
      </c>
      <c r="AC114" s="1">
        <f>AB114/(AB114+战斗公式!$M$27)</f>
        <v>0.22469719162803</v>
      </c>
      <c r="AD114" s="1">
        <f t="shared" si="226"/>
        <v>70969.9045608113</v>
      </c>
      <c r="AE114" s="1">
        <f t="shared" si="227"/>
        <v>5.92658726709969</v>
      </c>
      <c r="AF114" s="1">
        <f t="shared" si="228"/>
        <v>3.55325723591796</v>
      </c>
      <c r="AG114" s="1">
        <f t="shared" si="229"/>
        <v>3.1953120120438</v>
      </c>
      <c r="AH114" s="1">
        <f t="shared" si="230"/>
        <v>0.564361116696729</v>
      </c>
      <c r="AI114" s="1">
        <f t="shared" si="231"/>
        <v>1.0061447692558</v>
      </c>
      <c r="AJ114" s="1">
        <f t="shared" si="232"/>
        <v>1.10186503241104</v>
      </c>
      <c r="AK114" s="1">
        <f t="shared" si="233"/>
        <v>1</v>
      </c>
      <c r="AL114" s="10">
        <f t="shared" si="234"/>
        <v>49480</v>
      </c>
      <c r="AM114" s="10">
        <f t="shared" si="235"/>
        <v>5888</v>
      </c>
      <c r="AN114" s="10">
        <f t="shared" si="236"/>
        <v>6956</v>
      </c>
      <c r="AO114" s="1">
        <f t="shared" si="237"/>
        <v>32688</v>
      </c>
      <c r="AP114" s="1">
        <f t="shared" si="238"/>
        <v>5888</v>
      </c>
      <c r="AR114" s="1">
        <f t="shared" ref="AR114:AX114" si="356">ROUNDUP(AR$10*$AO114,0)</f>
        <v>32688</v>
      </c>
      <c r="AS114" s="1">
        <f t="shared" si="356"/>
        <v>98064</v>
      </c>
      <c r="AT114" s="1">
        <f t="shared" si="356"/>
        <v>58839</v>
      </c>
      <c r="AU114" s="1">
        <f t="shared" si="356"/>
        <v>16344</v>
      </c>
      <c r="AV114" s="1">
        <f t="shared" si="356"/>
        <v>4904</v>
      </c>
      <c r="AW114" s="1">
        <f t="shared" si="356"/>
        <v>130752</v>
      </c>
      <c r="AX114" s="1">
        <f t="shared" si="356"/>
        <v>294192</v>
      </c>
      <c r="AY114" s="1">
        <f t="shared" si="240"/>
        <v>2987043</v>
      </c>
      <c r="AZ114" s="1">
        <f t="shared" si="241"/>
        <v>1493521</v>
      </c>
      <c r="BB114" s="1">
        <f t="shared" si="242"/>
        <v>103</v>
      </c>
    </row>
    <row r="115" spans="2:54">
      <c r="B115" s="4">
        <v>104</v>
      </c>
      <c r="C115" s="1">
        <f t="shared" ref="C115:I115" si="357">C$5+(C$6-C$5)*(POWER(C$7,$B115-1)-1)/(POWER(C$7,$B$3-1)-1)</f>
        <v>8217.61120547467</v>
      </c>
      <c r="D115" s="1">
        <f t="shared" si="357"/>
        <v>2465.2833616424</v>
      </c>
      <c r="E115" s="1">
        <f t="shared" si="357"/>
        <v>1643.52224109493</v>
      </c>
      <c r="F115" s="1">
        <f t="shared" si="357"/>
        <v>20804.0790012017</v>
      </c>
      <c r="G115" s="1">
        <f t="shared" si="357"/>
        <v>6241.22370036051</v>
      </c>
      <c r="H115" s="1">
        <f t="shared" si="357"/>
        <v>4160.81580024034</v>
      </c>
      <c r="I115" s="1">
        <f t="shared" si="357"/>
        <v>0</v>
      </c>
      <c r="J115" s="1">
        <f>标准模型!$I$65/1*$B115/$B$3</f>
        <v>0.7488</v>
      </c>
      <c r="K115" s="1">
        <f>J115*标准模型!$J$63</f>
        <v>0.7488</v>
      </c>
      <c r="L115" s="1">
        <f t="shared" si="217"/>
        <v>29021.6902066764</v>
      </c>
      <c r="M115" s="1">
        <f t="shared" si="218"/>
        <v>10552.5112432007</v>
      </c>
      <c r="N115" s="1">
        <f t="shared" si="219"/>
        <v>7035.00749546716</v>
      </c>
      <c r="O115" s="1">
        <f t="shared" ref="O115:W115" si="358">O$5+(O$6-O$5)*(POWER(O$7,$B115-1)-1)/(POWER(O$7,$B$3-1)-1)</f>
        <v>0.603226848703415</v>
      </c>
      <c r="P115" s="1">
        <f t="shared" si="358"/>
        <v>0.0600154304688685</v>
      </c>
      <c r="Q115" s="1">
        <f t="shared" si="358"/>
        <v>0.331774766786878</v>
      </c>
      <c r="R115" s="1">
        <f t="shared" si="358"/>
        <v>1.04129073948137</v>
      </c>
      <c r="S115" s="1">
        <f t="shared" si="358"/>
        <v>0.18419490331444</v>
      </c>
      <c r="T115" s="1">
        <f t="shared" si="358"/>
        <v>2.40258470994332</v>
      </c>
      <c r="U115" s="1">
        <f t="shared" si="358"/>
        <v>1</v>
      </c>
      <c r="V115" s="1">
        <f t="shared" si="358"/>
        <v>1.11257902473979</v>
      </c>
      <c r="W115" s="1">
        <f t="shared" si="358"/>
        <v>1.33032591585093</v>
      </c>
      <c r="X115" s="1">
        <f t="shared" si="221"/>
        <v>1.15612116946601</v>
      </c>
      <c r="Y115" s="1">
        <f t="shared" si="222"/>
        <v>1.92971218571545</v>
      </c>
      <c r="Z115" s="1">
        <f t="shared" si="223"/>
        <v>56003.5092418821</v>
      </c>
      <c r="AA115" s="1">
        <f t="shared" si="224"/>
        <v>10552.5112432007</v>
      </c>
      <c r="AB115" s="1">
        <f t="shared" si="225"/>
        <v>7035.00749546716</v>
      </c>
      <c r="AC115" s="1">
        <f>AB115/(AB115+战斗公式!$M$27)</f>
        <v>0.226679742110411</v>
      </c>
      <c r="AD115" s="1">
        <f t="shared" si="226"/>
        <v>72419.5553789282</v>
      </c>
      <c r="AE115" s="1">
        <f t="shared" si="227"/>
        <v>5.93603806301535</v>
      </c>
      <c r="AF115" s="1">
        <f t="shared" si="228"/>
        <v>3.55637452994766</v>
      </c>
      <c r="AG115" s="1">
        <f t="shared" si="229"/>
        <v>3.20956482618453</v>
      </c>
      <c r="AH115" s="1">
        <f t="shared" si="230"/>
        <v>0.567228817472093</v>
      </c>
      <c r="AI115" s="1">
        <f t="shared" si="231"/>
        <v>1.00583753079257</v>
      </c>
      <c r="AJ115" s="1">
        <f t="shared" si="232"/>
        <v>1.09982706195543</v>
      </c>
      <c r="AK115" s="1">
        <f t="shared" si="233"/>
        <v>1</v>
      </c>
      <c r="AL115" s="10">
        <f t="shared" si="234"/>
        <v>50542</v>
      </c>
      <c r="AM115" s="10">
        <f t="shared" si="235"/>
        <v>5986</v>
      </c>
      <c r="AN115" s="10">
        <f t="shared" si="236"/>
        <v>7035</v>
      </c>
      <c r="AO115" s="1">
        <f t="shared" si="237"/>
        <v>33303</v>
      </c>
      <c r="AP115" s="1">
        <f t="shared" si="238"/>
        <v>5986</v>
      </c>
      <c r="AR115" s="1">
        <f t="shared" ref="AR115:AX115" si="359">ROUNDUP(AR$10*$AO115,0)</f>
        <v>33303</v>
      </c>
      <c r="AS115" s="1">
        <f t="shared" si="359"/>
        <v>99909</v>
      </c>
      <c r="AT115" s="1">
        <f t="shared" si="359"/>
        <v>59946</v>
      </c>
      <c r="AU115" s="1">
        <f t="shared" si="359"/>
        <v>16652</v>
      </c>
      <c r="AV115" s="1">
        <f t="shared" si="359"/>
        <v>4996</v>
      </c>
      <c r="AW115" s="1">
        <f t="shared" si="359"/>
        <v>133212</v>
      </c>
      <c r="AX115" s="1">
        <f t="shared" si="359"/>
        <v>299727</v>
      </c>
      <c r="AY115" s="1">
        <f t="shared" si="240"/>
        <v>3050222</v>
      </c>
      <c r="AZ115" s="1">
        <f t="shared" si="241"/>
        <v>1525111</v>
      </c>
      <c r="BB115" s="1">
        <f t="shared" si="242"/>
        <v>104</v>
      </c>
    </row>
    <row r="116" spans="2:54">
      <c r="B116" s="4">
        <v>105</v>
      </c>
      <c r="C116" s="1">
        <f t="shared" ref="C116:I116" si="360">C$5+(C$6-C$5)*(POWER(C$7,$B116-1)-1)/(POWER(C$7,$B$3-1)-1)</f>
        <v>8296.62273950456</v>
      </c>
      <c r="D116" s="1">
        <f t="shared" si="360"/>
        <v>2488.98682185137</v>
      </c>
      <c r="E116" s="1">
        <f t="shared" si="360"/>
        <v>1659.32454790091</v>
      </c>
      <c r="F116" s="1">
        <f t="shared" si="360"/>
        <v>21004.1082012774</v>
      </c>
      <c r="G116" s="1">
        <f t="shared" si="360"/>
        <v>6301.23246038321</v>
      </c>
      <c r="H116" s="1">
        <f t="shared" si="360"/>
        <v>4200.82164025547</v>
      </c>
      <c r="I116" s="1">
        <f t="shared" si="360"/>
        <v>0</v>
      </c>
      <c r="J116" s="1">
        <f>标准模型!$I$65/1*$B116/$B$3</f>
        <v>0.756</v>
      </c>
      <c r="K116" s="1">
        <f>J116*标准模型!$J$63</f>
        <v>0.756</v>
      </c>
      <c r="L116" s="1">
        <f t="shared" si="217"/>
        <v>29300.730940782</v>
      </c>
      <c r="M116" s="1">
        <f t="shared" si="218"/>
        <v>10671.8933195542</v>
      </c>
      <c r="N116" s="1">
        <f t="shared" si="219"/>
        <v>7114.59554636947</v>
      </c>
      <c r="O116" s="1">
        <f t="shared" ref="O116:W116" si="361">O$5+(O$6-O$5)*(POWER(O$7,$B116-1)-1)/(POWER(O$7,$B$3-1)-1)</f>
        <v>0.604228999004396</v>
      </c>
      <c r="P116" s="1">
        <f t="shared" si="361"/>
        <v>0.0606447107401014</v>
      </c>
      <c r="Q116" s="1">
        <f t="shared" si="361"/>
        <v>0.332325949452418</v>
      </c>
      <c r="R116" s="1">
        <f t="shared" si="361"/>
        <v>1.04169159960176</v>
      </c>
      <c r="S116" s="1">
        <f t="shared" si="361"/>
        <v>0.185497698705714</v>
      </c>
      <c r="T116" s="1">
        <f t="shared" si="361"/>
        <v>2.40649309611714</v>
      </c>
      <c r="U116" s="1">
        <f t="shared" si="361"/>
        <v>1</v>
      </c>
      <c r="V116" s="1">
        <f t="shared" si="361"/>
        <v>1.11367196814496</v>
      </c>
      <c r="W116" s="1">
        <f t="shared" si="361"/>
        <v>1.33353279681407</v>
      </c>
      <c r="X116" s="1">
        <f t="shared" si="221"/>
        <v>1.16456328192501</v>
      </c>
      <c r="Y116" s="1">
        <f t="shared" si="222"/>
        <v>1.94519588472815</v>
      </c>
      <c r="Z116" s="1">
        <f t="shared" si="223"/>
        <v>56995.6612455359</v>
      </c>
      <c r="AA116" s="1">
        <f t="shared" si="224"/>
        <v>10671.8933195542</v>
      </c>
      <c r="AB116" s="1">
        <f t="shared" si="225"/>
        <v>7114.59554636947</v>
      </c>
      <c r="AC116" s="1">
        <f>AB116/(AB116+战斗公式!$M$27)</f>
        <v>0.228657818667986</v>
      </c>
      <c r="AD116" s="1">
        <f t="shared" si="226"/>
        <v>73891.5394813639</v>
      </c>
      <c r="AE116" s="1">
        <f t="shared" si="227"/>
        <v>5.94552413992948</v>
      </c>
      <c r="AF116" s="1">
        <f t="shared" si="228"/>
        <v>3.55950737893335</v>
      </c>
      <c r="AG116" s="1">
        <f t="shared" si="229"/>
        <v>3.22371074421919</v>
      </c>
      <c r="AH116" s="1">
        <f t="shared" si="230"/>
        <v>0.570102253649007</v>
      </c>
      <c r="AI116" s="1">
        <f t="shared" si="231"/>
        <v>1.0055456542525</v>
      </c>
      <c r="AJ116" s="1">
        <f t="shared" si="232"/>
        <v>1.09782985090893</v>
      </c>
      <c r="AK116" s="1">
        <f t="shared" si="233"/>
        <v>1</v>
      </c>
      <c r="AL116" s="10">
        <f t="shared" si="234"/>
        <v>51619</v>
      </c>
      <c r="AM116" s="10">
        <f t="shared" si="235"/>
        <v>6084</v>
      </c>
      <c r="AN116" s="10">
        <f t="shared" si="236"/>
        <v>7115</v>
      </c>
      <c r="AO116" s="1">
        <f t="shared" si="237"/>
        <v>33927</v>
      </c>
      <c r="AP116" s="1">
        <f t="shared" si="238"/>
        <v>6084</v>
      </c>
      <c r="AR116" s="1">
        <f t="shared" ref="AR116:AX116" si="362">ROUNDUP(AR$10*$AO116,0)</f>
        <v>33927</v>
      </c>
      <c r="AS116" s="1">
        <f t="shared" si="362"/>
        <v>101781</v>
      </c>
      <c r="AT116" s="1">
        <f t="shared" si="362"/>
        <v>61069</v>
      </c>
      <c r="AU116" s="1">
        <f t="shared" si="362"/>
        <v>16964</v>
      </c>
      <c r="AV116" s="1">
        <f t="shared" si="362"/>
        <v>5090</v>
      </c>
      <c r="AW116" s="1">
        <f t="shared" si="362"/>
        <v>135708</v>
      </c>
      <c r="AX116" s="1">
        <f t="shared" si="362"/>
        <v>305343</v>
      </c>
      <c r="AY116" s="1">
        <f t="shared" si="240"/>
        <v>3114316</v>
      </c>
      <c r="AZ116" s="1">
        <f t="shared" si="241"/>
        <v>1557158</v>
      </c>
      <c r="BB116" s="1">
        <f t="shared" si="242"/>
        <v>105</v>
      </c>
    </row>
    <row r="117" spans="2:54">
      <c r="B117" s="4">
        <v>106</v>
      </c>
      <c r="C117" s="1">
        <f t="shared" ref="C117:I117" si="363">C$5+(C$6-C$5)*(POWER(C$7,$B117-1)-1)/(POWER(C$7,$B$3-1)-1)</f>
        <v>8375.63419452529</v>
      </c>
      <c r="D117" s="1">
        <f t="shared" si="363"/>
        <v>2512.69025835759</v>
      </c>
      <c r="E117" s="1">
        <f t="shared" si="363"/>
        <v>1675.12683890506</v>
      </c>
      <c r="F117" s="1">
        <f t="shared" si="363"/>
        <v>21204.1372013298</v>
      </c>
      <c r="G117" s="1">
        <f t="shared" si="363"/>
        <v>6361.24116039895</v>
      </c>
      <c r="H117" s="1">
        <f t="shared" si="363"/>
        <v>4240.82744026597</v>
      </c>
      <c r="I117" s="1">
        <f t="shared" si="363"/>
        <v>0</v>
      </c>
      <c r="J117" s="1">
        <f>标准模型!$I$65/1*$B117/$B$3</f>
        <v>0.7632</v>
      </c>
      <c r="K117" s="1">
        <f>J117*标准模型!$J$63</f>
        <v>0.7632</v>
      </c>
      <c r="L117" s="1">
        <f t="shared" si="217"/>
        <v>29579.7713958551</v>
      </c>
      <c r="M117" s="1">
        <f t="shared" si="218"/>
        <v>10791.616623935</v>
      </c>
      <c r="N117" s="1">
        <f t="shared" si="219"/>
        <v>7194.41108262337</v>
      </c>
      <c r="O117" s="1">
        <f t="shared" ref="O117:W117" si="364">O$5+(O$6-O$5)*(POWER(O$7,$B117-1)-1)/(POWER(O$7,$B$3-1)-1)</f>
        <v>0.605231148303256</v>
      </c>
      <c r="P117" s="1">
        <f t="shared" si="364"/>
        <v>0.0612749349317412</v>
      </c>
      <c r="Q117" s="1">
        <f t="shared" si="364"/>
        <v>0.332877131566791</v>
      </c>
      <c r="R117" s="1">
        <f t="shared" si="364"/>
        <v>1.0420924593213</v>
      </c>
      <c r="S117" s="1">
        <f t="shared" si="364"/>
        <v>0.186800492794232</v>
      </c>
      <c r="T117" s="1">
        <f t="shared" si="364"/>
        <v>2.4104014783827</v>
      </c>
      <c r="U117" s="1">
        <f t="shared" si="364"/>
        <v>1</v>
      </c>
      <c r="V117" s="1">
        <f t="shared" si="364"/>
        <v>1.11476491045723</v>
      </c>
      <c r="W117" s="1">
        <f t="shared" si="364"/>
        <v>1.33673967457042</v>
      </c>
      <c r="X117" s="1">
        <f t="shared" si="221"/>
        <v>1.17305932162766</v>
      </c>
      <c r="Y117" s="1">
        <f t="shared" si="222"/>
        <v>1.96079051868846</v>
      </c>
      <c r="Z117" s="1">
        <f t="shared" si="223"/>
        <v>57999.7352979647</v>
      </c>
      <c r="AA117" s="1">
        <f t="shared" si="224"/>
        <v>10791.616623935</v>
      </c>
      <c r="AB117" s="1">
        <f t="shared" si="225"/>
        <v>7194.41108262337</v>
      </c>
      <c r="AC117" s="1">
        <f>AB117/(AB117+战斗公式!$M$27)</f>
        <v>0.230631412260607</v>
      </c>
      <c r="AD117" s="1">
        <f t="shared" si="226"/>
        <v>75386.1493986688</v>
      </c>
      <c r="AE117" s="1">
        <f t="shared" si="227"/>
        <v>5.95504540831705</v>
      </c>
      <c r="AF117" s="1">
        <f t="shared" si="228"/>
        <v>3.56265570460575</v>
      </c>
      <c r="AG117" s="1">
        <f t="shared" si="229"/>
        <v>3.2377505678686</v>
      </c>
      <c r="AH117" s="1">
        <f t="shared" si="230"/>
        <v>0.572981436698275</v>
      </c>
      <c r="AI117" s="1">
        <f t="shared" si="231"/>
        <v>1.00526837153943</v>
      </c>
      <c r="AJ117" s="1">
        <f t="shared" si="232"/>
        <v>1.09587258408336</v>
      </c>
      <c r="AK117" s="1">
        <f t="shared" si="233"/>
        <v>1</v>
      </c>
      <c r="AL117" s="10">
        <f t="shared" si="234"/>
        <v>52710</v>
      </c>
      <c r="AM117" s="10">
        <f t="shared" si="235"/>
        <v>6183</v>
      </c>
      <c r="AN117" s="10">
        <f t="shared" si="236"/>
        <v>7194</v>
      </c>
      <c r="AO117" s="1">
        <f t="shared" si="237"/>
        <v>34558</v>
      </c>
      <c r="AP117" s="1">
        <f t="shared" si="238"/>
        <v>6183</v>
      </c>
      <c r="AR117" s="1">
        <f t="shared" ref="AR117:AX117" si="365">ROUNDUP(AR$10*$AO117,0)</f>
        <v>34558</v>
      </c>
      <c r="AS117" s="1">
        <f t="shared" si="365"/>
        <v>103674</v>
      </c>
      <c r="AT117" s="1">
        <f t="shared" si="365"/>
        <v>62205</v>
      </c>
      <c r="AU117" s="1">
        <f t="shared" si="365"/>
        <v>17279</v>
      </c>
      <c r="AV117" s="1">
        <f t="shared" si="365"/>
        <v>5184</v>
      </c>
      <c r="AW117" s="1">
        <f t="shared" si="365"/>
        <v>138232</v>
      </c>
      <c r="AX117" s="1">
        <f t="shared" si="365"/>
        <v>311022</v>
      </c>
      <c r="AY117" s="1">
        <f t="shared" si="240"/>
        <v>3179262</v>
      </c>
      <c r="AZ117" s="1">
        <f t="shared" si="241"/>
        <v>1589631</v>
      </c>
      <c r="BB117" s="1">
        <f t="shared" si="242"/>
        <v>106</v>
      </c>
    </row>
    <row r="118" spans="2:54">
      <c r="B118" s="4">
        <v>107</v>
      </c>
      <c r="C118" s="1">
        <f t="shared" ref="C118:I118" si="366">C$5+(C$6-C$5)*(POWER(C$7,$B118-1)-1)/(POWER(C$7,$B$3-1)-1)</f>
        <v>8454.6455705281</v>
      </c>
      <c r="D118" s="1">
        <f t="shared" si="366"/>
        <v>2536.39367115843</v>
      </c>
      <c r="E118" s="1">
        <f t="shared" si="366"/>
        <v>1690.92911410562</v>
      </c>
      <c r="F118" s="1">
        <f t="shared" si="366"/>
        <v>21404.166001337</v>
      </c>
      <c r="G118" s="1">
        <f t="shared" si="366"/>
        <v>6421.24980040109</v>
      </c>
      <c r="H118" s="1">
        <f t="shared" si="366"/>
        <v>4280.83320026739</v>
      </c>
      <c r="I118" s="1">
        <f t="shared" si="366"/>
        <v>0</v>
      </c>
      <c r="J118" s="1">
        <f>标准模型!$I$65/1*$B118/$B$3</f>
        <v>0.7704</v>
      </c>
      <c r="K118" s="1">
        <f>J118*标准模型!$J$63</f>
        <v>0.7704</v>
      </c>
      <c r="L118" s="1">
        <f t="shared" si="217"/>
        <v>29858.8115718651</v>
      </c>
      <c r="M118" s="1">
        <f t="shared" si="218"/>
        <v>10911.68115582</v>
      </c>
      <c r="N118" s="1">
        <f t="shared" si="219"/>
        <v>7274.45410387998</v>
      </c>
      <c r="O118" s="1">
        <f t="shared" ref="O118:W118" si="367">O$5+(O$6-O$5)*(POWER(O$7,$B118-1)-1)/(POWER(O$7,$B$3-1)-1)</f>
        <v>0.606233296599885</v>
      </c>
      <c r="P118" s="1">
        <f t="shared" si="367"/>
        <v>0.0619061044596684</v>
      </c>
      <c r="Q118" s="1">
        <f t="shared" si="367"/>
        <v>0.333428313129937</v>
      </c>
      <c r="R118" s="1">
        <f t="shared" si="367"/>
        <v>1.04249331863995</v>
      </c>
      <c r="S118" s="1">
        <f t="shared" si="367"/>
        <v>0.18810328557985</v>
      </c>
      <c r="T118" s="1">
        <f t="shared" si="367"/>
        <v>2.41430985673955</v>
      </c>
      <c r="U118" s="1">
        <f t="shared" si="367"/>
        <v>1</v>
      </c>
      <c r="V118" s="1">
        <f t="shared" si="367"/>
        <v>1.11585785167646</v>
      </c>
      <c r="W118" s="1">
        <f t="shared" si="367"/>
        <v>1.33994654911963</v>
      </c>
      <c r="X118" s="1">
        <f t="shared" si="221"/>
        <v>1.18160958943132</v>
      </c>
      <c r="Y118" s="1">
        <f t="shared" si="222"/>
        <v>1.97649679111776</v>
      </c>
      <c r="Z118" s="1">
        <f t="shared" si="223"/>
        <v>59015.8452583813</v>
      </c>
      <c r="AA118" s="1">
        <f t="shared" si="224"/>
        <v>10911.68115582</v>
      </c>
      <c r="AB118" s="1">
        <f t="shared" si="225"/>
        <v>7274.45410387998</v>
      </c>
      <c r="AC118" s="1">
        <f>AB118/(AB118+战斗公式!$M$27)</f>
        <v>0.232600514135832</v>
      </c>
      <c r="AD118" s="1">
        <f t="shared" si="226"/>
        <v>76903.6809972887</v>
      </c>
      <c r="AE118" s="1">
        <f t="shared" si="227"/>
        <v>5.96460177929668</v>
      </c>
      <c r="AF118" s="1">
        <f t="shared" si="228"/>
        <v>3.56581942921868</v>
      </c>
      <c r="AG118" s="1">
        <f t="shared" si="229"/>
        <v>3.25168509284064</v>
      </c>
      <c r="AH118" s="1">
        <f t="shared" si="230"/>
        <v>0.575866378113642</v>
      </c>
      <c r="AI118" s="1">
        <f t="shared" si="231"/>
        <v>1.00500495296202</v>
      </c>
      <c r="AJ118" s="1">
        <f t="shared" si="232"/>
        <v>1.09395446259431</v>
      </c>
      <c r="AK118" s="1">
        <f t="shared" si="233"/>
        <v>1</v>
      </c>
      <c r="AL118" s="10">
        <f t="shared" si="234"/>
        <v>53817</v>
      </c>
      <c r="AM118" s="10">
        <f t="shared" si="235"/>
        <v>6284</v>
      </c>
      <c r="AN118" s="10">
        <f t="shared" si="236"/>
        <v>7274</v>
      </c>
      <c r="AO118" s="1">
        <f t="shared" si="237"/>
        <v>35196</v>
      </c>
      <c r="AP118" s="1">
        <f t="shared" si="238"/>
        <v>6284</v>
      </c>
      <c r="AR118" s="1">
        <f t="shared" ref="AR118:AX118" si="368">ROUNDUP(AR$10*$AO118,0)</f>
        <v>35196</v>
      </c>
      <c r="AS118" s="1">
        <f t="shared" si="368"/>
        <v>105588</v>
      </c>
      <c r="AT118" s="1">
        <f t="shared" si="368"/>
        <v>63353</v>
      </c>
      <c r="AU118" s="1">
        <f t="shared" si="368"/>
        <v>17598</v>
      </c>
      <c r="AV118" s="1">
        <f t="shared" si="368"/>
        <v>5280</v>
      </c>
      <c r="AW118" s="1">
        <f t="shared" si="368"/>
        <v>140784</v>
      </c>
      <c r="AX118" s="1">
        <f t="shared" si="368"/>
        <v>316764</v>
      </c>
      <c r="AY118" s="1">
        <f t="shared" si="240"/>
        <v>3245181</v>
      </c>
      <c r="AZ118" s="1">
        <f t="shared" si="241"/>
        <v>1622591</v>
      </c>
      <c r="BB118" s="1">
        <f t="shared" si="242"/>
        <v>107</v>
      </c>
    </row>
    <row r="119" spans="2:54">
      <c r="B119" s="4">
        <v>108</v>
      </c>
      <c r="C119" s="1">
        <f t="shared" ref="C119:I119" si="369">C$5+(C$6-C$5)*(POWER(C$7,$B119-1)-1)/(POWER(C$7,$B$3-1)-1)</f>
        <v>8533.65686752175</v>
      </c>
      <c r="D119" s="1">
        <f t="shared" si="369"/>
        <v>2560.09706025653</v>
      </c>
      <c r="E119" s="1">
        <f t="shared" si="369"/>
        <v>1706.73137350435</v>
      </c>
      <c r="F119" s="1">
        <f t="shared" si="369"/>
        <v>21604.1946013209</v>
      </c>
      <c r="G119" s="1">
        <f t="shared" si="369"/>
        <v>6481.25838039627</v>
      </c>
      <c r="H119" s="1">
        <f t="shared" si="369"/>
        <v>4320.83892026418</v>
      </c>
      <c r="I119" s="1">
        <f t="shared" si="369"/>
        <v>0</v>
      </c>
      <c r="J119" s="1">
        <f>标准模型!$I$65/1*$B119/$B$3</f>
        <v>0.7776</v>
      </c>
      <c r="K119" s="1">
        <f>J119*标准模型!$J$63</f>
        <v>0.7776</v>
      </c>
      <c r="L119" s="1">
        <f t="shared" si="217"/>
        <v>30137.8514688427</v>
      </c>
      <c r="M119" s="1">
        <f t="shared" si="218"/>
        <v>11032.0869147083</v>
      </c>
      <c r="N119" s="1">
        <f t="shared" si="219"/>
        <v>7354.72460980551</v>
      </c>
      <c r="O119" s="1">
        <f t="shared" ref="O119:W119" si="370">O$5+(O$6-O$5)*(POWER(O$7,$B119-1)-1)/(POWER(O$7,$B$3-1)-1)</f>
        <v>0.607235443894393</v>
      </c>
      <c r="P119" s="1">
        <f t="shared" si="370"/>
        <v>0.0625382207418875</v>
      </c>
      <c r="Q119" s="1">
        <f t="shared" si="370"/>
        <v>0.333979494141916</v>
      </c>
      <c r="R119" s="1">
        <f t="shared" si="370"/>
        <v>1.04289417755776</v>
      </c>
      <c r="S119" s="1">
        <f t="shared" si="370"/>
        <v>0.189406077062711</v>
      </c>
      <c r="T119" s="1">
        <f t="shared" si="370"/>
        <v>2.41821823118813</v>
      </c>
      <c r="U119" s="1">
        <f t="shared" si="370"/>
        <v>1</v>
      </c>
      <c r="V119" s="1">
        <f t="shared" si="370"/>
        <v>1.11695079180277</v>
      </c>
      <c r="W119" s="1">
        <f t="shared" si="370"/>
        <v>1.34315342046206</v>
      </c>
      <c r="X119" s="1">
        <f t="shared" si="221"/>
        <v>1.19021438746486</v>
      </c>
      <c r="Y119" s="1">
        <f t="shared" si="222"/>
        <v>1.99231540914213</v>
      </c>
      <c r="Z119" s="1">
        <f t="shared" si="223"/>
        <v>60044.1058798121</v>
      </c>
      <c r="AA119" s="1">
        <f t="shared" si="224"/>
        <v>11032.0869147083</v>
      </c>
      <c r="AB119" s="1">
        <f t="shared" si="225"/>
        <v>7354.72460980551</v>
      </c>
      <c r="AC119" s="1">
        <f>AB119/(AB119+战斗公式!$M$27)</f>
        <v>0.234565115826451</v>
      </c>
      <c r="AD119" s="1">
        <f t="shared" si="226"/>
        <v>78444.4335126463</v>
      </c>
      <c r="AE119" s="1">
        <f t="shared" si="227"/>
        <v>5.97419316463069</v>
      </c>
      <c r="AF119" s="1">
        <f t="shared" si="228"/>
        <v>3.56899847554731</v>
      </c>
      <c r="AG119" s="1">
        <f t="shared" si="229"/>
        <v>3.26551510887539</v>
      </c>
      <c r="AH119" s="1">
        <f t="shared" si="230"/>
        <v>0.57875708941184</v>
      </c>
      <c r="AI119" s="1">
        <f t="shared" si="231"/>
        <v>1.00475470531348</v>
      </c>
      <c r="AJ119" s="1">
        <f t="shared" si="232"/>
        <v>1.09207470353503</v>
      </c>
      <c r="AK119" s="1">
        <f t="shared" si="233"/>
        <v>1</v>
      </c>
      <c r="AL119" s="10">
        <f t="shared" si="234"/>
        <v>54938</v>
      </c>
      <c r="AM119" s="10">
        <f t="shared" si="235"/>
        <v>6385</v>
      </c>
      <c r="AN119" s="10">
        <f t="shared" si="236"/>
        <v>7355</v>
      </c>
      <c r="AO119" s="1">
        <f t="shared" si="237"/>
        <v>35842</v>
      </c>
      <c r="AP119" s="1">
        <f t="shared" si="238"/>
        <v>6385</v>
      </c>
      <c r="AR119" s="1">
        <f t="shared" ref="AR119:AX119" si="371">ROUNDUP(AR$10*$AO119,0)</f>
        <v>35842</v>
      </c>
      <c r="AS119" s="1">
        <f t="shared" si="371"/>
        <v>107526</v>
      </c>
      <c r="AT119" s="1">
        <f t="shared" si="371"/>
        <v>64516</v>
      </c>
      <c r="AU119" s="1">
        <f t="shared" si="371"/>
        <v>17921</v>
      </c>
      <c r="AV119" s="1">
        <f t="shared" si="371"/>
        <v>5377</v>
      </c>
      <c r="AW119" s="1">
        <f t="shared" si="371"/>
        <v>143368</v>
      </c>
      <c r="AX119" s="1">
        <f t="shared" si="371"/>
        <v>322578</v>
      </c>
      <c r="AY119" s="1">
        <f t="shared" si="240"/>
        <v>3311953</v>
      </c>
      <c r="AZ119" s="1">
        <f t="shared" si="241"/>
        <v>1655976</v>
      </c>
      <c r="BB119" s="1">
        <f t="shared" si="242"/>
        <v>108</v>
      </c>
    </row>
    <row r="120" spans="2:54">
      <c r="B120" s="4">
        <v>109</v>
      </c>
      <c r="C120" s="1">
        <f t="shared" ref="C120:I120" si="372">C$5+(C$6-C$5)*(POWER(C$7,$B120-1)-1)/(POWER(C$7,$B$3-1)-1)</f>
        <v>8612.66808550626</v>
      </c>
      <c r="D120" s="1">
        <f t="shared" si="372"/>
        <v>2583.80042565188</v>
      </c>
      <c r="E120" s="1">
        <f t="shared" si="372"/>
        <v>1722.53361710125</v>
      </c>
      <c r="F120" s="1">
        <f t="shared" si="372"/>
        <v>21804.2230012817</v>
      </c>
      <c r="G120" s="1">
        <f t="shared" si="372"/>
        <v>6541.2669003845</v>
      </c>
      <c r="H120" s="1">
        <f t="shared" si="372"/>
        <v>4360.84460025633</v>
      </c>
      <c r="I120" s="1">
        <f t="shared" si="372"/>
        <v>0</v>
      </c>
      <c r="J120" s="1">
        <f>标准模型!$I$65/1*$B120/$B$3</f>
        <v>0.7848</v>
      </c>
      <c r="K120" s="1">
        <f>J120*标准模型!$J$63</f>
        <v>0.7848</v>
      </c>
      <c r="L120" s="1">
        <f t="shared" si="217"/>
        <v>30416.891086788</v>
      </c>
      <c r="M120" s="1">
        <f t="shared" si="218"/>
        <v>11152.833900088</v>
      </c>
      <c r="N120" s="1">
        <f t="shared" si="219"/>
        <v>7435.22260005865</v>
      </c>
      <c r="O120" s="1">
        <f t="shared" ref="O120:W120" si="373">O$5+(O$6-O$5)*(POWER(O$7,$B120-1)-1)/(POWER(O$7,$B$3-1)-1)</f>
        <v>0.608237590186782</v>
      </c>
      <c r="P120" s="1">
        <f t="shared" si="373"/>
        <v>0.06317128519853</v>
      </c>
      <c r="Q120" s="1">
        <f t="shared" si="373"/>
        <v>0.33453067460273</v>
      </c>
      <c r="R120" s="1">
        <f t="shared" si="373"/>
        <v>1.04329503607471</v>
      </c>
      <c r="S120" s="1">
        <f t="shared" si="373"/>
        <v>0.190708867242816</v>
      </c>
      <c r="T120" s="1">
        <f t="shared" si="373"/>
        <v>2.42212660172845</v>
      </c>
      <c r="U120" s="1">
        <f t="shared" si="373"/>
        <v>1</v>
      </c>
      <c r="V120" s="1">
        <f t="shared" si="373"/>
        <v>1.11804373083618</v>
      </c>
      <c r="W120" s="1">
        <f t="shared" si="373"/>
        <v>1.3463602885977</v>
      </c>
      <c r="X120" s="1">
        <f t="shared" si="221"/>
        <v>1.19887401912938</v>
      </c>
      <c r="Y120" s="1">
        <f t="shared" si="222"/>
        <v>2.00824708350046</v>
      </c>
      <c r="Z120" s="1">
        <f t="shared" si="223"/>
        <v>61084.632814193</v>
      </c>
      <c r="AA120" s="1">
        <f t="shared" si="224"/>
        <v>11152.833900088</v>
      </c>
      <c r="AB120" s="1">
        <f t="shared" si="225"/>
        <v>7435.22260005865</v>
      </c>
      <c r="AC120" s="1">
        <f>AB120/(AB120+战斗公式!$M$27)</f>
        <v>0.236525209146913</v>
      </c>
      <c r="AD120" s="1">
        <f t="shared" si="226"/>
        <v>80008.7095815418</v>
      </c>
      <c r="AE120" s="1">
        <f t="shared" si="227"/>
        <v>5.98381947671214</v>
      </c>
      <c r="AF120" s="1">
        <f t="shared" si="228"/>
        <v>3.57219276688118</v>
      </c>
      <c r="AG120" s="1">
        <f t="shared" si="229"/>
        <v>3.27924139978988</v>
      </c>
      <c r="AH120" s="1">
        <f t="shared" si="230"/>
        <v>0.581653582132633</v>
      </c>
      <c r="AI120" s="1">
        <f t="shared" si="231"/>
        <v>1.00451697004736</v>
      </c>
      <c r="AJ120" s="1">
        <f t="shared" si="232"/>
        <v>1.09023253965694</v>
      </c>
      <c r="AK120" s="1">
        <f t="shared" si="233"/>
        <v>1</v>
      </c>
      <c r="AL120" s="10">
        <f t="shared" si="234"/>
        <v>56075</v>
      </c>
      <c r="AM120" s="10">
        <f t="shared" si="235"/>
        <v>6487</v>
      </c>
      <c r="AN120" s="10">
        <f t="shared" si="236"/>
        <v>7435</v>
      </c>
      <c r="AO120" s="1">
        <f t="shared" si="237"/>
        <v>36496</v>
      </c>
      <c r="AP120" s="1">
        <f t="shared" si="238"/>
        <v>6487</v>
      </c>
      <c r="AR120" s="1">
        <f t="shared" ref="AR120:AX120" si="374">ROUNDUP(AR$10*$AO120,0)</f>
        <v>36496</v>
      </c>
      <c r="AS120" s="1">
        <f t="shared" si="374"/>
        <v>109488</v>
      </c>
      <c r="AT120" s="1">
        <f t="shared" si="374"/>
        <v>65693</v>
      </c>
      <c r="AU120" s="1">
        <f t="shared" si="374"/>
        <v>18248</v>
      </c>
      <c r="AV120" s="1">
        <f t="shared" si="374"/>
        <v>5475</v>
      </c>
      <c r="AW120" s="1">
        <f t="shared" si="374"/>
        <v>145984</v>
      </c>
      <c r="AX120" s="1">
        <f t="shared" si="374"/>
        <v>328464</v>
      </c>
      <c r="AY120" s="1">
        <f t="shared" si="240"/>
        <v>3379697</v>
      </c>
      <c r="AZ120" s="1">
        <f t="shared" si="241"/>
        <v>1689849</v>
      </c>
      <c r="BB120" s="1">
        <f t="shared" si="242"/>
        <v>109</v>
      </c>
    </row>
    <row r="121" spans="2:54">
      <c r="B121" s="4">
        <v>110</v>
      </c>
      <c r="C121" s="1">
        <f t="shared" ref="C121:I121" si="375">C$5+(C$6-C$5)*(POWER(C$7,$B121-1)-1)/(POWER(C$7,$B$3-1)-1)</f>
        <v>8691.67922447284</v>
      </c>
      <c r="D121" s="1">
        <f t="shared" si="375"/>
        <v>2607.50376734185</v>
      </c>
      <c r="E121" s="1">
        <f t="shared" si="375"/>
        <v>1738.33584489457</v>
      </c>
      <c r="F121" s="1">
        <f t="shared" si="375"/>
        <v>22004.2512011971</v>
      </c>
      <c r="G121" s="1">
        <f t="shared" si="375"/>
        <v>6601.27536035912</v>
      </c>
      <c r="H121" s="1">
        <f t="shared" si="375"/>
        <v>4400.85024023941</v>
      </c>
      <c r="I121" s="1">
        <f t="shared" si="375"/>
        <v>0</v>
      </c>
      <c r="J121" s="1">
        <f>标准模型!$I$65/1*$B121/$B$3</f>
        <v>0.792</v>
      </c>
      <c r="K121" s="1">
        <f>J121*标准模型!$J$63</f>
        <v>0.792</v>
      </c>
      <c r="L121" s="1">
        <f t="shared" si="217"/>
        <v>30695.9304256699</v>
      </c>
      <c r="M121" s="1">
        <f t="shared" si="218"/>
        <v>11273.9221114357</v>
      </c>
      <c r="N121" s="1">
        <f t="shared" si="219"/>
        <v>7515.94807429048</v>
      </c>
      <c r="O121" s="1">
        <f t="shared" ref="O121:W121" si="376">O$5+(O$6-O$5)*(POWER(O$7,$B121-1)-1)/(POWER(O$7,$B$3-1)-1)</f>
        <v>0.609239735476939</v>
      </c>
      <c r="P121" s="1">
        <f t="shared" si="376"/>
        <v>0.0638052992518574</v>
      </c>
      <c r="Q121" s="1">
        <f t="shared" si="376"/>
        <v>0.335081854512317</v>
      </c>
      <c r="R121" s="1">
        <f t="shared" si="376"/>
        <v>1.04369589419078</v>
      </c>
      <c r="S121" s="1">
        <f t="shared" si="376"/>
        <v>0.192011656120021</v>
      </c>
      <c r="T121" s="1">
        <f t="shared" si="376"/>
        <v>2.42603496836006</v>
      </c>
      <c r="U121" s="1">
        <f t="shared" si="376"/>
        <v>1</v>
      </c>
      <c r="V121" s="1">
        <f t="shared" si="376"/>
        <v>1.11913666877656</v>
      </c>
      <c r="W121" s="1">
        <f t="shared" si="376"/>
        <v>1.34956715352621</v>
      </c>
      <c r="X121" s="1">
        <f t="shared" si="221"/>
        <v>1.20758878910143</v>
      </c>
      <c r="Y121" s="1">
        <f t="shared" si="222"/>
        <v>2.0242925285574</v>
      </c>
      <c r="Z121" s="1">
        <f t="shared" si="223"/>
        <v>62137.5426178014</v>
      </c>
      <c r="AA121" s="1">
        <f t="shared" si="224"/>
        <v>11273.9221114357</v>
      </c>
      <c r="AB121" s="1">
        <f t="shared" si="225"/>
        <v>7515.94807429048</v>
      </c>
      <c r="AC121" s="1">
        <f>AB121/(AB121+战斗公式!$M$27)</f>
        <v>0.238480786190332</v>
      </c>
      <c r="AD121" s="1">
        <f t="shared" si="226"/>
        <v>81596.8152752766</v>
      </c>
      <c r="AE121" s="1">
        <f t="shared" si="227"/>
        <v>5.99348062855863</v>
      </c>
      <c r="AF121" s="1">
        <f t="shared" si="228"/>
        <v>3.57540222701998</v>
      </c>
      <c r="AG121" s="1">
        <f t="shared" si="229"/>
        <v>3.2928647435225</v>
      </c>
      <c r="AH121" s="1">
        <f t="shared" si="230"/>
        <v>0.584555867838869</v>
      </c>
      <c r="AI121" s="1">
        <f t="shared" si="231"/>
        <v>1.00429112154456</v>
      </c>
      <c r="AJ121" s="1">
        <f t="shared" si="232"/>
        <v>1.08842721905642</v>
      </c>
      <c r="AK121" s="1">
        <f t="shared" si="233"/>
        <v>1</v>
      </c>
      <c r="AL121" s="10">
        <f t="shared" si="234"/>
        <v>57227</v>
      </c>
      <c r="AM121" s="10">
        <f t="shared" si="235"/>
        <v>6590</v>
      </c>
      <c r="AN121" s="10">
        <f t="shared" si="236"/>
        <v>7516</v>
      </c>
      <c r="AO121" s="1">
        <f t="shared" si="237"/>
        <v>37158</v>
      </c>
      <c r="AP121" s="1">
        <f t="shared" si="238"/>
        <v>6590</v>
      </c>
      <c r="AR121" s="1">
        <f t="shared" ref="AR121:AX121" si="377">ROUNDUP(AR$10*$AO121,0)</f>
        <v>37158</v>
      </c>
      <c r="AS121" s="1">
        <f t="shared" si="377"/>
        <v>111474</v>
      </c>
      <c r="AT121" s="1">
        <f t="shared" si="377"/>
        <v>66885</v>
      </c>
      <c r="AU121" s="1">
        <f t="shared" si="377"/>
        <v>18579</v>
      </c>
      <c r="AV121" s="1">
        <f t="shared" si="377"/>
        <v>5574</v>
      </c>
      <c r="AW121" s="1">
        <f t="shared" si="377"/>
        <v>148632</v>
      </c>
      <c r="AX121" s="1">
        <f t="shared" si="377"/>
        <v>334422</v>
      </c>
      <c r="AY121" s="1">
        <f t="shared" si="240"/>
        <v>3448354</v>
      </c>
      <c r="AZ121" s="1">
        <f t="shared" si="241"/>
        <v>1724177</v>
      </c>
      <c r="BB121" s="1">
        <f t="shared" si="242"/>
        <v>110</v>
      </c>
    </row>
    <row r="122" spans="2:54">
      <c r="B122" s="4">
        <v>111</v>
      </c>
      <c r="C122" s="1">
        <f t="shared" ref="C122:I122" si="378">C$5+(C$6-C$5)*(POWER(C$7,$B122-1)-1)/(POWER(C$7,$B$3-1)-1)</f>
        <v>8770.69028443027</v>
      </c>
      <c r="D122" s="1">
        <f t="shared" si="378"/>
        <v>2631.20708532908</v>
      </c>
      <c r="E122" s="1">
        <f t="shared" si="378"/>
        <v>1754.13805688605</v>
      </c>
      <c r="F122" s="1">
        <f t="shared" si="378"/>
        <v>22204.2792010893</v>
      </c>
      <c r="G122" s="1">
        <f t="shared" si="378"/>
        <v>6661.28376032679</v>
      </c>
      <c r="H122" s="1">
        <f t="shared" si="378"/>
        <v>4440.85584021786</v>
      </c>
      <c r="I122" s="1">
        <f t="shared" si="378"/>
        <v>0</v>
      </c>
      <c r="J122" s="1">
        <f>标准模型!$I$65/1*$B122/$B$3</f>
        <v>0.7992</v>
      </c>
      <c r="K122" s="1">
        <f>J122*标准模型!$J$63</f>
        <v>0.7992</v>
      </c>
      <c r="L122" s="1">
        <f t="shared" si="217"/>
        <v>30974.9694855196</v>
      </c>
      <c r="M122" s="1">
        <f t="shared" si="218"/>
        <v>11395.3515482509</v>
      </c>
      <c r="N122" s="1">
        <f t="shared" si="219"/>
        <v>7596.90103216724</v>
      </c>
      <c r="O122" s="1">
        <f t="shared" ref="O122:W122" si="379">O$5+(O$6-O$5)*(POWER(O$7,$B122-1)-1)/(POWER(O$7,$B$3-1)-1)</f>
        <v>0.610241879764976</v>
      </c>
      <c r="P122" s="1">
        <f t="shared" si="379"/>
        <v>0.0644402643262648</v>
      </c>
      <c r="Q122" s="1">
        <f t="shared" si="379"/>
        <v>0.335633033870737</v>
      </c>
      <c r="R122" s="1">
        <f t="shared" si="379"/>
        <v>1.04409675190599</v>
      </c>
      <c r="S122" s="1">
        <f t="shared" si="379"/>
        <v>0.193314443694469</v>
      </c>
      <c r="T122" s="1">
        <f t="shared" si="379"/>
        <v>2.42994333108341</v>
      </c>
      <c r="U122" s="1">
        <f t="shared" si="379"/>
        <v>1</v>
      </c>
      <c r="V122" s="1">
        <f t="shared" si="379"/>
        <v>1.12022960562403</v>
      </c>
      <c r="W122" s="1">
        <f t="shared" si="379"/>
        <v>1.35277401524792</v>
      </c>
      <c r="X122" s="1">
        <f t="shared" si="221"/>
        <v>1.21635900333872</v>
      </c>
      <c r="Y122" s="1">
        <f t="shared" si="222"/>
        <v>2.04045246232125</v>
      </c>
      <c r="Z122" s="1">
        <f t="shared" si="223"/>
        <v>63202.9527570541</v>
      </c>
      <c r="AA122" s="1">
        <f t="shared" si="224"/>
        <v>11395.3515482509</v>
      </c>
      <c r="AB122" s="1">
        <f t="shared" si="225"/>
        <v>7596.90103216724</v>
      </c>
      <c r="AC122" s="1">
        <f>AB122/(AB122+战斗公式!$M$27)</f>
        <v>0.240431839326053</v>
      </c>
      <c r="AD122" s="1">
        <f t="shared" si="226"/>
        <v>83209.0601335574</v>
      </c>
      <c r="AE122" s="1">
        <f t="shared" si="227"/>
        <v>6.00317653381225</v>
      </c>
      <c r="AF122" s="1">
        <f t="shared" si="228"/>
        <v>3.57862678027174</v>
      </c>
      <c r="AG122" s="1">
        <f t="shared" si="229"/>
        <v>3.30638591217714</v>
      </c>
      <c r="AH122" s="1">
        <f t="shared" si="230"/>
        <v>0.587463958116517</v>
      </c>
      <c r="AI122" s="1">
        <f t="shared" si="231"/>
        <v>1.00407656546689</v>
      </c>
      <c r="AJ122" s="1">
        <f t="shared" si="232"/>
        <v>1.0866580048679</v>
      </c>
      <c r="AK122" s="1">
        <f t="shared" si="233"/>
        <v>1</v>
      </c>
      <c r="AL122" s="10">
        <f t="shared" si="234"/>
        <v>58395</v>
      </c>
      <c r="AM122" s="10">
        <f t="shared" si="235"/>
        <v>6694</v>
      </c>
      <c r="AN122" s="10">
        <f t="shared" si="236"/>
        <v>7597</v>
      </c>
      <c r="AO122" s="1">
        <f t="shared" si="237"/>
        <v>37827</v>
      </c>
      <c r="AP122" s="1">
        <f t="shared" si="238"/>
        <v>6694</v>
      </c>
      <c r="AR122" s="1">
        <f t="shared" ref="AR122:AX122" si="380">ROUNDUP(AR$10*$AO122,0)</f>
        <v>37827</v>
      </c>
      <c r="AS122" s="1">
        <f t="shared" si="380"/>
        <v>113481</v>
      </c>
      <c r="AT122" s="1">
        <f t="shared" si="380"/>
        <v>68089</v>
      </c>
      <c r="AU122" s="1">
        <f t="shared" si="380"/>
        <v>18914</v>
      </c>
      <c r="AV122" s="1">
        <f t="shared" si="380"/>
        <v>5675</v>
      </c>
      <c r="AW122" s="1">
        <f t="shared" si="380"/>
        <v>151308</v>
      </c>
      <c r="AX122" s="1">
        <f t="shared" si="380"/>
        <v>340443</v>
      </c>
      <c r="AY122" s="1">
        <f t="shared" si="240"/>
        <v>3517983</v>
      </c>
      <c r="AZ122" s="1">
        <f t="shared" si="241"/>
        <v>1758992</v>
      </c>
      <c r="BB122" s="1">
        <f t="shared" si="242"/>
        <v>111</v>
      </c>
    </row>
    <row r="123" spans="2:54">
      <c r="B123" s="4">
        <v>112</v>
      </c>
      <c r="C123" s="1">
        <f t="shared" ref="C123:I123" si="381">C$5+(C$6-C$5)*(POWER(C$7,$B123-1)-1)/(POWER(C$7,$B$3-1)-1)</f>
        <v>8849.70126537854</v>
      </c>
      <c r="D123" s="1">
        <f t="shared" si="381"/>
        <v>2654.91037961356</v>
      </c>
      <c r="E123" s="1">
        <f t="shared" si="381"/>
        <v>1769.94025307571</v>
      </c>
      <c r="F123" s="1">
        <f t="shared" si="381"/>
        <v>22404.3070009583</v>
      </c>
      <c r="G123" s="1">
        <f t="shared" si="381"/>
        <v>6721.2921002875</v>
      </c>
      <c r="H123" s="1">
        <f t="shared" si="381"/>
        <v>4480.86140019167</v>
      </c>
      <c r="I123" s="1">
        <f t="shared" si="381"/>
        <v>0</v>
      </c>
      <c r="J123" s="1">
        <f>标准模型!$I$65/1*$B123/$B$3</f>
        <v>0.8064</v>
      </c>
      <c r="K123" s="1">
        <f>J123*标准模型!$J$63</f>
        <v>0.8064</v>
      </c>
      <c r="L123" s="1">
        <f t="shared" si="217"/>
        <v>31254.0082663368</v>
      </c>
      <c r="M123" s="1">
        <f t="shared" si="218"/>
        <v>11517.1222100214</v>
      </c>
      <c r="N123" s="1">
        <f t="shared" si="219"/>
        <v>7678.08147334763</v>
      </c>
      <c r="O123" s="1">
        <f t="shared" ref="O123:W123" si="382">O$5+(O$6-O$5)*(POWER(O$7,$B123-1)-1)/(POWER(O$7,$B$3-1)-1)</f>
        <v>0.611244023050894</v>
      </c>
      <c r="P123" s="1">
        <f t="shared" si="382"/>
        <v>0.0650761818482838</v>
      </c>
      <c r="Q123" s="1">
        <f t="shared" si="382"/>
        <v>0.336184212677991</v>
      </c>
      <c r="R123" s="1">
        <f t="shared" si="382"/>
        <v>1.04449760922036</v>
      </c>
      <c r="S123" s="1">
        <f t="shared" si="382"/>
        <v>0.194617229966162</v>
      </c>
      <c r="T123" s="1">
        <f t="shared" si="382"/>
        <v>2.43385168989848</v>
      </c>
      <c r="U123" s="1">
        <f t="shared" si="382"/>
        <v>1</v>
      </c>
      <c r="V123" s="1">
        <f t="shared" si="382"/>
        <v>1.12132254137858</v>
      </c>
      <c r="W123" s="1">
        <f t="shared" si="382"/>
        <v>1.35598087376286</v>
      </c>
      <c r="X123" s="1">
        <f t="shared" si="221"/>
        <v>1.22518496908088</v>
      </c>
      <c r="Y123" s="1">
        <f t="shared" si="222"/>
        <v>2.05672760645224</v>
      </c>
      <c r="Z123" s="1">
        <f t="shared" si="223"/>
        <v>64280.9816136615</v>
      </c>
      <c r="AA123" s="1">
        <f t="shared" si="224"/>
        <v>11517.1222100214</v>
      </c>
      <c r="AB123" s="1">
        <f t="shared" si="225"/>
        <v>7678.08147334763</v>
      </c>
      <c r="AC123" s="1">
        <f>AB123/(AB123+战斗公式!$M$27)</f>
        <v>0.242378361196135</v>
      </c>
      <c r="AD123" s="1">
        <f t="shared" si="226"/>
        <v>84845.7571976804</v>
      </c>
      <c r="AE123" s="1">
        <f t="shared" si="227"/>
        <v>6.01290710672738</v>
      </c>
      <c r="AF123" s="1">
        <f t="shared" si="228"/>
        <v>3.58186635144633</v>
      </c>
      <c r="AG123" s="1">
        <f t="shared" si="229"/>
        <v>3.31980567206686</v>
      </c>
      <c r="AH123" s="1">
        <f t="shared" si="230"/>
        <v>0.59037786457472</v>
      </c>
      <c r="AI123" s="1">
        <f t="shared" si="231"/>
        <v>1.0038727371931</v>
      </c>
      <c r="AJ123" s="1">
        <f t="shared" si="232"/>
        <v>1.08492417496315</v>
      </c>
      <c r="AK123" s="1">
        <f t="shared" si="233"/>
        <v>1</v>
      </c>
      <c r="AL123" s="10">
        <f t="shared" si="234"/>
        <v>59578</v>
      </c>
      <c r="AM123" s="10">
        <f t="shared" si="235"/>
        <v>6799</v>
      </c>
      <c r="AN123" s="10">
        <f t="shared" si="236"/>
        <v>7678</v>
      </c>
      <c r="AO123" s="1">
        <f t="shared" si="237"/>
        <v>38504</v>
      </c>
      <c r="AP123" s="1">
        <f t="shared" si="238"/>
        <v>6799</v>
      </c>
      <c r="AR123" s="1">
        <f t="shared" ref="AR123:AX123" si="383">ROUNDUP(AR$10*$AO123,0)</f>
        <v>38504</v>
      </c>
      <c r="AS123" s="1">
        <f t="shared" si="383"/>
        <v>115512</v>
      </c>
      <c r="AT123" s="1">
        <f t="shared" si="383"/>
        <v>69308</v>
      </c>
      <c r="AU123" s="1">
        <f t="shared" si="383"/>
        <v>19252</v>
      </c>
      <c r="AV123" s="1">
        <f t="shared" si="383"/>
        <v>5776</v>
      </c>
      <c r="AW123" s="1">
        <f t="shared" si="383"/>
        <v>154016</v>
      </c>
      <c r="AX123" s="1">
        <f t="shared" si="383"/>
        <v>346536</v>
      </c>
      <c r="AY123" s="1">
        <f t="shared" si="240"/>
        <v>3588524</v>
      </c>
      <c r="AZ123" s="1">
        <f t="shared" si="241"/>
        <v>1794262</v>
      </c>
      <c r="BB123" s="1">
        <f t="shared" si="242"/>
        <v>112</v>
      </c>
    </row>
    <row r="124" spans="2:54">
      <c r="B124" s="4">
        <v>113</v>
      </c>
      <c r="C124" s="1">
        <f t="shared" ref="C124:I124" si="384">C$5+(C$6-C$5)*(POWER(C$7,$B124-1)-1)/(POWER(C$7,$B$3-1)-1)</f>
        <v>8928.71216731767</v>
      </c>
      <c r="D124" s="1">
        <f t="shared" si="384"/>
        <v>2678.6136501953</v>
      </c>
      <c r="E124" s="1">
        <f t="shared" si="384"/>
        <v>1785.74243346353</v>
      </c>
      <c r="F124" s="1">
        <f t="shared" si="384"/>
        <v>22604.3346008042</v>
      </c>
      <c r="G124" s="1">
        <f t="shared" si="384"/>
        <v>6781.30038024127</v>
      </c>
      <c r="H124" s="1">
        <f t="shared" si="384"/>
        <v>4520.86692016085</v>
      </c>
      <c r="I124" s="1">
        <f t="shared" si="384"/>
        <v>0</v>
      </c>
      <c r="J124" s="1">
        <f>标准模型!$I$65/1*$B124/$B$3</f>
        <v>0.8136</v>
      </c>
      <c r="K124" s="1">
        <f>J124*标准模型!$J$63</f>
        <v>0.8136</v>
      </c>
      <c r="L124" s="1">
        <f t="shared" si="217"/>
        <v>31533.0467681219</v>
      </c>
      <c r="M124" s="1">
        <f t="shared" si="218"/>
        <v>11639.2340962355</v>
      </c>
      <c r="N124" s="1">
        <f t="shared" si="219"/>
        <v>7759.48939749031</v>
      </c>
      <c r="O124" s="1">
        <f t="shared" ref="O124:W124" si="385">O$5+(O$6-O$5)*(POWER(O$7,$B124-1)-1)/(POWER(O$7,$B$3-1)-1)</f>
        <v>0.612246165334691</v>
      </c>
      <c r="P124" s="1">
        <f t="shared" si="385"/>
        <v>0.0657130532465859</v>
      </c>
      <c r="Q124" s="1">
        <f t="shared" si="385"/>
        <v>0.33673539093408</v>
      </c>
      <c r="R124" s="1">
        <f t="shared" si="385"/>
        <v>1.04489846613388</v>
      </c>
      <c r="S124" s="1">
        <f t="shared" si="385"/>
        <v>0.195920014935098</v>
      </c>
      <c r="T124" s="1">
        <f t="shared" si="385"/>
        <v>2.43776004480529</v>
      </c>
      <c r="U124" s="1">
        <f t="shared" si="385"/>
        <v>1</v>
      </c>
      <c r="V124" s="1">
        <f t="shared" si="385"/>
        <v>1.12241547604023</v>
      </c>
      <c r="W124" s="1">
        <f t="shared" si="385"/>
        <v>1.35918772907101</v>
      </c>
      <c r="X124" s="1">
        <f t="shared" si="221"/>
        <v>1.23406699485351</v>
      </c>
      <c r="Y124" s="1">
        <f t="shared" si="222"/>
        <v>2.07311868627705</v>
      </c>
      <c r="Z124" s="1">
        <f t="shared" si="223"/>
        <v>65371.7484902415</v>
      </c>
      <c r="AA124" s="1">
        <f t="shared" si="224"/>
        <v>11639.2340962355</v>
      </c>
      <c r="AB124" s="1">
        <f t="shared" si="225"/>
        <v>7759.48939749031</v>
      </c>
      <c r="AC124" s="1">
        <f>AB124/(AB124+战斗公式!$M$27)</f>
        <v>0.244320344712578</v>
      </c>
      <c r="AD124" s="1">
        <f t="shared" si="226"/>
        <v>86507.2230446344</v>
      </c>
      <c r="AE124" s="1">
        <f t="shared" si="227"/>
        <v>6.02267226216622</v>
      </c>
      <c r="AF124" s="1">
        <f t="shared" si="228"/>
        <v>3.58512086585176</v>
      </c>
      <c r="AG124" s="1">
        <f t="shared" si="229"/>
        <v>3.33312478375741</v>
      </c>
      <c r="AH124" s="1">
        <f t="shared" si="230"/>
        <v>0.59329759884584</v>
      </c>
      <c r="AI124" s="1">
        <f t="shared" si="231"/>
        <v>1.00367910033301</v>
      </c>
      <c r="AJ124" s="1">
        <f t="shared" si="232"/>
        <v>1.0832250216565</v>
      </c>
      <c r="AK124" s="1">
        <f t="shared" si="233"/>
        <v>1</v>
      </c>
      <c r="AL124" s="10">
        <f t="shared" si="234"/>
        <v>60777</v>
      </c>
      <c r="AM124" s="10">
        <f t="shared" si="235"/>
        <v>6906</v>
      </c>
      <c r="AN124" s="10">
        <f t="shared" si="236"/>
        <v>7759</v>
      </c>
      <c r="AO124" s="1">
        <f t="shared" si="237"/>
        <v>39190</v>
      </c>
      <c r="AP124" s="1">
        <f t="shared" si="238"/>
        <v>6906</v>
      </c>
      <c r="AR124" s="1">
        <f t="shared" ref="AR124:AX124" si="386">ROUNDUP(AR$10*$AO124,0)</f>
        <v>39190</v>
      </c>
      <c r="AS124" s="1">
        <f t="shared" si="386"/>
        <v>117570</v>
      </c>
      <c r="AT124" s="1">
        <f t="shared" si="386"/>
        <v>70542</v>
      </c>
      <c r="AU124" s="1">
        <f t="shared" si="386"/>
        <v>19595</v>
      </c>
      <c r="AV124" s="1">
        <f t="shared" si="386"/>
        <v>5879</v>
      </c>
      <c r="AW124" s="1">
        <f t="shared" si="386"/>
        <v>156760</v>
      </c>
      <c r="AX124" s="1">
        <f t="shared" si="386"/>
        <v>352710</v>
      </c>
      <c r="AY124" s="1">
        <f t="shared" si="240"/>
        <v>3660036</v>
      </c>
      <c r="AZ124" s="1">
        <f t="shared" si="241"/>
        <v>1830018</v>
      </c>
      <c r="BB124" s="1">
        <f t="shared" si="242"/>
        <v>113</v>
      </c>
    </row>
    <row r="125" spans="2:54">
      <c r="B125" s="4">
        <v>114</v>
      </c>
      <c r="C125" s="1">
        <f t="shared" ref="C125:I125" si="387">C$5+(C$6-C$5)*(POWER(C$7,$B125-1)-1)/(POWER(C$7,$B$3-1)-1)</f>
        <v>9007.72299024764</v>
      </c>
      <c r="D125" s="1">
        <f t="shared" si="387"/>
        <v>2702.31689707429</v>
      </c>
      <c r="E125" s="1">
        <f t="shared" si="387"/>
        <v>1801.54459804953</v>
      </c>
      <c r="F125" s="1">
        <f t="shared" si="387"/>
        <v>22804.3620006269</v>
      </c>
      <c r="G125" s="1">
        <f t="shared" si="387"/>
        <v>6841.30860018808</v>
      </c>
      <c r="H125" s="1">
        <f t="shared" si="387"/>
        <v>4560.87240012539</v>
      </c>
      <c r="I125" s="1">
        <f t="shared" si="387"/>
        <v>0</v>
      </c>
      <c r="J125" s="1">
        <f>标准模型!$I$65/1*$B125/$B$3</f>
        <v>0.8208</v>
      </c>
      <c r="K125" s="1">
        <f>J125*标准模型!$J$63</f>
        <v>0.8208</v>
      </c>
      <c r="L125" s="1">
        <f t="shared" si="217"/>
        <v>31812.0849908745</v>
      </c>
      <c r="M125" s="1">
        <f t="shared" si="218"/>
        <v>11761.687206381</v>
      </c>
      <c r="N125" s="1">
        <f t="shared" si="219"/>
        <v>7841.12480425397</v>
      </c>
      <c r="O125" s="1">
        <f t="shared" ref="O125:W125" si="388">O$5+(O$6-O$5)*(POWER(O$7,$B125-1)-1)/(POWER(O$7,$B$3-1)-1)</f>
        <v>0.613248306616367</v>
      </c>
      <c r="P125" s="1">
        <f t="shared" si="388"/>
        <v>0.0663508799519853</v>
      </c>
      <c r="Q125" s="1">
        <f t="shared" si="388"/>
        <v>0.337286568639002</v>
      </c>
      <c r="R125" s="1">
        <f t="shared" si="388"/>
        <v>1.04529932264655</v>
      </c>
      <c r="S125" s="1">
        <f t="shared" si="388"/>
        <v>0.197222798601278</v>
      </c>
      <c r="T125" s="1">
        <f t="shared" si="388"/>
        <v>2.44166839580383</v>
      </c>
      <c r="U125" s="1">
        <f t="shared" si="388"/>
        <v>1</v>
      </c>
      <c r="V125" s="1">
        <f t="shared" si="388"/>
        <v>1.12350840960896</v>
      </c>
      <c r="W125" s="1">
        <f t="shared" si="388"/>
        <v>1.36239458117238</v>
      </c>
      <c r="X125" s="1">
        <f t="shared" si="221"/>
        <v>1.2430053904714</v>
      </c>
      <c r="Y125" s="1">
        <f t="shared" si="222"/>
        <v>2.08962643080205</v>
      </c>
      <c r="Z125" s="1">
        <f t="shared" si="223"/>
        <v>66475.3736158525</v>
      </c>
      <c r="AA125" s="1">
        <f t="shared" si="224"/>
        <v>11761.687206381</v>
      </c>
      <c r="AB125" s="1">
        <f t="shared" si="225"/>
        <v>7841.12480425397</v>
      </c>
      <c r="AC125" s="1">
        <f>AB125/(AB125+战斗公式!$M$27)</f>
        <v>0.246257783054398</v>
      </c>
      <c r="AD125" s="1">
        <f t="shared" si="226"/>
        <v>88193.7778213239</v>
      </c>
      <c r="AE125" s="1">
        <f t="shared" si="227"/>
        <v>6.03247191559325</v>
      </c>
      <c r="AF125" s="1">
        <f t="shared" si="228"/>
        <v>3.58839024929048</v>
      </c>
      <c r="AG125" s="1">
        <f t="shared" si="229"/>
        <v>3.34634400211028</v>
      </c>
      <c r="AH125" s="1">
        <f t="shared" si="230"/>
        <v>0.596223172585502</v>
      </c>
      <c r="AI125" s="1">
        <f t="shared" si="231"/>
        <v>1.00349514531592</v>
      </c>
      <c r="AJ125" s="1">
        <f t="shared" si="232"/>
        <v>1.08155985141598</v>
      </c>
      <c r="AK125" s="1">
        <f t="shared" si="233"/>
        <v>1</v>
      </c>
      <c r="AL125" s="10">
        <f t="shared" si="234"/>
        <v>61991</v>
      </c>
      <c r="AM125" s="10">
        <f t="shared" si="235"/>
        <v>7013</v>
      </c>
      <c r="AN125" s="10">
        <f t="shared" si="236"/>
        <v>7841</v>
      </c>
      <c r="AO125" s="1">
        <f t="shared" si="237"/>
        <v>39883</v>
      </c>
      <c r="AP125" s="1">
        <f t="shared" si="238"/>
        <v>7013</v>
      </c>
      <c r="AR125" s="1">
        <f t="shared" ref="AR125:AX125" si="389">ROUNDUP(AR$10*$AO125,0)</f>
        <v>39883</v>
      </c>
      <c r="AS125" s="1">
        <f t="shared" si="389"/>
        <v>119649</v>
      </c>
      <c r="AT125" s="1">
        <f t="shared" si="389"/>
        <v>71790</v>
      </c>
      <c r="AU125" s="1">
        <f t="shared" si="389"/>
        <v>19942</v>
      </c>
      <c r="AV125" s="1">
        <f t="shared" si="389"/>
        <v>5983</v>
      </c>
      <c r="AW125" s="1">
        <f t="shared" si="389"/>
        <v>159532</v>
      </c>
      <c r="AX125" s="1">
        <f t="shared" si="389"/>
        <v>358947</v>
      </c>
      <c r="AY125" s="1">
        <f t="shared" si="240"/>
        <v>3732460</v>
      </c>
      <c r="AZ125" s="1">
        <f t="shared" si="241"/>
        <v>1866230</v>
      </c>
      <c r="BB125" s="1">
        <f t="shared" si="242"/>
        <v>114</v>
      </c>
    </row>
    <row r="126" spans="2:54">
      <c r="B126" s="4">
        <v>115</v>
      </c>
      <c r="C126" s="1">
        <f t="shared" ref="C126:I126" si="390">C$5+(C$6-C$5)*(POWER(C$7,$B126-1)-1)/(POWER(C$7,$B$3-1)-1)</f>
        <v>9086.7337341597</v>
      </c>
      <c r="D126" s="1">
        <f t="shared" si="390"/>
        <v>2726.02012024791</v>
      </c>
      <c r="E126" s="1">
        <f t="shared" si="390"/>
        <v>1817.34674683194</v>
      </c>
      <c r="F126" s="1">
        <f t="shared" si="390"/>
        <v>23004.3892004043</v>
      </c>
      <c r="G126" s="1">
        <f t="shared" si="390"/>
        <v>6901.31676012129</v>
      </c>
      <c r="H126" s="1">
        <f t="shared" si="390"/>
        <v>4600.87784008086</v>
      </c>
      <c r="I126" s="1">
        <f t="shared" si="390"/>
        <v>0</v>
      </c>
      <c r="J126" s="1">
        <f>标准模型!$I$65/1*$B126/$B$3</f>
        <v>0.828</v>
      </c>
      <c r="K126" s="1">
        <f>J126*标准模型!$J$63</f>
        <v>0.828</v>
      </c>
      <c r="L126" s="1">
        <f t="shared" si="217"/>
        <v>32091.122934564</v>
      </c>
      <c r="M126" s="1">
        <f t="shared" si="218"/>
        <v>11884.4815399345</v>
      </c>
      <c r="N126" s="1">
        <f t="shared" si="219"/>
        <v>7922.98769328964</v>
      </c>
      <c r="O126" s="1">
        <f t="shared" ref="O126:W126" si="391">O$5+(O$6-O$5)*(POWER(O$7,$B126-1)-1)/(POWER(O$7,$B$3-1)-1)</f>
        <v>0.614250446895813</v>
      </c>
      <c r="P126" s="1">
        <f t="shared" si="391"/>
        <v>0.066989663397443</v>
      </c>
      <c r="Q126" s="1">
        <f t="shared" si="391"/>
        <v>0.337837745792697</v>
      </c>
      <c r="R126" s="1">
        <f t="shared" si="391"/>
        <v>1.04570017875833</v>
      </c>
      <c r="S126" s="1">
        <f t="shared" si="391"/>
        <v>0.198525580964557</v>
      </c>
      <c r="T126" s="1">
        <f t="shared" si="391"/>
        <v>2.44557674289367</v>
      </c>
      <c r="U126" s="1">
        <f t="shared" si="391"/>
        <v>1</v>
      </c>
      <c r="V126" s="1">
        <f t="shared" si="391"/>
        <v>1.12460134208466</v>
      </c>
      <c r="W126" s="1">
        <f t="shared" si="391"/>
        <v>1.3656014300666</v>
      </c>
      <c r="X126" s="1">
        <f t="shared" si="221"/>
        <v>1.25200046704096</v>
      </c>
      <c r="Y126" s="1">
        <f t="shared" si="222"/>
        <v>2.10625157272469</v>
      </c>
      <c r="Z126" s="1">
        <f t="shared" si="223"/>
        <v>67591.9781514267</v>
      </c>
      <c r="AA126" s="1">
        <f t="shared" si="224"/>
        <v>11884.4815399345</v>
      </c>
      <c r="AB126" s="1">
        <f t="shared" si="225"/>
        <v>7922.98769328964</v>
      </c>
      <c r="AC126" s="1">
        <f>AB126/(AB126+战斗公式!$M$27)</f>
        <v>0.248190669664515</v>
      </c>
      <c r="AD126" s="1">
        <f t="shared" si="226"/>
        <v>89905.745278879</v>
      </c>
      <c r="AE126" s="1">
        <f t="shared" si="227"/>
        <v>6.0423059830668</v>
      </c>
      <c r="AF126" s="1">
        <f t="shared" si="228"/>
        <v>3.5916744280541</v>
      </c>
      <c r="AG126" s="1">
        <f t="shared" si="229"/>
        <v>3.35946407632551</v>
      </c>
      <c r="AH126" s="1">
        <f t="shared" si="230"/>
        <v>0.599154597472643</v>
      </c>
      <c r="AI126" s="1">
        <f t="shared" si="231"/>
        <v>1.00332038804968</v>
      </c>
      <c r="AJ126" s="1">
        <f t="shared" si="232"/>
        <v>1.07992798458028</v>
      </c>
      <c r="AK126" s="1">
        <f t="shared" si="233"/>
        <v>1</v>
      </c>
      <c r="AL126" s="10">
        <f t="shared" si="234"/>
        <v>63222</v>
      </c>
      <c r="AM126" s="10">
        <f t="shared" si="235"/>
        <v>7121</v>
      </c>
      <c r="AN126" s="10">
        <f t="shared" si="236"/>
        <v>7923</v>
      </c>
      <c r="AO126" s="1">
        <f t="shared" si="237"/>
        <v>40584</v>
      </c>
      <c r="AP126" s="1">
        <f t="shared" si="238"/>
        <v>7121</v>
      </c>
      <c r="AR126" s="1">
        <f t="shared" ref="AR126:AX126" si="392">ROUNDUP(AR$10*$AO126,0)</f>
        <v>40584</v>
      </c>
      <c r="AS126" s="1">
        <f t="shared" si="392"/>
        <v>121752</v>
      </c>
      <c r="AT126" s="1">
        <f t="shared" si="392"/>
        <v>73052</v>
      </c>
      <c r="AU126" s="1">
        <f t="shared" si="392"/>
        <v>20292</v>
      </c>
      <c r="AV126" s="1">
        <f t="shared" si="392"/>
        <v>6088</v>
      </c>
      <c r="AW126" s="1">
        <f t="shared" si="392"/>
        <v>162336</v>
      </c>
      <c r="AX126" s="1">
        <f t="shared" si="392"/>
        <v>365256</v>
      </c>
      <c r="AY126" s="1">
        <f t="shared" si="240"/>
        <v>3805915</v>
      </c>
      <c r="AZ126" s="1">
        <f t="shared" si="241"/>
        <v>1902958</v>
      </c>
      <c r="BB126" s="1">
        <f t="shared" si="242"/>
        <v>115</v>
      </c>
    </row>
    <row r="127" spans="2:54">
      <c r="B127" s="4">
        <v>116</v>
      </c>
      <c r="C127" s="1">
        <f t="shared" ref="C127:I127" si="393">C$5+(C$6-C$5)*(POWER(C$7,$B127-1)-1)/(POWER(C$7,$B$3-1)-1)</f>
        <v>9165.74439907137</v>
      </c>
      <c r="D127" s="1">
        <f t="shared" si="393"/>
        <v>2749.72331972141</v>
      </c>
      <c r="E127" s="1">
        <f t="shared" si="393"/>
        <v>1833.14887981427</v>
      </c>
      <c r="F127" s="1">
        <f t="shared" si="393"/>
        <v>23204.4162001807</v>
      </c>
      <c r="G127" s="1">
        <f t="shared" si="393"/>
        <v>6961.3248600542</v>
      </c>
      <c r="H127" s="1">
        <f t="shared" si="393"/>
        <v>4640.88324003613</v>
      </c>
      <c r="I127" s="1">
        <f t="shared" si="393"/>
        <v>0</v>
      </c>
      <c r="J127" s="1">
        <f>标准模型!$I$65/1*$B127/$B$3</f>
        <v>0.8352</v>
      </c>
      <c r="K127" s="1">
        <f>J127*标准模型!$J$63</f>
        <v>0.8352</v>
      </c>
      <c r="L127" s="1">
        <f t="shared" si="217"/>
        <v>32370.1605992521</v>
      </c>
      <c r="M127" s="1">
        <f t="shared" si="218"/>
        <v>12007.6170964069</v>
      </c>
      <c r="N127" s="1">
        <f t="shared" si="219"/>
        <v>8005.07806427129</v>
      </c>
      <c r="O127" s="1">
        <f t="shared" ref="O127:W127" si="394">O$5+(O$6-O$5)*(POWER(O$7,$B127-1)-1)/(POWER(O$7,$B$3-1)-1)</f>
        <v>0.61525258617325</v>
      </c>
      <c r="P127" s="1">
        <f t="shared" si="394"/>
        <v>0.0676294050180687</v>
      </c>
      <c r="Q127" s="1">
        <f t="shared" si="394"/>
        <v>0.338388922395287</v>
      </c>
      <c r="R127" s="1">
        <f t="shared" si="394"/>
        <v>1.0461010344693</v>
      </c>
      <c r="S127" s="1">
        <f t="shared" si="394"/>
        <v>0.199828362025225</v>
      </c>
      <c r="T127" s="1">
        <f t="shared" si="394"/>
        <v>2.44948508607567</v>
      </c>
      <c r="U127" s="1">
        <f t="shared" si="394"/>
        <v>1</v>
      </c>
      <c r="V127" s="1">
        <f t="shared" si="394"/>
        <v>1.12569427346758</v>
      </c>
      <c r="W127" s="1">
        <f t="shared" si="394"/>
        <v>1.3688082757544</v>
      </c>
      <c r="X127" s="1">
        <f t="shared" si="221"/>
        <v>1.26105253696694</v>
      </c>
      <c r="Y127" s="1">
        <f t="shared" si="222"/>
        <v>2.12299484845353</v>
      </c>
      <c r="Z127" s="1">
        <f t="shared" si="223"/>
        <v>68721.6841958256</v>
      </c>
      <c r="AA127" s="1">
        <f t="shared" si="224"/>
        <v>12007.6170964069</v>
      </c>
      <c r="AB127" s="1">
        <f t="shared" si="225"/>
        <v>8005.07806427129</v>
      </c>
      <c r="AC127" s="1">
        <f>AB127/(AB127+战斗公式!$M$27)</f>
        <v>0.250118998247585</v>
      </c>
      <c r="AD127" s="1">
        <f t="shared" si="226"/>
        <v>91643.4528081498</v>
      </c>
      <c r="AE127" s="1">
        <f t="shared" si="227"/>
        <v>6.05217438124183</v>
      </c>
      <c r="AF127" s="1">
        <f t="shared" si="228"/>
        <v>3.59497332892299</v>
      </c>
      <c r="AG127" s="1">
        <f t="shared" si="229"/>
        <v>3.37248574998412</v>
      </c>
      <c r="AH127" s="1">
        <f t="shared" si="230"/>
        <v>0.602091885209558</v>
      </c>
      <c r="AI127" s="1">
        <f t="shared" si="231"/>
        <v>1.00315436864676</v>
      </c>
      <c r="AJ127" s="1">
        <f t="shared" si="232"/>
        <v>1.07832875508128</v>
      </c>
      <c r="AK127" s="1">
        <f t="shared" si="233"/>
        <v>1</v>
      </c>
      <c r="AL127" s="10">
        <f t="shared" si="234"/>
        <v>64469</v>
      </c>
      <c r="AM127" s="10">
        <f t="shared" si="235"/>
        <v>7230</v>
      </c>
      <c r="AN127" s="10">
        <f t="shared" si="236"/>
        <v>8005</v>
      </c>
      <c r="AO127" s="1">
        <f t="shared" si="237"/>
        <v>41294</v>
      </c>
      <c r="AP127" s="1">
        <f t="shared" si="238"/>
        <v>7230</v>
      </c>
      <c r="AR127" s="1">
        <f t="shared" ref="AR127:AX127" si="395">ROUNDUP(AR$10*$AO127,0)</f>
        <v>41294</v>
      </c>
      <c r="AS127" s="1">
        <f t="shared" si="395"/>
        <v>123882</v>
      </c>
      <c r="AT127" s="1">
        <f t="shared" si="395"/>
        <v>74330</v>
      </c>
      <c r="AU127" s="1">
        <f t="shared" si="395"/>
        <v>20647</v>
      </c>
      <c r="AV127" s="1">
        <f t="shared" si="395"/>
        <v>6195</v>
      </c>
      <c r="AW127" s="1">
        <f t="shared" si="395"/>
        <v>165176</v>
      </c>
      <c r="AX127" s="1">
        <f t="shared" si="395"/>
        <v>371646</v>
      </c>
      <c r="AY127" s="1">
        <f t="shared" si="240"/>
        <v>3880342</v>
      </c>
      <c r="AZ127" s="1">
        <f t="shared" si="241"/>
        <v>1940171</v>
      </c>
      <c r="BB127" s="1">
        <f t="shared" si="242"/>
        <v>116</v>
      </c>
    </row>
    <row r="128" spans="2:54">
      <c r="B128" s="4">
        <v>117</v>
      </c>
      <c r="C128" s="1">
        <f t="shared" ref="C128:I128" si="396">C$5+(C$6-C$5)*(POWER(C$7,$B128-1)-1)/(POWER(C$7,$B$3-1)-1)</f>
        <v>9244.75498496511</v>
      </c>
      <c r="D128" s="1">
        <f t="shared" si="396"/>
        <v>2773.42649548953</v>
      </c>
      <c r="E128" s="1">
        <f t="shared" si="396"/>
        <v>1848.95099699302</v>
      </c>
      <c r="F128" s="1">
        <f t="shared" si="396"/>
        <v>23404.4429999117</v>
      </c>
      <c r="G128" s="1">
        <f t="shared" si="396"/>
        <v>7021.3328999735</v>
      </c>
      <c r="H128" s="1">
        <f t="shared" si="396"/>
        <v>4680.88859998234</v>
      </c>
      <c r="I128" s="1">
        <f t="shared" si="396"/>
        <v>0</v>
      </c>
      <c r="J128" s="1">
        <f>标准模型!$I$65/1*$B128/$B$3</f>
        <v>0.8424</v>
      </c>
      <c r="K128" s="1">
        <f>J128*标准模型!$J$63</f>
        <v>0.8424</v>
      </c>
      <c r="L128" s="1">
        <f t="shared" si="217"/>
        <v>32649.1979848768</v>
      </c>
      <c r="M128" s="1">
        <f t="shared" si="218"/>
        <v>12131.0938752634</v>
      </c>
      <c r="N128" s="1">
        <f t="shared" si="219"/>
        <v>8087.39591684228</v>
      </c>
      <c r="O128" s="1">
        <f t="shared" ref="O128:W128" si="397">O$5+(O$6-O$5)*(POWER(O$7,$B128-1)-1)/(POWER(O$7,$B$3-1)-1)</f>
        <v>0.616254724448455</v>
      </c>
      <c r="P128" s="1">
        <f t="shared" si="397"/>
        <v>0.0682701062511254</v>
      </c>
      <c r="Q128" s="1">
        <f t="shared" si="397"/>
        <v>0.33894009844665</v>
      </c>
      <c r="R128" s="1">
        <f t="shared" si="397"/>
        <v>1.04650188977938</v>
      </c>
      <c r="S128" s="1">
        <f t="shared" si="397"/>
        <v>0.201131141782992</v>
      </c>
      <c r="T128" s="1">
        <f t="shared" si="397"/>
        <v>2.45339342534898</v>
      </c>
      <c r="U128" s="1">
        <f t="shared" si="397"/>
        <v>1</v>
      </c>
      <c r="V128" s="1">
        <f t="shared" si="397"/>
        <v>1.12678720375746</v>
      </c>
      <c r="W128" s="1">
        <f t="shared" si="397"/>
        <v>1.37201511823506</v>
      </c>
      <c r="X128" s="1">
        <f t="shared" si="221"/>
        <v>1.27016191394961</v>
      </c>
      <c r="Y128" s="1">
        <f t="shared" si="222"/>
        <v>2.13985699810946</v>
      </c>
      <c r="Z128" s="1">
        <f t="shared" si="223"/>
        <v>69864.6147906</v>
      </c>
      <c r="AA128" s="1">
        <f t="shared" si="224"/>
        <v>12131.0938752634</v>
      </c>
      <c r="AB128" s="1">
        <f t="shared" si="225"/>
        <v>8087.39591684228</v>
      </c>
      <c r="AC128" s="1">
        <f>AB128/(AB128+战斗公式!$M$27)</f>
        <v>0.252042762765841</v>
      </c>
      <c r="AD128" s="1">
        <f t="shared" si="226"/>
        <v>93407.2314734857</v>
      </c>
      <c r="AE128" s="1">
        <f t="shared" si="227"/>
        <v>6.06207702734908</v>
      </c>
      <c r="AF128" s="1">
        <f t="shared" si="228"/>
        <v>3.59828687915611</v>
      </c>
      <c r="AG128" s="1">
        <f t="shared" si="229"/>
        <v>3.38540976109029</v>
      </c>
      <c r="AH128" s="1">
        <f t="shared" si="230"/>
        <v>0.605035047521947</v>
      </c>
      <c r="AI128" s="1">
        <f t="shared" si="231"/>
        <v>1.00299665021398</v>
      </c>
      <c r="AJ128" s="1">
        <f t="shared" si="232"/>
        <v>1.07676151017227</v>
      </c>
      <c r="AK128" s="1">
        <f t="shared" si="233"/>
        <v>1</v>
      </c>
      <c r="AL128" s="10">
        <f t="shared" si="234"/>
        <v>65731</v>
      </c>
      <c r="AM128" s="10">
        <f t="shared" si="235"/>
        <v>7340</v>
      </c>
      <c r="AN128" s="10">
        <f t="shared" si="236"/>
        <v>8087</v>
      </c>
      <c r="AO128" s="1">
        <f t="shared" si="237"/>
        <v>42011</v>
      </c>
      <c r="AP128" s="1">
        <f t="shared" si="238"/>
        <v>7340</v>
      </c>
      <c r="AR128" s="1">
        <f t="shared" ref="AR128:AX128" si="398">ROUNDUP(AR$10*$AO128,0)</f>
        <v>42011</v>
      </c>
      <c r="AS128" s="1">
        <f t="shared" si="398"/>
        <v>126033</v>
      </c>
      <c r="AT128" s="1">
        <f t="shared" si="398"/>
        <v>75620</v>
      </c>
      <c r="AU128" s="1">
        <f t="shared" si="398"/>
        <v>21006</v>
      </c>
      <c r="AV128" s="1">
        <f t="shared" si="398"/>
        <v>6302</v>
      </c>
      <c r="AW128" s="1">
        <f t="shared" si="398"/>
        <v>168044</v>
      </c>
      <c r="AX128" s="1">
        <f t="shared" si="398"/>
        <v>378099</v>
      </c>
      <c r="AY128" s="1">
        <f t="shared" si="240"/>
        <v>3955678</v>
      </c>
      <c r="AZ128" s="1">
        <f t="shared" si="241"/>
        <v>1977839</v>
      </c>
      <c r="BB128" s="1">
        <f t="shared" si="242"/>
        <v>117</v>
      </c>
    </row>
    <row r="129" spans="2:54">
      <c r="B129" s="4">
        <v>118</v>
      </c>
      <c r="C129" s="1">
        <f t="shared" ref="C129:I129" si="399">C$5+(C$6-C$5)*(POWER(C$7,$B129-1)-1)/(POWER(C$7,$B$3-1)-1)</f>
        <v>9323.7654918497</v>
      </c>
      <c r="D129" s="1">
        <f t="shared" si="399"/>
        <v>2797.12964755491</v>
      </c>
      <c r="E129" s="1">
        <f t="shared" si="399"/>
        <v>1864.75309836994</v>
      </c>
      <c r="F129" s="1">
        <f t="shared" si="399"/>
        <v>23604.4695996195</v>
      </c>
      <c r="G129" s="1">
        <f t="shared" si="399"/>
        <v>7081.34087988585</v>
      </c>
      <c r="H129" s="1">
        <f t="shared" si="399"/>
        <v>4720.8939199239</v>
      </c>
      <c r="I129" s="1">
        <f t="shared" si="399"/>
        <v>0</v>
      </c>
      <c r="J129" s="1">
        <f>标准模型!$I$65/1*$B129/$B$3</f>
        <v>0.8496</v>
      </c>
      <c r="K129" s="1">
        <f>J129*标准模型!$J$63</f>
        <v>0.8496</v>
      </c>
      <c r="L129" s="1">
        <f t="shared" si="217"/>
        <v>32928.2350914692</v>
      </c>
      <c r="M129" s="1">
        <f t="shared" si="218"/>
        <v>12254.9118760034</v>
      </c>
      <c r="N129" s="1">
        <f t="shared" si="219"/>
        <v>8169.94125066895</v>
      </c>
      <c r="O129" s="1">
        <f t="shared" ref="O129:W129" si="400">O$5+(O$6-O$5)*(POWER(O$7,$B129-1)-1)/(POWER(O$7,$B$3-1)-1)</f>
        <v>0.617256861721541</v>
      </c>
      <c r="P129" s="1">
        <f t="shared" si="400"/>
        <v>0.0689117685360318</v>
      </c>
      <c r="Q129" s="1">
        <f t="shared" si="400"/>
        <v>0.339491273946847</v>
      </c>
      <c r="R129" s="1">
        <f t="shared" si="400"/>
        <v>1.04690274468862</v>
      </c>
      <c r="S129" s="1">
        <f t="shared" si="400"/>
        <v>0.202433920238003</v>
      </c>
      <c r="T129" s="1">
        <f t="shared" si="400"/>
        <v>2.45730176071401</v>
      </c>
      <c r="U129" s="1">
        <f t="shared" si="400"/>
        <v>1</v>
      </c>
      <c r="V129" s="1">
        <f t="shared" si="400"/>
        <v>1.12788013295443</v>
      </c>
      <c r="W129" s="1">
        <f t="shared" si="400"/>
        <v>1.37522195750893</v>
      </c>
      <c r="X129" s="1">
        <f t="shared" si="221"/>
        <v>1.2793289129941</v>
      </c>
      <c r="Y129" s="1">
        <f t="shared" si="222"/>
        <v>2.15683876555092</v>
      </c>
      <c r="Z129" s="1">
        <f t="shared" si="223"/>
        <v>71020.893926455</v>
      </c>
      <c r="AA129" s="1">
        <f t="shared" si="224"/>
        <v>12254.9118760034</v>
      </c>
      <c r="AB129" s="1">
        <f t="shared" si="225"/>
        <v>8169.94125066895</v>
      </c>
      <c r="AC129" s="1">
        <f>AB129/(AB129+战斗公式!$M$27)</f>
        <v>0.25396195743749</v>
      </c>
      <c r="AD129" s="1">
        <f t="shared" si="226"/>
        <v>95197.4160493354</v>
      </c>
      <c r="AE129" s="1">
        <f t="shared" si="227"/>
        <v>6.07201383920443</v>
      </c>
      <c r="AF129" s="1">
        <f t="shared" si="228"/>
        <v>3.60161500649322</v>
      </c>
      <c r="AG129" s="1">
        <f t="shared" si="229"/>
        <v>3.39823684211317</v>
      </c>
      <c r="AH129" s="1">
        <f t="shared" si="230"/>
        <v>0.607984096158961</v>
      </c>
      <c r="AI129" s="1">
        <f t="shared" si="231"/>
        <v>1.00284681770284</v>
      </c>
      <c r="AJ129" s="1">
        <f t="shared" si="232"/>
        <v>1.07522561016144</v>
      </c>
      <c r="AK129" s="1">
        <f t="shared" si="233"/>
        <v>1</v>
      </c>
      <c r="AL129" s="10">
        <f t="shared" si="234"/>
        <v>67010</v>
      </c>
      <c r="AM129" s="10">
        <f t="shared" si="235"/>
        <v>7451</v>
      </c>
      <c r="AN129" s="10">
        <f t="shared" si="236"/>
        <v>8170</v>
      </c>
      <c r="AO129" s="1">
        <f t="shared" si="237"/>
        <v>42737</v>
      </c>
      <c r="AP129" s="1">
        <f t="shared" si="238"/>
        <v>7451</v>
      </c>
      <c r="AR129" s="1">
        <f t="shared" ref="AR129:AX129" si="401">ROUNDUP(AR$10*$AO129,0)</f>
        <v>42737</v>
      </c>
      <c r="AS129" s="1">
        <f t="shared" si="401"/>
        <v>128211</v>
      </c>
      <c r="AT129" s="1">
        <f t="shared" si="401"/>
        <v>76927</v>
      </c>
      <c r="AU129" s="1">
        <f t="shared" si="401"/>
        <v>21369</v>
      </c>
      <c r="AV129" s="1">
        <f t="shared" si="401"/>
        <v>6411</v>
      </c>
      <c r="AW129" s="1">
        <f t="shared" si="401"/>
        <v>170948</v>
      </c>
      <c r="AX129" s="1">
        <f t="shared" si="401"/>
        <v>384633</v>
      </c>
      <c r="AY129" s="1">
        <f t="shared" si="240"/>
        <v>4032046</v>
      </c>
      <c r="AZ129" s="1">
        <f t="shared" si="241"/>
        <v>2016023</v>
      </c>
      <c r="BB129" s="1">
        <f t="shared" si="242"/>
        <v>118</v>
      </c>
    </row>
    <row r="130" spans="2:54">
      <c r="B130" s="4">
        <v>119</v>
      </c>
      <c r="C130" s="1">
        <f t="shared" ref="C130:I130" si="402">C$5+(C$6-C$5)*(POWER(C$7,$B130-1)-1)/(POWER(C$7,$B$3-1)-1)</f>
        <v>9402.77591972515</v>
      </c>
      <c r="D130" s="1">
        <f t="shared" si="402"/>
        <v>2820.83277591754</v>
      </c>
      <c r="E130" s="1">
        <f t="shared" si="402"/>
        <v>1880.55518394503</v>
      </c>
      <c r="F130" s="1">
        <f t="shared" si="402"/>
        <v>23804.4959993042</v>
      </c>
      <c r="G130" s="1">
        <f t="shared" si="402"/>
        <v>7141.34879979125</v>
      </c>
      <c r="H130" s="1">
        <f t="shared" si="402"/>
        <v>4760.89919986084</v>
      </c>
      <c r="I130" s="1">
        <f t="shared" si="402"/>
        <v>0</v>
      </c>
      <c r="J130" s="1">
        <f>标准模型!$I$65/1*$B130/$B$3</f>
        <v>0.8568</v>
      </c>
      <c r="K130" s="1">
        <f>J130*标准模型!$J$63</f>
        <v>0.8568</v>
      </c>
      <c r="L130" s="1">
        <f t="shared" si="217"/>
        <v>33207.2719190294</v>
      </c>
      <c r="M130" s="1">
        <f t="shared" si="218"/>
        <v>12379.0710981149</v>
      </c>
      <c r="N130" s="1">
        <f t="shared" si="219"/>
        <v>8252.71406540997</v>
      </c>
      <c r="O130" s="1">
        <f t="shared" ref="O130:W130" si="403">O$5+(O$6-O$5)*(POWER(O$7,$B130-1)-1)/(POWER(O$7,$B$3-1)-1)</f>
        <v>0.618258997992506</v>
      </c>
      <c r="P130" s="1">
        <f t="shared" si="403"/>
        <v>0.0695543933143654</v>
      </c>
      <c r="Q130" s="1">
        <f t="shared" si="403"/>
        <v>0.340042448895878</v>
      </c>
      <c r="R130" s="1">
        <f t="shared" si="403"/>
        <v>1.047303599197</v>
      </c>
      <c r="S130" s="1">
        <f t="shared" si="403"/>
        <v>0.203736697390258</v>
      </c>
      <c r="T130" s="1">
        <f t="shared" si="403"/>
        <v>2.46121009217077</v>
      </c>
      <c r="U130" s="1">
        <f t="shared" si="403"/>
        <v>1</v>
      </c>
      <c r="V130" s="1">
        <f t="shared" si="403"/>
        <v>1.12897306105849</v>
      </c>
      <c r="W130" s="1">
        <f t="shared" si="403"/>
        <v>1.37842879357602</v>
      </c>
      <c r="X130" s="1">
        <f t="shared" si="221"/>
        <v>1.28855385041026</v>
      </c>
      <c r="Y130" s="1">
        <f t="shared" si="222"/>
        <v>2.17394089838037</v>
      </c>
      <c r="Z130" s="1">
        <f t="shared" si="223"/>
        <v>72190.646548416</v>
      </c>
      <c r="AA130" s="1">
        <f t="shared" si="224"/>
        <v>12379.0710981149</v>
      </c>
      <c r="AB130" s="1">
        <f t="shared" si="225"/>
        <v>8252.71406540997</v>
      </c>
      <c r="AC130" s="1">
        <f>AB130/(AB130+战斗公式!$M$27)</f>
        <v>0.255876576733142</v>
      </c>
      <c r="AD130" s="1">
        <f t="shared" si="226"/>
        <v>97014.3450551307</v>
      </c>
      <c r="AE130" s="1">
        <f t="shared" si="227"/>
        <v>6.0819847351946</v>
      </c>
      <c r="AF130" s="1">
        <f t="shared" si="228"/>
        <v>3.60495763914745</v>
      </c>
      <c r="AG130" s="1">
        <f t="shared" si="229"/>
        <v>3.41096772002837</v>
      </c>
      <c r="AH130" s="1">
        <f t="shared" si="230"/>
        <v>0.61093904289325</v>
      </c>
      <c r="AI130" s="1">
        <f t="shared" si="231"/>
        <v>1.00270447681726</v>
      </c>
      <c r="AJ130" s="1">
        <f t="shared" si="232"/>
        <v>1.07372042815082</v>
      </c>
      <c r="AK130" s="1">
        <f t="shared" si="233"/>
        <v>1</v>
      </c>
      <c r="AL130" s="10">
        <f t="shared" si="234"/>
        <v>68306</v>
      </c>
      <c r="AM130" s="10">
        <f t="shared" si="235"/>
        <v>7563</v>
      </c>
      <c r="AN130" s="10">
        <f t="shared" si="236"/>
        <v>8253</v>
      </c>
      <c r="AO130" s="1">
        <f t="shared" si="237"/>
        <v>43471</v>
      </c>
      <c r="AP130" s="1">
        <f t="shared" si="238"/>
        <v>7563</v>
      </c>
      <c r="AR130" s="1">
        <f t="shared" ref="AR130:AX130" si="404">ROUNDUP(AR$10*$AO130,0)</f>
        <v>43471</v>
      </c>
      <c r="AS130" s="1">
        <f t="shared" si="404"/>
        <v>130413</v>
      </c>
      <c r="AT130" s="1">
        <f t="shared" si="404"/>
        <v>78248</v>
      </c>
      <c r="AU130" s="1">
        <f t="shared" si="404"/>
        <v>21736</v>
      </c>
      <c r="AV130" s="1">
        <f t="shared" si="404"/>
        <v>6521</v>
      </c>
      <c r="AW130" s="1">
        <f t="shared" si="404"/>
        <v>173884</v>
      </c>
      <c r="AX130" s="1">
        <f t="shared" si="404"/>
        <v>391239</v>
      </c>
      <c r="AY130" s="1">
        <f t="shared" si="240"/>
        <v>4109444</v>
      </c>
      <c r="AZ130" s="1">
        <f t="shared" si="241"/>
        <v>2054722</v>
      </c>
      <c r="BB130" s="1">
        <f t="shared" si="242"/>
        <v>119</v>
      </c>
    </row>
    <row r="131" spans="2:54">
      <c r="B131" s="4">
        <v>120</v>
      </c>
      <c r="C131" s="1">
        <f t="shared" ref="C131:I131" si="405">C$5+(C$6-C$5)*(POWER(C$7,$B131-1)-1)/(POWER(C$7,$B$3-1)-1)</f>
        <v>9481.78626858267</v>
      </c>
      <c r="D131" s="1">
        <f t="shared" si="405"/>
        <v>2844.5358805748</v>
      </c>
      <c r="E131" s="1">
        <f t="shared" si="405"/>
        <v>1896.35725371653</v>
      </c>
      <c r="F131" s="1">
        <f t="shared" si="405"/>
        <v>24004.5221989435</v>
      </c>
      <c r="G131" s="1">
        <f t="shared" si="405"/>
        <v>7201.35665968304</v>
      </c>
      <c r="H131" s="1">
        <f t="shared" si="405"/>
        <v>4800.90443978869</v>
      </c>
      <c r="I131" s="1">
        <f t="shared" si="405"/>
        <v>0</v>
      </c>
      <c r="J131" s="1">
        <f>标准模型!$I$65/1*$B131/$B$3</f>
        <v>0.864</v>
      </c>
      <c r="K131" s="1">
        <f>J131*标准模型!$J$63</f>
        <v>0.864</v>
      </c>
      <c r="L131" s="1">
        <f t="shared" si="217"/>
        <v>33486.3084675262</v>
      </c>
      <c r="M131" s="1">
        <f t="shared" si="218"/>
        <v>12503.5715410745</v>
      </c>
      <c r="N131" s="1">
        <f t="shared" si="219"/>
        <v>8335.71436071631</v>
      </c>
      <c r="O131" s="1">
        <f t="shared" ref="O131:W131" si="406">O$5+(O$6-O$5)*(POWER(O$7,$B131-1)-1)/(POWER(O$7,$B$3-1)-1)</f>
        <v>0.61926113326124</v>
      </c>
      <c r="P131" s="1">
        <f t="shared" si="406"/>
        <v>0.0701979820298666</v>
      </c>
      <c r="Q131" s="1">
        <f t="shared" si="406"/>
        <v>0.340593623293682</v>
      </c>
      <c r="R131" s="1">
        <f t="shared" si="406"/>
        <v>1.0477044533045</v>
      </c>
      <c r="S131" s="1">
        <f t="shared" si="406"/>
        <v>0.205039473239612</v>
      </c>
      <c r="T131" s="1">
        <f t="shared" si="406"/>
        <v>2.46511841971884</v>
      </c>
      <c r="U131" s="1">
        <f t="shared" si="406"/>
        <v>1</v>
      </c>
      <c r="V131" s="1">
        <f t="shared" si="406"/>
        <v>1.13006598806952</v>
      </c>
      <c r="W131" s="1">
        <f t="shared" si="406"/>
        <v>1.38163562643597</v>
      </c>
      <c r="X131" s="1">
        <f t="shared" si="221"/>
        <v>1.29783704381587</v>
      </c>
      <c r="Y131" s="1">
        <f t="shared" si="222"/>
        <v>2.19116414795751</v>
      </c>
      <c r="Z131" s="1">
        <f t="shared" si="223"/>
        <v>73373.9985614893</v>
      </c>
      <c r="AA131" s="1">
        <f t="shared" si="224"/>
        <v>12503.5715410745</v>
      </c>
      <c r="AB131" s="1">
        <f t="shared" si="225"/>
        <v>8335.71436071631</v>
      </c>
      <c r="AC131" s="1">
        <f>AB131/(AB131+战斗公式!$M$27)</f>
        <v>0.257786615372973</v>
      </c>
      <c r="AD131" s="1">
        <f t="shared" si="226"/>
        <v>98858.3607911636</v>
      </c>
      <c r="AE131" s="1">
        <f t="shared" si="227"/>
        <v>6.09198963427142</v>
      </c>
      <c r="AF131" s="1">
        <f t="shared" si="228"/>
        <v>3.60831470580135</v>
      </c>
      <c r="AG131" s="1">
        <f t="shared" si="229"/>
        <v>3.42360311635921</v>
      </c>
      <c r="AH131" s="1">
        <f t="shared" si="230"/>
        <v>0.613899899521007</v>
      </c>
      <c r="AI131" s="1">
        <f t="shared" si="231"/>
        <v>1.00256925297595</v>
      </c>
      <c r="AJ131" s="1">
        <f t="shared" si="232"/>
        <v>1.07224534978041</v>
      </c>
      <c r="AK131" s="1">
        <f t="shared" si="233"/>
        <v>1</v>
      </c>
      <c r="AL131" s="10">
        <f t="shared" si="234"/>
        <v>69618</v>
      </c>
      <c r="AM131" s="10">
        <f t="shared" si="235"/>
        <v>7676</v>
      </c>
      <c r="AN131" s="10">
        <f t="shared" si="236"/>
        <v>8336</v>
      </c>
      <c r="AO131" s="1">
        <f t="shared" si="237"/>
        <v>44214</v>
      </c>
      <c r="AP131" s="1">
        <f t="shared" si="238"/>
        <v>7676</v>
      </c>
      <c r="AR131" s="1">
        <f t="shared" ref="AR131:AX131" si="407">ROUNDUP(AR$10*$AO131,0)</f>
        <v>44214</v>
      </c>
      <c r="AS131" s="1">
        <f t="shared" si="407"/>
        <v>132642</v>
      </c>
      <c r="AT131" s="1">
        <f t="shared" si="407"/>
        <v>79586</v>
      </c>
      <c r="AU131" s="1">
        <f t="shared" si="407"/>
        <v>22107</v>
      </c>
      <c r="AV131" s="1">
        <f t="shared" si="407"/>
        <v>6633</v>
      </c>
      <c r="AW131" s="1">
        <f t="shared" si="407"/>
        <v>176856</v>
      </c>
      <c r="AX131" s="1">
        <f t="shared" si="407"/>
        <v>397926</v>
      </c>
      <c r="AY131" s="1">
        <f t="shared" si="240"/>
        <v>4187812</v>
      </c>
      <c r="AZ131" s="1">
        <f t="shared" si="241"/>
        <v>2093906</v>
      </c>
      <c r="BB131" s="1">
        <f t="shared" si="242"/>
        <v>120</v>
      </c>
    </row>
    <row r="132" spans="2:54">
      <c r="B132" s="4">
        <v>121</v>
      </c>
      <c r="C132" s="1">
        <f t="shared" ref="C132:I132" si="408">C$5+(C$6-C$5)*(POWER(C$7,$B132-1)-1)/(POWER(C$7,$B$3-1)-1)</f>
        <v>9560.79653843981</v>
      </c>
      <c r="D132" s="1">
        <f t="shared" si="408"/>
        <v>2868.23896153194</v>
      </c>
      <c r="E132" s="1">
        <f t="shared" si="408"/>
        <v>1912.15930768796</v>
      </c>
      <c r="F132" s="1">
        <f t="shared" si="408"/>
        <v>24204.5481985818</v>
      </c>
      <c r="G132" s="1">
        <f t="shared" si="408"/>
        <v>7261.36445957454</v>
      </c>
      <c r="H132" s="1">
        <f t="shared" si="408"/>
        <v>4840.90963971636</v>
      </c>
      <c r="I132" s="1">
        <f t="shared" si="408"/>
        <v>0</v>
      </c>
      <c r="J132" s="1">
        <f>标准模型!$I$65/1*$B132/$B$3</f>
        <v>0.8712</v>
      </c>
      <c r="K132" s="1">
        <f>J132*标准模型!$J$63</f>
        <v>0.8712</v>
      </c>
      <c r="L132" s="1">
        <f t="shared" si="217"/>
        <v>33765.3447370216</v>
      </c>
      <c r="M132" s="1">
        <f t="shared" si="218"/>
        <v>12628.4132043931</v>
      </c>
      <c r="N132" s="1">
        <f t="shared" si="219"/>
        <v>8418.94213626207</v>
      </c>
      <c r="O132" s="1">
        <f t="shared" ref="O132:W132" si="409">O$5+(O$6-O$5)*(POWER(O$7,$B132-1)-1)/(POWER(O$7,$B$3-1)-1)</f>
        <v>0.620263267527965</v>
      </c>
      <c r="P132" s="1">
        <f t="shared" si="409"/>
        <v>0.070842536128441</v>
      </c>
      <c r="Q132" s="1">
        <f t="shared" si="409"/>
        <v>0.341144797140381</v>
      </c>
      <c r="R132" s="1">
        <f t="shared" si="409"/>
        <v>1.04810530701119</v>
      </c>
      <c r="S132" s="1">
        <f t="shared" si="409"/>
        <v>0.206342247786354</v>
      </c>
      <c r="T132" s="1">
        <f t="shared" si="409"/>
        <v>2.46902674335906</v>
      </c>
      <c r="U132" s="1">
        <f t="shared" si="409"/>
        <v>1</v>
      </c>
      <c r="V132" s="1">
        <f t="shared" si="409"/>
        <v>1.13115891398776</v>
      </c>
      <c r="W132" s="1">
        <f t="shared" si="409"/>
        <v>1.38484245608949</v>
      </c>
      <c r="X132" s="1">
        <f t="shared" si="221"/>
        <v>1.30717881214357</v>
      </c>
      <c r="Y132" s="1">
        <f t="shared" si="222"/>
        <v>2.20850926941964</v>
      </c>
      <c r="Z132" s="1">
        <f t="shared" si="223"/>
        <v>74571.0768368618</v>
      </c>
      <c r="AA132" s="1">
        <f t="shared" si="224"/>
        <v>12628.4132043931</v>
      </c>
      <c r="AB132" s="1">
        <f t="shared" si="225"/>
        <v>8418.94213626207</v>
      </c>
      <c r="AC132" s="1">
        <f>AB132/(AB132+战斗公式!$M$27)</f>
        <v>0.25969206832462</v>
      </c>
      <c r="AD132" s="1">
        <f t="shared" si="226"/>
        <v>100729.809375541</v>
      </c>
      <c r="AE132" s="1">
        <f t="shared" si="227"/>
        <v>6.10202845595511</v>
      </c>
      <c r="AF132" s="1">
        <f t="shared" si="228"/>
        <v>3.61168613560665</v>
      </c>
      <c r="AG132" s="1">
        <f t="shared" si="229"/>
        <v>3.43614374721757</v>
      </c>
      <c r="AH132" s="1">
        <f t="shared" si="230"/>
        <v>0.616866677862019</v>
      </c>
      <c r="AI132" s="1">
        <f t="shared" si="231"/>
        <v>1.00244079032672</v>
      </c>
      <c r="AJ132" s="1">
        <f t="shared" si="232"/>
        <v>1.07079977297742</v>
      </c>
      <c r="AK132" s="1">
        <f t="shared" si="233"/>
        <v>1</v>
      </c>
      <c r="AL132" s="10">
        <f t="shared" si="234"/>
        <v>70947</v>
      </c>
      <c r="AM132" s="10">
        <f t="shared" si="235"/>
        <v>7790</v>
      </c>
      <c r="AN132" s="10">
        <f t="shared" si="236"/>
        <v>8419</v>
      </c>
      <c r="AO132" s="1">
        <f t="shared" si="237"/>
        <v>44965</v>
      </c>
      <c r="AP132" s="1">
        <f t="shared" si="238"/>
        <v>7790</v>
      </c>
      <c r="AR132" s="1">
        <f t="shared" ref="AR132:AX132" si="410">ROUNDUP(AR$10*$AO132,0)</f>
        <v>44965</v>
      </c>
      <c r="AS132" s="1">
        <f t="shared" si="410"/>
        <v>134895</v>
      </c>
      <c r="AT132" s="1">
        <f t="shared" si="410"/>
        <v>80937</v>
      </c>
      <c r="AU132" s="1">
        <f t="shared" si="410"/>
        <v>22483</v>
      </c>
      <c r="AV132" s="1">
        <f t="shared" si="410"/>
        <v>6745</v>
      </c>
      <c r="AW132" s="1">
        <f t="shared" si="410"/>
        <v>179860</v>
      </c>
      <c r="AX132" s="1">
        <f t="shared" si="410"/>
        <v>404685</v>
      </c>
      <c r="AY132" s="1">
        <f t="shared" si="240"/>
        <v>4267210</v>
      </c>
      <c r="AZ132" s="1">
        <f t="shared" si="241"/>
        <v>2133605</v>
      </c>
      <c r="BB132" s="1">
        <f t="shared" si="242"/>
        <v>121</v>
      </c>
    </row>
    <row r="133" spans="2:54">
      <c r="B133" s="4">
        <v>122</v>
      </c>
      <c r="C133" s="1">
        <f t="shared" ref="C133:I133" si="411">C$5+(C$6-C$5)*(POWER(C$7,$B133-1)-1)/(POWER(C$7,$B$3-1)-1)</f>
        <v>9639.80672927902</v>
      </c>
      <c r="D133" s="1">
        <f t="shared" si="411"/>
        <v>2891.94201878371</v>
      </c>
      <c r="E133" s="1">
        <f t="shared" si="411"/>
        <v>1927.9613458558</v>
      </c>
      <c r="F133" s="1">
        <f t="shared" si="411"/>
        <v>24404.5739981747</v>
      </c>
      <c r="G133" s="1">
        <f t="shared" si="411"/>
        <v>7321.37219945242</v>
      </c>
      <c r="H133" s="1">
        <f t="shared" si="411"/>
        <v>4880.91479963495</v>
      </c>
      <c r="I133" s="1">
        <f t="shared" si="411"/>
        <v>0</v>
      </c>
      <c r="J133" s="1">
        <f>标准模型!$I$65/1*$B133/$B$3</f>
        <v>0.8784</v>
      </c>
      <c r="K133" s="1">
        <f>J133*标准模型!$J$63</f>
        <v>0.8784</v>
      </c>
      <c r="L133" s="1">
        <f t="shared" si="217"/>
        <v>34044.3807274537</v>
      </c>
      <c r="M133" s="1">
        <f t="shared" si="218"/>
        <v>12753.5960875357</v>
      </c>
      <c r="N133" s="1">
        <f t="shared" si="219"/>
        <v>8502.39739169049</v>
      </c>
      <c r="O133" s="1">
        <f t="shared" ref="O133:W133" si="412">O$5+(O$6-O$5)*(POWER(O$7,$B133-1)-1)/(POWER(O$7,$B$3-1)-1)</f>
        <v>0.621265400792459</v>
      </c>
      <c r="P133" s="1">
        <f t="shared" si="412"/>
        <v>0.0714880570581633</v>
      </c>
      <c r="Q133" s="1">
        <f t="shared" si="412"/>
        <v>0.341695970435852</v>
      </c>
      <c r="R133" s="1">
        <f t="shared" si="412"/>
        <v>1.04850616031698</v>
      </c>
      <c r="S133" s="1">
        <f t="shared" si="412"/>
        <v>0.207645021030196</v>
      </c>
      <c r="T133" s="1">
        <f t="shared" si="412"/>
        <v>2.47293506309059</v>
      </c>
      <c r="U133" s="1">
        <f t="shared" si="412"/>
        <v>1</v>
      </c>
      <c r="V133" s="1">
        <f t="shared" si="412"/>
        <v>1.13225183881297</v>
      </c>
      <c r="W133" s="1">
        <f t="shared" si="412"/>
        <v>1.38804928253587</v>
      </c>
      <c r="X133" s="1">
        <f t="shared" si="221"/>
        <v>1.31657947563785</v>
      </c>
      <c r="Y133" s="1">
        <f t="shared" si="222"/>
        <v>2.22597702168276</v>
      </c>
      <c r="Z133" s="1">
        <f t="shared" si="223"/>
        <v>75782.0092167314</v>
      </c>
      <c r="AA133" s="1">
        <f t="shared" si="224"/>
        <v>12753.5960875357</v>
      </c>
      <c r="AB133" s="1">
        <f t="shared" si="225"/>
        <v>8502.39739169049</v>
      </c>
      <c r="AC133" s="1">
        <f>AB133/(AB133+战斗公式!$M$27)</f>
        <v>0.261592930799135</v>
      </c>
      <c r="AD133" s="1">
        <f t="shared" si="226"/>
        <v>102629.04077929</v>
      </c>
      <c r="AE133" s="1">
        <f t="shared" si="227"/>
        <v>6.11210112031347</v>
      </c>
      <c r="AF133" s="1">
        <f t="shared" si="228"/>
        <v>3.61507185817423</v>
      </c>
      <c r="AG133" s="1">
        <f t="shared" si="229"/>
        <v>3.44859032334449</v>
      </c>
      <c r="AH133" s="1">
        <f t="shared" si="230"/>
        <v>0.619839389759713</v>
      </c>
      <c r="AI133" s="1">
        <f t="shared" si="231"/>
        <v>1.00231875080994</v>
      </c>
      <c r="AJ133" s="1">
        <f t="shared" si="232"/>
        <v>1.06938310771048</v>
      </c>
      <c r="AK133" s="1">
        <f t="shared" si="233"/>
        <v>1</v>
      </c>
      <c r="AL133" s="10">
        <f t="shared" si="234"/>
        <v>72292</v>
      </c>
      <c r="AM133" s="10">
        <f t="shared" si="235"/>
        <v>7905</v>
      </c>
      <c r="AN133" s="10">
        <f t="shared" si="236"/>
        <v>8502</v>
      </c>
      <c r="AO133" s="1">
        <f t="shared" si="237"/>
        <v>45725</v>
      </c>
      <c r="AP133" s="1">
        <f t="shared" si="238"/>
        <v>7905</v>
      </c>
      <c r="AR133" s="1">
        <f t="shared" ref="AR133:AX133" si="413">ROUNDUP(AR$10*$AO133,0)</f>
        <v>45725</v>
      </c>
      <c r="AS133" s="1">
        <f t="shared" si="413"/>
        <v>137175</v>
      </c>
      <c r="AT133" s="1">
        <f t="shared" si="413"/>
        <v>82305</v>
      </c>
      <c r="AU133" s="1">
        <f t="shared" si="413"/>
        <v>22863</v>
      </c>
      <c r="AV133" s="1">
        <f t="shared" si="413"/>
        <v>6859</v>
      </c>
      <c r="AW133" s="1">
        <f t="shared" si="413"/>
        <v>182900</v>
      </c>
      <c r="AX133" s="1">
        <f t="shared" si="413"/>
        <v>411525</v>
      </c>
      <c r="AY133" s="1">
        <f t="shared" si="240"/>
        <v>4347578</v>
      </c>
      <c r="AZ133" s="1">
        <f t="shared" si="241"/>
        <v>2173789</v>
      </c>
      <c r="BB133" s="1">
        <f t="shared" si="242"/>
        <v>122</v>
      </c>
    </row>
    <row r="134" spans="2:54">
      <c r="B134" s="4">
        <v>123</v>
      </c>
      <c r="C134" s="1">
        <f t="shared" ref="C134:I134" si="414">C$5+(C$6-C$5)*(POWER(C$7,$B134-1)-1)/(POWER(C$7,$B$3-1)-1)</f>
        <v>9718.81684111786</v>
      </c>
      <c r="D134" s="1">
        <f t="shared" si="414"/>
        <v>2915.64505233536</v>
      </c>
      <c r="E134" s="1">
        <f t="shared" si="414"/>
        <v>1943.76336822357</v>
      </c>
      <c r="F134" s="1">
        <f t="shared" si="414"/>
        <v>24604.5995977667</v>
      </c>
      <c r="G134" s="1">
        <f t="shared" si="414"/>
        <v>7381.37987933002</v>
      </c>
      <c r="H134" s="1">
        <f t="shared" si="414"/>
        <v>4920.91991955335</v>
      </c>
      <c r="I134" s="1">
        <f t="shared" si="414"/>
        <v>0</v>
      </c>
      <c r="J134" s="1">
        <f>标准模型!$I$65/1*$B134/$B$3</f>
        <v>0.8856</v>
      </c>
      <c r="K134" s="1">
        <f>J134*标准模型!$J$63</f>
        <v>0.8856</v>
      </c>
      <c r="L134" s="1">
        <f t="shared" si="217"/>
        <v>34323.4164388846</v>
      </c>
      <c r="M134" s="1">
        <f t="shared" si="218"/>
        <v>12879.1201900136</v>
      </c>
      <c r="N134" s="1">
        <f t="shared" si="219"/>
        <v>8586.08012667571</v>
      </c>
      <c r="O134" s="1">
        <f t="shared" ref="O134:W134" si="415">O$5+(O$6-O$5)*(POWER(O$7,$B134-1)-1)/(POWER(O$7,$B$3-1)-1)</f>
        <v>0.622267533054944</v>
      </c>
      <c r="P134" s="1">
        <f t="shared" si="415"/>
        <v>0.0721345462692801</v>
      </c>
      <c r="Q134" s="1">
        <f t="shared" si="415"/>
        <v>0.342247143180219</v>
      </c>
      <c r="R134" s="1">
        <f t="shared" si="415"/>
        <v>1.04890701322198</v>
      </c>
      <c r="S134" s="1">
        <f t="shared" si="415"/>
        <v>0.208947792971427</v>
      </c>
      <c r="T134" s="1">
        <f t="shared" si="415"/>
        <v>2.47684337891428</v>
      </c>
      <c r="U134" s="1">
        <f t="shared" si="415"/>
        <v>1</v>
      </c>
      <c r="V134" s="1">
        <f t="shared" si="415"/>
        <v>1.13334476254539</v>
      </c>
      <c r="W134" s="1">
        <f t="shared" si="415"/>
        <v>1.39125610577582</v>
      </c>
      <c r="X134" s="1">
        <f t="shared" si="221"/>
        <v>1.32603935586557</v>
      </c>
      <c r="Y134" s="1">
        <f t="shared" si="222"/>
        <v>2.24356816746911</v>
      </c>
      <c r="Z134" s="1">
        <f t="shared" si="223"/>
        <v>77006.9245210672</v>
      </c>
      <c r="AA134" s="1">
        <f t="shared" si="224"/>
        <v>12879.1201900136</v>
      </c>
      <c r="AB134" s="1">
        <f t="shared" si="225"/>
        <v>8586.08012667571</v>
      </c>
      <c r="AC134" s="1">
        <f>AB134/(AB134+战斗公式!$M$27)</f>
        <v>0.263489198249622</v>
      </c>
      <c r="AD134" s="1">
        <f t="shared" si="226"/>
        <v>104556.408864682</v>
      </c>
      <c r="AE134" s="1">
        <f t="shared" si="227"/>
        <v>6.1222075479739</v>
      </c>
      <c r="AF134" s="1">
        <f t="shared" si="228"/>
        <v>3.61847180357735</v>
      </c>
      <c r="AG134" s="1">
        <f t="shared" si="229"/>
        <v>3.46094355015046</v>
      </c>
      <c r="AH134" s="1">
        <f t="shared" si="230"/>
        <v>0.622818047081202</v>
      </c>
      <c r="AI134" s="1">
        <f t="shared" si="231"/>
        <v>1.002202813269</v>
      </c>
      <c r="AJ134" s="1">
        <f t="shared" si="232"/>
        <v>1.06799477574888</v>
      </c>
      <c r="AK134" s="1">
        <f t="shared" si="233"/>
        <v>1</v>
      </c>
      <c r="AL134" s="10">
        <f t="shared" si="234"/>
        <v>73654</v>
      </c>
      <c r="AM134" s="10">
        <f t="shared" si="235"/>
        <v>8021</v>
      </c>
      <c r="AN134" s="10">
        <f t="shared" si="236"/>
        <v>8586</v>
      </c>
      <c r="AO134" s="1">
        <f t="shared" si="237"/>
        <v>46493</v>
      </c>
      <c r="AP134" s="1">
        <f t="shared" si="238"/>
        <v>8021</v>
      </c>
      <c r="AR134" s="1">
        <f t="shared" ref="AR134:AX134" si="416">ROUNDUP(AR$10*$AO134,0)</f>
        <v>46493</v>
      </c>
      <c r="AS134" s="1">
        <f t="shared" si="416"/>
        <v>139479</v>
      </c>
      <c r="AT134" s="1">
        <f t="shared" si="416"/>
        <v>83688</v>
      </c>
      <c r="AU134" s="1">
        <f t="shared" si="416"/>
        <v>23247</v>
      </c>
      <c r="AV134" s="1">
        <f t="shared" si="416"/>
        <v>6974</v>
      </c>
      <c r="AW134" s="1">
        <f t="shared" si="416"/>
        <v>185972</v>
      </c>
      <c r="AX134" s="1">
        <f t="shared" si="416"/>
        <v>418437</v>
      </c>
      <c r="AY134" s="1">
        <f t="shared" si="240"/>
        <v>4428975</v>
      </c>
      <c r="AZ134" s="1">
        <f t="shared" si="241"/>
        <v>2214487</v>
      </c>
      <c r="BB134" s="1">
        <f t="shared" si="242"/>
        <v>123</v>
      </c>
    </row>
    <row r="135" spans="2:54">
      <c r="B135" s="4">
        <v>124</v>
      </c>
      <c r="C135" s="1">
        <f t="shared" ref="C135:I135" si="417">C$5+(C$6-C$5)*(POWER(C$7,$B135-1)-1)/(POWER(C$7,$B$3-1)-1)</f>
        <v>9797.82687393877</v>
      </c>
      <c r="D135" s="1">
        <f t="shared" si="417"/>
        <v>2939.34806218163</v>
      </c>
      <c r="E135" s="1">
        <f t="shared" si="417"/>
        <v>1959.56537478775</v>
      </c>
      <c r="F135" s="1">
        <f t="shared" si="417"/>
        <v>24804.6249973133</v>
      </c>
      <c r="G135" s="1">
        <f t="shared" si="417"/>
        <v>7441.387499194</v>
      </c>
      <c r="H135" s="1">
        <f t="shared" si="417"/>
        <v>4960.92499946267</v>
      </c>
      <c r="I135" s="1">
        <f t="shared" si="417"/>
        <v>0</v>
      </c>
      <c r="J135" s="1">
        <f>标准模型!$I$65/1*$B135/$B$3</f>
        <v>0.8928</v>
      </c>
      <c r="K135" s="1">
        <f>J135*标准模型!$J$63</f>
        <v>0.8928</v>
      </c>
      <c r="L135" s="1">
        <f t="shared" si="217"/>
        <v>34602.4518712521</v>
      </c>
      <c r="M135" s="1">
        <f t="shared" si="218"/>
        <v>13004.9855112914</v>
      </c>
      <c r="N135" s="1">
        <f t="shared" si="219"/>
        <v>8669.99034086093</v>
      </c>
      <c r="O135" s="1">
        <f t="shared" ref="O135:W135" si="418">O$5+(O$6-O$5)*(POWER(O$7,$B135-1)-1)/(POWER(O$7,$B$3-1)-1)</f>
        <v>0.623269664315197</v>
      </c>
      <c r="P135" s="1">
        <f t="shared" si="418"/>
        <v>0.0727820052142137</v>
      </c>
      <c r="Q135" s="1">
        <f t="shared" si="418"/>
        <v>0.342798315373358</v>
      </c>
      <c r="R135" s="1">
        <f t="shared" si="418"/>
        <v>1.04930786572608</v>
      </c>
      <c r="S135" s="1">
        <f t="shared" si="418"/>
        <v>0.210250563609756</v>
      </c>
      <c r="T135" s="1">
        <f t="shared" si="418"/>
        <v>2.48075169082927</v>
      </c>
      <c r="U135" s="1">
        <f t="shared" si="418"/>
        <v>1</v>
      </c>
      <c r="V135" s="1">
        <f t="shared" si="418"/>
        <v>1.13443768518478</v>
      </c>
      <c r="W135" s="1">
        <f t="shared" si="418"/>
        <v>1.39446292580863</v>
      </c>
      <c r="X135" s="1">
        <f t="shared" si="221"/>
        <v>1.33555877571207</v>
      </c>
      <c r="Y135" s="1">
        <f t="shared" si="222"/>
        <v>2.26128347330632</v>
      </c>
      <c r="Z135" s="1">
        <f t="shared" si="223"/>
        <v>78245.9525523396</v>
      </c>
      <c r="AA135" s="1">
        <f t="shared" si="224"/>
        <v>13004.9855112914</v>
      </c>
      <c r="AB135" s="1">
        <f t="shared" si="225"/>
        <v>8669.99034086093</v>
      </c>
      <c r="AC135" s="1">
        <f>AB135/(AB135+战斗公式!$M$27)</f>
        <v>0.265380866367053</v>
      </c>
      <c r="AD135" s="1">
        <f t="shared" si="226"/>
        <v>106512.271420683</v>
      </c>
      <c r="AE135" s="1">
        <f t="shared" si="227"/>
        <v>6.13234766010078</v>
      </c>
      <c r="AF135" s="1">
        <f t="shared" si="228"/>
        <v>3.62188590234107</v>
      </c>
      <c r="AG135" s="1">
        <f t="shared" si="229"/>
        <v>3.47320412775538</v>
      </c>
      <c r="AH135" s="1">
        <f t="shared" si="230"/>
        <v>0.625802661717335</v>
      </c>
      <c r="AI135" s="1">
        <f t="shared" si="231"/>
        <v>1.00209267260511</v>
      </c>
      <c r="AJ135" s="1">
        <f t="shared" si="232"/>
        <v>1.06663421042652</v>
      </c>
      <c r="AK135" s="1">
        <f t="shared" si="233"/>
        <v>1</v>
      </c>
      <c r="AL135" s="10">
        <f t="shared" si="234"/>
        <v>75034</v>
      </c>
      <c r="AM135" s="10">
        <f t="shared" si="235"/>
        <v>8139</v>
      </c>
      <c r="AN135" s="10">
        <f t="shared" si="236"/>
        <v>8670</v>
      </c>
      <c r="AO135" s="1">
        <f t="shared" si="237"/>
        <v>47269</v>
      </c>
      <c r="AP135" s="1">
        <f t="shared" si="238"/>
        <v>8139</v>
      </c>
      <c r="AR135" s="1">
        <f t="shared" ref="AR135:AX135" si="419">ROUNDUP(AR$10*$AO135,0)</f>
        <v>47269</v>
      </c>
      <c r="AS135" s="1">
        <f t="shared" si="419"/>
        <v>141807</v>
      </c>
      <c r="AT135" s="1">
        <f t="shared" si="419"/>
        <v>85085</v>
      </c>
      <c r="AU135" s="1">
        <f t="shared" si="419"/>
        <v>23635</v>
      </c>
      <c r="AV135" s="1">
        <f t="shared" si="419"/>
        <v>7091</v>
      </c>
      <c r="AW135" s="1">
        <f t="shared" si="419"/>
        <v>189076</v>
      </c>
      <c r="AX135" s="1">
        <f t="shared" si="419"/>
        <v>425421</v>
      </c>
      <c r="AY135" s="1">
        <f t="shared" si="240"/>
        <v>4511461</v>
      </c>
      <c r="AZ135" s="1">
        <f t="shared" si="241"/>
        <v>2255731</v>
      </c>
      <c r="BB135" s="1">
        <f t="shared" si="242"/>
        <v>124</v>
      </c>
    </row>
    <row r="136" spans="2:54">
      <c r="B136" s="4">
        <v>125</v>
      </c>
      <c r="C136" s="1">
        <f t="shared" ref="C136:I136" si="420">C$5+(C$6-C$5)*(POWER(C$7,$B136-1)-1)/(POWER(C$7,$B$3-1)-1)</f>
        <v>9876.83682775053</v>
      </c>
      <c r="D136" s="1">
        <f t="shared" si="420"/>
        <v>2963.05104832516</v>
      </c>
      <c r="E136" s="1">
        <f t="shared" si="420"/>
        <v>1975.36736555011</v>
      </c>
      <c r="F136" s="1">
        <f t="shared" si="420"/>
        <v>25004.6501968368</v>
      </c>
      <c r="G136" s="1">
        <f t="shared" si="420"/>
        <v>7501.39505905104</v>
      </c>
      <c r="H136" s="1">
        <f t="shared" si="420"/>
        <v>5000.93003936736</v>
      </c>
      <c r="I136" s="1">
        <f t="shared" si="420"/>
        <v>0</v>
      </c>
      <c r="J136" s="1">
        <f>标准模型!$I$65/1*$B136/$B$3</f>
        <v>0.9</v>
      </c>
      <c r="K136" s="1">
        <f>J136*标准模型!$J$63</f>
        <v>0.9</v>
      </c>
      <c r="L136" s="1">
        <f t="shared" si="217"/>
        <v>34881.4870245873</v>
      </c>
      <c r="M136" s="1">
        <f t="shared" si="218"/>
        <v>13131.1920508688</v>
      </c>
      <c r="N136" s="1">
        <f t="shared" si="219"/>
        <v>8754.12803391256</v>
      </c>
      <c r="O136" s="1">
        <f t="shared" ref="O136:W136" si="421">O$5+(O$6-O$5)*(POWER(O$7,$B136-1)-1)/(POWER(O$7,$B$3-1)-1)</f>
        <v>0.624271794573331</v>
      </c>
      <c r="P136" s="1">
        <f t="shared" si="421"/>
        <v>0.0734304353475646</v>
      </c>
      <c r="Q136" s="1">
        <f t="shared" si="421"/>
        <v>0.343349487015332</v>
      </c>
      <c r="R136" s="1">
        <f t="shared" si="421"/>
        <v>1.04970871782933</v>
      </c>
      <c r="S136" s="1">
        <f t="shared" si="421"/>
        <v>0.21155333294533</v>
      </c>
      <c r="T136" s="1">
        <f t="shared" si="421"/>
        <v>2.48465999883599</v>
      </c>
      <c r="U136" s="1">
        <f t="shared" si="421"/>
        <v>1</v>
      </c>
      <c r="V136" s="1">
        <f t="shared" si="421"/>
        <v>1.13553060673126</v>
      </c>
      <c r="W136" s="1">
        <f t="shared" si="421"/>
        <v>1.39766974263466</v>
      </c>
      <c r="X136" s="1">
        <f t="shared" si="221"/>
        <v>1.34513805939085</v>
      </c>
      <c r="Y136" s="1">
        <f t="shared" si="222"/>
        <v>2.27912370955349</v>
      </c>
      <c r="Z136" s="1">
        <f t="shared" si="223"/>
        <v>79499.2241022194</v>
      </c>
      <c r="AA136" s="1">
        <f t="shared" si="224"/>
        <v>13131.1920508688</v>
      </c>
      <c r="AB136" s="1">
        <f t="shared" si="225"/>
        <v>8754.12803391256</v>
      </c>
      <c r="AC136" s="1">
        <f>AB136/(AB136+战斗公式!$M$27)</f>
        <v>0.267267931078758</v>
      </c>
      <c r="AD136" s="1">
        <f t="shared" si="226"/>
        <v>108496.9902017</v>
      </c>
      <c r="AE136" s="1">
        <f t="shared" si="227"/>
        <v>6.14252137840518</v>
      </c>
      <c r="AF136" s="1">
        <f t="shared" si="228"/>
        <v>3.62531408544449</v>
      </c>
      <c r="AG136" s="1">
        <f t="shared" si="229"/>
        <v>3.48537275102827</v>
      </c>
      <c r="AH136" s="1">
        <f t="shared" si="230"/>
        <v>0.62879324558274</v>
      </c>
      <c r="AI136" s="1">
        <f t="shared" si="231"/>
        <v>1.00198803897442</v>
      </c>
      <c r="AJ136" s="1">
        <f t="shared" si="232"/>
        <v>1.0653008564106</v>
      </c>
      <c r="AK136" s="1">
        <f t="shared" si="233"/>
        <v>1</v>
      </c>
      <c r="AL136" s="10">
        <f t="shared" si="234"/>
        <v>76430</v>
      </c>
      <c r="AM136" s="10">
        <f t="shared" si="235"/>
        <v>8257</v>
      </c>
      <c r="AN136" s="10">
        <f t="shared" si="236"/>
        <v>8754</v>
      </c>
      <c r="AO136" s="1">
        <f t="shared" si="237"/>
        <v>48055</v>
      </c>
      <c r="AP136" s="1">
        <f t="shared" si="238"/>
        <v>8257</v>
      </c>
      <c r="AR136" s="1">
        <f t="shared" ref="AR136:AX136" si="422">ROUNDUP(AR$10*$AO136,0)</f>
        <v>48055</v>
      </c>
      <c r="AS136" s="1">
        <f t="shared" si="422"/>
        <v>144165</v>
      </c>
      <c r="AT136" s="1">
        <f t="shared" si="422"/>
        <v>86499</v>
      </c>
      <c r="AU136" s="1">
        <f t="shared" si="422"/>
        <v>24028</v>
      </c>
      <c r="AV136" s="1">
        <f t="shared" si="422"/>
        <v>7209</v>
      </c>
      <c r="AW136" s="1">
        <f t="shared" si="422"/>
        <v>192220</v>
      </c>
      <c r="AX136" s="1">
        <f t="shared" si="422"/>
        <v>432495</v>
      </c>
      <c r="AY136" s="1">
        <f t="shared" si="240"/>
        <v>4594917</v>
      </c>
      <c r="AZ136" s="1">
        <f t="shared" si="241"/>
        <v>2297458</v>
      </c>
      <c r="BB136" s="1">
        <f t="shared" si="242"/>
        <v>125</v>
      </c>
    </row>
    <row r="137" spans="2:54">
      <c r="B137" s="4">
        <v>126</v>
      </c>
      <c r="C137" s="1">
        <f t="shared" ref="C137:I137" si="423">C$5+(C$6-C$5)*(POWER(C$7,$B137-1)-1)/(POWER(C$7,$B$3-1)-1)</f>
        <v>9955.84670255314</v>
      </c>
      <c r="D137" s="1">
        <f t="shared" si="423"/>
        <v>2986.75401076594</v>
      </c>
      <c r="E137" s="1">
        <f t="shared" si="423"/>
        <v>1991.16934051063</v>
      </c>
      <c r="F137" s="1">
        <f t="shared" si="423"/>
        <v>25204.6751963371</v>
      </c>
      <c r="G137" s="1">
        <f t="shared" si="423"/>
        <v>7561.40255890112</v>
      </c>
      <c r="H137" s="1">
        <f t="shared" si="423"/>
        <v>5040.93503926741</v>
      </c>
      <c r="I137" s="1">
        <f t="shared" si="423"/>
        <v>0</v>
      </c>
      <c r="J137" s="1">
        <f>标准模型!$I$65/1*$B137/$B$3</f>
        <v>0.9072</v>
      </c>
      <c r="K137" s="1">
        <f>J137*标准模型!$J$63</f>
        <v>0.9072</v>
      </c>
      <c r="L137" s="1">
        <f t="shared" si="217"/>
        <v>35160.5218988902</v>
      </c>
      <c r="M137" s="1">
        <f t="shared" si="218"/>
        <v>13257.7398082339</v>
      </c>
      <c r="N137" s="1">
        <f t="shared" si="219"/>
        <v>8838.49320548928</v>
      </c>
      <c r="O137" s="1">
        <f t="shared" ref="O137:W137" si="424">O$5+(O$6-O$5)*(POWER(O$7,$B137-1)-1)/(POWER(O$7,$B$3-1)-1)</f>
        <v>0.625273923829344</v>
      </c>
      <c r="P137" s="1">
        <f t="shared" si="424"/>
        <v>0.0740798381261156</v>
      </c>
      <c r="Q137" s="1">
        <f t="shared" si="424"/>
        <v>0.343900658106139</v>
      </c>
      <c r="R137" s="1">
        <f t="shared" si="424"/>
        <v>1.05010956953174</v>
      </c>
      <c r="S137" s="1">
        <f t="shared" si="424"/>
        <v>0.212856100978147</v>
      </c>
      <c r="T137" s="1">
        <f t="shared" si="424"/>
        <v>2.48856830293444</v>
      </c>
      <c r="U137" s="1">
        <f t="shared" si="424"/>
        <v>1</v>
      </c>
      <c r="V137" s="1">
        <f t="shared" si="424"/>
        <v>1.13662352718482</v>
      </c>
      <c r="W137" s="1">
        <f t="shared" si="424"/>
        <v>1.4008765562539</v>
      </c>
      <c r="X137" s="1">
        <f t="shared" si="221"/>
        <v>1.35477753244322</v>
      </c>
      <c r="Y137" s="1">
        <f t="shared" si="222"/>
        <v>2.29708965040744</v>
      </c>
      <c r="Z137" s="1">
        <f t="shared" si="223"/>
        <v>80766.8709568647</v>
      </c>
      <c r="AA137" s="1">
        <f t="shared" si="224"/>
        <v>13257.7398082339</v>
      </c>
      <c r="AB137" s="1">
        <f t="shared" si="225"/>
        <v>8838.49320548928</v>
      </c>
      <c r="AC137" s="1">
        <f>AB137/(AB137+战斗公式!$M$27)</f>
        <v>0.269150388544985</v>
      </c>
      <c r="AD137" s="1">
        <f t="shared" si="226"/>
        <v>110510.930964401</v>
      </c>
      <c r="AE137" s="1">
        <f t="shared" si="227"/>
        <v>6.15272862513098</v>
      </c>
      <c r="AF137" s="1">
        <f t="shared" si="228"/>
        <v>3.62875628431361</v>
      </c>
      <c r="AG137" s="1">
        <f t="shared" si="229"/>
        <v>3.49745010962661</v>
      </c>
      <c r="AH137" s="1">
        <f t="shared" si="230"/>
        <v>0.631789810615876</v>
      </c>
      <c r="AI137" s="1">
        <f t="shared" si="231"/>
        <v>1.00188863702526</v>
      </c>
      <c r="AJ137" s="1">
        <f t="shared" si="232"/>
        <v>1.063994169475</v>
      </c>
      <c r="AK137" s="1">
        <f t="shared" si="233"/>
        <v>1</v>
      </c>
      <c r="AL137" s="10">
        <f t="shared" si="234"/>
        <v>77844</v>
      </c>
      <c r="AM137" s="10">
        <f t="shared" si="235"/>
        <v>8376</v>
      </c>
      <c r="AN137" s="10">
        <f t="shared" si="236"/>
        <v>8838</v>
      </c>
      <c r="AO137" s="1">
        <f t="shared" si="237"/>
        <v>48849</v>
      </c>
      <c r="AP137" s="1">
        <f t="shared" si="238"/>
        <v>8376</v>
      </c>
      <c r="AR137" s="1">
        <f t="shared" ref="AR137:AX137" si="425">ROUNDUP(AR$10*$AO137,0)</f>
        <v>48849</v>
      </c>
      <c r="AS137" s="1">
        <f t="shared" si="425"/>
        <v>146547</v>
      </c>
      <c r="AT137" s="1">
        <f t="shared" si="425"/>
        <v>87929</v>
      </c>
      <c r="AU137" s="1">
        <f t="shared" si="425"/>
        <v>24425</v>
      </c>
      <c r="AV137" s="1">
        <f t="shared" si="425"/>
        <v>7328</v>
      </c>
      <c r="AW137" s="1">
        <f t="shared" si="425"/>
        <v>195396</v>
      </c>
      <c r="AX137" s="1">
        <f t="shared" si="425"/>
        <v>439641</v>
      </c>
      <c r="AY137" s="1">
        <f t="shared" si="240"/>
        <v>4679461</v>
      </c>
      <c r="AZ137" s="1">
        <f t="shared" si="241"/>
        <v>2339731</v>
      </c>
      <c r="BB137" s="1">
        <f t="shared" si="242"/>
        <v>126</v>
      </c>
    </row>
    <row r="138" spans="2:54">
      <c r="B138" s="4">
        <v>127</v>
      </c>
      <c r="C138" s="1">
        <f t="shared" ref="C138:I138" si="426">C$5+(C$6-C$5)*(POWER(C$7,$B138-1)-1)/(POWER(C$7,$B$3-1)-1)</f>
        <v>10034.8564983466</v>
      </c>
      <c r="D138" s="1">
        <f t="shared" si="426"/>
        <v>3010.45694950398</v>
      </c>
      <c r="E138" s="1">
        <f t="shared" si="426"/>
        <v>2006.97129966932</v>
      </c>
      <c r="F138" s="1">
        <f t="shared" si="426"/>
        <v>25404.6999958142</v>
      </c>
      <c r="G138" s="1">
        <f t="shared" si="426"/>
        <v>7621.40999874425</v>
      </c>
      <c r="H138" s="1">
        <f t="shared" si="426"/>
        <v>5080.93999916283</v>
      </c>
      <c r="I138" s="1">
        <f t="shared" si="426"/>
        <v>0</v>
      </c>
      <c r="J138" s="1">
        <f>标准模型!$I$65/1*$B138/$B$3</f>
        <v>0.9144</v>
      </c>
      <c r="K138" s="1">
        <f>J138*标准模型!$J$63</f>
        <v>0.9144</v>
      </c>
      <c r="L138" s="1">
        <f t="shared" si="217"/>
        <v>35439.5564941608</v>
      </c>
      <c r="M138" s="1">
        <f t="shared" si="218"/>
        <v>13384.6287828747</v>
      </c>
      <c r="N138" s="1">
        <f t="shared" si="219"/>
        <v>8923.08585524978</v>
      </c>
      <c r="O138" s="1">
        <f t="shared" ref="O138:W138" si="427">O$5+(O$6-O$5)*(POWER(O$7,$B138-1)-1)/(POWER(O$7,$B$3-1)-1)</f>
        <v>0.626276052083237</v>
      </c>
      <c r="P138" s="1">
        <f t="shared" si="427"/>
        <v>0.0747302150088344</v>
      </c>
      <c r="Q138" s="1">
        <f t="shared" si="427"/>
        <v>0.344451828645781</v>
      </c>
      <c r="R138" s="1">
        <f t="shared" si="427"/>
        <v>1.05051042083329</v>
      </c>
      <c r="S138" s="1">
        <f t="shared" si="427"/>
        <v>0.214158867708208</v>
      </c>
      <c r="T138" s="1">
        <f t="shared" si="427"/>
        <v>2.49247660312463</v>
      </c>
      <c r="U138" s="1">
        <f t="shared" si="427"/>
        <v>1</v>
      </c>
      <c r="V138" s="1">
        <f t="shared" si="427"/>
        <v>1.13771644654548</v>
      </c>
      <c r="W138" s="1">
        <f t="shared" si="427"/>
        <v>1.40408336666636</v>
      </c>
      <c r="X138" s="1">
        <f t="shared" si="221"/>
        <v>1.36447752174265</v>
      </c>
      <c r="Y138" s="1">
        <f t="shared" si="222"/>
        <v>2.31518207391813</v>
      </c>
      <c r="Z138" s="1">
        <f t="shared" si="223"/>
        <v>82049.02590289</v>
      </c>
      <c r="AA138" s="1">
        <f t="shared" si="224"/>
        <v>13384.6287828747</v>
      </c>
      <c r="AB138" s="1">
        <f t="shared" si="225"/>
        <v>8923.08585524978</v>
      </c>
      <c r="AC138" s="1">
        <f>AB138/(AB138+战斗公式!$M$27)</f>
        <v>0.271028235156363</v>
      </c>
      <c r="AD138" s="1">
        <f t="shared" si="226"/>
        <v>112554.463505852</v>
      </c>
      <c r="AE138" s="1">
        <f t="shared" si="227"/>
        <v>6.16296932305205</v>
      </c>
      <c r="AF138" s="1">
        <f t="shared" si="228"/>
        <v>3.6322124308187</v>
      </c>
      <c r="AG138" s="1">
        <f t="shared" si="229"/>
        <v>3.50943688803546</v>
      </c>
      <c r="AH138" s="1">
        <f t="shared" si="230"/>
        <v>0.634792368779078</v>
      </c>
      <c r="AI138" s="1">
        <f t="shared" si="231"/>
        <v>1.00179420517355</v>
      </c>
      <c r="AJ138" s="1">
        <f t="shared" si="232"/>
        <v>1.06271361627811</v>
      </c>
      <c r="AK138" s="1">
        <f t="shared" si="233"/>
        <v>1</v>
      </c>
      <c r="AL138" s="10">
        <f t="shared" si="234"/>
        <v>79276</v>
      </c>
      <c r="AM138" s="10">
        <f t="shared" si="235"/>
        <v>8496</v>
      </c>
      <c r="AN138" s="10">
        <f t="shared" si="236"/>
        <v>8923</v>
      </c>
      <c r="AO138" s="1">
        <f t="shared" si="237"/>
        <v>49652</v>
      </c>
      <c r="AP138" s="1">
        <f t="shared" si="238"/>
        <v>8496</v>
      </c>
      <c r="AR138" s="1">
        <f t="shared" ref="AR138:AX138" si="428">ROUNDUP(AR$10*$AO138,0)</f>
        <v>49652</v>
      </c>
      <c r="AS138" s="1">
        <f t="shared" si="428"/>
        <v>148956</v>
      </c>
      <c r="AT138" s="1">
        <f t="shared" si="428"/>
        <v>89374</v>
      </c>
      <c r="AU138" s="1">
        <f t="shared" si="428"/>
        <v>24826</v>
      </c>
      <c r="AV138" s="1">
        <f t="shared" si="428"/>
        <v>7448</v>
      </c>
      <c r="AW138" s="1">
        <f t="shared" si="428"/>
        <v>198608</v>
      </c>
      <c r="AX138" s="1">
        <f t="shared" si="428"/>
        <v>446868</v>
      </c>
      <c r="AY138" s="1">
        <f t="shared" si="240"/>
        <v>4765094</v>
      </c>
      <c r="AZ138" s="1">
        <f t="shared" si="241"/>
        <v>2382547</v>
      </c>
      <c r="BB138" s="1">
        <f t="shared" si="242"/>
        <v>127</v>
      </c>
    </row>
    <row r="139" spans="2:54">
      <c r="B139" s="4">
        <v>128</v>
      </c>
      <c r="C139" s="1">
        <f t="shared" ref="C139:I139" si="429">C$5+(C$6-C$5)*(POWER(C$7,$B139-1)-1)/(POWER(C$7,$B$3-1)-1)</f>
        <v>10113.8662151221</v>
      </c>
      <c r="D139" s="1">
        <f t="shared" si="429"/>
        <v>3034.15986453664</v>
      </c>
      <c r="E139" s="1">
        <f t="shared" si="429"/>
        <v>2022.77324302443</v>
      </c>
      <c r="F139" s="1">
        <f t="shared" si="429"/>
        <v>25604.7245952459</v>
      </c>
      <c r="G139" s="1">
        <f t="shared" si="429"/>
        <v>7681.41737857377</v>
      </c>
      <c r="H139" s="1">
        <f t="shared" si="429"/>
        <v>5120.94491904918</v>
      </c>
      <c r="I139" s="1">
        <f t="shared" si="429"/>
        <v>0</v>
      </c>
      <c r="J139" s="1">
        <f>标准模型!$I$65/1*$B139/$B$3</f>
        <v>0.9216</v>
      </c>
      <c r="K139" s="1">
        <f>J139*标准模型!$J$63</f>
        <v>0.9216</v>
      </c>
      <c r="L139" s="1">
        <f t="shared" si="217"/>
        <v>35718.590810368</v>
      </c>
      <c r="M139" s="1">
        <f t="shared" si="218"/>
        <v>13511.8589742674</v>
      </c>
      <c r="N139" s="1">
        <f t="shared" si="219"/>
        <v>9007.90598284491</v>
      </c>
      <c r="O139" s="1">
        <f t="shared" ref="O139:W139" si="430">O$5+(O$6-O$5)*(POWER(O$7,$B139-1)-1)/(POWER(O$7,$B$3-1)-1)</f>
        <v>0.627278179334899</v>
      </c>
      <c r="P139" s="1">
        <f t="shared" si="430"/>
        <v>0.0753815674568772</v>
      </c>
      <c r="Q139" s="1">
        <f t="shared" si="430"/>
        <v>0.345002998634195</v>
      </c>
      <c r="R139" s="1">
        <f t="shared" si="430"/>
        <v>1.05091127173396</v>
      </c>
      <c r="S139" s="1">
        <f t="shared" si="430"/>
        <v>0.215461633135369</v>
      </c>
      <c r="T139" s="1">
        <f t="shared" si="430"/>
        <v>2.49638489940611</v>
      </c>
      <c r="U139" s="1">
        <f t="shared" si="430"/>
        <v>1</v>
      </c>
      <c r="V139" s="1">
        <f t="shared" si="430"/>
        <v>1.1388093648131</v>
      </c>
      <c r="W139" s="1">
        <f t="shared" si="430"/>
        <v>1.40729017387168</v>
      </c>
      <c r="X139" s="1">
        <f t="shared" si="221"/>
        <v>1.3742383554971</v>
      </c>
      <c r="Y139" s="1">
        <f t="shared" si="222"/>
        <v>2.33340176200031</v>
      </c>
      <c r="Z139" s="1">
        <f t="shared" si="223"/>
        <v>83345.8227330809</v>
      </c>
      <c r="AA139" s="1">
        <f t="shared" si="224"/>
        <v>13511.8589742674</v>
      </c>
      <c r="AB139" s="1">
        <f t="shared" si="225"/>
        <v>9007.90598284491</v>
      </c>
      <c r="AC139" s="1">
        <f>AB139/(AB139+战斗公式!$M$27)</f>
        <v>0.272901467531038</v>
      </c>
      <c r="AD139" s="1">
        <f t="shared" si="226"/>
        <v>114627.961701516</v>
      </c>
      <c r="AE139" s="1">
        <f t="shared" si="227"/>
        <v>6.17324339546486</v>
      </c>
      <c r="AF139" s="1">
        <f t="shared" si="228"/>
        <v>3.63568245726979</v>
      </c>
      <c r="AG139" s="1">
        <f t="shared" si="229"/>
        <v>3.52133376560625</v>
      </c>
      <c r="AH139" s="1">
        <f t="shared" si="230"/>
        <v>0.637800932058606</v>
      </c>
      <c r="AI139" s="1">
        <f t="shared" si="231"/>
        <v>1.00170449491443</v>
      </c>
      <c r="AJ139" s="1">
        <f t="shared" si="232"/>
        <v>1.06145867414516</v>
      </c>
      <c r="AK139" s="1">
        <f t="shared" si="233"/>
        <v>1</v>
      </c>
      <c r="AL139" s="10">
        <f t="shared" si="234"/>
        <v>80724</v>
      </c>
      <c r="AM139" s="10">
        <f t="shared" si="235"/>
        <v>8618</v>
      </c>
      <c r="AN139" s="10">
        <f t="shared" si="236"/>
        <v>9008</v>
      </c>
      <c r="AO139" s="1">
        <f t="shared" si="237"/>
        <v>50464</v>
      </c>
      <c r="AP139" s="1">
        <f t="shared" si="238"/>
        <v>8618</v>
      </c>
      <c r="AR139" s="1">
        <f t="shared" ref="AR139:AX139" si="431">ROUNDUP(AR$10*$AO139,0)</f>
        <v>50464</v>
      </c>
      <c r="AS139" s="1">
        <f t="shared" si="431"/>
        <v>151392</v>
      </c>
      <c r="AT139" s="1">
        <f t="shared" si="431"/>
        <v>90836</v>
      </c>
      <c r="AU139" s="1">
        <f t="shared" si="431"/>
        <v>25232</v>
      </c>
      <c r="AV139" s="1">
        <f t="shared" si="431"/>
        <v>7570</v>
      </c>
      <c r="AW139" s="1">
        <f t="shared" si="431"/>
        <v>201856</v>
      </c>
      <c r="AX139" s="1">
        <f t="shared" si="431"/>
        <v>454176</v>
      </c>
      <c r="AY139" s="1">
        <f t="shared" si="240"/>
        <v>4851696</v>
      </c>
      <c r="AZ139" s="1">
        <f t="shared" si="241"/>
        <v>2425848</v>
      </c>
      <c r="BB139" s="1">
        <f t="shared" si="242"/>
        <v>128</v>
      </c>
    </row>
    <row r="140" spans="2:54">
      <c r="B140" s="4">
        <v>129</v>
      </c>
      <c r="C140" s="1">
        <f t="shared" ref="C140:I140" si="432">C$5+(C$6-C$5)*(POWER(C$7,$B140-1)-1)/(POWER(C$7,$B$3-1)-1)</f>
        <v>10192.8758528973</v>
      </c>
      <c r="D140" s="1">
        <f t="shared" si="432"/>
        <v>3057.86275586918</v>
      </c>
      <c r="E140" s="1">
        <f t="shared" si="432"/>
        <v>2038.57517057946</v>
      </c>
      <c r="F140" s="1">
        <f t="shared" si="432"/>
        <v>25804.7489946767</v>
      </c>
      <c r="G140" s="1">
        <f t="shared" si="432"/>
        <v>7741.424698403</v>
      </c>
      <c r="H140" s="1">
        <f t="shared" si="432"/>
        <v>5160.94979893533</v>
      </c>
      <c r="I140" s="1">
        <f t="shared" si="432"/>
        <v>0</v>
      </c>
      <c r="J140" s="1">
        <f>标准模型!$I$65/1*$B140/$B$3</f>
        <v>0.9288</v>
      </c>
      <c r="K140" s="1">
        <f>J140*标准模型!$J$63</f>
        <v>0.9288</v>
      </c>
      <c r="L140" s="1">
        <f t="shared" ref="L140:L203" si="433">C140*(1+I140)+F140</f>
        <v>35997.624847574</v>
      </c>
      <c r="M140" s="1">
        <f t="shared" ref="M140:M203" si="434">D140*(1+J140)+G140</f>
        <v>13639.4303819235</v>
      </c>
      <c r="N140" s="1">
        <f t="shared" ref="N140:N203" si="435">E140*(1+K140)+H140</f>
        <v>9092.95358794899</v>
      </c>
      <c r="O140" s="1">
        <f t="shared" ref="O140:W140" si="436">O$5+(O$6-O$5)*(POWER(O$7,$B140-1)-1)/(POWER(O$7,$B$3-1)-1)</f>
        <v>0.628280305584552</v>
      </c>
      <c r="P140" s="1">
        <f t="shared" si="436"/>
        <v>0.0760338969335922</v>
      </c>
      <c r="Q140" s="1">
        <f t="shared" si="436"/>
        <v>0.345554168071504</v>
      </c>
      <c r="R140" s="1">
        <f t="shared" si="436"/>
        <v>1.05131212223382</v>
      </c>
      <c r="S140" s="1">
        <f t="shared" si="436"/>
        <v>0.216764397259918</v>
      </c>
      <c r="T140" s="1">
        <f t="shared" si="436"/>
        <v>2.50029319177975</v>
      </c>
      <c r="U140" s="1">
        <f t="shared" si="436"/>
        <v>1</v>
      </c>
      <c r="V140" s="1">
        <f t="shared" si="436"/>
        <v>1.13990228198794</v>
      </c>
      <c r="W140" s="1">
        <f t="shared" si="436"/>
        <v>1.41049697787057</v>
      </c>
      <c r="X140" s="1">
        <f t="shared" ref="X140:X203" si="437">(1+S140*(T140-1))*U140*W140*(O140+P140)*R140</f>
        <v>1.38406036325616</v>
      </c>
      <c r="Y140" s="1">
        <f t="shared" ref="Y140:Y203" si="438">(1+S140*(T140-1))*(O140+P140+Q140)*U140*V140*W140*R140</f>
        <v>2.35174950045459</v>
      </c>
      <c r="Z140" s="1">
        <f t="shared" ref="Z140:Z203" si="439">Y140*L140</f>
        <v>84657.396252834</v>
      </c>
      <c r="AA140" s="1">
        <f t="shared" ref="AA140:AA203" si="440">M140</f>
        <v>13639.4303819235</v>
      </c>
      <c r="AB140" s="1">
        <f t="shared" ref="AB140:AB203" si="441">N140</f>
        <v>9092.95358794899</v>
      </c>
      <c r="AC140" s="1">
        <f>AB140/(AB140+战斗公式!$M$27)</f>
        <v>0.274770082512679</v>
      </c>
      <c r="AD140" s="1">
        <f t="shared" ref="AD140:AD203" si="442">Z140/(1-AC140)</f>
        <v>116731.803544652</v>
      </c>
      <c r="AE140" s="1">
        <f t="shared" ref="AE140:AE203" si="443">AD140/AA140/X140</f>
        <v>6.18355076619206</v>
      </c>
      <c r="AF140" s="1">
        <f t="shared" ref="AF140:AF203" si="444">AD140/AA140/Y140</f>
        <v>3.6391662964165</v>
      </c>
      <c r="AG140" s="1">
        <f t="shared" ref="AG140:AG203" si="445">AG$5+(AG$6-AG$5)*(POWER(AG$7,$B140-1)-1)/(POWER(AG$7,$B$3-1)-1)</f>
        <v>3.53314141659526</v>
      </c>
      <c r="AH140" s="1">
        <f t="shared" ref="AH140:AH203" si="446">$AH$5+($AH$6-$AH$5)*(POWER($AH$7,$B140-1)-1)/(POWER($AH$7,$B$3-1)-1)</f>
        <v>0.640815512464693</v>
      </c>
      <c r="AI140" s="1">
        <f t="shared" ref="AI140:AI203" si="447">$AI$5+($AI$6-$AI$5)*(POWER($AI$7,$B140-1)-1)/(POWER($AI$7,$B$3-1)-1)</f>
        <v>1.00161927016827</v>
      </c>
      <c r="AJ140" s="1">
        <f t="shared" ref="AJ140:AJ203" si="448">$AJ$5+($AJ$6-$AJ$5)*(POWER($AJ$7,$B140-1)-1)/(POWER($AJ$7,$B$3-1)-1)</f>
        <v>1.06022883085487</v>
      </c>
      <c r="AK140" s="1">
        <f t="shared" ref="AK140:AK203" si="449">$AK$5+($AK$6-$AK$5)*(POWER($AK$7,$B140-1)-1)/(POWER($AK$7,$B$3-1)-1)</f>
        <v>1</v>
      </c>
      <c r="AL140" s="10">
        <f t="shared" ref="AL140:AL203" si="450">ROUND(Z140/AF140*AG140,0)</f>
        <v>82191</v>
      </c>
      <c r="AM140" s="10">
        <f t="shared" ref="AM140:AM203" si="451">ROUND(AA140*AH140,0)</f>
        <v>8740</v>
      </c>
      <c r="AN140" s="10">
        <f t="shared" ref="AN140:AN203" si="452">ROUND(AB140,0)</f>
        <v>9093</v>
      </c>
      <c r="AO140" s="1">
        <f t="shared" ref="AO140:AO203" si="453">ROUND(Z140/$AE140*AG140*AJ140,0)</f>
        <v>51285</v>
      </c>
      <c r="AP140" s="1">
        <f t="shared" ref="AP140:AP203" si="454">ROUND(AM140*AK140,0)</f>
        <v>8740</v>
      </c>
      <c r="AR140" s="1">
        <f t="shared" ref="AR140:AX140" si="455">ROUNDUP(AR$10*$AO140,0)</f>
        <v>51285</v>
      </c>
      <c r="AS140" s="1">
        <f t="shared" si="455"/>
        <v>153855</v>
      </c>
      <c r="AT140" s="1">
        <f t="shared" si="455"/>
        <v>92313</v>
      </c>
      <c r="AU140" s="1">
        <f t="shared" si="455"/>
        <v>25643</v>
      </c>
      <c r="AV140" s="1">
        <f t="shared" si="455"/>
        <v>7693</v>
      </c>
      <c r="AW140" s="1">
        <f t="shared" si="455"/>
        <v>205140</v>
      </c>
      <c r="AX140" s="1">
        <f t="shared" si="455"/>
        <v>461565</v>
      </c>
      <c r="AY140" s="1">
        <f t="shared" ref="AY140:AY203" si="456">ROUND(AL140*$AY$10*AI140,0)</f>
        <v>4939445</v>
      </c>
      <c r="AZ140" s="1">
        <f t="shared" ref="AZ140:AZ203" si="457">ROUND(AL140*$AZ$10*AI140,0)</f>
        <v>2469723</v>
      </c>
      <c r="BB140" s="1">
        <f t="shared" ref="BB140:BB203" si="458">B140</f>
        <v>129</v>
      </c>
    </row>
    <row r="141" spans="2:54">
      <c r="B141" s="4">
        <v>130</v>
      </c>
      <c r="C141" s="1">
        <f t="shared" ref="C141:I141" si="459">C$5+(C$6-C$5)*(POWER(C$7,$B141-1)-1)/(POWER(C$7,$B$3-1)-1)</f>
        <v>10271.8854116633</v>
      </c>
      <c r="D141" s="1">
        <f t="shared" si="459"/>
        <v>3081.56562349898</v>
      </c>
      <c r="E141" s="1">
        <f t="shared" si="459"/>
        <v>2054.37708233266</v>
      </c>
      <c r="F141" s="1">
        <f t="shared" si="459"/>
        <v>26004.7731940843</v>
      </c>
      <c r="G141" s="1">
        <f t="shared" si="459"/>
        <v>7801.43195822528</v>
      </c>
      <c r="H141" s="1">
        <f t="shared" si="459"/>
        <v>5200.95463881685</v>
      </c>
      <c r="I141" s="1">
        <f t="shared" si="459"/>
        <v>0</v>
      </c>
      <c r="J141" s="1">
        <f>标准模型!$I$65/1*$B141/$B$3</f>
        <v>0.936</v>
      </c>
      <c r="K141" s="1">
        <f>J141*标准模型!$J$63</f>
        <v>0.936</v>
      </c>
      <c r="L141" s="1">
        <f t="shared" si="433"/>
        <v>36276.6586057476</v>
      </c>
      <c r="M141" s="1">
        <f t="shared" si="434"/>
        <v>13767.3430053193</v>
      </c>
      <c r="N141" s="1">
        <f t="shared" si="435"/>
        <v>9178.22867021287</v>
      </c>
      <c r="O141" s="1">
        <f t="shared" ref="O141:W141" si="460">O$5+(O$6-O$5)*(POWER(O$7,$B141-1)-1)/(POWER(O$7,$B$3-1)-1)</f>
        <v>0.629282430832085</v>
      </c>
      <c r="P141" s="1">
        <f t="shared" si="460"/>
        <v>0.0766872049045221</v>
      </c>
      <c r="Q141" s="1">
        <f t="shared" si="460"/>
        <v>0.346105336957647</v>
      </c>
      <c r="R141" s="1">
        <f t="shared" si="460"/>
        <v>1.05171297233283</v>
      </c>
      <c r="S141" s="1">
        <f t="shared" si="460"/>
        <v>0.218067160081711</v>
      </c>
      <c r="T141" s="1">
        <f t="shared" si="460"/>
        <v>2.50420148024513</v>
      </c>
      <c r="U141" s="1">
        <f t="shared" si="460"/>
        <v>1</v>
      </c>
      <c r="V141" s="1">
        <f t="shared" si="460"/>
        <v>1.14099519806986</v>
      </c>
      <c r="W141" s="1">
        <f t="shared" si="460"/>
        <v>1.41370377866267</v>
      </c>
      <c r="X141" s="1">
        <f t="shared" si="437"/>
        <v>1.39394387590883</v>
      </c>
      <c r="Y141" s="1">
        <f t="shared" si="438"/>
        <v>2.37022607896996</v>
      </c>
      <c r="Z141" s="1">
        <f t="shared" si="439"/>
        <v>85983.8822852328</v>
      </c>
      <c r="AA141" s="1">
        <f t="shared" si="440"/>
        <v>13767.3430053193</v>
      </c>
      <c r="AB141" s="1">
        <f t="shared" si="441"/>
        <v>9178.22867021287</v>
      </c>
      <c r="AC141" s="1">
        <f>AB141/(AB141+战斗公式!$M$27)</f>
        <v>0.276634077166784</v>
      </c>
      <c r="AD141" s="1">
        <f t="shared" si="442"/>
        <v>118866.371183838</v>
      </c>
      <c r="AE141" s="1">
        <f t="shared" si="443"/>
        <v>6.19389135956453</v>
      </c>
      <c r="AF141" s="1">
        <f t="shared" si="444"/>
        <v>3.64266388143941</v>
      </c>
      <c r="AG141" s="1">
        <f t="shared" si="445"/>
        <v>3.54486051020184</v>
      </c>
      <c r="AH141" s="1">
        <f t="shared" si="446"/>
        <v>0.643836122031593</v>
      </c>
      <c r="AI141" s="1">
        <f t="shared" si="447"/>
        <v>1.00153830665942</v>
      </c>
      <c r="AJ141" s="1">
        <f t="shared" si="448"/>
        <v>1.05902358443038</v>
      </c>
      <c r="AK141" s="1">
        <f t="shared" si="449"/>
        <v>1</v>
      </c>
      <c r="AL141" s="10">
        <f t="shared" si="450"/>
        <v>83675</v>
      </c>
      <c r="AM141" s="10">
        <f t="shared" si="451"/>
        <v>8864</v>
      </c>
      <c r="AN141" s="10">
        <f t="shared" si="452"/>
        <v>9178</v>
      </c>
      <c r="AO141" s="1">
        <f t="shared" si="453"/>
        <v>52114</v>
      </c>
      <c r="AP141" s="1">
        <f t="shared" si="454"/>
        <v>8864</v>
      </c>
      <c r="AR141" s="1">
        <f t="shared" ref="AR141:AX141" si="461">ROUNDUP(AR$10*$AO141,0)</f>
        <v>52114</v>
      </c>
      <c r="AS141" s="1">
        <f t="shared" si="461"/>
        <v>156342</v>
      </c>
      <c r="AT141" s="1">
        <f t="shared" si="461"/>
        <v>93806</v>
      </c>
      <c r="AU141" s="1">
        <f t="shared" si="461"/>
        <v>26057</v>
      </c>
      <c r="AV141" s="1">
        <f t="shared" si="461"/>
        <v>7818</v>
      </c>
      <c r="AW141" s="1">
        <f t="shared" si="461"/>
        <v>208456</v>
      </c>
      <c r="AX141" s="1">
        <f t="shared" si="461"/>
        <v>469026</v>
      </c>
      <c r="AY141" s="1">
        <f t="shared" si="456"/>
        <v>5028223</v>
      </c>
      <c r="AZ141" s="1">
        <f t="shared" si="457"/>
        <v>2514112</v>
      </c>
      <c r="BB141" s="1">
        <f t="shared" si="458"/>
        <v>130</v>
      </c>
    </row>
    <row r="142" spans="2:54">
      <c r="B142" s="4">
        <v>131</v>
      </c>
      <c r="C142" s="1">
        <f t="shared" ref="C142:I142" si="462">C$5+(C$6-C$5)*(POWER(C$7,$B142-1)-1)/(POWER(C$7,$B$3-1)-1)</f>
        <v>10350.8948914201</v>
      </c>
      <c r="D142" s="1">
        <f t="shared" si="462"/>
        <v>3105.26846742604</v>
      </c>
      <c r="E142" s="1">
        <f t="shared" si="462"/>
        <v>2070.17897828403</v>
      </c>
      <c r="F142" s="1">
        <f t="shared" si="462"/>
        <v>26204.7971934687</v>
      </c>
      <c r="G142" s="1">
        <f t="shared" si="462"/>
        <v>7861.43915804061</v>
      </c>
      <c r="H142" s="1">
        <f t="shared" si="462"/>
        <v>5240.95943869374</v>
      </c>
      <c r="I142" s="1">
        <f t="shared" si="462"/>
        <v>0</v>
      </c>
      <c r="J142" s="1">
        <f>标准模型!$I$65/1*$B142/$B$3</f>
        <v>0.9432</v>
      </c>
      <c r="K142" s="1">
        <f>J142*标准模型!$J$63</f>
        <v>0.9432</v>
      </c>
      <c r="L142" s="1">
        <f t="shared" si="433"/>
        <v>36555.6920848888</v>
      </c>
      <c r="M142" s="1">
        <f t="shared" si="434"/>
        <v>13895.5968439429</v>
      </c>
      <c r="N142" s="1">
        <f t="shared" si="435"/>
        <v>9263.73122929526</v>
      </c>
      <c r="O142" s="1">
        <f t="shared" ref="O142:W142" si="463">O$5+(O$6-O$5)*(POWER(O$7,$B142-1)-1)/(POWER(O$7,$B$3-1)-1)</f>
        <v>0.630284555077498</v>
      </c>
      <c r="P142" s="1">
        <f t="shared" si="463"/>
        <v>0.0773414928374085</v>
      </c>
      <c r="Q142" s="1">
        <f t="shared" si="463"/>
        <v>0.346656505292624</v>
      </c>
      <c r="R142" s="1">
        <f t="shared" si="463"/>
        <v>1.052113822031</v>
      </c>
      <c r="S142" s="1">
        <f t="shared" si="463"/>
        <v>0.219369921600748</v>
      </c>
      <c r="T142" s="1">
        <f t="shared" si="463"/>
        <v>2.50810976480224</v>
      </c>
      <c r="U142" s="1">
        <f t="shared" si="463"/>
        <v>1</v>
      </c>
      <c r="V142" s="1">
        <f t="shared" si="463"/>
        <v>1.14208811305888</v>
      </c>
      <c r="W142" s="1">
        <f t="shared" si="463"/>
        <v>1.416910576248</v>
      </c>
      <c r="X142" s="1">
        <f t="shared" si="437"/>
        <v>1.40388922569062</v>
      </c>
      <c r="Y142" s="1">
        <f t="shared" si="438"/>
        <v>2.38883229114485</v>
      </c>
      <c r="Z142" s="1">
        <f t="shared" si="439"/>
        <v>87325.4176775308</v>
      </c>
      <c r="AA142" s="1">
        <f t="shared" si="440"/>
        <v>13895.5968439429</v>
      </c>
      <c r="AB142" s="1">
        <f t="shared" si="441"/>
        <v>9263.73122929526</v>
      </c>
      <c r="AC142" s="1">
        <f>AB142/(AB142+战斗公式!$M$27)</f>
        <v>0.278493448778732</v>
      </c>
      <c r="AD142" s="1">
        <f t="shared" si="442"/>
        <v>121032.050962972</v>
      </c>
      <c r="AE142" s="1">
        <f t="shared" si="443"/>
        <v>6.20426510042513</v>
      </c>
      <c r="AF142" s="1">
        <f t="shared" si="444"/>
        <v>3.64617514594999</v>
      </c>
      <c r="AG142" s="1">
        <f t="shared" si="445"/>
        <v>3.55649171060638</v>
      </c>
      <c r="AH142" s="1">
        <f t="shared" si="446"/>
        <v>0.646862772817626</v>
      </c>
      <c r="AI142" s="1">
        <f t="shared" si="447"/>
        <v>1.00146139132601</v>
      </c>
      <c r="AJ142" s="1">
        <f t="shared" si="448"/>
        <v>1.05784244293439</v>
      </c>
      <c r="AK142" s="1">
        <f t="shared" si="449"/>
        <v>1</v>
      </c>
      <c r="AL142" s="10">
        <f t="shared" si="450"/>
        <v>85178</v>
      </c>
      <c r="AM142" s="10">
        <f t="shared" si="451"/>
        <v>8989</v>
      </c>
      <c r="AN142" s="10">
        <f t="shared" si="452"/>
        <v>9264</v>
      </c>
      <c r="AO142" s="1">
        <f t="shared" si="453"/>
        <v>52953</v>
      </c>
      <c r="AP142" s="1">
        <f t="shared" si="454"/>
        <v>8989</v>
      </c>
      <c r="AR142" s="1">
        <f t="shared" ref="AR142:AX142" si="464">ROUNDUP(AR$10*$AO142,0)</f>
        <v>52953</v>
      </c>
      <c r="AS142" s="1">
        <f t="shared" si="464"/>
        <v>158859</v>
      </c>
      <c r="AT142" s="1">
        <f t="shared" si="464"/>
        <v>95316</v>
      </c>
      <c r="AU142" s="1">
        <f t="shared" si="464"/>
        <v>26477</v>
      </c>
      <c r="AV142" s="1">
        <f t="shared" si="464"/>
        <v>7943</v>
      </c>
      <c r="AW142" s="1">
        <f t="shared" si="464"/>
        <v>211812</v>
      </c>
      <c r="AX142" s="1">
        <f t="shared" si="464"/>
        <v>476577</v>
      </c>
      <c r="AY142" s="1">
        <f t="shared" si="456"/>
        <v>5118149</v>
      </c>
      <c r="AZ142" s="1">
        <f t="shared" si="457"/>
        <v>2559074</v>
      </c>
      <c r="BB142" s="1">
        <f t="shared" si="458"/>
        <v>131</v>
      </c>
    </row>
    <row r="143" spans="2:54">
      <c r="B143" s="4">
        <v>132</v>
      </c>
      <c r="C143" s="1">
        <f t="shared" ref="C143:I143" si="465">C$5+(C$6-C$5)*(POWER(C$7,$B143-1)-1)/(POWER(C$7,$B$3-1)-1)</f>
        <v>10429.9042921591</v>
      </c>
      <c r="D143" s="1">
        <f t="shared" si="465"/>
        <v>3128.97128764772</v>
      </c>
      <c r="E143" s="1">
        <f t="shared" si="465"/>
        <v>2085.98085843181</v>
      </c>
      <c r="F143" s="1">
        <f t="shared" si="465"/>
        <v>26404.8209928077</v>
      </c>
      <c r="G143" s="1">
        <f t="shared" si="465"/>
        <v>7921.44629784232</v>
      </c>
      <c r="H143" s="1">
        <f t="shared" si="465"/>
        <v>5280.96419856155</v>
      </c>
      <c r="I143" s="1">
        <f t="shared" si="465"/>
        <v>0</v>
      </c>
      <c r="J143" s="1">
        <f>标准模型!$I$65/1*$B143/$B$3</f>
        <v>0.9504</v>
      </c>
      <c r="K143" s="1">
        <f>J143*标准模型!$J$63</f>
        <v>0.9504</v>
      </c>
      <c r="L143" s="1">
        <f t="shared" si="433"/>
        <v>36834.7252849668</v>
      </c>
      <c r="M143" s="1">
        <f t="shared" si="434"/>
        <v>14024.1918972704</v>
      </c>
      <c r="N143" s="1">
        <f t="shared" si="435"/>
        <v>9349.46126484696</v>
      </c>
      <c r="O143" s="1">
        <f t="shared" ref="O143:W143" si="466">O$5+(O$6-O$5)*(POWER(O$7,$B143-1)-1)/(POWER(O$7,$B$3-1)-1)</f>
        <v>0.63128667832068</v>
      </c>
      <c r="P143" s="1">
        <f t="shared" si="466"/>
        <v>0.0779967622021943</v>
      </c>
      <c r="Q143" s="1">
        <f t="shared" si="466"/>
        <v>0.347207673076374</v>
      </c>
      <c r="R143" s="1">
        <f t="shared" si="466"/>
        <v>1.05251467132827</v>
      </c>
      <c r="S143" s="1">
        <f t="shared" si="466"/>
        <v>0.220672681816884</v>
      </c>
      <c r="T143" s="1">
        <f t="shared" si="466"/>
        <v>2.51201804545065</v>
      </c>
      <c r="U143" s="1">
        <f t="shared" si="466"/>
        <v>1</v>
      </c>
      <c r="V143" s="1">
        <f t="shared" si="466"/>
        <v>1.14318102695486</v>
      </c>
      <c r="W143" s="1">
        <f t="shared" si="466"/>
        <v>1.42011737062618</v>
      </c>
      <c r="X143" s="1">
        <f t="shared" si="437"/>
        <v>1.41389674618496</v>
      </c>
      <c r="Y143" s="1">
        <f t="shared" si="438"/>
        <v>2.40756893449708</v>
      </c>
      <c r="Z143" s="1">
        <f t="shared" si="439"/>
        <v>88682.1403068199</v>
      </c>
      <c r="AA143" s="1">
        <f t="shared" si="440"/>
        <v>14024.1918972704</v>
      </c>
      <c r="AB143" s="1">
        <f t="shared" si="441"/>
        <v>9349.46126484696</v>
      </c>
      <c r="AC143" s="1">
        <f>AB143/(AB143+战斗公式!$M$27)</f>
        <v>0.280348194850813</v>
      </c>
      <c r="AD143" s="1">
        <f t="shared" si="442"/>
        <v>123229.233460251</v>
      </c>
      <c r="AE143" s="1">
        <f t="shared" si="443"/>
        <v>6.21467191411954</v>
      </c>
      <c r="AF143" s="1">
        <f t="shared" si="444"/>
        <v>3.64970002398549</v>
      </c>
      <c r="AG143" s="1">
        <f t="shared" si="445"/>
        <v>3.56803567700789</v>
      </c>
      <c r="AH143" s="1">
        <f t="shared" si="446"/>
        <v>0.649895476905232</v>
      </c>
      <c r="AI143" s="1">
        <f t="shared" si="447"/>
        <v>1.00138832175927</v>
      </c>
      <c r="AJ143" s="1">
        <f t="shared" si="448"/>
        <v>1.05668492426831</v>
      </c>
      <c r="AK143" s="1">
        <f t="shared" si="449"/>
        <v>1</v>
      </c>
      <c r="AL143" s="10">
        <f t="shared" si="450"/>
        <v>86698</v>
      </c>
      <c r="AM143" s="10">
        <f t="shared" si="451"/>
        <v>9114</v>
      </c>
      <c r="AN143" s="10">
        <f t="shared" si="452"/>
        <v>9349</v>
      </c>
      <c r="AO143" s="1">
        <f t="shared" si="453"/>
        <v>53801</v>
      </c>
      <c r="AP143" s="1">
        <f t="shared" si="454"/>
        <v>9114</v>
      </c>
      <c r="AR143" s="1">
        <f t="shared" ref="AR143:AX143" si="467">ROUNDUP(AR$10*$AO143,0)</f>
        <v>53801</v>
      </c>
      <c r="AS143" s="1">
        <f t="shared" si="467"/>
        <v>161403</v>
      </c>
      <c r="AT143" s="1">
        <f t="shared" si="467"/>
        <v>96842</v>
      </c>
      <c r="AU143" s="1">
        <f t="shared" si="467"/>
        <v>26901</v>
      </c>
      <c r="AV143" s="1">
        <f t="shared" si="467"/>
        <v>8071</v>
      </c>
      <c r="AW143" s="1">
        <f t="shared" si="467"/>
        <v>215204</v>
      </c>
      <c r="AX143" s="1">
        <f t="shared" si="467"/>
        <v>484209</v>
      </c>
      <c r="AY143" s="1">
        <f t="shared" si="456"/>
        <v>5209102</v>
      </c>
      <c r="AZ143" s="1">
        <f t="shared" si="457"/>
        <v>2604551</v>
      </c>
      <c r="BB143" s="1">
        <f t="shared" si="458"/>
        <v>132</v>
      </c>
    </row>
    <row r="144" spans="2:54">
      <c r="B144" s="4">
        <v>133</v>
      </c>
      <c r="C144" s="1">
        <f t="shared" ref="C144:I144" si="468">C$5+(C$6-C$5)*(POWER(C$7,$B144-1)-1)/(POWER(C$7,$B$3-1)-1)</f>
        <v>10508.9136138976</v>
      </c>
      <c r="D144" s="1">
        <f t="shared" si="468"/>
        <v>3152.67408416928</v>
      </c>
      <c r="E144" s="1">
        <f t="shared" si="468"/>
        <v>2101.78272277952</v>
      </c>
      <c r="F144" s="1">
        <f t="shared" si="468"/>
        <v>26604.8445921458</v>
      </c>
      <c r="G144" s="1">
        <f t="shared" si="468"/>
        <v>7981.45337764375</v>
      </c>
      <c r="H144" s="1">
        <f t="shared" si="468"/>
        <v>5320.96891842917</v>
      </c>
      <c r="I144" s="1">
        <f t="shared" si="468"/>
        <v>0</v>
      </c>
      <c r="J144" s="1">
        <f>标准模型!$I$65/1*$B144/$B$3</f>
        <v>0.9576</v>
      </c>
      <c r="K144" s="1">
        <f>J144*标准模型!$J$63</f>
        <v>0.9576</v>
      </c>
      <c r="L144" s="1">
        <f t="shared" si="433"/>
        <v>37113.7582060434</v>
      </c>
      <c r="M144" s="1">
        <f t="shared" si="434"/>
        <v>14153.1281648135</v>
      </c>
      <c r="N144" s="1">
        <f t="shared" si="435"/>
        <v>9435.41877654236</v>
      </c>
      <c r="O144" s="1">
        <f t="shared" ref="O144:W144" si="469">O$5+(O$6-O$5)*(POWER(O$7,$B144-1)-1)/(POWER(O$7,$B$3-1)-1)</f>
        <v>0.632288800561853</v>
      </c>
      <c r="P144" s="1">
        <f t="shared" si="469"/>
        <v>0.0786530144710272</v>
      </c>
      <c r="Q144" s="1">
        <f t="shared" si="469"/>
        <v>0.347758840309019</v>
      </c>
      <c r="R144" s="1">
        <f t="shared" si="469"/>
        <v>1.05291552022474</v>
      </c>
      <c r="S144" s="1">
        <f t="shared" si="469"/>
        <v>0.221975440730409</v>
      </c>
      <c r="T144" s="1">
        <f t="shared" si="469"/>
        <v>2.51592632219123</v>
      </c>
      <c r="U144" s="1">
        <f t="shared" si="469"/>
        <v>1</v>
      </c>
      <c r="V144" s="1">
        <f t="shared" si="469"/>
        <v>1.14427393975806</v>
      </c>
      <c r="W144" s="1">
        <f t="shared" si="469"/>
        <v>1.42332416179793</v>
      </c>
      <c r="X144" s="1">
        <f t="shared" si="437"/>
        <v>1.42396677233061</v>
      </c>
      <c r="Y144" s="1">
        <f t="shared" si="438"/>
        <v>2.42643681048527</v>
      </c>
      <c r="Z144" s="1">
        <f t="shared" si="439"/>
        <v>90054.1890865936</v>
      </c>
      <c r="AA144" s="1">
        <f t="shared" si="440"/>
        <v>14153.1281648135</v>
      </c>
      <c r="AB144" s="1">
        <f t="shared" si="441"/>
        <v>9435.41877654236</v>
      </c>
      <c r="AC144" s="1">
        <f>AB144/(AB144+战斗公式!$M$27)</f>
        <v>0.2821983131003</v>
      </c>
      <c r="AD144" s="1">
        <f t="shared" si="442"/>
        <v>125458.313528841</v>
      </c>
      <c r="AE144" s="1">
        <f t="shared" si="443"/>
        <v>6.22511172649998</v>
      </c>
      <c r="AF144" s="1">
        <f t="shared" si="444"/>
        <v>3.65323845000885</v>
      </c>
      <c r="AG144" s="1">
        <f t="shared" si="445"/>
        <v>3.57949306366138</v>
      </c>
      <c r="AH144" s="1">
        <f t="shared" si="446"/>
        <v>0.652934246401012</v>
      </c>
      <c r="AI144" s="1">
        <f t="shared" si="447"/>
        <v>1.00131890567086</v>
      </c>
      <c r="AJ144" s="1">
        <f t="shared" si="448"/>
        <v>1.05555055597556</v>
      </c>
      <c r="AK144" s="1">
        <f t="shared" si="449"/>
        <v>1</v>
      </c>
      <c r="AL144" s="10">
        <f t="shared" si="450"/>
        <v>88236</v>
      </c>
      <c r="AM144" s="10">
        <f t="shared" si="451"/>
        <v>9241</v>
      </c>
      <c r="AN144" s="10">
        <f t="shared" si="452"/>
        <v>9435</v>
      </c>
      <c r="AO144" s="1">
        <f t="shared" si="453"/>
        <v>54658</v>
      </c>
      <c r="AP144" s="1">
        <f t="shared" si="454"/>
        <v>9241</v>
      </c>
      <c r="AR144" s="1">
        <f t="shared" ref="AR144:AX144" si="470">ROUNDUP(AR$10*$AO144,0)</f>
        <v>54658</v>
      </c>
      <c r="AS144" s="1">
        <f t="shared" si="470"/>
        <v>163974</v>
      </c>
      <c r="AT144" s="1">
        <f t="shared" si="470"/>
        <v>98385</v>
      </c>
      <c r="AU144" s="1">
        <f t="shared" si="470"/>
        <v>27329</v>
      </c>
      <c r="AV144" s="1">
        <f t="shared" si="470"/>
        <v>8199</v>
      </c>
      <c r="AW144" s="1">
        <f t="shared" si="470"/>
        <v>218632</v>
      </c>
      <c r="AX144" s="1">
        <f t="shared" si="470"/>
        <v>491922</v>
      </c>
      <c r="AY144" s="1">
        <f t="shared" si="456"/>
        <v>5301142</v>
      </c>
      <c r="AZ144" s="1">
        <f t="shared" si="457"/>
        <v>2650571</v>
      </c>
      <c r="BB144" s="1">
        <f t="shared" si="458"/>
        <v>133</v>
      </c>
    </row>
    <row r="145" spans="2:54">
      <c r="B145" s="4">
        <v>134</v>
      </c>
      <c r="C145" s="1">
        <f t="shared" ref="C145:I145" si="471">C$5+(C$6-C$5)*(POWER(C$7,$B145-1)-1)/(POWER(C$7,$B$3-1)-1)</f>
        <v>10587.9228566182</v>
      </c>
      <c r="D145" s="1">
        <f t="shared" si="471"/>
        <v>3176.37685698547</v>
      </c>
      <c r="E145" s="1">
        <f t="shared" si="471"/>
        <v>2117.58457132365</v>
      </c>
      <c r="F145" s="1">
        <f t="shared" si="471"/>
        <v>26804.8679914386</v>
      </c>
      <c r="G145" s="1">
        <f t="shared" si="471"/>
        <v>8041.46039743157</v>
      </c>
      <c r="H145" s="1">
        <f t="shared" si="471"/>
        <v>5360.97359828771</v>
      </c>
      <c r="I145" s="1">
        <f t="shared" si="471"/>
        <v>0</v>
      </c>
      <c r="J145" s="1">
        <f>标准模型!$I$65/1*$B145/$B$3</f>
        <v>0.9648</v>
      </c>
      <c r="K145" s="1">
        <f>J145*标准模型!$J$63</f>
        <v>0.9648</v>
      </c>
      <c r="L145" s="1">
        <f t="shared" si="433"/>
        <v>37392.7908480568</v>
      </c>
      <c r="M145" s="1">
        <f t="shared" si="434"/>
        <v>14282.4056460366</v>
      </c>
      <c r="N145" s="1">
        <f t="shared" si="435"/>
        <v>9521.60376402441</v>
      </c>
      <c r="O145" s="1">
        <f t="shared" ref="O145:W145" si="472">O$5+(O$6-O$5)*(POWER(O$7,$B145-1)-1)/(POWER(O$7,$B$3-1)-1)</f>
        <v>0.633290921800794</v>
      </c>
      <c r="P145" s="1">
        <f t="shared" si="472"/>
        <v>0.0793102511182634</v>
      </c>
      <c r="Q145" s="1">
        <f t="shared" si="472"/>
        <v>0.348310006990437</v>
      </c>
      <c r="R145" s="1">
        <f t="shared" si="472"/>
        <v>1.05331636872032</v>
      </c>
      <c r="S145" s="1">
        <f t="shared" si="472"/>
        <v>0.223278198341033</v>
      </c>
      <c r="T145" s="1">
        <f t="shared" si="472"/>
        <v>2.5198345950231</v>
      </c>
      <c r="U145" s="1">
        <f t="shared" si="472"/>
        <v>1</v>
      </c>
      <c r="V145" s="1">
        <f t="shared" si="472"/>
        <v>1.14536685146822</v>
      </c>
      <c r="W145" s="1">
        <f t="shared" si="472"/>
        <v>1.42653094976254</v>
      </c>
      <c r="X145" s="1">
        <f t="shared" si="437"/>
        <v>1.43409964041816</v>
      </c>
      <c r="Y145" s="1">
        <f t="shared" si="438"/>
        <v>2.44543672450923</v>
      </c>
      <c r="Z145" s="1">
        <f t="shared" si="439"/>
        <v>91441.7039717308</v>
      </c>
      <c r="AA145" s="1">
        <f t="shared" si="440"/>
        <v>14282.4056460366</v>
      </c>
      <c r="AB145" s="1">
        <f t="shared" si="441"/>
        <v>9521.60376402441</v>
      </c>
      <c r="AC145" s="1">
        <f>AB145/(AB145+战斗公式!$M$27)</f>
        <v>0.284043801455677</v>
      </c>
      <c r="AD145" s="1">
        <f t="shared" si="442"/>
        <v>127719.690335316</v>
      </c>
      <c r="AE145" s="1">
        <f t="shared" si="443"/>
        <v>6.2355844639054</v>
      </c>
      <c r="AF145" s="1">
        <f t="shared" si="444"/>
        <v>3.65679035889938</v>
      </c>
      <c r="AG145" s="1">
        <f t="shared" si="445"/>
        <v>3.59086451991497</v>
      </c>
      <c r="AH145" s="1">
        <f t="shared" si="446"/>
        <v>0.655979093435785</v>
      </c>
      <c r="AI145" s="1">
        <f t="shared" si="447"/>
        <v>1.00125296038688</v>
      </c>
      <c r="AJ145" s="1">
        <f t="shared" si="448"/>
        <v>1.05443887504866</v>
      </c>
      <c r="AK145" s="1">
        <f t="shared" si="449"/>
        <v>1</v>
      </c>
      <c r="AL145" s="10">
        <f t="shared" si="450"/>
        <v>89793</v>
      </c>
      <c r="AM145" s="10">
        <f t="shared" si="451"/>
        <v>9369</v>
      </c>
      <c r="AN145" s="10">
        <f t="shared" si="452"/>
        <v>9522</v>
      </c>
      <c r="AO145" s="1">
        <f t="shared" si="453"/>
        <v>55525</v>
      </c>
      <c r="AP145" s="1">
        <f t="shared" si="454"/>
        <v>9369</v>
      </c>
      <c r="AR145" s="1">
        <f t="shared" ref="AR145:AX145" si="473">ROUNDUP(AR$10*$AO145,0)</f>
        <v>55525</v>
      </c>
      <c r="AS145" s="1">
        <f t="shared" si="473"/>
        <v>166575</v>
      </c>
      <c r="AT145" s="1">
        <f t="shared" si="473"/>
        <v>99945</v>
      </c>
      <c r="AU145" s="1">
        <f t="shared" si="473"/>
        <v>27763</v>
      </c>
      <c r="AV145" s="1">
        <f t="shared" si="473"/>
        <v>8329</v>
      </c>
      <c r="AW145" s="1">
        <f t="shared" si="473"/>
        <v>222100</v>
      </c>
      <c r="AX145" s="1">
        <f t="shared" si="473"/>
        <v>499725</v>
      </c>
      <c r="AY145" s="1">
        <f t="shared" si="456"/>
        <v>5394330</v>
      </c>
      <c r="AZ145" s="1">
        <f t="shared" si="457"/>
        <v>2697165</v>
      </c>
      <c r="BB145" s="1">
        <f t="shared" si="458"/>
        <v>134</v>
      </c>
    </row>
    <row r="146" spans="2:54">
      <c r="B146" s="4">
        <v>135</v>
      </c>
      <c r="C146" s="1">
        <f t="shared" ref="C146:I146" si="474">C$5+(C$6-C$5)*(POWER(C$7,$B146-1)-1)/(POWER(C$7,$B$3-1)-1)</f>
        <v>10666.9320203385</v>
      </c>
      <c r="D146" s="1">
        <f t="shared" si="474"/>
        <v>3200.07960610154</v>
      </c>
      <c r="E146" s="1">
        <f t="shared" si="474"/>
        <v>2133.38640406769</v>
      </c>
      <c r="F146" s="1">
        <f t="shared" si="474"/>
        <v>27004.8911907303</v>
      </c>
      <c r="G146" s="1">
        <f t="shared" si="474"/>
        <v>8101.46735721909</v>
      </c>
      <c r="H146" s="1">
        <f t="shared" si="474"/>
        <v>5400.97823814606</v>
      </c>
      <c r="I146" s="1">
        <f t="shared" si="474"/>
        <v>0</v>
      </c>
      <c r="J146" s="1">
        <f>标准模型!$I$65/1*$B146/$B$3</f>
        <v>0.972</v>
      </c>
      <c r="K146" s="1">
        <f>J146*标准模型!$J$63</f>
        <v>0.972</v>
      </c>
      <c r="L146" s="1">
        <f t="shared" si="433"/>
        <v>37671.8232110688</v>
      </c>
      <c r="M146" s="1">
        <f t="shared" si="434"/>
        <v>14412.0243404513</v>
      </c>
      <c r="N146" s="1">
        <f t="shared" si="435"/>
        <v>9608.01622696756</v>
      </c>
      <c r="O146" s="1">
        <f t="shared" ref="O146:W146" si="475">O$5+(O$6-O$5)*(POWER(O$7,$B146-1)-1)/(POWER(O$7,$B$3-1)-1)</f>
        <v>0.634293042037727</v>
      </c>
      <c r="P146" s="1">
        <f t="shared" si="475"/>
        <v>0.0799684736204704</v>
      </c>
      <c r="Q146" s="1">
        <f t="shared" si="475"/>
        <v>0.34886117312075</v>
      </c>
      <c r="R146" s="1">
        <f t="shared" si="475"/>
        <v>1.05371721681509</v>
      </c>
      <c r="S146" s="1">
        <f t="shared" si="475"/>
        <v>0.224580954649045</v>
      </c>
      <c r="T146" s="1">
        <f t="shared" si="475"/>
        <v>2.52374286394714</v>
      </c>
      <c r="U146" s="1">
        <f t="shared" si="475"/>
        <v>1</v>
      </c>
      <c r="V146" s="1">
        <f t="shared" si="475"/>
        <v>1.14645976208559</v>
      </c>
      <c r="W146" s="1">
        <f t="shared" si="475"/>
        <v>1.42973773452073</v>
      </c>
      <c r="X146" s="1">
        <f t="shared" si="437"/>
        <v>1.44429568810129</v>
      </c>
      <c r="Y146" s="1">
        <f t="shared" si="438"/>
        <v>2.46456948593915</v>
      </c>
      <c r="Z146" s="1">
        <f t="shared" si="439"/>
        <v>92844.8259656943</v>
      </c>
      <c r="AA146" s="1">
        <f t="shared" si="440"/>
        <v>14412.0243404513</v>
      </c>
      <c r="AB146" s="1">
        <f t="shared" si="441"/>
        <v>9608.01622696756</v>
      </c>
      <c r="AC146" s="1">
        <f>AB146/(AB146+战斗公式!$M$27)</f>
        <v>0.285884658055418</v>
      </c>
      <c r="AD146" s="1">
        <f t="shared" si="442"/>
        <v>130013.767401876</v>
      </c>
      <c r="AE146" s="1">
        <f t="shared" si="443"/>
        <v>6.24609005317403</v>
      </c>
      <c r="AF146" s="1">
        <f t="shared" si="444"/>
        <v>3.66035568595623</v>
      </c>
      <c r="AG146" s="1">
        <f t="shared" si="445"/>
        <v>3.60215069024666</v>
      </c>
      <c r="AH146" s="1">
        <f t="shared" si="446"/>
        <v>0.659030030164626</v>
      </c>
      <c r="AI146" s="1">
        <f t="shared" si="447"/>
        <v>1.0011903123671</v>
      </c>
      <c r="AJ146" s="1">
        <f t="shared" si="448"/>
        <v>1.0533494277403</v>
      </c>
      <c r="AK146" s="1">
        <f t="shared" si="449"/>
        <v>1</v>
      </c>
      <c r="AL146" s="10">
        <f t="shared" si="450"/>
        <v>91368</v>
      </c>
      <c r="AM146" s="10">
        <f t="shared" si="451"/>
        <v>9498</v>
      </c>
      <c r="AN146" s="10">
        <f t="shared" si="452"/>
        <v>9608</v>
      </c>
      <c r="AO146" s="1">
        <f t="shared" si="453"/>
        <v>56401</v>
      </c>
      <c r="AP146" s="1">
        <f t="shared" si="454"/>
        <v>9498</v>
      </c>
      <c r="AR146" s="1">
        <f t="shared" ref="AR146:AX146" si="476">ROUNDUP(AR$10*$AO146,0)</f>
        <v>56401</v>
      </c>
      <c r="AS146" s="1">
        <f t="shared" si="476"/>
        <v>169203</v>
      </c>
      <c r="AT146" s="1">
        <f t="shared" si="476"/>
        <v>101522</v>
      </c>
      <c r="AU146" s="1">
        <f t="shared" si="476"/>
        <v>28201</v>
      </c>
      <c r="AV146" s="1">
        <f t="shared" si="476"/>
        <v>8461</v>
      </c>
      <c r="AW146" s="1">
        <f t="shared" si="476"/>
        <v>225604</v>
      </c>
      <c r="AX146" s="1">
        <f t="shared" si="476"/>
        <v>507609</v>
      </c>
      <c r="AY146" s="1">
        <f t="shared" si="456"/>
        <v>5488605</v>
      </c>
      <c r="AZ146" s="1">
        <f t="shared" si="457"/>
        <v>2744303</v>
      </c>
      <c r="BB146" s="1">
        <f t="shared" si="458"/>
        <v>135</v>
      </c>
    </row>
    <row r="147" spans="2:54">
      <c r="B147" s="4">
        <v>136</v>
      </c>
      <c r="C147" s="1">
        <f t="shared" ref="C147:I147" si="477">C$5+(C$6-C$5)*(POWER(C$7,$B147-1)-1)/(POWER(C$7,$B$3-1)-1)</f>
        <v>10745.9411050408</v>
      </c>
      <c r="D147" s="1">
        <f t="shared" si="477"/>
        <v>3223.78233151224</v>
      </c>
      <c r="E147" s="1">
        <f t="shared" si="477"/>
        <v>2149.18822100816</v>
      </c>
      <c r="F147" s="1">
        <f t="shared" si="477"/>
        <v>27204.9141899767</v>
      </c>
      <c r="G147" s="1">
        <f t="shared" si="477"/>
        <v>8161.47425699301</v>
      </c>
      <c r="H147" s="1">
        <f t="shared" si="477"/>
        <v>5440.98283799534</v>
      </c>
      <c r="I147" s="1">
        <f t="shared" si="477"/>
        <v>0</v>
      </c>
      <c r="J147" s="1">
        <f>标准模型!$I$65/1*$B147/$B$3</f>
        <v>0.9792</v>
      </c>
      <c r="K147" s="1">
        <f>J147*标准模型!$J$63</f>
        <v>0.9792</v>
      </c>
      <c r="L147" s="1">
        <f t="shared" si="433"/>
        <v>37950.8552950175</v>
      </c>
      <c r="M147" s="1">
        <f t="shared" si="434"/>
        <v>14541.984247522</v>
      </c>
      <c r="N147" s="1">
        <f t="shared" si="435"/>
        <v>9694.65616501468</v>
      </c>
      <c r="O147" s="1">
        <f t="shared" ref="O147:W147" si="478">O$5+(O$6-O$5)*(POWER(O$7,$B147-1)-1)/(POWER(O$7,$B$3-1)-1)</f>
        <v>0.635295161272428</v>
      </c>
      <c r="P147" s="1">
        <f t="shared" si="478"/>
        <v>0.0806276834564307</v>
      </c>
      <c r="Q147" s="1">
        <f t="shared" si="478"/>
        <v>0.349412338699836</v>
      </c>
      <c r="R147" s="1">
        <f t="shared" si="478"/>
        <v>1.05411806450897</v>
      </c>
      <c r="S147" s="1">
        <f t="shared" si="478"/>
        <v>0.225883709654157</v>
      </c>
      <c r="T147" s="1">
        <f t="shared" si="478"/>
        <v>2.52765112896247</v>
      </c>
      <c r="U147" s="1">
        <f t="shared" si="478"/>
        <v>1</v>
      </c>
      <c r="V147" s="1">
        <f t="shared" si="478"/>
        <v>1.14755267160993</v>
      </c>
      <c r="W147" s="1">
        <f t="shared" si="478"/>
        <v>1.43294451607177</v>
      </c>
      <c r="X147" s="1">
        <f t="shared" si="437"/>
        <v>1.45455525439228</v>
      </c>
      <c r="Y147" s="1">
        <f t="shared" si="438"/>
        <v>2.48383590811389</v>
      </c>
      <c r="Z147" s="1">
        <f t="shared" si="439"/>
        <v>94263.6971253986</v>
      </c>
      <c r="AA147" s="1">
        <f t="shared" si="440"/>
        <v>14541.984247522</v>
      </c>
      <c r="AB147" s="1">
        <f t="shared" si="441"/>
        <v>9694.65616501468</v>
      </c>
      <c r="AC147" s="1">
        <f>AB147/(AB147+战斗公式!$M$27)</f>
        <v>0.287720881244091</v>
      </c>
      <c r="AD147" s="1">
        <f t="shared" si="442"/>
        <v>132340.952645141</v>
      </c>
      <c r="AE147" s="1">
        <f t="shared" si="443"/>
        <v>6.25662842162145</v>
      </c>
      <c r="AF147" s="1">
        <f t="shared" si="444"/>
        <v>3.66393436688825</v>
      </c>
      <c r="AG147" s="1">
        <f t="shared" si="445"/>
        <v>3.61335221430087</v>
      </c>
      <c r="AH147" s="1">
        <f t="shared" si="446"/>
        <v>0.662087068766926</v>
      </c>
      <c r="AI147" s="1">
        <f t="shared" si="447"/>
        <v>1.0011307967483</v>
      </c>
      <c r="AJ147" s="1">
        <f t="shared" si="448"/>
        <v>1.0522817693781</v>
      </c>
      <c r="AK147" s="1">
        <f t="shared" si="449"/>
        <v>1</v>
      </c>
      <c r="AL147" s="10">
        <f t="shared" si="450"/>
        <v>92962</v>
      </c>
      <c r="AM147" s="10">
        <f t="shared" si="451"/>
        <v>9628</v>
      </c>
      <c r="AN147" s="10">
        <f t="shared" si="452"/>
        <v>9695</v>
      </c>
      <c r="AO147" s="1">
        <f t="shared" si="453"/>
        <v>57286</v>
      </c>
      <c r="AP147" s="1">
        <f t="shared" si="454"/>
        <v>9628</v>
      </c>
      <c r="AR147" s="1">
        <f t="shared" ref="AR147:AX147" si="479">ROUNDUP(AR$10*$AO147,0)</f>
        <v>57286</v>
      </c>
      <c r="AS147" s="1">
        <f t="shared" si="479"/>
        <v>171858</v>
      </c>
      <c r="AT147" s="1">
        <f t="shared" si="479"/>
        <v>103115</v>
      </c>
      <c r="AU147" s="1">
        <f t="shared" si="479"/>
        <v>28643</v>
      </c>
      <c r="AV147" s="1">
        <f t="shared" si="479"/>
        <v>8593</v>
      </c>
      <c r="AW147" s="1">
        <f t="shared" si="479"/>
        <v>229144</v>
      </c>
      <c r="AX147" s="1">
        <f t="shared" si="479"/>
        <v>515574</v>
      </c>
      <c r="AY147" s="1">
        <f t="shared" si="456"/>
        <v>5584027</v>
      </c>
      <c r="AZ147" s="1">
        <f t="shared" si="457"/>
        <v>2792014</v>
      </c>
      <c r="BB147" s="1">
        <f t="shared" si="458"/>
        <v>136</v>
      </c>
    </row>
    <row r="148" spans="2:54">
      <c r="B148" s="4">
        <v>137</v>
      </c>
      <c r="C148" s="1">
        <f t="shared" ref="C148:I148" si="480">C$5+(C$6-C$5)*(POWER(C$7,$B148-1)-1)/(POWER(C$7,$B$3-1)-1)</f>
        <v>10824.9501107427</v>
      </c>
      <c r="D148" s="1">
        <f t="shared" si="480"/>
        <v>3247.48503322282</v>
      </c>
      <c r="E148" s="1">
        <f t="shared" si="480"/>
        <v>2164.99002214855</v>
      </c>
      <c r="F148" s="1">
        <f t="shared" si="480"/>
        <v>27404.9369892221</v>
      </c>
      <c r="G148" s="1">
        <f t="shared" si="480"/>
        <v>8221.48109676663</v>
      </c>
      <c r="H148" s="1">
        <f t="shared" si="480"/>
        <v>5480.98739784442</v>
      </c>
      <c r="I148" s="1">
        <f t="shared" si="480"/>
        <v>0</v>
      </c>
      <c r="J148" s="1">
        <f>标准模型!$I$65/1*$B148/$B$3</f>
        <v>0.9864</v>
      </c>
      <c r="K148" s="1">
        <f>J148*标准模型!$J$63</f>
        <v>0.9864</v>
      </c>
      <c r="L148" s="1">
        <f t="shared" si="433"/>
        <v>38229.8870999648</v>
      </c>
      <c r="M148" s="1">
        <f t="shared" si="434"/>
        <v>14672.2853667604</v>
      </c>
      <c r="N148" s="1">
        <f t="shared" si="435"/>
        <v>9781.52357784029</v>
      </c>
      <c r="O148" s="1">
        <f t="shared" ref="O148:W148" si="481">O$5+(O$6-O$5)*(POWER(O$7,$B148-1)-1)/(POWER(O$7,$B$3-1)-1)</f>
        <v>0.636297279505121</v>
      </c>
      <c r="P148" s="1">
        <f t="shared" si="481"/>
        <v>0.081287882107145</v>
      </c>
      <c r="Q148" s="1">
        <f t="shared" si="481"/>
        <v>0.349963503727816</v>
      </c>
      <c r="R148" s="1">
        <f t="shared" si="481"/>
        <v>1.05451891180205</v>
      </c>
      <c r="S148" s="1">
        <f t="shared" si="481"/>
        <v>0.227186463356657</v>
      </c>
      <c r="T148" s="1">
        <f t="shared" si="481"/>
        <v>2.53155939006997</v>
      </c>
      <c r="U148" s="1">
        <f t="shared" si="481"/>
        <v>1</v>
      </c>
      <c r="V148" s="1">
        <f t="shared" si="481"/>
        <v>1.14864558004148</v>
      </c>
      <c r="W148" s="1">
        <f t="shared" si="481"/>
        <v>1.43615129441639</v>
      </c>
      <c r="X148" s="1">
        <f t="shared" si="437"/>
        <v>1.46487867967343</v>
      </c>
      <c r="Y148" s="1">
        <f t="shared" si="438"/>
        <v>2.5032368083706</v>
      </c>
      <c r="Z148" s="1">
        <f t="shared" si="439"/>
        <v>95698.4605684844</v>
      </c>
      <c r="AA148" s="1">
        <f t="shared" si="440"/>
        <v>14672.2853667604</v>
      </c>
      <c r="AB148" s="1">
        <f t="shared" si="441"/>
        <v>9781.52357784029</v>
      </c>
      <c r="AC148" s="1">
        <f>AB148/(AB148+战斗公式!$M$27)</f>
        <v>0.289552469571168</v>
      </c>
      <c r="AD148" s="1">
        <f t="shared" si="442"/>
        <v>134701.658419053</v>
      </c>
      <c r="AE148" s="1">
        <f t="shared" si="443"/>
        <v>6.2671994970533</v>
      </c>
      <c r="AF148" s="1">
        <f t="shared" si="444"/>
        <v>3.6675263378175</v>
      </c>
      <c r="AG148" s="1">
        <f t="shared" si="445"/>
        <v>3.62446972692466</v>
      </c>
      <c r="AH148" s="1">
        <f t="shared" si="446"/>
        <v>0.66515022144643</v>
      </c>
      <c r="AI148" s="1">
        <f t="shared" si="447"/>
        <v>1.00107425691044</v>
      </c>
      <c r="AJ148" s="1">
        <f t="shared" si="448"/>
        <v>1.05123546418315</v>
      </c>
      <c r="AK148" s="1">
        <f t="shared" si="449"/>
        <v>1</v>
      </c>
      <c r="AL148" s="10">
        <f t="shared" si="450"/>
        <v>94575</v>
      </c>
      <c r="AM148" s="10">
        <f t="shared" si="451"/>
        <v>9759</v>
      </c>
      <c r="AN148" s="10">
        <f t="shared" si="452"/>
        <v>9782</v>
      </c>
      <c r="AO148" s="1">
        <f t="shared" si="453"/>
        <v>58180</v>
      </c>
      <c r="AP148" s="1">
        <f t="shared" si="454"/>
        <v>9759</v>
      </c>
      <c r="AR148" s="1">
        <f t="shared" ref="AR148:AX148" si="482">ROUNDUP(AR$10*$AO148,0)</f>
        <v>58180</v>
      </c>
      <c r="AS148" s="1">
        <f t="shared" si="482"/>
        <v>174540</v>
      </c>
      <c r="AT148" s="1">
        <f t="shared" si="482"/>
        <v>104724</v>
      </c>
      <c r="AU148" s="1">
        <f t="shared" si="482"/>
        <v>29090</v>
      </c>
      <c r="AV148" s="1">
        <f t="shared" si="482"/>
        <v>8727</v>
      </c>
      <c r="AW148" s="1">
        <f t="shared" si="482"/>
        <v>232720</v>
      </c>
      <c r="AX148" s="1">
        <f t="shared" si="482"/>
        <v>523620</v>
      </c>
      <c r="AY148" s="1">
        <f t="shared" si="456"/>
        <v>5680596</v>
      </c>
      <c r="AZ148" s="1">
        <f t="shared" si="457"/>
        <v>2840298</v>
      </c>
      <c r="BB148" s="1">
        <f t="shared" si="458"/>
        <v>137</v>
      </c>
    </row>
    <row r="149" spans="2:54">
      <c r="B149" s="4">
        <v>138</v>
      </c>
      <c r="C149" s="1">
        <f t="shared" ref="C149:I149" si="483">C$5+(C$6-C$5)*(POWER(C$7,$B149-1)-1)/(POWER(C$7,$B$3-1)-1)</f>
        <v>10903.9590374355</v>
      </c>
      <c r="D149" s="1">
        <f t="shared" si="483"/>
        <v>3271.18771123066</v>
      </c>
      <c r="E149" s="1">
        <f t="shared" si="483"/>
        <v>2180.7918074871</v>
      </c>
      <c r="F149" s="1">
        <f t="shared" si="483"/>
        <v>27604.9595884444</v>
      </c>
      <c r="G149" s="1">
        <f t="shared" si="483"/>
        <v>8281.48787653331</v>
      </c>
      <c r="H149" s="1">
        <f t="shared" si="483"/>
        <v>5520.99191768887</v>
      </c>
      <c r="I149" s="1">
        <f t="shared" si="483"/>
        <v>0</v>
      </c>
      <c r="J149" s="1">
        <f>标准模型!$I$65/1*$B149/$B$3</f>
        <v>0.9936</v>
      </c>
      <c r="K149" s="1">
        <f>J149*标准模型!$J$63</f>
        <v>0.9936</v>
      </c>
      <c r="L149" s="1">
        <f t="shared" si="433"/>
        <v>38508.9186258799</v>
      </c>
      <c r="M149" s="1">
        <f t="shared" si="434"/>
        <v>14802.9276976427</v>
      </c>
      <c r="N149" s="1">
        <f t="shared" si="435"/>
        <v>9868.61846509516</v>
      </c>
      <c r="O149" s="1">
        <f t="shared" ref="O149:W149" si="484">O$5+(O$6-O$5)*(POWER(O$7,$B149-1)-1)/(POWER(O$7,$B$3-1)-1)</f>
        <v>0.637299396735693</v>
      </c>
      <c r="P149" s="1">
        <f t="shared" si="484"/>
        <v>0.0819490710558353</v>
      </c>
      <c r="Q149" s="1">
        <f t="shared" si="484"/>
        <v>0.350514668204631</v>
      </c>
      <c r="R149" s="1">
        <f t="shared" si="484"/>
        <v>1.05491975869428</v>
      </c>
      <c r="S149" s="1">
        <f t="shared" si="484"/>
        <v>0.228489215756401</v>
      </c>
      <c r="T149" s="1">
        <f t="shared" si="484"/>
        <v>2.5354676472692</v>
      </c>
      <c r="U149" s="1">
        <f t="shared" si="484"/>
        <v>1</v>
      </c>
      <c r="V149" s="1">
        <f t="shared" si="484"/>
        <v>1.14973848738012</v>
      </c>
      <c r="W149" s="1">
        <f t="shared" si="484"/>
        <v>1.43935806955422</v>
      </c>
      <c r="X149" s="1">
        <f t="shared" si="437"/>
        <v>1.47526630569345</v>
      </c>
      <c r="Y149" s="1">
        <f t="shared" si="438"/>
        <v>2.52277300804479</v>
      </c>
      <c r="Z149" s="1">
        <f t="shared" si="439"/>
        <v>97149.2604783629</v>
      </c>
      <c r="AA149" s="1">
        <f t="shared" si="440"/>
        <v>14802.9276976427</v>
      </c>
      <c r="AB149" s="1">
        <f t="shared" si="441"/>
        <v>9868.61846509516</v>
      </c>
      <c r="AC149" s="1">
        <f>AB149/(AB149+战斗公式!$M$27)</f>
        <v>0.291379421787331</v>
      </c>
      <c r="AD149" s="1">
        <f t="shared" si="442"/>
        <v>137096.301554493</v>
      </c>
      <c r="AE149" s="1">
        <f t="shared" si="443"/>
        <v>6.27780320774556</v>
      </c>
      <c r="AF149" s="1">
        <f t="shared" si="444"/>
        <v>3.67113153527004</v>
      </c>
      <c r="AG149" s="1">
        <f t="shared" si="445"/>
        <v>3.63550385820378</v>
      </c>
      <c r="AH149" s="1">
        <f t="shared" si="446"/>
        <v>0.668219500431293</v>
      </c>
      <c r="AI149" s="1">
        <f t="shared" si="447"/>
        <v>1.00102054406448</v>
      </c>
      <c r="AJ149" s="1">
        <f t="shared" si="448"/>
        <v>1.0502100850921</v>
      </c>
      <c r="AK149" s="1">
        <f t="shared" si="449"/>
        <v>1</v>
      </c>
      <c r="AL149" s="10">
        <f t="shared" si="450"/>
        <v>96206</v>
      </c>
      <c r="AM149" s="10">
        <f t="shared" si="451"/>
        <v>9892</v>
      </c>
      <c r="AN149" s="10">
        <f t="shared" si="452"/>
        <v>9869</v>
      </c>
      <c r="AO149" s="1">
        <f t="shared" si="453"/>
        <v>59084</v>
      </c>
      <c r="AP149" s="1">
        <f t="shared" si="454"/>
        <v>9892</v>
      </c>
      <c r="AR149" s="1">
        <f t="shared" ref="AR149:AX149" si="485">ROUNDUP(AR$10*$AO149,0)</f>
        <v>59084</v>
      </c>
      <c r="AS149" s="1">
        <f t="shared" si="485"/>
        <v>177252</v>
      </c>
      <c r="AT149" s="1">
        <f t="shared" si="485"/>
        <v>106352</v>
      </c>
      <c r="AU149" s="1">
        <f t="shared" si="485"/>
        <v>29542</v>
      </c>
      <c r="AV149" s="1">
        <f t="shared" si="485"/>
        <v>8863</v>
      </c>
      <c r="AW149" s="1">
        <f t="shared" si="485"/>
        <v>236336</v>
      </c>
      <c r="AX149" s="1">
        <f t="shared" si="485"/>
        <v>531756</v>
      </c>
      <c r="AY149" s="1">
        <f t="shared" si="456"/>
        <v>5778251</v>
      </c>
      <c r="AZ149" s="1">
        <f t="shared" si="457"/>
        <v>2889125</v>
      </c>
      <c r="BB149" s="1">
        <f t="shared" si="458"/>
        <v>138</v>
      </c>
    </row>
    <row r="150" spans="2:54">
      <c r="B150" s="4">
        <v>139</v>
      </c>
      <c r="C150" s="1">
        <f t="shared" ref="C150:I150" si="486">C$5+(C$6-C$5)*(POWER(C$7,$B150-1)-1)/(POWER(C$7,$B$3-1)-1)</f>
        <v>10982.9678851104</v>
      </c>
      <c r="D150" s="1">
        <f t="shared" si="486"/>
        <v>3294.89036553312</v>
      </c>
      <c r="E150" s="1">
        <f t="shared" si="486"/>
        <v>2196.59357702208</v>
      </c>
      <c r="F150" s="1">
        <f t="shared" si="486"/>
        <v>27804.9819876212</v>
      </c>
      <c r="G150" s="1">
        <f t="shared" si="486"/>
        <v>8341.49459628637</v>
      </c>
      <c r="H150" s="1">
        <f t="shared" si="486"/>
        <v>5560.99639752425</v>
      </c>
      <c r="I150" s="1">
        <f t="shared" si="486"/>
        <v>0</v>
      </c>
      <c r="J150" s="1">
        <f>标准模型!$I$65/1*$B150/$B$3</f>
        <v>1.0008</v>
      </c>
      <c r="K150" s="1">
        <f>J150*标准模型!$J$63</f>
        <v>1.0008</v>
      </c>
      <c r="L150" s="1">
        <f t="shared" si="433"/>
        <v>38787.9498727316</v>
      </c>
      <c r="M150" s="1">
        <f t="shared" si="434"/>
        <v>14933.911239645</v>
      </c>
      <c r="N150" s="1">
        <f t="shared" si="435"/>
        <v>9955.94082643002</v>
      </c>
      <c r="O150" s="1">
        <f t="shared" ref="O150:W150" si="487">O$5+(O$6-O$5)*(POWER(O$7,$B150-1)-1)/(POWER(O$7,$B$3-1)-1)</f>
        <v>0.638301512964034</v>
      </c>
      <c r="P150" s="1">
        <f t="shared" si="487"/>
        <v>0.0826112517879487</v>
      </c>
      <c r="Q150" s="1">
        <f t="shared" si="487"/>
        <v>0.351065832130219</v>
      </c>
      <c r="R150" s="1">
        <f t="shared" si="487"/>
        <v>1.05532060518561</v>
      </c>
      <c r="S150" s="1">
        <f t="shared" si="487"/>
        <v>0.229791966853244</v>
      </c>
      <c r="T150" s="1">
        <f t="shared" si="487"/>
        <v>2.53937590055973</v>
      </c>
      <c r="U150" s="1">
        <f t="shared" si="487"/>
        <v>1</v>
      </c>
      <c r="V150" s="1">
        <f t="shared" si="487"/>
        <v>1.15083139362573</v>
      </c>
      <c r="W150" s="1">
        <f t="shared" si="487"/>
        <v>1.44256484148491</v>
      </c>
      <c r="X150" s="1">
        <f t="shared" si="437"/>
        <v>1.48571847557394</v>
      </c>
      <c r="Y150" s="1">
        <f t="shared" si="438"/>
        <v>2.54244533249017</v>
      </c>
      <c r="Z150" s="1">
        <f t="shared" si="439"/>
        <v>98616.2421107893</v>
      </c>
      <c r="AA150" s="1">
        <f t="shared" si="440"/>
        <v>14933.911239645</v>
      </c>
      <c r="AB150" s="1">
        <f t="shared" si="441"/>
        <v>9955.94082643002</v>
      </c>
      <c r="AC150" s="1">
        <f>AB150/(AB150+战斗公式!$M$27)</f>
        <v>0.293201736842488</v>
      </c>
      <c r="AD150" s="1">
        <f t="shared" si="442"/>
        <v>139525.303401619</v>
      </c>
      <c r="AE150" s="1">
        <f t="shared" si="443"/>
        <v>6.28843948244652</v>
      </c>
      <c r="AF150" s="1">
        <f t="shared" si="444"/>
        <v>3.67474989617521</v>
      </c>
      <c r="AG150" s="1">
        <f t="shared" si="445"/>
        <v>3.6464552334983</v>
      </c>
      <c r="AH150" s="1">
        <f t="shared" si="446"/>
        <v>0.671294917974126</v>
      </c>
      <c r="AI150" s="1">
        <f t="shared" si="447"/>
        <v>1.00096951686082</v>
      </c>
      <c r="AJ150" s="1">
        <f t="shared" si="448"/>
        <v>1.04920521358287</v>
      </c>
      <c r="AK150" s="1">
        <f t="shared" si="449"/>
        <v>1</v>
      </c>
      <c r="AL150" s="10">
        <f t="shared" si="450"/>
        <v>97857</v>
      </c>
      <c r="AM150" s="10">
        <f t="shared" si="451"/>
        <v>10025</v>
      </c>
      <c r="AN150" s="10">
        <f t="shared" si="452"/>
        <v>9956</v>
      </c>
      <c r="AO150" s="1">
        <f t="shared" si="453"/>
        <v>59998</v>
      </c>
      <c r="AP150" s="1">
        <f t="shared" si="454"/>
        <v>10025</v>
      </c>
      <c r="AR150" s="1">
        <f t="shared" ref="AR150:AX150" si="488">ROUNDUP(AR$10*$AO150,0)</f>
        <v>59998</v>
      </c>
      <c r="AS150" s="1">
        <f t="shared" si="488"/>
        <v>179994</v>
      </c>
      <c r="AT150" s="1">
        <f t="shared" si="488"/>
        <v>107997</v>
      </c>
      <c r="AU150" s="1">
        <f t="shared" si="488"/>
        <v>29999</v>
      </c>
      <c r="AV150" s="1">
        <f t="shared" si="488"/>
        <v>9000</v>
      </c>
      <c r="AW150" s="1">
        <f t="shared" si="488"/>
        <v>239992</v>
      </c>
      <c r="AX150" s="1">
        <f t="shared" si="488"/>
        <v>539982</v>
      </c>
      <c r="AY150" s="1">
        <f t="shared" si="456"/>
        <v>5877112</v>
      </c>
      <c r="AZ150" s="1">
        <f t="shared" si="457"/>
        <v>2938556</v>
      </c>
      <c r="BB150" s="1">
        <f t="shared" si="458"/>
        <v>139</v>
      </c>
    </row>
    <row r="151" spans="2:54">
      <c r="B151" s="4">
        <v>140</v>
      </c>
      <c r="C151" s="1">
        <f t="shared" ref="C151:I151" si="489">C$5+(C$6-C$5)*(POWER(C$7,$B151-1)-1)/(POWER(C$7,$B$3-1)-1)</f>
        <v>11061.9766537849</v>
      </c>
      <c r="D151" s="1">
        <f t="shared" si="489"/>
        <v>3318.59299613546</v>
      </c>
      <c r="E151" s="1">
        <f t="shared" si="489"/>
        <v>2212.39533075697</v>
      </c>
      <c r="F151" s="1">
        <f t="shared" si="489"/>
        <v>28005.0041867971</v>
      </c>
      <c r="G151" s="1">
        <f t="shared" si="489"/>
        <v>8401.50125603914</v>
      </c>
      <c r="H151" s="1">
        <f t="shared" si="489"/>
        <v>5601.00083735943</v>
      </c>
      <c r="I151" s="1">
        <f t="shared" si="489"/>
        <v>0</v>
      </c>
      <c r="J151" s="1">
        <f>标准模型!$I$65/1*$B151/$B$3</f>
        <v>1.008</v>
      </c>
      <c r="K151" s="1">
        <f>J151*标准模型!$J$63</f>
        <v>1.008</v>
      </c>
      <c r="L151" s="1">
        <f t="shared" si="433"/>
        <v>39066.980840582</v>
      </c>
      <c r="M151" s="1">
        <f t="shared" si="434"/>
        <v>15065.2359922791</v>
      </c>
      <c r="N151" s="1">
        <f t="shared" si="435"/>
        <v>10043.4906615194</v>
      </c>
      <c r="O151" s="1">
        <f t="shared" ref="O151:W151" si="490">O$5+(O$6-O$5)*(POWER(O$7,$B151-1)-1)/(POWER(O$7,$B$3-1)-1)</f>
        <v>0.639303628190366</v>
      </c>
      <c r="P151" s="1">
        <f t="shared" si="490"/>
        <v>0.0832744257911602</v>
      </c>
      <c r="Q151" s="1">
        <f t="shared" si="490"/>
        <v>0.351616995504702</v>
      </c>
      <c r="R151" s="1">
        <f t="shared" si="490"/>
        <v>1.05572145127615</v>
      </c>
      <c r="S151" s="1">
        <f t="shared" si="490"/>
        <v>0.231094716647476</v>
      </c>
      <c r="T151" s="1">
        <f t="shared" si="490"/>
        <v>2.54328414994243</v>
      </c>
      <c r="U151" s="1">
        <f t="shared" si="490"/>
        <v>1</v>
      </c>
      <c r="V151" s="1">
        <f t="shared" si="490"/>
        <v>1.15192429877855</v>
      </c>
      <c r="W151" s="1">
        <f t="shared" si="490"/>
        <v>1.44577161020917</v>
      </c>
      <c r="X151" s="1">
        <f t="shared" si="437"/>
        <v>1.49623553381586</v>
      </c>
      <c r="Y151" s="1">
        <f t="shared" si="438"/>
        <v>2.56225461109876</v>
      </c>
      <c r="Z151" s="1">
        <f t="shared" si="439"/>
        <v>100099.551800488</v>
      </c>
      <c r="AA151" s="1">
        <f t="shared" si="440"/>
        <v>15065.2359922791</v>
      </c>
      <c r="AB151" s="1">
        <f t="shared" si="441"/>
        <v>10043.4906615194</v>
      </c>
      <c r="AC151" s="1">
        <f>AB151/(AB151+战斗公式!$M$27)</f>
        <v>0.295019413883781</v>
      </c>
      <c r="AD151" s="1">
        <f t="shared" si="442"/>
        <v>141989.089872592</v>
      </c>
      <c r="AE151" s="1">
        <f t="shared" si="443"/>
        <v>6.29910825037895</v>
      </c>
      <c r="AF151" s="1">
        <f t="shared" si="444"/>
        <v>3.67838135786511</v>
      </c>
      <c r="AG151" s="1">
        <f t="shared" si="445"/>
        <v>3.65732447347812</v>
      </c>
      <c r="AH151" s="1">
        <f t="shared" si="446"/>
        <v>0.674376486352044</v>
      </c>
      <c r="AI151" s="1">
        <f t="shared" si="447"/>
        <v>1.00092104101734</v>
      </c>
      <c r="AJ151" s="1">
        <f t="shared" si="448"/>
        <v>1.04822043950382</v>
      </c>
      <c r="AK151" s="1">
        <f t="shared" si="449"/>
        <v>1</v>
      </c>
      <c r="AL151" s="10">
        <f t="shared" si="450"/>
        <v>99527</v>
      </c>
      <c r="AM151" s="10">
        <f t="shared" si="451"/>
        <v>10160</v>
      </c>
      <c r="AN151" s="10">
        <f t="shared" si="452"/>
        <v>10043</v>
      </c>
      <c r="AO151" s="1">
        <f t="shared" si="453"/>
        <v>60921</v>
      </c>
      <c r="AP151" s="1">
        <f t="shared" si="454"/>
        <v>10160</v>
      </c>
      <c r="AR151" s="1">
        <f t="shared" ref="AR151:AX151" si="491">ROUNDUP(AR$10*$AO151,0)</f>
        <v>60921</v>
      </c>
      <c r="AS151" s="1">
        <f t="shared" si="491"/>
        <v>182763</v>
      </c>
      <c r="AT151" s="1">
        <f t="shared" si="491"/>
        <v>109658</v>
      </c>
      <c r="AU151" s="1">
        <f t="shared" si="491"/>
        <v>30461</v>
      </c>
      <c r="AV151" s="1">
        <f t="shared" si="491"/>
        <v>9139</v>
      </c>
      <c r="AW151" s="1">
        <f t="shared" si="491"/>
        <v>243684</v>
      </c>
      <c r="AX151" s="1">
        <f t="shared" si="491"/>
        <v>548289</v>
      </c>
      <c r="AY151" s="1">
        <f t="shared" si="456"/>
        <v>5977120</v>
      </c>
      <c r="AZ151" s="1">
        <f t="shared" si="457"/>
        <v>2988560</v>
      </c>
      <c r="BB151" s="1">
        <f t="shared" si="458"/>
        <v>140</v>
      </c>
    </row>
    <row r="152" spans="2:54">
      <c r="B152" s="4">
        <v>141</v>
      </c>
      <c r="C152" s="1">
        <f t="shared" ref="C152:I152" si="492">C$5+(C$6-C$5)*(POWER(C$7,$B152-1)-1)/(POWER(C$7,$B$3-1)-1)</f>
        <v>11140.9853434502</v>
      </c>
      <c r="D152" s="1">
        <f t="shared" si="492"/>
        <v>3342.29560303506</v>
      </c>
      <c r="E152" s="1">
        <f t="shared" si="492"/>
        <v>2228.19706869004</v>
      </c>
      <c r="F152" s="1">
        <f t="shared" si="492"/>
        <v>28205.0261859499</v>
      </c>
      <c r="G152" s="1">
        <f t="shared" si="492"/>
        <v>8461.50785578497</v>
      </c>
      <c r="H152" s="1">
        <f t="shared" si="492"/>
        <v>5641.00523718998</v>
      </c>
      <c r="I152" s="1">
        <f t="shared" si="492"/>
        <v>0</v>
      </c>
      <c r="J152" s="1">
        <f>标准模型!$I$65/1*$B152/$B$3</f>
        <v>1.0152</v>
      </c>
      <c r="K152" s="1">
        <f>J152*标准模型!$J$63</f>
        <v>1.0152</v>
      </c>
      <c r="L152" s="1">
        <f t="shared" si="433"/>
        <v>39346.0115294001</v>
      </c>
      <c r="M152" s="1">
        <f t="shared" si="434"/>
        <v>15196.9019550212</v>
      </c>
      <c r="N152" s="1">
        <f t="shared" si="435"/>
        <v>10131.2679700141</v>
      </c>
      <c r="O152" s="1">
        <f t="shared" ref="O152:W152" si="493">O$5+(O$6-O$5)*(POWER(O$7,$B152-1)-1)/(POWER(O$7,$B$3-1)-1)</f>
        <v>0.640305742414579</v>
      </c>
      <c r="P152" s="1">
        <f t="shared" si="493"/>
        <v>0.0839385945553766</v>
      </c>
      <c r="Q152" s="1">
        <f t="shared" si="493"/>
        <v>0.352168158328018</v>
      </c>
      <c r="R152" s="1">
        <f t="shared" si="493"/>
        <v>1.05612229696583</v>
      </c>
      <c r="S152" s="1">
        <f t="shared" si="493"/>
        <v>0.232397465138952</v>
      </c>
      <c r="T152" s="1">
        <f t="shared" si="493"/>
        <v>2.54719239541686</v>
      </c>
      <c r="U152" s="1">
        <f t="shared" si="493"/>
        <v>1</v>
      </c>
      <c r="V152" s="1">
        <f t="shared" si="493"/>
        <v>1.15301720283846</v>
      </c>
      <c r="W152" s="1">
        <f t="shared" si="493"/>
        <v>1.44897837572665</v>
      </c>
      <c r="X152" s="1">
        <f t="shared" si="437"/>
        <v>1.50681782629691</v>
      </c>
      <c r="Y152" s="1">
        <f t="shared" si="438"/>
        <v>2.5822016773028</v>
      </c>
      <c r="Z152" s="1">
        <f t="shared" si="439"/>
        <v>101599.336966392</v>
      </c>
      <c r="AA152" s="1">
        <f t="shared" si="440"/>
        <v>15196.9019550212</v>
      </c>
      <c r="AB152" s="1">
        <f t="shared" si="441"/>
        <v>10131.2679700141</v>
      </c>
      <c r="AC152" s="1">
        <f>AB152/(AB152+战斗公式!$M$27)</f>
        <v>0.296832452252138</v>
      </c>
      <c r="AD152" s="1">
        <f t="shared" si="442"/>
        <v>144488.091482321</v>
      </c>
      <c r="AE152" s="1">
        <f t="shared" si="443"/>
        <v>6.30980944122255</v>
      </c>
      <c r="AF152" s="1">
        <f t="shared" si="444"/>
        <v>3.68202585806616</v>
      </c>
      <c r="AG152" s="1">
        <f t="shared" si="445"/>
        <v>3.66811219415808</v>
      </c>
      <c r="AH152" s="1">
        <f t="shared" si="446"/>
        <v>0.677464217866719</v>
      </c>
      <c r="AI152" s="1">
        <f t="shared" si="447"/>
        <v>1.00087498896603</v>
      </c>
      <c r="AJ152" s="1">
        <f t="shared" si="448"/>
        <v>1.04725536090636</v>
      </c>
      <c r="AK152" s="1">
        <f t="shared" si="449"/>
        <v>1</v>
      </c>
      <c r="AL152" s="10">
        <f t="shared" si="450"/>
        <v>101215</v>
      </c>
      <c r="AM152" s="10">
        <f t="shared" si="451"/>
        <v>10295</v>
      </c>
      <c r="AN152" s="10">
        <f t="shared" si="452"/>
        <v>10131</v>
      </c>
      <c r="AO152" s="1">
        <f t="shared" si="453"/>
        <v>61854</v>
      </c>
      <c r="AP152" s="1">
        <f t="shared" si="454"/>
        <v>10295</v>
      </c>
      <c r="AR152" s="1">
        <f t="shared" ref="AR152:AX152" si="494">ROUNDUP(AR$10*$AO152,0)</f>
        <v>61854</v>
      </c>
      <c r="AS152" s="1">
        <f t="shared" si="494"/>
        <v>185562</v>
      </c>
      <c r="AT152" s="1">
        <f t="shared" si="494"/>
        <v>111338</v>
      </c>
      <c r="AU152" s="1">
        <f t="shared" si="494"/>
        <v>30927</v>
      </c>
      <c r="AV152" s="1">
        <f t="shared" si="494"/>
        <v>9279</v>
      </c>
      <c r="AW152" s="1">
        <f t="shared" si="494"/>
        <v>247416</v>
      </c>
      <c r="AX152" s="1">
        <f t="shared" si="494"/>
        <v>556686</v>
      </c>
      <c r="AY152" s="1">
        <f t="shared" si="456"/>
        <v>6078214</v>
      </c>
      <c r="AZ152" s="1">
        <f t="shared" si="457"/>
        <v>3039107</v>
      </c>
      <c r="BB152" s="1">
        <f t="shared" si="458"/>
        <v>141</v>
      </c>
    </row>
    <row r="153" spans="2:54">
      <c r="B153" s="4">
        <v>142</v>
      </c>
      <c r="C153" s="1">
        <f t="shared" ref="C153:I153" si="495">C$5+(C$6-C$5)*(POWER(C$7,$B153-1)-1)/(POWER(C$7,$B$3-1)-1)</f>
        <v>11219.9939540976</v>
      </c>
      <c r="D153" s="1">
        <f t="shared" si="495"/>
        <v>3365.99818622928</v>
      </c>
      <c r="E153" s="1">
        <f t="shared" si="495"/>
        <v>2243.99879081952</v>
      </c>
      <c r="F153" s="1">
        <f t="shared" si="495"/>
        <v>28405.0479850573</v>
      </c>
      <c r="G153" s="1">
        <f t="shared" si="495"/>
        <v>8521.51439551717</v>
      </c>
      <c r="H153" s="1">
        <f t="shared" si="495"/>
        <v>5681.00959701145</v>
      </c>
      <c r="I153" s="1">
        <f t="shared" si="495"/>
        <v>0</v>
      </c>
      <c r="J153" s="1">
        <f>标准模型!$I$65/1*$B153/$B$3</f>
        <v>1.0224</v>
      </c>
      <c r="K153" s="1">
        <f>J153*标准模型!$J$63</f>
        <v>1.0224</v>
      </c>
      <c r="L153" s="1">
        <f t="shared" si="433"/>
        <v>39625.0419391549</v>
      </c>
      <c r="M153" s="1">
        <f t="shared" si="434"/>
        <v>15328.9091273473</v>
      </c>
      <c r="N153" s="1">
        <f t="shared" si="435"/>
        <v>10219.2727515649</v>
      </c>
      <c r="O153" s="1">
        <f t="shared" ref="O153:W153" si="496">O$5+(O$6-O$5)*(POWER(O$7,$B153-1)-1)/(POWER(O$7,$B$3-1)-1)</f>
        <v>0.641307855636559</v>
      </c>
      <c r="P153" s="1">
        <f t="shared" si="496"/>
        <v>0.0846037595727392</v>
      </c>
      <c r="Q153" s="1">
        <f t="shared" si="496"/>
        <v>0.352719320600108</v>
      </c>
      <c r="R153" s="1">
        <f t="shared" si="496"/>
        <v>1.05652314225462</v>
      </c>
      <c r="S153" s="1">
        <f t="shared" si="496"/>
        <v>0.233700212327527</v>
      </c>
      <c r="T153" s="1">
        <f t="shared" si="496"/>
        <v>2.55110063698258</v>
      </c>
      <c r="U153" s="1">
        <f t="shared" si="496"/>
        <v>1</v>
      </c>
      <c r="V153" s="1">
        <f t="shared" si="496"/>
        <v>1.15411010580534</v>
      </c>
      <c r="W153" s="1">
        <f t="shared" si="496"/>
        <v>1.45218513803699</v>
      </c>
      <c r="X153" s="1">
        <f t="shared" si="437"/>
        <v>1.51746570027804</v>
      </c>
      <c r="Y153" s="1">
        <f t="shared" si="438"/>
        <v>2.60228736859476</v>
      </c>
      <c r="Z153" s="1">
        <f t="shared" si="439"/>
        <v>103115.7461183</v>
      </c>
      <c r="AA153" s="1">
        <f t="shared" si="440"/>
        <v>15328.9091273473</v>
      </c>
      <c r="AB153" s="1">
        <f t="shared" si="441"/>
        <v>10219.2727515649</v>
      </c>
      <c r="AC153" s="1">
        <f>AB153/(AB153+战斗公式!$M$27)</f>
        <v>0.298640851480326</v>
      </c>
      <c r="AD153" s="1">
        <f t="shared" si="442"/>
        <v>147022.743391801</v>
      </c>
      <c r="AE153" s="1">
        <f t="shared" si="443"/>
        <v>6.32054298511622</v>
      </c>
      <c r="AF153" s="1">
        <f t="shared" si="444"/>
        <v>3.68568333489861</v>
      </c>
      <c r="AG153" s="1">
        <f t="shared" si="445"/>
        <v>3.67881900693295</v>
      </c>
      <c r="AH153" s="1">
        <f t="shared" si="446"/>
        <v>0.680558124844422</v>
      </c>
      <c r="AI153" s="1">
        <f t="shared" si="447"/>
        <v>1.00083123951729</v>
      </c>
      <c r="AJ153" s="1">
        <f t="shared" si="448"/>
        <v>1.04630958388084</v>
      </c>
      <c r="AK153" s="1">
        <f t="shared" si="449"/>
        <v>1</v>
      </c>
      <c r="AL153" s="10">
        <f t="shared" si="450"/>
        <v>102924</v>
      </c>
      <c r="AM153" s="10">
        <f t="shared" si="451"/>
        <v>10432</v>
      </c>
      <c r="AN153" s="10">
        <f t="shared" si="452"/>
        <v>10219</v>
      </c>
      <c r="AO153" s="1">
        <f t="shared" si="453"/>
        <v>62797</v>
      </c>
      <c r="AP153" s="1">
        <f t="shared" si="454"/>
        <v>10432</v>
      </c>
      <c r="AR153" s="1">
        <f t="shared" ref="AR153:AX153" si="497">ROUNDUP(AR$10*$AO153,0)</f>
        <v>62797</v>
      </c>
      <c r="AS153" s="1">
        <f t="shared" si="497"/>
        <v>188391</v>
      </c>
      <c r="AT153" s="1">
        <f t="shared" si="497"/>
        <v>113035</v>
      </c>
      <c r="AU153" s="1">
        <f t="shared" si="497"/>
        <v>31399</v>
      </c>
      <c r="AV153" s="1">
        <f t="shared" si="497"/>
        <v>9420</v>
      </c>
      <c r="AW153" s="1">
        <f t="shared" si="497"/>
        <v>251188</v>
      </c>
      <c r="AX153" s="1">
        <f t="shared" si="497"/>
        <v>565173</v>
      </c>
      <c r="AY153" s="1">
        <f t="shared" si="456"/>
        <v>6180573</v>
      </c>
      <c r="AZ153" s="1">
        <f t="shared" si="457"/>
        <v>3090287</v>
      </c>
      <c r="BB153" s="1">
        <f t="shared" si="458"/>
        <v>142</v>
      </c>
    </row>
    <row r="154" spans="2:54">
      <c r="B154" s="4">
        <v>143</v>
      </c>
      <c r="C154" s="1">
        <f t="shared" ref="C154:I154" si="498">C$5+(C$6-C$5)*(POWER(C$7,$B154-1)-1)/(POWER(C$7,$B$3-1)-1)</f>
        <v>11299.0024857446</v>
      </c>
      <c r="D154" s="1">
        <f t="shared" si="498"/>
        <v>3389.70074572339</v>
      </c>
      <c r="E154" s="1">
        <f t="shared" si="498"/>
        <v>2259.80049714893</v>
      </c>
      <c r="F154" s="1">
        <f t="shared" si="498"/>
        <v>28605.0695841637</v>
      </c>
      <c r="G154" s="1">
        <f t="shared" si="498"/>
        <v>8581.5208752491</v>
      </c>
      <c r="H154" s="1">
        <f t="shared" si="498"/>
        <v>5721.01391683273</v>
      </c>
      <c r="I154" s="1">
        <f t="shared" si="498"/>
        <v>0</v>
      </c>
      <c r="J154" s="1">
        <f>标准模型!$I$65/1*$B154/$B$3</f>
        <v>1.0296</v>
      </c>
      <c r="K154" s="1">
        <f>J154*标准模型!$J$63</f>
        <v>1.0296</v>
      </c>
      <c r="L154" s="1">
        <f t="shared" si="433"/>
        <v>39904.0720699083</v>
      </c>
      <c r="M154" s="1">
        <f t="shared" si="434"/>
        <v>15461.2575087693</v>
      </c>
      <c r="N154" s="1">
        <f t="shared" si="435"/>
        <v>10307.5050058462</v>
      </c>
      <c r="O154" s="1">
        <f t="shared" ref="O154:W154" si="499">O$5+(O$6-O$5)*(POWER(O$7,$B154-1)-1)/(POWER(O$7,$B$3-1)-1)</f>
        <v>0.642309967856531</v>
      </c>
      <c r="P154" s="1">
        <f t="shared" si="499"/>
        <v>0.085269922337628</v>
      </c>
      <c r="Q154" s="1">
        <f t="shared" si="499"/>
        <v>0.353270482321092</v>
      </c>
      <c r="R154" s="1">
        <f t="shared" si="499"/>
        <v>1.05692398714261</v>
      </c>
      <c r="S154" s="1">
        <f t="shared" si="499"/>
        <v>0.235002958213491</v>
      </c>
      <c r="T154" s="1">
        <f t="shared" si="499"/>
        <v>2.55500887464047</v>
      </c>
      <c r="U154" s="1">
        <f t="shared" si="499"/>
        <v>1</v>
      </c>
      <c r="V154" s="1">
        <f t="shared" si="499"/>
        <v>1.15520300767943</v>
      </c>
      <c r="W154" s="1">
        <f t="shared" si="499"/>
        <v>1.4553918971409</v>
      </c>
      <c r="X154" s="1">
        <f t="shared" si="437"/>
        <v>1.52817950441</v>
      </c>
      <c r="Y154" s="1">
        <f t="shared" si="438"/>
        <v>2.62251252654772</v>
      </c>
      <c r="Z154" s="1">
        <f t="shared" si="439"/>
        <v>104648.928863598</v>
      </c>
      <c r="AA154" s="1">
        <f t="shared" si="440"/>
        <v>15461.2575087693</v>
      </c>
      <c r="AB154" s="1">
        <f t="shared" si="441"/>
        <v>10307.5050058462</v>
      </c>
      <c r="AC154" s="1">
        <f>AB154/(AB154+战斗公式!$M$27)</f>
        <v>0.30044461129102</v>
      </c>
      <c r="AD154" s="1">
        <f t="shared" si="442"/>
        <v>149593.485451846</v>
      </c>
      <c r="AE154" s="1">
        <f t="shared" si="443"/>
        <v>6.33130881266027</v>
      </c>
      <c r="AF154" s="1">
        <f t="shared" si="444"/>
        <v>3.68935372687602</v>
      </c>
      <c r="AG154" s="1">
        <f t="shared" si="445"/>
        <v>3.68944551861201</v>
      </c>
      <c r="AH154" s="1">
        <f t="shared" si="446"/>
        <v>0.683658219636081</v>
      </c>
      <c r="AI154" s="1">
        <f t="shared" si="447"/>
        <v>1.00078967754098</v>
      </c>
      <c r="AJ154" s="1">
        <f t="shared" si="448"/>
        <v>1.04538272239584</v>
      </c>
      <c r="AK154" s="1">
        <f t="shared" si="449"/>
        <v>1</v>
      </c>
      <c r="AL154" s="10">
        <f t="shared" si="450"/>
        <v>104652</v>
      </c>
      <c r="AM154" s="10">
        <f t="shared" si="451"/>
        <v>10570</v>
      </c>
      <c r="AN154" s="10">
        <f t="shared" si="452"/>
        <v>10308</v>
      </c>
      <c r="AO154" s="1">
        <f t="shared" si="453"/>
        <v>63750</v>
      </c>
      <c r="AP154" s="1">
        <f t="shared" si="454"/>
        <v>10570</v>
      </c>
      <c r="AR154" s="1">
        <f t="shared" ref="AR154:AX154" si="500">ROUNDUP(AR$10*$AO154,0)</f>
        <v>63750</v>
      </c>
      <c r="AS154" s="1">
        <f t="shared" si="500"/>
        <v>191250</v>
      </c>
      <c r="AT154" s="1">
        <f t="shared" si="500"/>
        <v>114750</v>
      </c>
      <c r="AU154" s="1">
        <f t="shared" si="500"/>
        <v>31875</v>
      </c>
      <c r="AV154" s="1">
        <f t="shared" si="500"/>
        <v>9563</v>
      </c>
      <c r="AW154" s="1">
        <f t="shared" si="500"/>
        <v>255000</v>
      </c>
      <c r="AX154" s="1">
        <f t="shared" si="500"/>
        <v>573750</v>
      </c>
      <c r="AY154" s="1">
        <f t="shared" si="456"/>
        <v>6284078</v>
      </c>
      <c r="AZ154" s="1">
        <f t="shared" si="457"/>
        <v>3142039</v>
      </c>
      <c r="BB154" s="1">
        <f t="shared" si="458"/>
        <v>143</v>
      </c>
    </row>
    <row r="155" spans="2:54">
      <c r="B155" s="4">
        <v>144</v>
      </c>
      <c r="C155" s="1">
        <f t="shared" ref="C155:I155" si="501">C$5+(C$6-C$5)*(POWER(C$7,$B155-1)-1)/(POWER(C$7,$B$3-1)-1)</f>
        <v>11378.0109383825</v>
      </c>
      <c r="D155" s="1">
        <f t="shared" si="501"/>
        <v>3413.40328151476</v>
      </c>
      <c r="E155" s="1">
        <f t="shared" si="501"/>
        <v>2275.6021876765</v>
      </c>
      <c r="F155" s="1">
        <f t="shared" si="501"/>
        <v>28805.0909832469</v>
      </c>
      <c r="G155" s="1">
        <f t="shared" si="501"/>
        <v>8641.52729497407</v>
      </c>
      <c r="H155" s="1">
        <f t="shared" si="501"/>
        <v>5761.01819664938</v>
      </c>
      <c r="I155" s="1">
        <f t="shared" si="501"/>
        <v>0</v>
      </c>
      <c r="J155" s="1">
        <f>标准模型!$I$65/1*$B155/$B$3</f>
        <v>1.0368</v>
      </c>
      <c r="K155" s="1">
        <f>J155*标准模型!$J$63</f>
        <v>1.0368</v>
      </c>
      <c r="L155" s="1">
        <f t="shared" si="433"/>
        <v>40183.1019216294</v>
      </c>
      <c r="M155" s="1">
        <f t="shared" si="434"/>
        <v>15593.9470987633</v>
      </c>
      <c r="N155" s="1">
        <f t="shared" si="435"/>
        <v>10395.9647325089</v>
      </c>
      <c r="O155" s="1">
        <f t="shared" ref="O155:W155" si="502">O$5+(O$6-O$5)*(POWER(O$7,$B155-1)-1)/(POWER(O$7,$B$3-1)-1)</f>
        <v>0.643312079074383</v>
      </c>
      <c r="P155" s="1">
        <f t="shared" si="502"/>
        <v>0.085937084346664</v>
      </c>
      <c r="Q155" s="1">
        <f t="shared" si="502"/>
        <v>0.353821643490911</v>
      </c>
      <c r="R155" s="1">
        <f t="shared" si="502"/>
        <v>1.05732483162975</v>
      </c>
      <c r="S155" s="1">
        <f t="shared" si="502"/>
        <v>0.236305702796698</v>
      </c>
      <c r="T155" s="1">
        <f t="shared" si="502"/>
        <v>2.55891710839009</v>
      </c>
      <c r="U155" s="1">
        <f t="shared" si="502"/>
        <v>1</v>
      </c>
      <c r="V155" s="1">
        <f t="shared" si="502"/>
        <v>1.15629590846061</v>
      </c>
      <c r="W155" s="1">
        <f t="shared" si="502"/>
        <v>1.45859865303803</v>
      </c>
      <c r="X155" s="1">
        <f t="shared" si="437"/>
        <v>1.53895958873069</v>
      </c>
      <c r="Y155" s="1">
        <f t="shared" si="438"/>
        <v>2.64287799681713</v>
      </c>
      <c r="Z155" s="1">
        <f t="shared" si="439"/>
        <v>106199.035912535</v>
      </c>
      <c r="AA155" s="1">
        <f t="shared" si="440"/>
        <v>15593.9470987633</v>
      </c>
      <c r="AB155" s="1">
        <f t="shared" si="441"/>
        <v>10395.9647325089</v>
      </c>
      <c r="AC155" s="1">
        <f>AB155/(AB155+战斗公式!$M$27)</f>
        <v>0.302243731593412</v>
      </c>
      <c r="AD155" s="1">
        <f t="shared" si="442"/>
        <v>152200.762244749</v>
      </c>
      <c r="AE155" s="1">
        <f t="shared" si="443"/>
        <v>6.34210685489907</v>
      </c>
      <c r="AF155" s="1">
        <f t="shared" si="444"/>
        <v>3.69303697289697</v>
      </c>
      <c r="AG155" s="1">
        <f t="shared" si="445"/>
        <v>3.69999233145347</v>
      </c>
      <c r="AH155" s="1">
        <f t="shared" si="446"/>
        <v>0.686764514617324</v>
      </c>
      <c r="AI155" s="1">
        <f t="shared" si="447"/>
        <v>1.00075019366349</v>
      </c>
      <c r="AJ155" s="1">
        <f t="shared" si="448"/>
        <v>1.04447439814053</v>
      </c>
      <c r="AK155" s="1">
        <f t="shared" si="449"/>
        <v>1</v>
      </c>
      <c r="AL155" s="10">
        <f t="shared" si="450"/>
        <v>106399</v>
      </c>
      <c r="AM155" s="10">
        <f t="shared" si="451"/>
        <v>10709</v>
      </c>
      <c r="AN155" s="10">
        <f t="shared" si="452"/>
        <v>10396</v>
      </c>
      <c r="AO155" s="1">
        <f t="shared" si="453"/>
        <v>64712</v>
      </c>
      <c r="AP155" s="1">
        <f t="shared" si="454"/>
        <v>10709</v>
      </c>
      <c r="AR155" s="1">
        <f t="shared" ref="AR155:AX155" si="503">ROUNDUP(AR$10*$AO155,0)</f>
        <v>64712</v>
      </c>
      <c r="AS155" s="1">
        <f t="shared" si="503"/>
        <v>194136</v>
      </c>
      <c r="AT155" s="1">
        <f t="shared" si="503"/>
        <v>116482</v>
      </c>
      <c r="AU155" s="1">
        <f t="shared" si="503"/>
        <v>32356</v>
      </c>
      <c r="AV155" s="1">
        <f t="shared" si="503"/>
        <v>9707</v>
      </c>
      <c r="AW155" s="1">
        <f t="shared" si="503"/>
        <v>258848</v>
      </c>
      <c r="AX155" s="1">
        <f t="shared" si="503"/>
        <v>582408</v>
      </c>
      <c r="AY155" s="1">
        <f t="shared" si="456"/>
        <v>6388729</v>
      </c>
      <c r="AZ155" s="1">
        <f t="shared" si="457"/>
        <v>3194365</v>
      </c>
      <c r="BB155" s="1">
        <f t="shared" si="458"/>
        <v>144</v>
      </c>
    </row>
    <row r="156" spans="2:54">
      <c r="B156" s="4">
        <v>145</v>
      </c>
      <c r="C156" s="1">
        <f t="shared" ref="C156:I156" si="504">C$5+(C$6-C$5)*(POWER(C$7,$B156-1)-1)/(POWER(C$7,$B$3-1)-1)</f>
        <v>11457.0193120112</v>
      </c>
      <c r="D156" s="1">
        <f t="shared" si="504"/>
        <v>3437.10579360337</v>
      </c>
      <c r="E156" s="1">
        <f t="shared" si="504"/>
        <v>2291.40386240225</v>
      </c>
      <c r="F156" s="1">
        <f t="shared" si="504"/>
        <v>29005.112182307</v>
      </c>
      <c r="G156" s="1">
        <f t="shared" si="504"/>
        <v>8701.53365469209</v>
      </c>
      <c r="H156" s="1">
        <f t="shared" si="504"/>
        <v>5801.02243646139</v>
      </c>
      <c r="I156" s="1">
        <f t="shared" si="504"/>
        <v>0</v>
      </c>
      <c r="J156" s="1">
        <f>标准模型!$I$65/1*$B156/$B$3</f>
        <v>1.044</v>
      </c>
      <c r="K156" s="1">
        <f>J156*标准模型!$J$63</f>
        <v>1.044</v>
      </c>
      <c r="L156" s="1">
        <f t="shared" si="433"/>
        <v>40462.1314943183</v>
      </c>
      <c r="M156" s="1">
        <f t="shared" si="434"/>
        <v>15726.9778968174</v>
      </c>
      <c r="N156" s="1">
        <f t="shared" si="435"/>
        <v>10484.6519312116</v>
      </c>
      <c r="O156" s="1">
        <f t="shared" ref="O156:W156" si="505">O$5+(O$6-O$5)*(POWER(O$7,$B156-1)-1)/(POWER(O$7,$B$3-1)-1)</f>
        <v>0.644314189290115</v>
      </c>
      <c r="P156" s="1">
        <f t="shared" si="505"/>
        <v>0.0866052470987136</v>
      </c>
      <c r="Q156" s="1">
        <f t="shared" si="505"/>
        <v>0.354372804109563</v>
      </c>
      <c r="R156" s="1">
        <f t="shared" si="505"/>
        <v>1.05772567571605</v>
      </c>
      <c r="S156" s="1">
        <f t="shared" si="505"/>
        <v>0.23760844607715</v>
      </c>
      <c r="T156" s="1">
        <f t="shared" si="505"/>
        <v>2.56282533823145</v>
      </c>
      <c r="U156" s="1">
        <f t="shared" si="505"/>
        <v>1</v>
      </c>
      <c r="V156" s="1">
        <f t="shared" si="505"/>
        <v>1.15738880814888</v>
      </c>
      <c r="W156" s="1">
        <f t="shared" si="505"/>
        <v>1.46180540572837</v>
      </c>
      <c r="X156" s="1">
        <f t="shared" si="437"/>
        <v>1.54980630467271</v>
      </c>
      <c r="Y156" s="1">
        <f t="shared" si="438"/>
        <v>2.66338462916319</v>
      </c>
      <c r="Z156" s="1">
        <f t="shared" si="439"/>
        <v>107766.219085147</v>
      </c>
      <c r="AA156" s="1">
        <f t="shared" si="440"/>
        <v>15726.9778968174</v>
      </c>
      <c r="AB156" s="1">
        <f t="shared" si="441"/>
        <v>10484.6519312116</v>
      </c>
      <c r="AC156" s="1">
        <f>AB156/(AB156+战斗公式!$M$27)</f>
        <v>0.30403821248148</v>
      </c>
      <c r="AD156" s="1">
        <f t="shared" si="442"/>
        <v>154845.023128916</v>
      </c>
      <c r="AE156" s="1">
        <f t="shared" si="443"/>
        <v>6.35293704332555</v>
      </c>
      <c r="AF156" s="1">
        <f t="shared" si="444"/>
        <v>3.69673301224548</v>
      </c>
      <c r="AG156" s="1">
        <f t="shared" si="445"/>
        <v>3.71046004319862</v>
      </c>
      <c r="AH156" s="1">
        <f t="shared" si="446"/>
        <v>0.689877022188528</v>
      </c>
      <c r="AI156" s="1">
        <f t="shared" si="447"/>
        <v>1.00071268397988</v>
      </c>
      <c r="AJ156" s="1">
        <f t="shared" si="448"/>
        <v>1.04358424037033</v>
      </c>
      <c r="AK156" s="1">
        <f t="shared" si="449"/>
        <v>1</v>
      </c>
      <c r="AL156" s="10">
        <f t="shared" si="450"/>
        <v>108166</v>
      </c>
      <c r="AM156" s="10">
        <f t="shared" si="451"/>
        <v>10850</v>
      </c>
      <c r="AN156" s="10">
        <f t="shared" si="452"/>
        <v>10485</v>
      </c>
      <c r="AO156" s="1">
        <f t="shared" si="453"/>
        <v>65685</v>
      </c>
      <c r="AP156" s="1">
        <f t="shared" si="454"/>
        <v>10850</v>
      </c>
      <c r="AR156" s="1">
        <f t="shared" ref="AR156:AX156" si="506">ROUNDUP(AR$10*$AO156,0)</f>
        <v>65685</v>
      </c>
      <c r="AS156" s="1">
        <f t="shared" si="506"/>
        <v>197055</v>
      </c>
      <c r="AT156" s="1">
        <f t="shared" si="506"/>
        <v>118233</v>
      </c>
      <c r="AU156" s="1">
        <f t="shared" si="506"/>
        <v>32843</v>
      </c>
      <c r="AV156" s="1">
        <f t="shared" si="506"/>
        <v>9853</v>
      </c>
      <c r="AW156" s="1">
        <f t="shared" si="506"/>
        <v>262740</v>
      </c>
      <c r="AX156" s="1">
        <f t="shared" si="506"/>
        <v>591165</v>
      </c>
      <c r="AY156" s="1">
        <f t="shared" si="456"/>
        <v>6494585</v>
      </c>
      <c r="AZ156" s="1">
        <f t="shared" si="457"/>
        <v>3247293</v>
      </c>
      <c r="BB156" s="1">
        <f t="shared" si="458"/>
        <v>145</v>
      </c>
    </row>
    <row r="157" spans="2:54">
      <c r="B157" s="4">
        <v>146</v>
      </c>
      <c r="C157" s="1">
        <f t="shared" ref="C157:I157" si="507">C$5+(C$6-C$5)*(POWER(C$7,$B157-1)-1)/(POWER(C$7,$B$3-1)-1)</f>
        <v>11536.0276066308</v>
      </c>
      <c r="D157" s="1">
        <f t="shared" si="507"/>
        <v>3460.80828198925</v>
      </c>
      <c r="E157" s="1">
        <f t="shared" si="507"/>
        <v>2307.20552132617</v>
      </c>
      <c r="F157" s="1">
        <f t="shared" si="507"/>
        <v>29205.1331813439</v>
      </c>
      <c r="G157" s="1">
        <f t="shared" si="507"/>
        <v>8761.53995440316</v>
      </c>
      <c r="H157" s="1">
        <f t="shared" si="507"/>
        <v>5841.02663626877</v>
      </c>
      <c r="I157" s="1">
        <f t="shared" si="507"/>
        <v>0</v>
      </c>
      <c r="J157" s="1">
        <f>标准模型!$I$65/1*$B157/$B$3</f>
        <v>1.0512</v>
      </c>
      <c r="K157" s="1">
        <f>J157*标准模型!$J$63</f>
        <v>1.0512</v>
      </c>
      <c r="L157" s="1">
        <f t="shared" si="433"/>
        <v>40741.1607879747</v>
      </c>
      <c r="M157" s="1">
        <f t="shared" si="434"/>
        <v>15860.3499024195</v>
      </c>
      <c r="N157" s="1">
        <f t="shared" si="435"/>
        <v>10573.566601613</v>
      </c>
      <c r="O157" s="1">
        <f t="shared" ref="O157:W157" si="508">O$5+(O$6-O$5)*(POWER(O$7,$B157-1)-1)/(POWER(O$7,$B$3-1)-1)</f>
        <v>0.645316298503727</v>
      </c>
      <c r="P157" s="1">
        <f t="shared" si="508"/>
        <v>0.0872744120948913</v>
      </c>
      <c r="Q157" s="1">
        <f t="shared" si="508"/>
        <v>0.35492396417705</v>
      </c>
      <c r="R157" s="1">
        <f t="shared" si="508"/>
        <v>1.05812651940149</v>
      </c>
      <c r="S157" s="1">
        <f t="shared" si="508"/>
        <v>0.238911188054845</v>
      </c>
      <c r="T157" s="1">
        <f t="shared" si="508"/>
        <v>2.56673356416453</v>
      </c>
      <c r="U157" s="1">
        <f t="shared" si="508"/>
        <v>1</v>
      </c>
      <c r="V157" s="1">
        <f t="shared" si="508"/>
        <v>1.15848170674424</v>
      </c>
      <c r="W157" s="1">
        <f t="shared" si="508"/>
        <v>1.46501215521193</v>
      </c>
      <c r="X157" s="1">
        <f t="shared" si="437"/>
        <v>1.56072000506588</v>
      </c>
      <c r="Y157" s="1">
        <f t="shared" si="438"/>
        <v>2.68403327746297</v>
      </c>
      <c r="Z157" s="1">
        <f t="shared" si="439"/>
        <v>109350.631317394</v>
      </c>
      <c r="AA157" s="1">
        <f t="shared" si="440"/>
        <v>15860.3499024195</v>
      </c>
      <c r="AB157" s="1">
        <f t="shared" si="441"/>
        <v>10573.566601613</v>
      </c>
      <c r="AC157" s="1">
        <f>AB157/(AB157+战斗公式!$M$27)</f>
        <v>0.305828054231457</v>
      </c>
      <c r="AD157" s="1">
        <f t="shared" si="442"/>
        <v>157526.722282514</v>
      </c>
      <c r="AE157" s="1">
        <f t="shared" si="443"/>
        <v>6.36379930987502</v>
      </c>
      <c r="AF157" s="1">
        <f t="shared" si="444"/>
        <v>3.70044178458717</v>
      </c>
      <c r="AG157" s="1">
        <f t="shared" si="445"/>
        <v>3.72084924710568</v>
      </c>
      <c r="AH157" s="1">
        <f t="shared" si="446"/>
        <v>0.692995754774876</v>
      </c>
      <c r="AI157" s="1">
        <f t="shared" si="447"/>
        <v>1.00067704978044</v>
      </c>
      <c r="AJ157" s="1">
        <f t="shared" si="448"/>
        <v>1.04271188575554</v>
      </c>
      <c r="AK157" s="1">
        <f t="shared" si="449"/>
        <v>1</v>
      </c>
      <c r="AL157" s="10">
        <f t="shared" si="450"/>
        <v>109954</v>
      </c>
      <c r="AM157" s="10">
        <f t="shared" si="451"/>
        <v>10991</v>
      </c>
      <c r="AN157" s="10">
        <f t="shared" si="452"/>
        <v>10574</v>
      </c>
      <c r="AO157" s="1">
        <f t="shared" si="453"/>
        <v>66667</v>
      </c>
      <c r="AP157" s="1">
        <f t="shared" si="454"/>
        <v>10991</v>
      </c>
      <c r="AR157" s="1">
        <f t="shared" ref="AR157:AX157" si="509">ROUNDUP(AR$10*$AO157,0)</f>
        <v>66667</v>
      </c>
      <c r="AS157" s="1">
        <f t="shared" si="509"/>
        <v>200001</v>
      </c>
      <c r="AT157" s="1">
        <f t="shared" si="509"/>
        <v>120001</v>
      </c>
      <c r="AU157" s="1">
        <f t="shared" si="509"/>
        <v>33334</v>
      </c>
      <c r="AV157" s="1">
        <f t="shared" si="509"/>
        <v>10001</v>
      </c>
      <c r="AW157" s="1">
        <f t="shared" si="509"/>
        <v>266668</v>
      </c>
      <c r="AX157" s="1">
        <f t="shared" si="509"/>
        <v>600003</v>
      </c>
      <c r="AY157" s="1">
        <f t="shared" si="456"/>
        <v>6601707</v>
      </c>
      <c r="AZ157" s="1">
        <f t="shared" si="457"/>
        <v>3300853</v>
      </c>
      <c r="BB157" s="1">
        <f t="shared" si="458"/>
        <v>146</v>
      </c>
    </row>
    <row r="158" spans="2:54">
      <c r="B158" s="4">
        <v>147</v>
      </c>
      <c r="C158" s="1">
        <f t="shared" ref="C158:I158" si="510">C$5+(C$6-C$5)*(POWER(C$7,$B158-1)-1)/(POWER(C$7,$B$3-1)-1)</f>
        <v>11615.0358222412</v>
      </c>
      <c r="D158" s="1">
        <f t="shared" si="510"/>
        <v>3484.51074667237</v>
      </c>
      <c r="E158" s="1">
        <f t="shared" si="510"/>
        <v>2323.00716444825</v>
      </c>
      <c r="F158" s="1">
        <f t="shared" si="510"/>
        <v>29405.1539803576</v>
      </c>
      <c r="G158" s="1">
        <f t="shared" si="510"/>
        <v>8821.54619410728</v>
      </c>
      <c r="H158" s="1">
        <f t="shared" si="510"/>
        <v>5881.03079607152</v>
      </c>
      <c r="I158" s="1">
        <f t="shared" si="510"/>
        <v>0</v>
      </c>
      <c r="J158" s="1">
        <f>标准模型!$I$65/1*$B158/$B$3</f>
        <v>1.0584</v>
      </c>
      <c r="K158" s="1">
        <f>J158*标准模型!$J$63</f>
        <v>1.0584</v>
      </c>
      <c r="L158" s="1">
        <f t="shared" si="433"/>
        <v>41020.1898025988</v>
      </c>
      <c r="M158" s="1">
        <f t="shared" si="434"/>
        <v>15994.0631150577</v>
      </c>
      <c r="N158" s="1">
        <f t="shared" si="435"/>
        <v>10662.7087433718</v>
      </c>
      <c r="O158" s="1">
        <f t="shared" ref="O158:W158" si="511">O$5+(O$6-O$5)*(POWER(O$7,$B158-1)-1)/(POWER(O$7,$B$3-1)-1)</f>
        <v>0.646318406715218</v>
      </c>
      <c r="P158" s="1">
        <f t="shared" si="511"/>
        <v>0.0879445808385633</v>
      </c>
      <c r="Q158" s="1">
        <f t="shared" si="511"/>
        <v>0.35547512369337</v>
      </c>
      <c r="R158" s="1">
        <f t="shared" si="511"/>
        <v>1.05852736268609</v>
      </c>
      <c r="S158" s="1">
        <f t="shared" si="511"/>
        <v>0.240213928729784</v>
      </c>
      <c r="T158" s="1">
        <f t="shared" si="511"/>
        <v>2.57064178618935</v>
      </c>
      <c r="U158" s="1">
        <f t="shared" si="511"/>
        <v>1</v>
      </c>
      <c r="V158" s="1">
        <f t="shared" si="511"/>
        <v>1.15957460424668</v>
      </c>
      <c r="W158" s="1">
        <f t="shared" si="511"/>
        <v>1.4682189014887</v>
      </c>
      <c r="X158" s="1">
        <f t="shared" si="437"/>
        <v>1.57170104414074</v>
      </c>
      <c r="Y158" s="1">
        <f t="shared" si="438"/>
        <v>2.70482479972468</v>
      </c>
      <c r="Z158" s="1">
        <f t="shared" si="439"/>
        <v>110952.426667483</v>
      </c>
      <c r="AA158" s="1">
        <f t="shared" si="440"/>
        <v>15994.0631150577</v>
      </c>
      <c r="AB158" s="1">
        <f t="shared" si="441"/>
        <v>10662.7087433718</v>
      </c>
      <c r="AC158" s="1">
        <f>AB158/(AB158+战斗公式!$M$27)</f>
        <v>0.307613257299481</v>
      </c>
      <c r="AD158" s="1">
        <f t="shared" si="442"/>
        <v>160246.31874772</v>
      </c>
      <c r="AE158" s="1">
        <f t="shared" si="443"/>
        <v>6.37469358692085</v>
      </c>
      <c r="AF158" s="1">
        <f t="shared" si="444"/>
        <v>3.70416322996616</v>
      </c>
      <c r="AG158" s="1">
        <f t="shared" si="445"/>
        <v>3.73116053198344</v>
      </c>
      <c r="AH158" s="1">
        <f t="shared" si="446"/>
        <v>0.696120724826395</v>
      </c>
      <c r="AI158" s="1">
        <f t="shared" si="447"/>
        <v>1.00064319729098</v>
      </c>
      <c r="AJ158" s="1">
        <f t="shared" si="448"/>
        <v>1.04185697823304</v>
      </c>
      <c r="AK158" s="1">
        <f t="shared" si="449"/>
        <v>1</v>
      </c>
      <c r="AL158" s="10">
        <f t="shared" si="450"/>
        <v>111761</v>
      </c>
      <c r="AM158" s="10">
        <f t="shared" si="451"/>
        <v>11134</v>
      </c>
      <c r="AN158" s="10">
        <f t="shared" si="452"/>
        <v>10663</v>
      </c>
      <c r="AO158" s="1">
        <f t="shared" si="453"/>
        <v>67660</v>
      </c>
      <c r="AP158" s="1">
        <f t="shared" si="454"/>
        <v>11134</v>
      </c>
      <c r="AR158" s="1">
        <f t="shared" ref="AR158:AX158" si="512">ROUNDUP(AR$10*$AO158,0)</f>
        <v>67660</v>
      </c>
      <c r="AS158" s="1">
        <f t="shared" si="512"/>
        <v>202980</v>
      </c>
      <c r="AT158" s="1">
        <f t="shared" si="512"/>
        <v>121788</v>
      </c>
      <c r="AU158" s="1">
        <f t="shared" si="512"/>
        <v>33830</v>
      </c>
      <c r="AV158" s="1">
        <f t="shared" si="512"/>
        <v>10149</v>
      </c>
      <c r="AW158" s="1">
        <f t="shared" si="512"/>
        <v>270640</v>
      </c>
      <c r="AX158" s="1">
        <f t="shared" si="512"/>
        <v>608940</v>
      </c>
      <c r="AY158" s="1">
        <f t="shared" si="456"/>
        <v>6709973</v>
      </c>
      <c r="AZ158" s="1">
        <f t="shared" si="457"/>
        <v>3354987</v>
      </c>
      <c r="BB158" s="1">
        <f t="shared" si="458"/>
        <v>147</v>
      </c>
    </row>
    <row r="159" spans="2:54">
      <c r="B159" s="4">
        <v>148</v>
      </c>
      <c r="C159" s="1">
        <f t="shared" ref="C159:I159" si="513">C$5+(C$6-C$5)*(POWER(C$7,$B159-1)-1)/(POWER(C$7,$B$3-1)-1)</f>
        <v>11694.0439588425</v>
      </c>
      <c r="D159" s="1">
        <f t="shared" si="513"/>
        <v>3508.21318765276</v>
      </c>
      <c r="E159" s="1">
        <f t="shared" si="513"/>
        <v>2338.8087917685</v>
      </c>
      <c r="F159" s="1">
        <f t="shared" si="513"/>
        <v>29605.1745793482</v>
      </c>
      <c r="G159" s="1">
        <f t="shared" si="513"/>
        <v>8881.55237380445</v>
      </c>
      <c r="H159" s="1">
        <f t="shared" si="513"/>
        <v>5921.03491586963</v>
      </c>
      <c r="I159" s="1">
        <f t="shared" si="513"/>
        <v>0</v>
      </c>
      <c r="J159" s="1">
        <f>标准模型!$I$65/1*$B159/$B$3</f>
        <v>1.0656</v>
      </c>
      <c r="K159" s="1">
        <f>J159*标准模型!$J$63</f>
        <v>1.0656</v>
      </c>
      <c r="L159" s="1">
        <f t="shared" si="433"/>
        <v>41299.2185381907</v>
      </c>
      <c r="M159" s="1">
        <f t="shared" si="434"/>
        <v>16128.11753422</v>
      </c>
      <c r="N159" s="1">
        <f t="shared" si="435"/>
        <v>10752.0783561467</v>
      </c>
      <c r="O159" s="1">
        <f t="shared" ref="O159:W159" si="514">O$5+(O$6-O$5)*(POWER(O$7,$B159-1)-1)/(POWER(O$7,$B$3-1)-1)</f>
        <v>0.64732051392459</v>
      </c>
      <c r="P159" s="1">
        <f t="shared" si="514"/>
        <v>0.0886157548353507</v>
      </c>
      <c r="Q159" s="1">
        <f t="shared" si="514"/>
        <v>0.356026282658525</v>
      </c>
      <c r="R159" s="1">
        <f t="shared" si="514"/>
        <v>1.05892820556984</v>
      </c>
      <c r="S159" s="1">
        <f t="shared" si="514"/>
        <v>0.241516668101967</v>
      </c>
      <c r="T159" s="1">
        <f t="shared" si="514"/>
        <v>2.5745500043059</v>
      </c>
      <c r="U159" s="1">
        <f t="shared" si="514"/>
        <v>1</v>
      </c>
      <c r="V159" s="1">
        <f t="shared" si="514"/>
        <v>1.16066750065622</v>
      </c>
      <c r="W159" s="1">
        <f t="shared" si="514"/>
        <v>1.47142564455869</v>
      </c>
      <c r="X159" s="1">
        <f t="shared" si="437"/>
        <v>1.58274977753203</v>
      </c>
      <c r="Y159" s="1">
        <f t="shared" si="438"/>
        <v>2.72576005810195</v>
      </c>
      <c r="Z159" s="1">
        <f t="shared" si="439"/>
        <v>112571.760322224</v>
      </c>
      <c r="AA159" s="1">
        <f t="shared" si="440"/>
        <v>16128.11753422</v>
      </c>
      <c r="AB159" s="1">
        <f t="shared" si="441"/>
        <v>10752.0783561467</v>
      </c>
      <c r="AC159" s="1">
        <f>AB159/(AB159+战斗公式!$M$27)</f>
        <v>0.30939382231926</v>
      </c>
      <c r="AD159" s="1">
        <f t="shared" si="442"/>
        <v>163004.276475303</v>
      </c>
      <c r="AE159" s="1">
        <f t="shared" si="443"/>
        <v>6.38561980727056</v>
      </c>
      <c r="AF159" s="1">
        <f t="shared" si="444"/>
        <v>3.70789728880221</v>
      </c>
      <c r="AG159" s="1">
        <f t="shared" si="445"/>
        <v>3.74139448222462</v>
      </c>
      <c r="AH159" s="1">
        <f t="shared" si="446"/>
        <v>0.699251944818019</v>
      </c>
      <c r="AI159" s="1">
        <f t="shared" si="447"/>
        <v>1.00061103742599</v>
      </c>
      <c r="AJ159" s="1">
        <f t="shared" si="448"/>
        <v>1.04101916886099</v>
      </c>
      <c r="AK159" s="1">
        <f t="shared" si="449"/>
        <v>1</v>
      </c>
      <c r="AL159" s="10">
        <f t="shared" si="450"/>
        <v>113589</v>
      </c>
      <c r="AM159" s="10">
        <f t="shared" si="451"/>
        <v>11278</v>
      </c>
      <c r="AN159" s="10">
        <f t="shared" si="452"/>
        <v>10752</v>
      </c>
      <c r="AO159" s="1">
        <f t="shared" si="453"/>
        <v>68662</v>
      </c>
      <c r="AP159" s="1">
        <f t="shared" si="454"/>
        <v>11278</v>
      </c>
      <c r="AR159" s="1">
        <f t="shared" ref="AR159:AX159" si="515">ROUNDUP(AR$10*$AO159,0)</f>
        <v>68662</v>
      </c>
      <c r="AS159" s="1">
        <f t="shared" si="515"/>
        <v>205986</v>
      </c>
      <c r="AT159" s="1">
        <f t="shared" si="515"/>
        <v>123592</v>
      </c>
      <c r="AU159" s="1">
        <f t="shared" si="515"/>
        <v>34331</v>
      </c>
      <c r="AV159" s="1">
        <f t="shared" si="515"/>
        <v>10300</v>
      </c>
      <c r="AW159" s="1">
        <f t="shared" si="515"/>
        <v>274648</v>
      </c>
      <c r="AX159" s="1">
        <f t="shared" si="515"/>
        <v>617958</v>
      </c>
      <c r="AY159" s="1">
        <f t="shared" si="456"/>
        <v>6819504</v>
      </c>
      <c r="AZ159" s="1">
        <f t="shared" si="457"/>
        <v>3409752</v>
      </c>
      <c r="BB159" s="1">
        <f t="shared" si="458"/>
        <v>148</v>
      </c>
    </row>
    <row r="160" spans="2:54">
      <c r="B160" s="4">
        <v>149</v>
      </c>
      <c r="C160" s="1">
        <f t="shared" ref="C160:I160" si="516">C$5+(C$6-C$5)*(POWER(C$7,$B160-1)-1)/(POWER(C$7,$B$3-1)-1)</f>
        <v>11773.0520164434</v>
      </c>
      <c r="D160" s="1">
        <f t="shared" si="516"/>
        <v>3531.91560493302</v>
      </c>
      <c r="E160" s="1">
        <f t="shared" si="516"/>
        <v>2354.61040328868</v>
      </c>
      <c r="F160" s="1">
        <f t="shared" si="516"/>
        <v>29805.1949783378</v>
      </c>
      <c r="G160" s="1">
        <f t="shared" si="516"/>
        <v>8941.55849350133</v>
      </c>
      <c r="H160" s="1">
        <f t="shared" si="516"/>
        <v>5961.03899566755</v>
      </c>
      <c r="I160" s="1">
        <f t="shared" si="516"/>
        <v>0</v>
      </c>
      <c r="J160" s="1">
        <f>标准模型!$I$65/1*$B160/$B$3</f>
        <v>1.0728</v>
      </c>
      <c r="K160" s="1">
        <f>J160*标准模型!$J$63</f>
        <v>1.0728</v>
      </c>
      <c r="L160" s="1">
        <f t="shared" si="433"/>
        <v>41578.2469947812</v>
      </c>
      <c r="M160" s="1">
        <f t="shared" si="434"/>
        <v>16262.5131594065</v>
      </c>
      <c r="N160" s="1">
        <f t="shared" si="435"/>
        <v>10841.6754396043</v>
      </c>
      <c r="O160" s="1">
        <f t="shared" ref="O160:W160" si="517">O$5+(O$6-O$5)*(POWER(O$7,$B160-1)-1)/(POWER(O$7,$B$3-1)-1)</f>
        <v>0.648322620131953</v>
      </c>
      <c r="P160" s="1">
        <f t="shared" si="517"/>
        <v>0.0892879355931333</v>
      </c>
      <c r="Q160" s="1">
        <f t="shared" si="517"/>
        <v>0.356577441072574</v>
      </c>
      <c r="R160" s="1">
        <f t="shared" si="517"/>
        <v>1.05932904805278</v>
      </c>
      <c r="S160" s="1">
        <f t="shared" si="517"/>
        <v>0.242819406171539</v>
      </c>
      <c r="T160" s="1">
        <f t="shared" si="517"/>
        <v>2.57845821851462</v>
      </c>
      <c r="U160" s="1">
        <f t="shared" si="517"/>
        <v>1</v>
      </c>
      <c r="V160" s="1">
        <f t="shared" si="517"/>
        <v>1.16176039597297</v>
      </c>
      <c r="W160" s="1">
        <f t="shared" si="517"/>
        <v>1.47463238442225</v>
      </c>
      <c r="X160" s="1">
        <f t="shared" si="437"/>
        <v>1.59386656228333</v>
      </c>
      <c r="Y160" s="1">
        <f t="shared" si="438"/>
        <v>2.7468399189102</v>
      </c>
      <c r="Z160" s="1">
        <f t="shared" si="439"/>
        <v>114208.788603573</v>
      </c>
      <c r="AA160" s="1">
        <f t="shared" si="440"/>
        <v>16262.5131594065</v>
      </c>
      <c r="AB160" s="1">
        <f t="shared" si="441"/>
        <v>10841.6754396043</v>
      </c>
      <c r="AC160" s="1">
        <f>AB160/(AB160+战斗公式!$M$27)</f>
        <v>0.311169750099924</v>
      </c>
      <c r="AD160" s="1">
        <f t="shared" si="442"/>
        <v>165801.064369837</v>
      </c>
      <c r="AE160" s="1">
        <f t="shared" si="443"/>
        <v>6.39657790416396</v>
      </c>
      <c r="AF160" s="1">
        <f t="shared" si="444"/>
        <v>3.71164390188863</v>
      </c>
      <c r="AG160" s="1">
        <f t="shared" si="445"/>
        <v>3.75155167783899</v>
      </c>
      <c r="AH160" s="1">
        <f t="shared" si="446"/>
        <v>0.702389427249625</v>
      </c>
      <c r="AI160" s="1">
        <f t="shared" si="447"/>
        <v>1.00058048555425</v>
      </c>
      <c r="AJ160" s="1">
        <f t="shared" si="448"/>
        <v>1.04019811567638</v>
      </c>
      <c r="AK160" s="1">
        <f t="shared" si="449"/>
        <v>1</v>
      </c>
      <c r="AL160" s="10">
        <f t="shared" si="450"/>
        <v>115437</v>
      </c>
      <c r="AM160" s="10">
        <f t="shared" si="451"/>
        <v>11423</v>
      </c>
      <c r="AN160" s="10">
        <f t="shared" si="452"/>
        <v>10842</v>
      </c>
      <c r="AO160" s="1">
        <f t="shared" si="453"/>
        <v>69675</v>
      </c>
      <c r="AP160" s="1">
        <f t="shared" si="454"/>
        <v>11423</v>
      </c>
      <c r="AR160" s="1">
        <f t="shared" ref="AR160:AX160" si="518">ROUNDUP(AR$10*$AO160,0)</f>
        <v>69675</v>
      </c>
      <c r="AS160" s="1">
        <f t="shared" si="518"/>
        <v>209025</v>
      </c>
      <c r="AT160" s="1">
        <f t="shared" si="518"/>
        <v>125415</v>
      </c>
      <c r="AU160" s="1">
        <f t="shared" si="518"/>
        <v>34838</v>
      </c>
      <c r="AV160" s="1">
        <f t="shared" si="518"/>
        <v>10452</v>
      </c>
      <c r="AW160" s="1">
        <f t="shared" si="518"/>
        <v>278700</v>
      </c>
      <c r="AX160" s="1">
        <f t="shared" si="518"/>
        <v>627075</v>
      </c>
      <c r="AY160" s="1">
        <f t="shared" si="456"/>
        <v>6930241</v>
      </c>
      <c r="AZ160" s="1">
        <f t="shared" si="457"/>
        <v>3465120</v>
      </c>
      <c r="BB160" s="1">
        <f t="shared" si="458"/>
        <v>149</v>
      </c>
    </row>
    <row r="161" spans="2:54">
      <c r="B161" s="4">
        <v>150</v>
      </c>
      <c r="C161" s="1">
        <f t="shared" ref="C161:I161" si="519">C$5+(C$6-C$5)*(POWER(C$7,$B161-1)-1)/(POWER(C$7,$B$3-1)-1)</f>
        <v>11852.0599950264</v>
      </c>
      <c r="D161" s="1">
        <f t="shared" si="519"/>
        <v>3555.61799850792</v>
      </c>
      <c r="E161" s="1">
        <f t="shared" si="519"/>
        <v>2370.41199900528</v>
      </c>
      <c r="F161" s="1">
        <f t="shared" si="519"/>
        <v>30005.215177282</v>
      </c>
      <c r="G161" s="1">
        <f t="shared" si="519"/>
        <v>9001.5645531846</v>
      </c>
      <c r="H161" s="1">
        <f t="shared" si="519"/>
        <v>6001.0430354564</v>
      </c>
      <c r="I161" s="1">
        <f t="shared" si="519"/>
        <v>0</v>
      </c>
      <c r="J161" s="1">
        <f>标准模型!$I$65/1*$B161/$B$3</f>
        <v>1.08</v>
      </c>
      <c r="K161" s="1">
        <f>J161*标准模型!$J$63</f>
        <v>1.08</v>
      </c>
      <c r="L161" s="1">
        <f t="shared" si="433"/>
        <v>41857.2751723084</v>
      </c>
      <c r="M161" s="1">
        <f t="shared" si="434"/>
        <v>16397.2499900811</v>
      </c>
      <c r="N161" s="1">
        <f t="shared" si="435"/>
        <v>10931.4999933874</v>
      </c>
      <c r="O161" s="1">
        <f t="shared" ref="O161:W161" si="520">O$5+(O$6-O$5)*(POWER(O$7,$B161-1)-1)/(POWER(O$7,$B$3-1)-1)</f>
        <v>0.649324725337084</v>
      </c>
      <c r="P161" s="1">
        <f t="shared" si="520"/>
        <v>0.0899611246220526</v>
      </c>
      <c r="Q161" s="1">
        <f t="shared" si="520"/>
        <v>0.357128598935396</v>
      </c>
      <c r="R161" s="1">
        <f t="shared" si="520"/>
        <v>1.05972989013483</v>
      </c>
      <c r="S161" s="1">
        <f t="shared" si="520"/>
        <v>0.244122142938209</v>
      </c>
      <c r="T161" s="1">
        <f t="shared" si="520"/>
        <v>2.58236642881463</v>
      </c>
      <c r="U161" s="1">
        <f t="shared" si="520"/>
        <v>1</v>
      </c>
      <c r="V161" s="1">
        <f t="shared" si="520"/>
        <v>1.16285329019668</v>
      </c>
      <c r="W161" s="1">
        <f t="shared" si="520"/>
        <v>1.47783912107867</v>
      </c>
      <c r="X161" s="1">
        <f t="shared" si="437"/>
        <v>1.60505175684628</v>
      </c>
      <c r="Y161" s="1">
        <f t="shared" si="438"/>
        <v>2.76806525263248</v>
      </c>
      <c r="Z161" s="1">
        <f t="shared" si="439"/>
        <v>115863.668974343</v>
      </c>
      <c r="AA161" s="1">
        <f t="shared" si="440"/>
        <v>16397.2499900811</v>
      </c>
      <c r="AB161" s="1">
        <f t="shared" si="441"/>
        <v>10931.4999933874</v>
      </c>
      <c r="AC161" s="1">
        <f>AB161/(AB161+战斗公式!$M$27)</f>
        <v>0.312941041623083</v>
      </c>
      <c r="AD161" s="1">
        <f t="shared" si="442"/>
        <v>168637.156333796</v>
      </c>
      <c r="AE161" s="1">
        <f t="shared" si="443"/>
        <v>6.40756781126034</v>
      </c>
      <c r="AF161" s="1">
        <f t="shared" si="444"/>
        <v>3.71540301038581</v>
      </c>
      <c r="AG161" s="1">
        <f t="shared" si="445"/>
        <v>3.76163269448625</v>
      </c>
      <c r="AH161" s="1">
        <f t="shared" si="446"/>
        <v>0.705533184646094</v>
      </c>
      <c r="AI161" s="1">
        <f t="shared" si="447"/>
        <v>1.0005514612761</v>
      </c>
      <c r="AJ161" s="1">
        <f t="shared" si="448"/>
        <v>1.03939348355547</v>
      </c>
      <c r="AK161" s="1">
        <f t="shared" si="449"/>
        <v>1</v>
      </c>
      <c r="AL161" s="10">
        <f t="shared" si="450"/>
        <v>117305</v>
      </c>
      <c r="AM161" s="10">
        <f t="shared" si="451"/>
        <v>11569</v>
      </c>
      <c r="AN161" s="10">
        <f t="shared" si="452"/>
        <v>10931</v>
      </c>
      <c r="AO161" s="1">
        <f t="shared" si="453"/>
        <v>70699</v>
      </c>
      <c r="AP161" s="1">
        <f t="shared" si="454"/>
        <v>11569</v>
      </c>
      <c r="AR161" s="1">
        <f t="shared" ref="AR161:AX161" si="521">ROUNDUP(AR$10*$AO161,0)</f>
        <v>70699</v>
      </c>
      <c r="AS161" s="1">
        <f t="shared" si="521"/>
        <v>212097</v>
      </c>
      <c r="AT161" s="1">
        <f t="shared" si="521"/>
        <v>127259</v>
      </c>
      <c r="AU161" s="1">
        <f t="shared" si="521"/>
        <v>35350</v>
      </c>
      <c r="AV161" s="1">
        <f t="shared" si="521"/>
        <v>10605</v>
      </c>
      <c r="AW161" s="1">
        <f t="shared" si="521"/>
        <v>282796</v>
      </c>
      <c r="AX161" s="1">
        <f t="shared" si="521"/>
        <v>636291</v>
      </c>
      <c r="AY161" s="1">
        <f t="shared" si="456"/>
        <v>7042181</v>
      </c>
      <c r="AZ161" s="1">
        <f t="shared" si="457"/>
        <v>3521091</v>
      </c>
      <c r="BB161" s="1">
        <f t="shared" si="458"/>
        <v>150</v>
      </c>
    </row>
    <row r="162" spans="2:54">
      <c r="B162" s="4">
        <v>151</v>
      </c>
      <c r="C162" s="1">
        <f t="shared" ref="C162:I162" si="522">C$5+(C$6-C$5)*(POWER(C$7,$B162-1)-1)/(POWER(C$7,$B$3-1)-1)</f>
        <v>11931.067894609</v>
      </c>
      <c r="D162" s="1">
        <f t="shared" si="522"/>
        <v>3579.32036838269</v>
      </c>
      <c r="E162" s="1">
        <f t="shared" si="522"/>
        <v>2386.2135789218</v>
      </c>
      <c r="F162" s="1">
        <f t="shared" si="522"/>
        <v>30205.2351762253</v>
      </c>
      <c r="G162" s="1">
        <f t="shared" si="522"/>
        <v>9061.57055286758</v>
      </c>
      <c r="H162" s="1">
        <f t="shared" si="522"/>
        <v>6041.04703524505</v>
      </c>
      <c r="I162" s="1">
        <f t="shared" si="522"/>
        <v>0</v>
      </c>
      <c r="J162" s="1">
        <f>标准模型!$I$65/1*$B162/$B$3</f>
        <v>1.0872</v>
      </c>
      <c r="K162" s="1">
        <f>J162*标准模型!$J$63</f>
        <v>1.0872</v>
      </c>
      <c r="L162" s="1">
        <f t="shared" si="433"/>
        <v>42136.3030708343</v>
      </c>
      <c r="M162" s="1">
        <f t="shared" si="434"/>
        <v>16532.3280257559</v>
      </c>
      <c r="N162" s="1">
        <f t="shared" si="435"/>
        <v>11021.5520171706</v>
      </c>
      <c r="O162" s="1">
        <f t="shared" ref="O162:W162" si="523">O$5+(O$6-O$5)*(POWER(O$7,$B162-1)-1)/(POWER(O$7,$B$3-1)-1)</f>
        <v>0.650326829540207</v>
      </c>
      <c r="P162" s="1">
        <f t="shared" si="523"/>
        <v>0.0906353234345154</v>
      </c>
      <c r="Q162" s="1">
        <f t="shared" si="523"/>
        <v>0.357679756247114</v>
      </c>
      <c r="R162" s="1">
        <f t="shared" si="523"/>
        <v>1.06013073181608</v>
      </c>
      <c r="S162" s="1">
        <f t="shared" si="523"/>
        <v>0.245424878402269</v>
      </c>
      <c r="T162" s="1">
        <f t="shared" si="523"/>
        <v>2.58627463520681</v>
      </c>
      <c r="U162" s="1">
        <f t="shared" si="523"/>
        <v>1</v>
      </c>
      <c r="V162" s="1">
        <f t="shared" si="523"/>
        <v>1.16394618332761</v>
      </c>
      <c r="W162" s="1">
        <f t="shared" si="523"/>
        <v>1.48104585452866</v>
      </c>
      <c r="X162" s="1">
        <f t="shared" si="437"/>
        <v>1.61630572109165</v>
      </c>
      <c r="Y162" s="1">
        <f t="shared" si="438"/>
        <v>2.78943693394886</v>
      </c>
      <c r="Z162" s="1">
        <f t="shared" si="439"/>
        <v>117536.560045848</v>
      </c>
      <c r="AA162" s="1">
        <f t="shared" si="440"/>
        <v>16532.3280257559</v>
      </c>
      <c r="AB162" s="1">
        <f t="shared" si="441"/>
        <v>11021.5520171706</v>
      </c>
      <c r="AC162" s="1">
        <f>AB162/(AB162+战斗公式!$M$27)</f>
        <v>0.314707698041677</v>
      </c>
      <c r="AD162" s="1">
        <f t="shared" si="442"/>
        <v>171513.031315206</v>
      </c>
      <c r="AE162" s="1">
        <f t="shared" si="443"/>
        <v>6.4185894626501</v>
      </c>
      <c r="AF162" s="1">
        <f t="shared" si="444"/>
        <v>3.71917455582458</v>
      </c>
      <c r="AG162" s="1">
        <f t="shared" si="445"/>
        <v>3.77163810350865</v>
      </c>
      <c r="AH162" s="1">
        <f t="shared" si="446"/>
        <v>0.708683229557356</v>
      </c>
      <c r="AI162" s="1">
        <f t="shared" si="447"/>
        <v>1.00052388821185</v>
      </c>
      <c r="AJ162" s="1">
        <f t="shared" si="448"/>
        <v>1.03860494407697</v>
      </c>
      <c r="AK162" s="1">
        <f t="shared" si="449"/>
        <v>1</v>
      </c>
      <c r="AL162" s="10">
        <f t="shared" si="450"/>
        <v>119195</v>
      </c>
      <c r="AM162" s="10">
        <f t="shared" si="451"/>
        <v>11716</v>
      </c>
      <c r="AN162" s="10">
        <f t="shared" si="452"/>
        <v>11022</v>
      </c>
      <c r="AO162" s="1">
        <f t="shared" si="453"/>
        <v>71732</v>
      </c>
      <c r="AP162" s="1">
        <f t="shared" si="454"/>
        <v>11716</v>
      </c>
      <c r="AR162" s="1">
        <f t="shared" ref="AR162:AX162" si="524">ROUNDUP(AR$10*$AO162,0)</f>
        <v>71732</v>
      </c>
      <c r="AS162" s="1">
        <f t="shared" si="524"/>
        <v>215196</v>
      </c>
      <c r="AT162" s="1">
        <f t="shared" si="524"/>
        <v>129118</v>
      </c>
      <c r="AU162" s="1">
        <f t="shared" si="524"/>
        <v>35866</v>
      </c>
      <c r="AV162" s="1">
        <f t="shared" si="524"/>
        <v>10760</v>
      </c>
      <c r="AW162" s="1">
        <f t="shared" si="524"/>
        <v>286928</v>
      </c>
      <c r="AX162" s="1">
        <f t="shared" si="524"/>
        <v>645588</v>
      </c>
      <c r="AY162" s="1">
        <f t="shared" si="456"/>
        <v>7155447</v>
      </c>
      <c r="AZ162" s="1">
        <f t="shared" si="457"/>
        <v>3577723</v>
      </c>
      <c r="BB162" s="1">
        <f t="shared" si="458"/>
        <v>151</v>
      </c>
    </row>
    <row r="163" spans="2:54">
      <c r="B163" s="4">
        <v>152</v>
      </c>
      <c r="C163" s="1">
        <f t="shared" ref="C163:I163" si="525">C$5+(C$6-C$5)*(POWER(C$7,$B163-1)-1)/(POWER(C$7,$B$3-1)-1)</f>
        <v>12010.0757151824</v>
      </c>
      <c r="D163" s="1">
        <f t="shared" si="525"/>
        <v>3603.02271455472</v>
      </c>
      <c r="E163" s="1">
        <f t="shared" si="525"/>
        <v>2402.01514303648</v>
      </c>
      <c r="F163" s="1">
        <f t="shared" si="525"/>
        <v>30405.2549751454</v>
      </c>
      <c r="G163" s="1">
        <f t="shared" si="525"/>
        <v>9121.57649254361</v>
      </c>
      <c r="H163" s="1">
        <f t="shared" si="525"/>
        <v>6081.05099502907</v>
      </c>
      <c r="I163" s="1">
        <f t="shared" si="525"/>
        <v>0</v>
      </c>
      <c r="J163" s="1">
        <f>标准模型!$I$65/1*$B163/$B$3</f>
        <v>1.0944</v>
      </c>
      <c r="K163" s="1">
        <f>J163*标准模型!$J$63</f>
        <v>1.0944</v>
      </c>
      <c r="L163" s="1">
        <f t="shared" si="433"/>
        <v>42415.3306903278</v>
      </c>
      <c r="M163" s="1">
        <f t="shared" si="434"/>
        <v>16667.747265907</v>
      </c>
      <c r="N163" s="1">
        <f t="shared" si="435"/>
        <v>11111.8315106047</v>
      </c>
      <c r="O163" s="1">
        <f t="shared" ref="O163:W163" si="526">O$5+(O$6-O$5)*(POWER(O$7,$B163-1)-1)/(POWER(O$7,$B$3-1)-1)</f>
        <v>0.651328932741209</v>
      </c>
      <c r="P163" s="1">
        <f t="shared" si="526"/>
        <v>0.0913105335451968</v>
      </c>
      <c r="Q163" s="1">
        <f t="shared" si="526"/>
        <v>0.358230913007665</v>
      </c>
      <c r="R163" s="1">
        <f t="shared" si="526"/>
        <v>1.06053157309648</v>
      </c>
      <c r="S163" s="1">
        <f t="shared" si="526"/>
        <v>0.246727612563572</v>
      </c>
      <c r="T163" s="1">
        <f t="shared" si="526"/>
        <v>2.59018283769072</v>
      </c>
      <c r="U163" s="1">
        <f t="shared" si="526"/>
        <v>1</v>
      </c>
      <c r="V163" s="1">
        <f t="shared" si="526"/>
        <v>1.16503907536563</v>
      </c>
      <c r="W163" s="1">
        <f t="shared" si="526"/>
        <v>1.48425258477187</v>
      </c>
      <c r="X163" s="1">
        <f t="shared" si="437"/>
        <v>1.62762881630535</v>
      </c>
      <c r="Y163" s="1">
        <f t="shared" si="438"/>
        <v>2.81095584173573</v>
      </c>
      <c r="Z163" s="1">
        <f t="shared" si="439"/>
        <v>119227.62158313</v>
      </c>
      <c r="AA163" s="1">
        <f t="shared" si="440"/>
        <v>16667.747265907</v>
      </c>
      <c r="AB163" s="1">
        <f t="shared" si="441"/>
        <v>11111.8315106047</v>
      </c>
      <c r="AC163" s="1">
        <f>AB163/(AB163+战斗公式!$M$27)</f>
        <v>0.316469720676594</v>
      </c>
      <c r="AD163" s="1">
        <f t="shared" si="442"/>
        <v>174429.173351541</v>
      </c>
      <c r="AE163" s="1">
        <f t="shared" si="443"/>
        <v>6.42964279283516</v>
      </c>
      <c r="AF163" s="1">
        <f t="shared" si="444"/>
        <v>3.7229584800971</v>
      </c>
      <c r="AG163" s="1">
        <f t="shared" si="445"/>
        <v>3.78156847196339</v>
      </c>
      <c r="AH163" s="1">
        <f t="shared" si="446"/>
        <v>0.711839574558441</v>
      </c>
      <c r="AI163" s="1">
        <f t="shared" si="447"/>
        <v>1.00049769380082</v>
      </c>
      <c r="AJ163" s="1">
        <f t="shared" si="448"/>
        <v>1.03783217538804</v>
      </c>
      <c r="AK163" s="1">
        <f t="shared" si="449"/>
        <v>1</v>
      </c>
      <c r="AL163" s="10">
        <f t="shared" si="450"/>
        <v>121105</v>
      </c>
      <c r="AM163" s="10">
        <f t="shared" si="451"/>
        <v>11865</v>
      </c>
      <c r="AN163" s="10">
        <f t="shared" si="452"/>
        <v>11112</v>
      </c>
      <c r="AO163" s="1">
        <f t="shared" si="453"/>
        <v>72776</v>
      </c>
      <c r="AP163" s="1">
        <f t="shared" si="454"/>
        <v>11865</v>
      </c>
      <c r="AR163" s="1">
        <f t="shared" ref="AR163:AX163" si="527">ROUNDUP(AR$10*$AO163,0)</f>
        <v>72776</v>
      </c>
      <c r="AS163" s="1">
        <f t="shared" si="527"/>
        <v>218328</v>
      </c>
      <c r="AT163" s="1">
        <f t="shared" si="527"/>
        <v>130997</v>
      </c>
      <c r="AU163" s="1">
        <f t="shared" si="527"/>
        <v>36388</v>
      </c>
      <c r="AV163" s="1">
        <f t="shared" si="527"/>
        <v>10917</v>
      </c>
      <c r="AW163" s="1">
        <f t="shared" si="527"/>
        <v>291104</v>
      </c>
      <c r="AX163" s="1">
        <f t="shared" si="527"/>
        <v>654984</v>
      </c>
      <c r="AY163" s="1">
        <f t="shared" si="456"/>
        <v>7269916</v>
      </c>
      <c r="AZ163" s="1">
        <f t="shared" si="457"/>
        <v>3634958</v>
      </c>
      <c r="BB163" s="1">
        <f t="shared" si="458"/>
        <v>152</v>
      </c>
    </row>
    <row r="164" spans="2:54">
      <c r="B164" s="4">
        <v>153</v>
      </c>
      <c r="C164" s="1">
        <f t="shared" ref="C164:I164" si="528">C$5+(C$6-C$5)*(POWER(C$7,$B164-1)-1)/(POWER(C$7,$B$3-1)-1)</f>
        <v>12089.0834567379</v>
      </c>
      <c r="D164" s="1">
        <f t="shared" si="528"/>
        <v>3626.72503702138</v>
      </c>
      <c r="E164" s="1">
        <f t="shared" si="528"/>
        <v>2417.81669134759</v>
      </c>
      <c r="F164" s="1">
        <f t="shared" si="528"/>
        <v>30605.2745740201</v>
      </c>
      <c r="G164" s="1">
        <f t="shared" si="528"/>
        <v>9181.58237220602</v>
      </c>
      <c r="H164" s="1">
        <f t="shared" si="528"/>
        <v>6121.05491480401</v>
      </c>
      <c r="I164" s="1">
        <f t="shared" si="528"/>
        <v>0</v>
      </c>
      <c r="J164" s="1">
        <f>标准模型!$I$65/1*$B164/$B$3</f>
        <v>1.1016</v>
      </c>
      <c r="K164" s="1">
        <f>J164*标准模型!$J$63</f>
        <v>1.1016</v>
      </c>
      <c r="L164" s="1">
        <f t="shared" si="433"/>
        <v>42694.358030758</v>
      </c>
      <c r="M164" s="1">
        <f t="shared" si="434"/>
        <v>16803.5077100102</v>
      </c>
      <c r="N164" s="1">
        <f t="shared" si="435"/>
        <v>11202.3384733401</v>
      </c>
      <c r="O164" s="1">
        <f t="shared" ref="O164:W164" si="529">O$5+(O$6-O$5)*(POWER(O$7,$B164-1)-1)/(POWER(O$7,$B$3-1)-1)</f>
        <v>0.65233103493998</v>
      </c>
      <c r="P164" s="1">
        <f t="shared" si="529"/>
        <v>0.0919867564710442</v>
      </c>
      <c r="Q164" s="1">
        <f t="shared" si="529"/>
        <v>0.358782069216989</v>
      </c>
      <c r="R164" s="1">
        <f t="shared" si="529"/>
        <v>1.06093241397599</v>
      </c>
      <c r="S164" s="1">
        <f t="shared" si="529"/>
        <v>0.248030345421974</v>
      </c>
      <c r="T164" s="1">
        <f t="shared" si="529"/>
        <v>2.59409103626592</v>
      </c>
      <c r="U164" s="1">
        <f t="shared" si="529"/>
        <v>1</v>
      </c>
      <c r="V164" s="1">
        <f t="shared" si="529"/>
        <v>1.16613196631061</v>
      </c>
      <c r="W164" s="1">
        <f t="shared" si="529"/>
        <v>1.48745931180794</v>
      </c>
      <c r="X164" s="1">
        <f t="shared" si="437"/>
        <v>1.63902140519519</v>
      </c>
      <c r="Y164" s="1">
        <f t="shared" si="438"/>
        <v>2.83262285908669</v>
      </c>
      <c r="Z164" s="1">
        <f t="shared" si="439"/>
        <v>120937.014511957</v>
      </c>
      <c r="AA164" s="1">
        <f t="shared" si="440"/>
        <v>16803.5077100102</v>
      </c>
      <c r="AB164" s="1">
        <f t="shared" si="441"/>
        <v>11202.3384733401</v>
      </c>
      <c r="AC164" s="1">
        <f>AB164/(AB164+战斗公式!$M$27)</f>
        <v>0.318227111014912</v>
      </c>
      <c r="AD164" s="1">
        <f t="shared" si="442"/>
        <v>177386.071616881</v>
      </c>
      <c r="AE164" s="1">
        <f t="shared" si="443"/>
        <v>6.44072773673204</v>
      </c>
      <c r="AF164" s="1">
        <f t="shared" si="444"/>
        <v>3.72675472545676</v>
      </c>
      <c r="AG164" s="1">
        <f t="shared" si="445"/>
        <v>3.79142436265472</v>
      </c>
      <c r="AH164" s="1">
        <f t="shared" si="446"/>
        <v>0.715002232249529</v>
      </c>
      <c r="AI164" s="1">
        <f t="shared" si="447"/>
        <v>1.00047280911034</v>
      </c>
      <c r="AJ164" s="1">
        <f t="shared" si="448"/>
        <v>1.03707486207289</v>
      </c>
      <c r="AK164" s="1">
        <f t="shared" si="449"/>
        <v>1</v>
      </c>
      <c r="AL164" s="10">
        <f t="shared" si="450"/>
        <v>123036</v>
      </c>
      <c r="AM164" s="10">
        <f t="shared" si="451"/>
        <v>12015</v>
      </c>
      <c r="AN164" s="10">
        <f t="shared" si="452"/>
        <v>11202</v>
      </c>
      <c r="AO164" s="1">
        <f t="shared" si="453"/>
        <v>73831</v>
      </c>
      <c r="AP164" s="1">
        <f t="shared" si="454"/>
        <v>12015</v>
      </c>
      <c r="AR164" s="1">
        <f t="shared" ref="AR164:AX164" si="530">ROUNDUP(AR$10*$AO164,0)</f>
        <v>73831</v>
      </c>
      <c r="AS164" s="1">
        <f t="shared" si="530"/>
        <v>221493</v>
      </c>
      <c r="AT164" s="1">
        <f t="shared" si="530"/>
        <v>132896</v>
      </c>
      <c r="AU164" s="1">
        <f t="shared" si="530"/>
        <v>36916</v>
      </c>
      <c r="AV164" s="1">
        <f t="shared" si="530"/>
        <v>11075</v>
      </c>
      <c r="AW164" s="1">
        <f t="shared" si="530"/>
        <v>295324</v>
      </c>
      <c r="AX164" s="1">
        <f t="shared" si="530"/>
        <v>664479</v>
      </c>
      <c r="AY164" s="1">
        <f t="shared" si="456"/>
        <v>7385650</v>
      </c>
      <c r="AZ164" s="1">
        <f t="shared" si="457"/>
        <v>3692825</v>
      </c>
      <c r="BB164" s="1">
        <f t="shared" si="458"/>
        <v>153</v>
      </c>
    </row>
    <row r="165" spans="2:54">
      <c r="B165" s="4">
        <v>154</v>
      </c>
      <c r="C165" s="1">
        <f t="shared" ref="C165:I165" si="531">C$5+(C$6-C$5)*(POWER(C$7,$B165-1)-1)/(POWER(C$7,$B$3-1)-1)</f>
        <v>12168.0911193018</v>
      </c>
      <c r="D165" s="1">
        <f t="shared" si="531"/>
        <v>3650.42733579055</v>
      </c>
      <c r="E165" s="1">
        <f t="shared" si="531"/>
        <v>2433.61822386037</v>
      </c>
      <c r="F165" s="1">
        <f t="shared" si="531"/>
        <v>30805.293972916</v>
      </c>
      <c r="G165" s="1">
        <f t="shared" si="531"/>
        <v>9241.58819187481</v>
      </c>
      <c r="H165" s="1">
        <f t="shared" si="531"/>
        <v>6161.05879458321</v>
      </c>
      <c r="I165" s="1">
        <f t="shared" si="531"/>
        <v>0</v>
      </c>
      <c r="J165" s="1">
        <f>标准模型!$I$65/1*$B165/$B$3</f>
        <v>1.1088</v>
      </c>
      <c r="K165" s="1">
        <f>J165*标准模型!$J$63</f>
        <v>1.1088</v>
      </c>
      <c r="L165" s="1">
        <f t="shared" si="433"/>
        <v>42973.3850922178</v>
      </c>
      <c r="M165" s="1">
        <f t="shared" si="434"/>
        <v>16939.6093575899</v>
      </c>
      <c r="N165" s="1">
        <f t="shared" si="435"/>
        <v>11293.07290506</v>
      </c>
      <c r="O165" s="1">
        <f t="shared" ref="O165:W165" si="532">O$5+(O$6-O$5)*(POWER(O$7,$B165-1)-1)/(POWER(O$7,$B$3-1)-1)</f>
        <v>0.653333136136854</v>
      </c>
      <c r="P165" s="1">
        <f t="shared" si="532"/>
        <v>0.0926639937312804</v>
      </c>
      <c r="Q165" s="1">
        <f t="shared" si="532"/>
        <v>0.35933322487527</v>
      </c>
      <c r="R165" s="1">
        <f t="shared" si="532"/>
        <v>1.06133325445474</v>
      </c>
      <c r="S165" s="1">
        <f t="shared" si="532"/>
        <v>0.24933307697791</v>
      </c>
      <c r="T165" s="1">
        <f t="shared" si="532"/>
        <v>2.59799923093373</v>
      </c>
      <c r="U165" s="1">
        <f t="shared" si="532"/>
        <v>1</v>
      </c>
      <c r="V165" s="1">
        <f t="shared" si="532"/>
        <v>1.16722485616293</v>
      </c>
      <c r="W165" s="1">
        <f t="shared" si="532"/>
        <v>1.49066603563793</v>
      </c>
      <c r="X165" s="1">
        <f t="shared" si="437"/>
        <v>1.65048385189889</v>
      </c>
      <c r="Y165" s="1">
        <f t="shared" si="438"/>
        <v>2.85443887333598</v>
      </c>
      <c r="Z165" s="1">
        <f t="shared" si="439"/>
        <v>122664.900926064</v>
      </c>
      <c r="AA165" s="1">
        <f t="shared" si="440"/>
        <v>16939.6093575899</v>
      </c>
      <c r="AB165" s="1">
        <f t="shared" si="441"/>
        <v>11293.07290506</v>
      </c>
      <c r="AC165" s="1">
        <f>AB165/(AB165+战斗公式!$M$27)</f>
        <v>0.319979870708307</v>
      </c>
      <c r="AD165" s="1">
        <f t="shared" si="442"/>
        <v>180384.220469813</v>
      </c>
      <c r="AE165" s="1">
        <f t="shared" si="443"/>
        <v>6.45184422967678</v>
      </c>
      <c r="AF165" s="1">
        <f t="shared" si="444"/>
        <v>3.73056323451882</v>
      </c>
      <c r="AG165" s="1">
        <f t="shared" si="445"/>
        <v>3.80120633416586</v>
      </c>
      <c r="AH165" s="1">
        <f t="shared" si="446"/>
        <v>0.718171215255998</v>
      </c>
      <c r="AI165" s="1">
        <f t="shared" si="447"/>
        <v>1.00044916865438</v>
      </c>
      <c r="AJ165" s="1">
        <f t="shared" si="448"/>
        <v>1.03633269502405</v>
      </c>
      <c r="AK165" s="1">
        <f t="shared" si="449"/>
        <v>1</v>
      </c>
      <c r="AL165" s="10">
        <f t="shared" si="450"/>
        <v>124988</v>
      </c>
      <c r="AM165" s="10">
        <f t="shared" si="451"/>
        <v>12166</v>
      </c>
      <c r="AN165" s="10">
        <f t="shared" si="452"/>
        <v>11293</v>
      </c>
      <c r="AO165" s="1">
        <f t="shared" si="453"/>
        <v>74896</v>
      </c>
      <c r="AP165" s="1">
        <f t="shared" si="454"/>
        <v>12166</v>
      </c>
      <c r="AR165" s="1">
        <f t="shared" ref="AR165:AX165" si="533">ROUNDUP(AR$10*$AO165,0)</f>
        <v>74896</v>
      </c>
      <c r="AS165" s="1">
        <f t="shared" si="533"/>
        <v>224688</v>
      </c>
      <c r="AT165" s="1">
        <f t="shared" si="533"/>
        <v>134813</v>
      </c>
      <c r="AU165" s="1">
        <f t="shared" si="533"/>
        <v>37448</v>
      </c>
      <c r="AV165" s="1">
        <f t="shared" si="533"/>
        <v>11235</v>
      </c>
      <c r="AW165" s="1">
        <f t="shared" si="533"/>
        <v>299584</v>
      </c>
      <c r="AX165" s="1">
        <f t="shared" si="533"/>
        <v>674064</v>
      </c>
      <c r="AY165" s="1">
        <f t="shared" si="456"/>
        <v>7502648</v>
      </c>
      <c r="AZ165" s="1">
        <f t="shared" si="457"/>
        <v>3751324</v>
      </c>
      <c r="BB165" s="1">
        <f t="shared" si="458"/>
        <v>154</v>
      </c>
    </row>
    <row r="166" spans="2:54">
      <c r="B166" s="4">
        <v>155</v>
      </c>
      <c r="C166" s="1">
        <f t="shared" ref="C166:I166" si="534">C$5+(C$6-C$5)*(POWER(C$7,$B166-1)-1)/(POWER(C$7,$B$3-1)-1)</f>
        <v>12247.0987028478</v>
      </c>
      <c r="D166" s="1">
        <f t="shared" si="534"/>
        <v>3674.12961085435</v>
      </c>
      <c r="E166" s="1">
        <f t="shared" si="534"/>
        <v>2449.41974056956</v>
      </c>
      <c r="F166" s="1">
        <f t="shared" si="534"/>
        <v>31005.3131717666</v>
      </c>
      <c r="G166" s="1">
        <f t="shared" si="534"/>
        <v>9301.59395152999</v>
      </c>
      <c r="H166" s="1">
        <f t="shared" si="534"/>
        <v>6201.06263435333</v>
      </c>
      <c r="I166" s="1">
        <f t="shared" si="534"/>
        <v>0</v>
      </c>
      <c r="J166" s="1">
        <f>标准模型!$I$65/1*$B166/$B$3</f>
        <v>1.116</v>
      </c>
      <c r="K166" s="1">
        <f>J166*标准模型!$J$63</f>
        <v>1.116</v>
      </c>
      <c r="L166" s="1">
        <f t="shared" si="433"/>
        <v>43252.4118746144</v>
      </c>
      <c r="M166" s="1">
        <f t="shared" si="434"/>
        <v>17076.0522080978</v>
      </c>
      <c r="N166" s="1">
        <f t="shared" si="435"/>
        <v>11384.0348053985</v>
      </c>
      <c r="O166" s="1">
        <f t="shared" ref="O166:W166" si="535">O$5+(O$6-O$5)*(POWER(O$7,$B166-1)-1)/(POWER(O$7,$B$3-1)-1)</f>
        <v>0.654335236331496</v>
      </c>
      <c r="P166" s="1">
        <f t="shared" si="535"/>
        <v>0.0933422468474069</v>
      </c>
      <c r="Q166" s="1">
        <f t="shared" si="535"/>
        <v>0.359884379982323</v>
      </c>
      <c r="R166" s="1">
        <f t="shared" si="535"/>
        <v>1.0617340945326</v>
      </c>
      <c r="S166" s="1">
        <f t="shared" si="535"/>
        <v>0.250635807230945</v>
      </c>
      <c r="T166" s="1">
        <f t="shared" si="535"/>
        <v>2.60190742169283</v>
      </c>
      <c r="U166" s="1">
        <f t="shared" si="535"/>
        <v>1</v>
      </c>
      <c r="V166" s="1">
        <f t="shared" si="535"/>
        <v>1.16831774492221</v>
      </c>
      <c r="W166" s="1">
        <f t="shared" si="535"/>
        <v>1.49387275626079</v>
      </c>
      <c r="X166" s="1">
        <f t="shared" si="437"/>
        <v>1.66201652197663</v>
      </c>
      <c r="Y166" s="1">
        <f t="shared" si="438"/>
        <v>2.87640477605078</v>
      </c>
      <c r="Z166" s="1">
        <f t="shared" si="439"/>
        <v>124411.444091856</v>
      </c>
      <c r="AA166" s="1">
        <f t="shared" si="440"/>
        <v>17076.0522080978</v>
      </c>
      <c r="AB166" s="1">
        <f t="shared" si="441"/>
        <v>11384.0348053985</v>
      </c>
      <c r="AC166" s="1">
        <f>AB166/(AB166+战斗公式!$M$27)</f>
        <v>0.321728001569275</v>
      </c>
      <c r="AD166" s="1">
        <f t="shared" si="442"/>
        <v>183424.119497339</v>
      </c>
      <c r="AE166" s="1">
        <f t="shared" si="443"/>
        <v>6.46299220739901</v>
      </c>
      <c r="AF166" s="1">
        <f t="shared" si="444"/>
        <v>3.73438395024891</v>
      </c>
      <c r="AG166" s="1">
        <f t="shared" si="445"/>
        <v>3.81091494089067</v>
      </c>
      <c r="AH166" s="1">
        <f t="shared" si="446"/>
        <v>0.72134653622848</v>
      </c>
      <c r="AI166" s="1">
        <f t="shared" si="447"/>
        <v>1.00042671022122</v>
      </c>
      <c r="AJ166" s="1">
        <f t="shared" si="448"/>
        <v>1.03560537131618</v>
      </c>
      <c r="AK166" s="1">
        <f t="shared" si="449"/>
        <v>1</v>
      </c>
      <c r="AL166" s="10">
        <f t="shared" si="450"/>
        <v>126961</v>
      </c>
      <c r="AM166" s="10">
        <f t="shared" si="451"/>
        <v>12318</v>
      </c>
      <c r="AN166" s="10">
        <f t="shared" si="452"/>
        <v>11384</v>
      </c>
      <c r="AO166" s="1">
        <f t="shared" si="453"/>
        <v>75971</v>
      </c>
      <c r="AP166" s="1">
        <f t="shared" si="454"/>
        <v>12318</v>
      </c>
      <c r="AR166" s="1">
        <f t="shared" ref="AR166:AX166" si="536">ROUNDUP(AR$10*$AO166,0)</f>
        <v>75971</v>
      </c>
      <c r="AS166" s="1">
        <f t="shared" si="536"/>
        <v>227913</v>
      </c>
      <c r="AT166" s="1">
        <f t="shared" si="536"/>
        <v>136748</v>
      </c>
      <c r="AU166" s="1">
        <f t="shared" si="536"/>
        <v>37986</v>
      </c>
      <c r="AV166" s="1">
        <f t="shared" si="536"/>
        <v>11396</v>
      </c>
      <c r="AW166" s="1">
        <f t="shared" si="536"/>
        <v>303884</v>
      </c>
      <c r="AX166" s="1">
        <f t="shared" si="536"/>
        <v>683739</v>
      </c>
      <c r="AY166" s="1">
        <f t="shared" si="456"/>
        <v>7620911</v>
      </c>
      <c r="AZ166" s="1">
        <f t="shared" si="457"/>
        <v>3810455</v>
      </c>
      <c r="BB166" s="1">
        <f t="shared" si="458"/>
        <v>155</v>
      </c>
    </row>
    <row r="167" spans="2:54">
      <c r="B167" s="4">
        <v>156</v>
      </c>
      <c r="C167" s="1">
        <f t="shared" ref="C167:I167" si="537">C$5+(C$6-C$5)*(POWER(C$7,$B167-1)-1)/(POWER(C$7,$B$3-1)-1)</f>
        <v>12326.1062073847</v>
      </c>
      <c r="D167" s="1">
        <f t="shared" si="537"/>
        <v>3697.8318622154</v>
      </c>
      <c r="E167" s="1">
        <f t="shared" si="537"/>
        <v>2465.22124147693</v>
      </c>
      <c r="F167" s="1">
        <f t="shared" si="537"/>
        <v>31205.3321705941</v>
      </c>
      <c r="G167" s="1">
        <f t="shared" si="537"/>
        <v>9361.59965117822</v>
      </c>
      <c r="H167" s="1">
        <f t="shared" si="537"/>
        <v>6241.06643411881</v>
      </c>
      <c r="I167" s="1">
        <f t="shared" si="537"/>
        <v>0</v>
      </c>
      <c r="J167" s="1">
        <f>标准模型!$I$65/1*$B167/$B$3</f>
        <v>1.1232</v>
      </c>
      <c r="K167" s="1">
        <f>J167*标准模型!$J$63</f>
        <v>1.1232</v>
      </c>
      <c r="L167" s="1">
        <f t="shared" si="433"/>
        <v>43531.4383779788</v>
      </c>
      <c r="M167" s="1">
        <f t="shared" si="434"/>
        <v>17212.8362610339</v>
      </c>
      <c r="N167" s="1">
        <f t="shared" si="435"/>
        <v>11475.2241740226</v>
      </c>
      <c r="O167" s="1">
        <f t="shared" ref="O167:W167" si="538">O$5+(O$6-O$5)*(POWER(O$7,$B167-1)-1)/(POWER(O$7,$B$3-1)-1)</f>
        <v>0.655337335524018</v>
      </c>
      <c r="P167" s="1">
        <f t="shared" si="538"/>
        <v>0.0940215173432076</v>
      </c>
      <c r="Q167" s="1">
        <f t="shared" si="538"/>
        <v>0.36043553453821</v>
      </c>
      <c r="R167" s="1">
        <f t="shared" si="538"/>
        <v>1.06213493420961</v>
      </c>
      <c r="S167" s="1">
        <f t="shared" si="538"/>
        <v>0.251938536181224</v>
      </c>
      <c r="T167" s="1">
        <f t="shared" si="538"/>
        <v>2.60581560854367</v>
      </c>
      <c r="U167" s="1">
        <f t="shared" si="538"/>
        <v>1</v>
      </c>
      <c r="V167" s="1">
        <f t="shared" si="538"/>
        <v>1.16941063258859</v>
      </c>
      <c r="W167" s="1">
        <f t="shared" si="538"/>
        <v>1.49707947367686</v>
      </c>
      <c r="X167" s="1">
        <f t="shared" si="437"/>
        <v>1.67361978242565</v>
      </c>
      <c r="Y167" s="1">
        <f t="shared" si="438"/>
        <v>2.89852146306794</v>
      </c>
      <c r="Z167" s="1">
        <f t="shared" si="439"/>
        <v>126176.808456791</v>
      </c>
      <c r="AA167" s="1">
        <f t="shared" si="440"/>
        <v>17212.8362610339</v>
      </c>
      <c r="AB167" s="1">
        <f t="shared" si="441"/>
        <v>11475.2241740226</v>
      </c>
      <c r="AC167" s="1">
        <f>AB167/(AB167+战斗公式!$M$27)</f>
        <v>0.323471505570515</v>
      </c>
      <c r="AD167" s="1">
        <f t="shared" si="442"/>
        <v>186506.273565307</v>
      </c>
      <c r="AE167" s="1">
        <f t="shared" si="443"/>
        <v>6.47417160604048</v>
      </c>
      <c r="AF167" s="1">
        <f t="shared" si="444"/>
        <v>3.73821681596905</v>
      </c>
      <c r="AG167" s="1">
        <f t="shared" si="445"/>
        <v>3.82055073306504</v>
      </c>
      <c r="AH167" s="1">
        <f t="shared" si="446"/>
        <v>0.724528207842907</v>
      </c>
      <c r="AI167" s="1">
        <f t="shared" si="447"/>
        <v>1.00040537470972</v>
      </c>
      <c r="AJ167" s="1">
        <f t="shared" si="448"/>
        <v>1.03489259408247</v>
      </c>
      <c r="AK167" s="1">
        <f t="shared" si="449"/>
        <v>1</v>
      </c>
      <c r="AL167" s="10">
        <f t="shared" si="450"/>
        <v>128956</v>
      </c>
      <c r="AM167" s="10">
        <f t="shared" si="451"/>
        <v>12471</v>
      </c>
      <c r="AN167" s="10">
        <f t="shared" si="452"/>
        <v>11475</v>
      </c>
      <c r="AO167" s="1">
        <f t="shared" si="453"/>
        <v>77058</v>
      </c>
      <c r="AP167" s="1">
        <f t="shared" si="454"/>
        <v>12471</v>
      </c>
      <c r="AR167" s="1">
        <f t="shared" ref="AR167:AX167" si="539">ROUNDUP(AR$10*$AO167,0)</f>
        <v>77058</v>
      </c>
      <c r="AS167" s="1">
        <f t="shared" si="539"/>
        <v>231174</v>
      </c>
      <c r="AT167" s="1">
        <f t="shared" si="539"/>
        <v>138705</v>
      </c>
      <c r="AU167" s="1">
        <f t="shared" si="539"/>
        <v>38529</v>
      </c>
      <c r="AV167" s="1">
        <f t="shared" si="539"/>
        <v>11559</v>
      </c>
      <c r="AW167" s="1">
        <f t="shared" si="539"/>
        <v>308232</v>
      </c>
      <c r="AX167" s="1">
        <f t="shared" si="539"/>
        <v>693522</v>
      </c>
      <c r="AY167" s="1">
        <f t="shared" si="456"/>
        <v>7740497</v>
      </c>
      <c r="AZ167" s="1">
        <f t="shared" si="457"/>
        <v>3870248</v>
      </c>
      <c r="BB167" s="1">
        <f t="shared" si="458"/>
        <v>156</v>
      </c>
    </row>
    <row r="168" spans="2:54">
      <c r="B168" s="4">
        <v>157</v>
      </c>
      <c r="C168" s="1">
        <f t="shared" ref="C168:I168" si="540">C$5+(C$6-C$5)*(POWER(C$7,$B168-1)-1)/(POWER(C$7,$B$3-1)-1)</f>
        <v>12405.1136329211</v>
      </c>
      <c r="D168" s="1">
        <f t="shared" si="540"/>
        <v>3721.53408987633</v>
      </c>
      <c r="E168" s="1">
        <f t="shared" si="540"/>
        <v>2481.02272658422</v>
      </c>
      <c r="F168" s="1">
        <f t="shared" si="540"/>
        <v>31405.3509694205</v>
      </c>
      <c r="G168" s="1">
        <f t="shared" si="540"/>
        <v>9421.60529082616</v>
      </c>
      <c r="H168" s="1">
        <f t="shared" si="540"/>
        <v>6281.0701938841</v>
      </c>
      <c r="I168" s="1">
        <f t="shared" si="540"/>
        <v>0</v>
      </c>
      <c r="J168" s="1">
        <f>标准模型!$I$65/1*$B168/$B$3</f>
        <v>1.1304</v>
      </c>
      <c r="K168" s="1">
        <f>J168*标准模型!$J$63</f>
        <v>1.1304</v>
      </c>
      <c r="L168" s="1">
        <f t="shared" si="433"/>
        <v>43810.4646023416</v>
      </c>
      <c r="M168" s="1">
        <f t="shared" si="434"/>
        <v>17349.9615158987</v>
      </c>
      <c r="N168" s="1">
        <f t="shared" si="435"/>
        <v>11566.6410105991</v>
      </c>
      <c r="O168" s="1">
        <f t="shared" ref="O168:W168" si="541">O$5+(O$6-O$5)*(POWER(O$7,$B168-1)-1)/(POWER(O$7,$B$3-1)-1)</f>
        <v>0.656339433714532</v>
      </c>
      <c r="P168" s="1">
        <f t="shared" si="541"/>
        <v>0.0947018067447521</v>
      </c>
      <c r="Q168" s="1">
        <f t="shared" si="541"/>
        <v>0.360986688542992</v>
      </c>
      <c r="R168" s="1">
        <f t="shared" si="541"/>
        <v>1.06253577348581</v>
      </c>
      <c r="S168" s="1">
        <f t="shared" si="541"/>
        <v>0.253241263828891</v>
      </c>
      <c r="T168" s="1">
        <f t="shared" si="541"/>
        <v>2.60972379148667</v>
      </c>
      <c r="U168" s="1">
        <f t="shared" si="541"/>
        <v>1</v>
      </c>
      <c r="V168" s="1">
        <f t="shared" si="541"/>
        <v>1.17050351916217</v>
      </c>
      <c r="W168" s="1">
        <f t="shared" si="541"/>
        <v>1.5002861878865</v>
      </c>
      <c r="X168" s="1">
        <f t="shared" si="437"/>
        <v>1.68529400167948</v>
      </c>
      <c r="Y168" s="1">
        <f t="shared" si="438"/>
        <v>2.92078983449982</v>
      </c>
      <c r="Z168" s="1">
        <f t="shared" si="439"/>
        <v>127961.159655233</v>
      </c>
      <c r="AA168" s="1">
        <f t="shared" si="440"/>
        <v>17349.9615158987</v>
      </c>
      <c r="AB168" s="1">
        <f t="shared" si="441"/>
        <v>11566.6410105991</v>
      </c>
      <c r="AC168" s="1">
        <f>AB168/(AB168+战斗公式!$M$27)</f>
        <v>0.325210384842139</v>
      </c>
      <c r="AD168" s="1">
        <f t="shared" si="442"/>
        <v>189631.192864902</v>
      </c>
      <c r="AE168" s="1">
        <f t="shared" si="443"/>
        <v>6.48538236214233</v>
      </c>
      <c r="AF168" s="1">
        <f t="shared" si="444"/>
        <v>3.74206177535128</v>
      </c>
      <c r="AG168" s="1">
        <f t="shared" si="445"/>
        <v>3.83011425679811</v>
      </c>
      <c r="AH168" s="1">
        <f t="shared" si="446"/>
        <v>0.727716242800563</v>
      </c>
      <c r="AI168" s="1">
        <f t="shared" si="447"/>
        <v>1.0003851059738</v>
      </c>
      <c r="AJ168" s="1">
        <f t="shared" si="448"/>
        <v>1.03419407239343</v>
      </c>
      <c r="AK168" s="1">
        <f t="shared" si="449"/>
        <v>1</v>
      </c>
      <c r="AL168" s="10">
        <f t="shared" si="450"/>
        <v>130972</v>
      </c>
      <c r="AM168" s="10">
        <f t="shared" si="451"/>
        <v>12626</v>
      </c>
      <c r="AN168" s="10">
        <f t="shared" si="452"/>
        <v>11567</v>
      </c>
      <c r="AO168" s="1">
        <f t="shared" si="453"/>
        <v>78155</v>
      </c>
      <c r="AP168" s="1">
        <f t="shared" si="454"/>
        <v>12626</v>
      </c>
      <c r="AR168" s="1">
        <f t="shared" ref="AR168:AX168" si="542">ROUNDUP(AR$10*$AO168,0)</f>
        <v>78155</v>
      </c>
      <c r="AS168" s="1">
        <f t="shared" si="542"/>
        <v>234465</v>
      </c>
      <c r="AT168" s="1">
        <f t="shared" si="542"/>
        <v>140679</v>
      </c>
      <c r="AU168" s="1">
        <f t="shared" si="542"/>
        <v>39078</v>
      </c>
      <c r="AV168" s="1">
        <f t="shared" si="542"/>
        <v>11724</v>
      </c>
      <c r="AW168" s="1">
        <f t="shared" si="542"/>
        <v>312620</v>
      </c>
      <c r="AX168" s="1">
        <f t="shared" si="542"/>
        <v>703395</v>
      </c>
      <c r="AY168" s="1">
        <f t="shared" si="456"/>
        <v>7861346</v>
      </c>
      <c r="AZ168" s="1">
        <f t="shared" si="457"/>
        <v>3930673</v>
      </c>
      <c r="BB168" s="1">
        <f t="shared" si="458"/>
        <v>157</v>
      </c>
    </row>
    <row r="169" spans="2:54">
      <c r="B169" s="4">
        <v>158</v>
      </c>
      <c r="C169" s="1">
        <f t="shared" ref="C169:I169" si="543">C$5+(C$6-C$5)*(POWER(C$7,$B169-1)-1)/(POWER(C$7,$B$3-1)-1)</f>
        <v>12484.1209794484</v>
      </c>
      <c r="D169" s="1">
        <f t="shared" si="543"/>
        <v>3745.23629383452</v>
      </c>
      <c r="E169" s="1">
        <f t="shared" si="543"/>
        <v>2496.82419588968</v>
      </c>
      <c r="F169" s="1">
        <f t="shared" si="543"/>
        <v>31605.3695682238</v>
      </c>
      <c r="G169" s="1">
        <f t="shared" si="543"/>
        <v>9481.61087046715</v>
      </c>
      <c r="H169" s="1">
        <f t="shared" si="543"/>
        <v>6321.07391364476</v>
      </c>
      <c r="I169" s="1">
        <f t="shared" si="543"/>
        <v>0</v>
      </c>
      <c r="J169" s="1">
        <f>标准模型!$I$65/1*$B169/$B$3</f>
        <v>1.1376</v>
      </c>
      <c r="K169" s="1">
        <f>J169*标准模型!$J$63</f>
        <v>1.1376</v>
      </c>
      <c r="L169" s="1">
        <f t="shared" si="433"/>
        <v>44089.4905476722</v>
      </c>
      <c r="M169" s="1">
        <f t="shared" si="434"/>
        <v>17487.4279721678</v>
      </c>
      <c r="N169" s="1">
        <f t="shared" si="435"/>
        <v>11658.2853147785</v>
      </c>
      <c r="O169" s="1">
        <f t="shared" ref="O169:W169" si="544">O$5+(O$6-O$5)*(POWER(O$7,$B169-1)-1)/(POWER(O$7,$B$3-1)-1)</f>
        <v>0.657341530902925</v>
      </c>
      <c r="P169" s="1">
        <f t="shared" si="544"/>
        <v>0.0953831165803988</v>
      </c>
      <c r="Q169" s="1">
        <f t="shared" si="544"/>
        <v>0.361537841996609</v>
      </c>
      <c r="R169" s="1">
        <f t="shared" si="544"/>
        <v>1.06293661236117</v>
      </c>
      <c r="S169" s="1">
        <f t="shared" si="544"/>
        <v>0.254543990173802</v>
      </c>
      <c r="T169" s="1">
        <f t="shared" si="544"/>
        <v>2.61363197052141</v>
      </c>
      <c r="U169" s="1">
        <f t="shared" si="544"/>
        <v>1</v>
      </c>
      <c r="V169" s="1">
        <f t="shared" si="544"/>
        <v>1.17159640464285</v>
      </c>
      <c r="W169" s="1">
        <f t="shared" si="544"/>
        <v>1.50349289888936</v>
      </c>
      <c r="X169" s="1">
        <f t="shared" si="437"/>
        <v>1.69703954960924</v>
      </c>
      <c r="Y169" s="1">
        <f t="shared" si="438"/>
        <v>2.94321079474426</v>
      </c>
      <c r="Z169" s="1">
        <f t="shared" si="439"/>
        <v>129764.664514684</v>
      </c>
      <c r="AA169" s="1">
        <f t="shared" si="440"/>
        <v>17487.4279721678</v>
      </c>
      <c r="AB169" s="1">
        <f t="shared" si="441"/>
        <v>11658.2853147785</v>
      </c>
      <c r="AC169" s="1">
        <f>AB169/(AB169+战斗公式!$M$27)</f>
        <v>0.326944641669205</v>
      </c>
      <c r="AD169" s="1">
        <f t="shared" si="442"/>
        <v>192799.392960047</v>
      </c>
      <c r="AE169" s="1">
        <f t="shared" si="443"/>
        <v>6.4966244126374</v>
      </c>
      <c r="AF169" s="1">
        <f t="shared" si="444"/>
        <v>3.74591877241348</v>
      </c>
      <c r="AG169" s="1">
        <f t="shared" si="445"/>
        <v>3.83960605410317</v>
      </c>
      <c r="AH169" s="1">
        <f t="shared" si="446"/>
        <v>0.730910653828134</v>
      </c>
      <c r="AI169" s="1">
        <f t="shared" si="447"/>
        <v>1.00036585067467</v>
      </c>
      <c r="AJ169" s="1">
        <f t="shared" si="448"/>
        <v>1.03350952113817</v>
      </c>
      <c r="AK169" s="1">
        <f t="shared" si="449"/>
        <v>1</v>
      </c>
      <c r="AL169" s="10">
        <f t="shared" si="450"/>
        <v>133010</v>
      </c>
      <c r="AM169" s="10">
        <f t="shared" si="451"/>
        <v>12782</v>
      </c>
      <c r="AN169" s="10">
        <f t="shared" si="452"/>
        <v>11658</v>
      </c>
      <c r="AO169" s="1">
        <f t="shared" si="453"/>
        <v>79263</v>
      </c>
      <c r="AP169" s="1">
        <f t="shared" si="454"/>
        <v>12782</v>
      </c>
      <c r="AR169" s="1">
        <f t="shared" ref="AR169:AX169" si="545">ROUNDUP(AR$10*$AO169,0)</f>
        <v>79263</v>
      </c>
      <c r="AS169" s="1">
        <f t="shared" si="545"/>
        <v>237789</v>
      </c>
      <c r="AT169" s="1">
        <f t="shared" si="545"/>
        <v>142674</v>
      </c>
      <c r="AU169" s="1">
        <f t="shared" si="545"/>
        <v>39632</v>
      </c>
      <c r="AV169" s="1">
        <f t="shared" si="545"/>
        <v>11890</v>
      </c>
      <c r="AW169" s="1">
        <f t="shared" si="545"/>
        <v>317052</v>
      </c>
      <c r="AX169" s="1">
        <f t="shared" si="545"/>
        <v>713367</v>
      </c>
      <c r="AY169" s="1">
        <f t="shared" si="456"/>
        <v>7983520</v>
      </c>
      <c r="AZ169" s="1">
        <f t="shared" si="457"/>
        <v>3991760</v>
      </c>
      <c r="BB169" s="1">
        <f t="shared" si="458"/>
        <v>158</v>
      </c>
    </row>
    <row r="170" spans="2:54">
      <c r="B170" s="4">
        <v>159</v>
      </c>
      <c r="C170" s="1">
        <f t="shared" ref="C170:I170" si="546">C$5+(C$6-C$5)*(POWER(C$7,$B170-1)-1)/(POWER(C$7,$B$3-1)-1)</f>
        <v>12563.1282469666</v>
      </c>
      <c r="D170" s="1">
        <f t="shared" si="546"/>
        <v>3768.93847408997</v>
      </c>
      <c r="E170" s="1">
        <f t="shared" si="546"/>
        <v>2512.62564939331</v>
      </c>
      <c r="F170" s="1">
        <f t="shared" si="546"/>
        <v>31805.3879670039</v>
      </c>
      <c r="G170" s="1">
        <f t="shared" si="546"/>
        <v>9541.61639010118</v>
      </c>
      <c r="H170" s="1">
        <f t="shared" si="546"/>
        <v>6361.07759340079</v>
      </c>
      <c r="I170" s="1">
        <f t="shared" si="546"/>
        <v>0</v>
      </c>
      <c r="J170" s="1">
        <f>标准模型!$I$65/1*$B170/$B$3</f>
        <v>1.1448</v>
      </c>
      <c r="K170" s="1">
        <f>J170*标准模型!$J$63</f>
        <v>1.1448</v>
      </c>
      <c r="L170" s="1">
        <f t="shared" si="433"/>
        <v>44368.5162139705</v>
      </c>
      <c r="M170" s="1">
        <f t="shared" si="434"/>
        <v>17625.2356293293</v>
      </c>
      <c r="N170" s="1">
        <f t="shared" si="435"/>
        <v>11750.1570862196</v>
      </c>
      <c r="O170" s="1">
        <f t="shared" ref="O170:W170" si="547">O$5+(O$6-O$5)*(POWER(O$7,$B170-1)-1)/(POWER(O$7,$B$3-1)-1)</f>
        <v>0.658343627089198</v>
      </c>
      <c r="P170" s="1">
        <f t="shared" si="547"/>
        <v>0.096065448380799</v>
      </c>
      <c r="Q170" s="1">
        <f t="shared" si="547"/>
        <v>0.362088994899059</v>
      </c>
      <c r="R170" s="1">
        <f t="shared" si="547"/>
        <v>1.06333745083568</v>
      </c>
      <c r="S170" s="1">
        <f t="shared" si="547"/>
        <v>0.255846715215958</v>
      </c>
      <c r="T170" s="1">
        <f t="shared" si="547"/>
        <v>2.61754014564787</v>
      </c>
      <c r="U170" s="1">
        <f t="shared" si="547"/>
        <v>1</v>
      </c>
      <c r="V170" s="1">
        <f t="shared" si="547"/>
        <v>1.17268928903061</v>
      </c>
      <c r="W170" s="1">
        <f t="shared" si="547"/>
        <v>1.50669960668543</v>
      </c>
      <c r="X170" s="1">
        <f t="shared" si="437"/>
        <v>1.70885679753062</v>
      </c>
      <c r="Y170" s="1">
        <f t="shared" si="438"/>
        <v>2.96578525250606</v>
      </c>
      <c r="Z170" s="1">
        <f t="shared" si="439"/>
        <v>131587.49106297</v>
      </c>
      <c r="AA170" s="1">
        <f t="shared" si="440"/>
        <v>17625.2356293293</v>
      </c>
      <c r="AB170" s="1">
        <f t="shared" si="441"/>
        <v>11750.1570862196</v>
      </c>
      <c r="AC170" s="1">
        <f>AB170/(AB170+战斗公式!$M$27)</f>
        <v>0.328674278490061</v>
      </c>
      <c r="AD170" s="1">
        <f t="shared" si="442"/>
        <v>196011.394836778</v>
      </c>
      <c r="AE170" s="1">
        <f t="shared" si="443"/>
        <v>6.50789769485287</v>
      </c>
      <c r="AF170" s="1">
        <f t="shared" si="444"/>
        <v>3.74978775151908</v>
      </c>
      <c r="AG170" s="1">
        <f t="shared" si="445"/>
        <v>3.84902666292845</v>
      </c>
      <c r="AH170" s="1">
        <f t="shared" si="446"/>
        <v>0.734111453677761</v>
      </c>
      <c r="AI170" s="1">
        <f t="shared" si="447"/>
        <v>1.00034755814049</v>
      </c>
      <c r="AJ170" s="1">
        <f t="shared" si="448"/>
        <v>1.03283866090802</v>
      </c>
      <c r="AK170" s="1">
        <f t="shared" si="449"/>
        <v>1</v>
      </c>
      <c r="AL170" s="10">
        <f t="shared" si="450"/>
        <v>135070</v>
      </c>
      <c r="AM170" s="10">
        <f t="shared" si="451"/>
        <v>12939</v>
      </c>
      <c r="AN170" s="10">
        <f t="shared" si="452"/>
        <v>11750</v>
      </c>
      <c r="AO170" s="1">
        <f t="shared" si="453"/>
        <v>80382</v>
      </c>
      <c r="AP170" s="1">
        <f t="shared" si="454"/>
        <v>12939</v>
      </c>
      <c r="AR170" s="1">
        <f t="shared" ref="AR170:AX170" si="548">ROUNDUP(AR$10*$AO170,0)</f>
        <v>80382</v>
      </c>
      <c r="AS170" s="1">
        <f t="shared" si="548"/>
        <v>241146</v>
      </c>
      <c r="AT170" s="1">
        <f t="shared" si="548"/>
        <v>144688</v>
      </c>
      <c r="AU170" s="1">
        <f t="shared" si="548"/>
        <v>40191</v>
      </c>
      <c r="AV170" s="1">
        <f t="shared" si="548"/>
        <v>12058</v>
      </c>
      <c r="AW170" s="1">
        <f t="shared" si="548"/>
        <v>321528</v>
      </c>
      <c r="AX170" s="1">
        <f t="shared" si="548"/>
        <v>723438</v>
      </c>
      <c r="AY170" s="1">
        <f t="shared" si="456"/>
        <v>8107017</v>
      </c>
      <c r="AZ170" s="1">
        <f t="shared" si="457"/>
        <v>4053508</v>
      </c>
      <c r="BB170" s="1">
        <f t="shared" si="458"/>
        <v>159</v>
      </c>
    </row>
    <row r="171" spans="2:54">
      <c r="B171" s="4">
        <v>160</v>
      </c>
      <c r="C171" s="1">
        <f t="shared" ref="C171:I171" si="549">C$5+(C$6-C$5)*(POWER(C$7,$B171-1)-1)/(POWER(C$7,$B$3-1)-1)</f>
        <v>12642.1354354756</v>
      </c>
      <c r="D171" s="1">
        <f t="shared" si="549"/>
        <v>3792.64063064267</v>
      </c>
      <c r="E171" s="1">
        <f t="shared" si="549"/>
        <v>2528.42708709511</v>
      </c>
      <c r="F171" s="1">
        <f t="shared" si="549"/>
        <v>32005.4061657609</v>
      </c>
      <c r="G171" s="1">
        <f t="shared" si="549"/>
        <v>9601.62184972827</v>
      </c>
      <c r="H171" s="1">
        <f t="shared" si="549"/>
        <v>6401.08123315218</v>
      </c>
      <c r="I171" s="1">
        <f t="shared" si="549"/>
        <v>0</v>
      </c>
      <c r="J171" s="1">
        <f>标准模型!$I$65/1*$B171/$B$3</f>
        <v>1.152</v>
      </c>
      <c r="K171" s="1">
        <f>J171*标准模型!$J$63</f>
        <v>1.152</v>
      </c>
      <c r="L171" s="1">
        <f t="shared" si="433"/>
        <v>44647.5416012365</v>
      </c>
      <c r="M171" s="1">
        <f t="shared" si="434"/>
        <v>17763.3844868713</v>
      </c>
      <c r="N171" s="1">
        <f t="shared" si="435"/>
        <v>11842.2563245809</v>
      </c>
      <c r="O171" s="1">
        <f t="shared" ref="O171:W171" si="550">O$5+(O$6-O$5)*(POWER(O$7,$B171-1)-1)/(POWER(O$7,$B$3-1)-1)</f>
        <v>0.659345722273351</v>
      </c>
      <c r="P171" s="1">
        <f t="shared" si="550"/>
        <v>0.0967488036788998</v>
      </c>
      <c r="Q171" s="1">
        <f t="shared" si="550"/>
        <v>0.362640147250343</v>
      </c>
      <c r="R171" s="1">
        <f t="shared" si="550"/>
        <v>1.06373828890934</v>
      </c>
      <c r="S171" s="1">
        <f t="shared" si="550"/>
        <v>0.257149438955357</v>
      </c>
      <c r="T171" s="1">
        <f t="shared" si="550"/>
        <v>2.62144831686607</v>
      </c>
      <c r="U171" s="1">
        <f t="shared" si="550"/>
        <v>1</v>
      </c>
      <c r="V171" s="1">
        <f t="shared" si="550"/>
        <v>1.17378217232547</v>
      </c>
      <c r="W171" s="1">
        <f t="shared" si="550"/>
        <v>1.50990631127472</v>
      </c>
      <c r="X171" s="1">
        <f t="shared" si="437"/>
        <v>1.72074611820641</v>
      </c>
      <c r="Y171" s="1">
        <f t="shared" si="438"/>
        <v>2.98851412080942</v>
      </c>
      <c r="Z171" s="1">
        <f t="shared" si="439"/>
        <v>133429.808534721</v>
      </c>
      <c r="AA171" s="1">
        <f t="shared" si="440"/>
        <v>17763.3844868713</v>
      </c>
      <c r="AB171" s="1">
        <f t="shared" si="441"/>
        <v>11842.2563245809</v>
      </c>
      <c r="AC171" s="1">
        <f>AB171/(AB171+战斗公式!$M$27)</f>
        <v>0.330399297894072</v>
      </c>
      <c r="AD171" s="1">
        <f t="shared" si="442"/>
        <v>199267.724951718</v>
      </c>
      <c r="AE171" s="1">
        <f t="shared" si="443"/>
        <v>6.51920214650474</v>
      </c>
      <c r="AF171" s="1">
        <f t="shared" si="444"/>
        <v>3.75366865737365</v>
      </c>
      <c r="AG171" s="1">
        <f t="shared" si="445"/>
        <v>3.85837661718754</v>
      </c>
      <c r="AH171" s="1">
        <f t="shared" si="446"/>
        <v>0.737318655127087</v>
      </c>
      <c r="AI171" s="1">
        <f t="shared" si="447"/>
        <v>1.00033018023303</v>
      </c>
      <c r="AJ171" s="1">
        <f t="shared" si="448"/>
        <v>1.03218121788247</v>
      </c>
      <c r="AK171" s="1">
        <f t="shared" si="449"/>
        <v>1</v>
      </c>
      <c r="AL171" s="10">
        <f t="shared" si="450"/>
        <v>137152</v>
      </c>
      <c r="AM171" s="10">
        <f t="shared" si="451"/>
        <v>13097</v>
      </c>
      <c r="AN171" s="10">
        <f t="shared" si="452"/>
        <v>11842</v>
      </c>
      <c r="AO171" s="1">
        <f t="shared" si="453"/>
        <v>81512</v>
      </c>
      <c r="AP171" s="1">
        <f t="shared" si="454"/>
        <v>13097</v>
      </c>
      <c r="AR171" s="1">
        <f t="shared" ref="AR171:AX171" si="551">ROUNDUP(AR$10*$AO171,0)</f>
        <v>81512</v>
      </c>
      <c r="AS171" s="1">
        <f t="shared" si="551"/>
        <v>244536</v>
      </c>
      <c r="AT171" s="1">
        <f t="shared" si="551"/>
        <v>146722</v>
      </c>
      <c r="AU171" s="1">
        <f t="shared" si="551"/>
        <v>40756</v>
      </c>
      <c r="AV171" s="1">
        <f t="shared" si="551"/>
        <v>12227</v>
      </c>
      <c r="AW171" s="1">
        <f t="shared" si="551"/>
        <v>326048</v>
      </c>
      <c r="AX171" s="1">
        <f t="shared" si="551"/>
        <v>733608</v>
      </c>
      <c r="AY171" s="1">
        <f t="shared" si="456"/>
        <v>8231837</v>
      </c>
      <c r="AZ171" s="1">
        <f t="shared" si="457"/>
        <v>4115919</v>
      </c>
      <c r="BB171" s="1">
        <f t="shared" si="458"/>
        <v>160</v>
      </c>
    </row>
    <row r="172" spans="2:54">
      <c r="B172" s="4">
        <v>161</v>
      </c>
      <c r="C172" s="1">
        <f t="shared" ref="C172:I172" si="552">C$5+(C$6-C$5)*(POWER(C$7,$B172-1)-1)/(POWER(C$7,$B$3-1)-1)</f>
        <v>12721.1425449754</v>
      </c>
      <c r="D172" s="1">
        <f t="shared" si="552"/>
        <v>3816.34276349262</v>
      </c>
      <c r="E172" s="1">
        <f t="shared" si="552"/>
        <v>2544.22850899508</v>
      </c>
      <c r="F172" s="1">
        <f t="shared" si="552"/>
        <v>32205.4241644947</v>
      </c>
      <c r="G172" s="1">
        <f t="shared" si="552"/>
        <v>9661.62724934841</v>
      </c>
      <c r="H172" s="1">
        <f t="shared" si="552"/>
        <v>6441.08483289894</v>
      </c>
      <c r="I172" s="1">
        <f t="shared" si="552"/>
        <v>0</v>
      </c>
      <c r="J172" s="1">
        <f>标准模型!$I$65/1*$B172/$B$3</f>
        <v>1.1592</v>
      </c>
      <c r="K172" s="1">
        <f>J172*标准模型!$J$63</f>
        <v>1.1592</v>
      </c>
      <c r="L172" s="1">
        <f t="shared" si="433"/>
        <v>44926.5667094701</v>
      </c>
      <c r="M172" s="1">
        <f t="shared" si="434"/>
        <v>17901.8745442817</v>
      </c>
      <c r="N172" s="1">
        <f t="shared" si="435"/>
        <v>11934.5830295211</v>
      </c>
      <c r="O172" s="1">
        <f t="shared" ref="O172:W172" si="553">O$5+(O$6-O$5)*(POWER(O$7,$B172-1)-1)/(POWER(O$7,$B$3-1)-1)</f>
        <v>0.660347816455384</v>
      </c>
      <c r="P172" s="1">
        <f t="shared" si="553"/>
        <v>0.0974331840099478</v>
      </c>
      <c r="Q172" s="1">
        <f t="shared" si="553"/>
        <v>0.363191299050461</v>
      </c>
      <c r="R172" s="1">
        <f t="shared" si="553"/>
        <v>1.06413912658215</v>
      </c>
      <c r="S172" s="1">
        <f t="shared" si="553"/>
        <v>0.258452161392</v>
      </c>
      <c r="T172" s="1">
        <f t="shared" si="553"/>
        <v>2.625356484176</v>
      </c>
      <c r="U172" s="1">
        <f t="shared" si="553"/>
        <v>1</v>
      </c>
      <c r="V172" s="1">
        <f t="shared" si="553"/>
        <v>1.17487505452741</v>
      </c>
      <c r="W172" s="1">
        <f t="shared" si="553"/>
        <v>1.51311301265723</v>
      </c>
      <c r="X172" s="1">
        <f t="shared" si="437"/>
        <v>1.73270788585008</v>
      </c>
      <c r="Y172" s="1">
        <f t="shared" si="438"/>
        <v>3.0113983170127</v>
      </c>
      <c r="Z172" s="1">
        <f t="shared" si="439"/>
        <v>135291.787378057</v>
      </c>
      <c r="AA172" s="1">
        <f t="shared" si="440"/>
        <v>17901.8745442817</v>
      </c>
      <c r="AB172" s="1">
        <f t="shared" si="441"/>
        <v>11934.5830295211</v>
      </c>
      <c r="AC172" s="1">
        <f>AB172/(AB172+战斗公式!$M$27)</f>
        <v>0.332119702619523</v>
      </c>
      <c r="AD172" s="1">
        <f t="shared" si="442"/>
        <v>202568.915281213</v>
      </c>
      <c r="AE172" s="1">
        <f t="shared" si="443"/>
        <v>6.53053770569425</v>
      </c>
      <c r="AF172" s="1">
        <f t="shared" si="444"/>
        <v>3.75756143502222</v>
      </c>
      <c r="AG172" s="1">
        <f t="shared" si="445"/>
        <v>3.86765644678969</v>
      </c>
      <c r="AH172" s="1">
        <f t="shared" si="446"/>
        <v>0.740532270979311</v>
      </c>
      <c r="AI172" s="1">
        <f t="shared" si="447"/>
        <v>1.00031367122094</v>
      </c>
      <c r="AJ172" s="1">
        <f t="shared" si="448"/>
        <v>1.03153692371743</v>
      </c>
      <c r="AK172" s="1">
        <f t="shared" si="449"/>
        <v>1</v>
      </c>
      <c r="AL172" s="10">
        <f t="shared" si="450"/>
        <v>139256</v>
      </c>
      <c r="AM172" s="10">
        <f t="shared" si="451"/>
        <v>13257</v>
      </c>
      <c r="AN172" s="10">
        <f t="shared" si="452"/>
        <v>11935</v>
      </c>
      <c r="AO172" s="1">
        <f t="shared" si="453"/>
        <v>82652</v>
      </c>
      <c r="AP172" s="1">
        <f t="shared" si="454"/>
        <v>13257</v>
      </c>
      <c r="AR172" s="1">
        <f t="shared" ref="AR172:AX172" si="554">ROUNDUP(AR$10*$AO172,0)</f>
        <v>82652</v>
      </c>
      <c r="AS172" s="1">
        <f t="shared" si="554"/>
        <v>247956</v>
      </c>
      <c r="AT172" s="1">
        <f t="shared" si="554"/>
        <v>148774</v>
      </c>
      <c r="AU172" s="1">
        <f t="shared" si="554"/>
        <v>41326</v>
      </c>
      <c r="AV172" s="1">
        <f t="shared" si="554"/>
        <v>12398</v>
      </c>
      <c r="AW172" s="1">
        <f t="shared" si="554"/>
        <v>330608</v>
      </c>
      <c r="AX172" s="1">
        <f t="shared" si="554"/>
        <v>743868</v>
      </c>
      <c r="AY172" s="1">
        <f t="shared" si="456"/>
        <v>8357981</v>
      </c>
      <c r="AZ172" s="1">
        <f t="shared" si="457"/>
        <v>4178990</v>
      </c>
      <c r="BB172" s="1">
        <f t="shared" si="458"/>
        <v>161</v>
      </c>
    </row>
    <row r="173" spans="2:54">
      <c r="B173" s="4">
        <v>162</v>
      </c>
      <c r="C173" s="1">
        <f t="shared" ref="C173:I173" si="555">C$5+(C$6-C$5)*(POWER(C$7,$B173-1)-1)/(POWER(C$7,$B$3-1)-1)</f>
        <v>12800.1495754749</v>
      </c>
      <c r="D173" s="1">
        <f t="shared" si="555"/>
        <v>3840.04487264246</v>
      </c>
      <c r="E173" s="1">
        <f t="shared" si="555"/>
        <v>2560.02991509497</v>
      </c>
      <c r="F173" s="1">
        <f t="shared" si="555"/>
        <v>32405.4419632275</v>
      </c>
      <c r="G173" s="1">
        <f t="shared" si="555"/>
        <v>9721.63258896826</v>
      </c>
      <c r="H173" s="1">
        <f t="shared" si="555"/>
        <v>6481.08839264551</v>
      </c>
      <c r="I173" s="1">
        <f t="shared" si="555"/>
        <v>0</v>
      </c>
      <c r="J173" s="1">
        <f>标准模型!$I$65/1*$B173/$B$3</f>
        <v>1.1664</v>
      </c>
      <c r="K173" s="1">
        <f>J173*标准模型!$J$63</f>
        <v>1.1664</v>
      </c>
      <c r="L173" s="1">
        <f t="shared" si="433"/>
        <v>45205.5915387024</v>
      </c>
      <c r="M173" s="1">
        <f t="shared" si="434"/>
        <v>18040.7058010609</v>
      </c>
      <c r="N173" s="1">
        <f t="shared" si="435"/>
        <v>12027.1372007073</v>
      </c>
      <c r="O173" s="1">
        <f t="shared" ref="O173:W173" si="556">O$5+(O$6-O$5)*(POWER(O$7,$B173-1)-1)/(POWER(O$7,$B$3-1)-1)</f>
        <v>0.661349909635408</v>
      </c>
      <c r="P173" s="1">
        <f t="shared" si="556"/>
        <v>0.0981185909114923</v>
      </c>
      <c r="Q173" s="1">
        <f t="shared" si="556"/>
        <v>0.363742450299475</v>
      </c>
      <c r="R173" s="1">
        <f t="shared" si="556"/>
        <v>1.06453996385416</v>
      </c>
      <c r="S173" s="1">
        <f t="shared" si="556"/>
        <v>0.259754882526031</v>
      </c>
      <c r="T173" s="1">
        <f t="shared" si="556"/>
        <v>2.62926464757809</v>
      </c>
      <c r="U173" s="1">
        <f t="shared" si="556"/>
        <v>1</v>
      </c>
      <c r="V173" s="1">
        <f t="shared" si="556"/>
        <v>1.17596793563657</v>
      </c>
      <c r="W173" s="1">
        <f t="shared" si="556"/>
        <v>1.51631971083331</v>
      </c>
      <c r="X173" s="1">
        <f t="shared" si="437"/>
        <v>1.74474247613061</v>
      </c>
      <c r="Y173" s="1">
        <f t="shared" si="438"/>
        <v>3.03443876282546</v>
      </c>
      <c r="Z173" s="1">
        <f t="shared" si="439"/>
        <v>137173.599261493</v>
      </c>
      <c r="AA173" s="1">
        <f t="shared" si="440"/>
        <v>18040.7058010609</v>
      </c>
      <c r="AB173" s="1">
        <f t="shared" si="441"/>
        <v>12027.1372007073</v>
      </c>
      <c r="AC173" s="1">
        <f>AB173/(AB173+战斗公式!$M$27)</f>
        <v>0.333835495551702</v>
      </c>
      <c r="AD173" s="1">
        <f t="shared" si="442"/>
        <v>205915.503371194</v>
      </c>
      <c r="AE173" s="1">
        <f t="shared" si="443"/>
        <v>6.54190431090665</v>
      </c>
      <c r="AF173" s="1">
        <f t="shared" si="444"/>
        <v>3.7614660298476</v>
      </c>
      <c r="AG173" s="1">
        <f t="shared" si="445"/>
        <v>3.87686667766982</v>
      </c>
      <c r="AH173" s="1">
        <f t="shared" si="446"/>
        <v>0.74375231406324</v>
      </c>
      <c r="AI173" s="1">
        <f t="shared" si="447"/>
        <v>1.00029798765945</v>
      </c>
      <c r="AJ173" s="1">
        <f t="shared" si="448"/>
        <v>1.0309055154357</v>
      </c>
      <c r="AK173" s="1">
        <f t="shared" si="449"/>
        <v>1</v>
      </c>
      <c r="AL173" s="10">
        <f t="shared" si="450"/>
        <v>141382</v>
      </c>
      <c r="AM173" s="10">
        <f t="shared" si="451"/>
        <v>13418</v>
      </c>
      <c r="AN173" s="10">
        <f t="shared" si="452"/>
        <v>12027</v>
      </c>
      <c r="AO173" s="1">
        <f t="shared" si="453"/>
        <v>83804</v>
      </c>
      <c r="AP173" s="1">
        <f t="shared" si="454"/>
        <v>13418</v>
      </c>
      <c r="AR173" s="1">
        <f t="shared" ref="AR173:AX173" si="557">ROUNDUP(AR$10*$AO173,0)</f>
        <v>83804</v>
      </c>
      <c r="AS173" s="1">
        <f t="shared" si="557"/>
        <v>251412</v>
      </c>
      <c r="AT173" s="1">
        <f t="shared" si="557"/>
        <v>150848</v>
      </c>
      <c r="AU173" s="1">
        <f t="shared" si="557"/>
        <v>41902</v>
      </c>
      <c r="AV173" s="1">
        <f t="shared" si="557"/>
        <v>12571</v>
      </c>
      <c r="AW173" s="1">
        <f t="shared" si="557"/>
        <v>335216</v>
      </c>
      <c r="AX173" s="1">
        <f t="shared" si="557"/>
        <v>754236</v>
      </c>
      <c r="AY173" s="1">
        <f t="shared" si="456"/>
        <v>8485448</v>
      </c>
      <c r="AZ173" s="1">
        <f t="shared" si="457"/>
        <v>4242724</v>
      </c>
      <c r="BB173" s="1">
        <f t="shared" si="458"/>
        <v>162</v>
      </c>
    </row>
    <row r="174" spans="2:54">
      <c r="B174" s="4">
        <v>163</v>
      </c>
      <c r="C174" s="1">
        <f t="shared" ref="C174:I174" si="558">C$5+(C$6-C$5)*(POWER(C$7,$B174-1)-1)/(POWER(C$7,$B$3-1)-1)</f>
        <v>12879.1565269652</v>
      </c>
      <c r="D174" s="1">
        <f t="shared" si="558"/>
        <v>3863.74695808956</v>
      </c>
      <c r="E174" s="1">
        <f t="shared" si="558"/>
        <v>2575.83130539304</v>
      </c>
      <c r="F174" s="1">
        <f t="shared" si="558"/>
        <v>32605.4595619372</v>
      </c>
      <c r="G174" s="1">
        <f t="shared" si="558"/>
        <v>9781.63786858116</v>
      </c>
      <c r="H174" s="1">
        <f t="shared" si="558"/>
        <v>6521.09191238744</v>
      </c>
      <c r="I174" s="1">
        <f t="shared" si="558"/>
        <v>0</v>
      </c>
      <c r="J174" s="1">
        <f>标准模型!$I$65/1*$B174/$B$3</f>
        <v>1.1736</v>
      </c>
      <c r="K174" s="1">
        <f>J174*标准模型!$J$63</f>
        <v>1.1736</v>
      </c>
      <c r="L174" s="1">
        <f t="shared" si="433"/>
        <v>45484.6160889024</v>
      </c>
      <c r="M174" s="1">
        <f t="shared" si="434"/>
        <v>18179.8782566846</v>
      </c>
      <c r="N174" s="1">
        <f t="shared" si="435"/>
        <v>12119.9188377897</v>
      </c>
      <c r="O174" s="1">
        <f t="shared" ref="O174:W174" si="559">O$5+(O$6-O$5)*(POWER(O$7,$B174-1)-1)/(POWER(O$7,$B$3-1)-1)</f>
        <v>0.662352001813313</v>
      </c>
      <c r="P174" s="1">
        <f t="shared" si="559"/>
        <v>0.0988050259233892</v>
      </c>
      <c r="Q174" s="1">
        <f t="shared" si="559"/>
        <v>0.364293600997322</v>
      </c>
      <c r="R174" s="1">
        <f t="shared" si="559"/>
        <v>1.06494080072532</v>
      </c>
      <c r="S174" s="1">
        <f t="shared" si="559"/>
        <v>0.261057602357306</v>
      </c>
      <c r="T174" s="1">
        <f t="shared" si="559"/>
        <v>2.63317280707192</v>
      </c>
      <c r="U174" s="1">
        <f t="shared" si="559"/>
        <v>1</v>
      </c>
      <c r="V174" s="1">
        <f t="shared" si="559"/>
        <v>1.17706081565281</v>
      </c>
      <c r="W174" s="1">
        <f t="shared" si="559"/>
        <v>1.5195264058026</v>
      </c>
      <c r="X174" s="1">
        <f t="shared" si="437"/>
        <v>1.75685026617264</v>
      </c>
      <c r="Y174" s="1">
        <f t="shared" si="438"/>
        <v>3.05763638431636</v>
      </c>
      <c r="Z174" s="1">
        <f t="shared" si="439"/>
        <v>139075.417080089</v>
      </c>
      <c r="AA174" s="1">
        <f t="shared" si="440"/>
        <v>18179.8782566846</v>
      </c>
      <c r="AB174" s="1">
        <f t="shared" si="441"/>
        <v>12119.9188377897</v>
      </c>
      <c r="AC174" s="1">
        <f>AB174/(AB174+战斗公式!$M$27)</f>
        <v>0.335546679720374</v>
      </c>
      <c r="AD174" s="1">
        <f t="shared" si="442"/>
        <v>209308.032386024</v>
      </c>
      <c r="AE174" s="1">
        <f t="shared" si="443"/>
        <v>6.55330190100101</v>
      </c>
      <c r="AF174" s="1">
        <f t="shared" si="444"/>
        <v>3.76538238756517</v>
      </c>
      <c r="AG174" s="1">
        <f t="shared" si="445"/>
        <v>3.88600783181835</v>
      </c>
      <c r="AH174" s="1">
        <f t="shared" si="446"/>
        <v>0.746978797233337</v>
      </c>
      <c r="AI174" s="1">
        <f t="shared" si="447"/>
        <v>1.00028308827604</v>
      </c>
      <c r="AJ174" s="1">
        <f t="shared" si="448"/>
        <v>1.03028673531959</v>
      </c>
      <c r="AK174" s="1">
        <f t="shared" si="449"/>
        <v>1</v>
      </c>
      <c r="AL174" s="10">
        <f t="shared" si="450"/>
        <v>143531</v>
      </c>
      <c r="AM174" s="10">
        <f t="shared" si="451"/>
        <v>13580</v>
      </c>
      <c r="AN174" s="10">
        <f t="shared" si="452"/>
        <v>12120</v>
      </c>
      <c r="AO174" s="1">
        <f t="shared" si="453"/>
        <v>84967</v>
      </c>
      <c r="AP174" s="1">
        <f t="shared" si="454"/>
        <v>13580</v>
      </c>
      <c r="AR174" s="1">
        <f t="shared" ref="AR174:AX174" si="560">ROUNDUP(AR$10*$AO174,0)</f>
        <v>84967</v>
      </c>
      <c r="AS174" s="1">
        <f t="shared" si="560"/>
        <v>254901</v>
      </c>
      <c r="AT174" s="1">
        <f t="shared" si="560"/>
        <v>152941</v>
      </c>
      <c r="AU174" s="1">
        <f t="shared" si="560"/>
        <v>42484</v>
      </c>
      <c r="AV174" s="1">
        <f t="shared" si="560"/>
        <v>12746</v>
      </c>
      <c r="AW174" s="1">
        <f t="shared" si="560"/>
        <v>339868</v>
      </c>
      <c r="AX174" s="1">
        <f t="shared" si="560"/>
        <v>764703</v>
      </c>
      <c r="AY174" s="1">
        <f t="shared" si="456"/>
        <v>8614298</v>
      </c>
      <c r="AZ174" s="1">
        <f t="shared" si="457"/>
        <v>4307149</v>
      </c>
      <c r="BB174" s="1">
        <f t="shared" si="458"/>
        <v>163</v>
      </c>
    </row>
    <row r="175" spans="2:54">
      <c r="B175" s="4">
        <v>164</v>
      </c>
      <c r="C175" s="1">
        <f t="shared" ref="C175:I175" si="561">C$5+(C$6-C$5)*(POWER(C$7,$B175-1)-1)/(POWER(C$7,$B$3-1)-1)</f>
        <v>12958.1633994464</v>
      </c>
      <c r="D175" s="1">
        <f t="shared" si="561"/>
        <v>3887.44901983391</v>
      </c>
      <c r="E175" s="1">
        <f t="shared" si="561"/>
        <v>2591.63267988927</v>
      </c>
      <c r="F175" s="1">
        <f t="shared" si="561"/>
        <v>32805.4769606237</v>
      </c>
      <c r="G175" s="1">
        <f t="shared" si="561"/>
        <v>9841.64308818711</v>
      </c>
      <c r="H175" s="1">
        <f t="shared" si="561"/>
        <v>6561.09539212474</v>
      </c>
      <c r="I175" s="1">
        <f t="shared" si="561"/>
        <v>0</v>
      </c>
      <c r="J175" s="1">
        <f>标准模型!$I$65/1*$B175/$B$3</f>
        <v>1.1808</v>
      </c>
      <c r="K175" s="1">
        <f>J175*标准模型!$J$63</f>
        <v>1.1808</v>
      </c>
      <c r="L175" s="1">
        <f t="shared" si="433"/>
        <v>45763.6403600701</v>
      </c>
      <c r="M175" s="1">
        <f t="shared" si="434"/>
        <v>18319.3919106409</v>
      </c>
      <c r="N175" s="1">
        <f t="shared" si="435"/>
        <v>12212.9279404273</v>
      </c>
      <c r="O175" s="1">
        <f t="shared" ref="O175:W175" si="562">O$5+(O$6-O$5)*(POWER(O$7,$B175-1)-1)/(POWER(O$7,$B$3-1)-1)</f>
        <v>0.663354092989097</v>
      </c>
      <c r="P175" s="1">
        <f t="shared" si="562"/>
        <v>0.0994924905878039</v>
      </c>
      <c r="Q175" s="1">
        <f t="shared" si="562"/>
        <v>0.364844751144003</v>
      </c>
      <c r="R175" s="1">
        <f t="shared" si="562"/>
        <v>1.06534163719564</v>
      </c>
      <c r="S175" s="1">
        <f t="shared" si="562"/>
        <v>0.262360320885826</v>
      </c>
      <c r="T175" s="1">
        <f t="shared" si="562"/>
        <v>2.63708096265748</v>
      </c>
      <c r="U175" s="1">
        <f t="shared" si="562"/>
        <v>1</v>
      </c>
      <c r="V175" s="1">
        <f t="shared" si="562"/>
        <v>1.17815369457614</v>
      </c>
      <c r="W175" s="1">
        <f t="shared" si="562"/>
        <v>1.52273309756511</v>
      </c>
      <c r="X175" s="1">
        <f t="shared" si="437"/>
        <v>1.76903163456361</v>
      </c>
      <c r="Y175" s="1">
        <f t="shared" si="438"/>
        <v>3.08099211193494</v>
      </c>
      <c r="Z175" s="1">
        <f t="shared" si="439"/>
        <v>140997.414962804</v>
      </c>
      <c r="AA175" s="1">
        <f t="shared" si="440"/>
        <v>18319.3919106409</v>
      </c>
      <c r="AB175" s="1">
        <f t="shared" si="441"/>
        <v>12212.9279404273</v>
      </c>
      <c r="AC175" s="1">
        <f>AB175/(AB175+战斗公式!$M$27)</f>
        <v>0.337253258298207</v>
      </c>
      <c r="AD175" s="1">
        <f t="shared" si="442"/>
        <v>212747.051159772</v>
      </c>
      <c r="AE175" s="1">
        <f t="shared" si="443"/>
        <v>6.56473041521357</v>
      </c>
      <c r="AF175" s="1">
        <f t="shared" si="444"/>
        <v>3.76931045422291</v>
      </c>
      <c r="AG175" s="1">
        <f t="shared" si="445"/>
        <v>3.89508042731076</v>
      </c>
      <c r="AH175" s="1">
        <f t="shared" si="446"/>
        <v>0.750211733369773</v>
      </c>
      <c r="AI175" s="1">
        <f t="shared" si="447"/>
        <v>1.00026893386179</v>
      </c>
      <c r="AJ175" s="1">
        <f t="shared" si="448"/>
        <v>1.02968033080581</v>
      </c>
      <c r="AK175" s="1">
        <f t="shared" si="449"/>
        <v>1</v>
      </c>
      <c r="AL175" s="10">
        <f t="shared" si="450"/>
        <v>145702</v>
      </c>
      <c r="AM175" s="10">
        <f t="shared" si="451"/>
        <v>13743</v>
      </c>
      <c r="AN175" s="10">
        <f t="shared" si="452"/>
        <v>12213</v>
      </c>
      <c r="AO175" s="1">
        <f t="shared" si="453"/>
        <v>86142</v>
      </c>
      <c r="AP175" s="1">
        <f t="shared" si="454"/>
        <v>13743</v>
      </c>
      <c r="AR175" s="1">
        <f t="shared" ref="AR175:AX175" si="563">ROUNDUP(AR$10*$AO175,0)</f>
        <v>86142</v>
      </c>
      <c r="AS175" s="1">
        <f t="shared" si="563"/>
        <v>258426</v>
      </c>
      <c r="AT175" s="1">
        <f t="shared" si="563"/>
        <v>155056</v>
      </c>
      <c r="AU175" s="1">
        <f t="shared" si="563"/>
        <v>43071</v>
      </c>
      <c r="AV175" s="1">
        <f t="shared" si="563"/>
        <v>12922</v>
      </c>
      <c r="AW175" s="1">
        <f t="shared" si="563"/>
        <v>344568</v>
      </c>
      <c r="AX175" s="1">
        <f t="shared" si="563"/>
        <v>775278</v>
      </c>
      <c r="AY175" s="1">
        <f t="shared" si="456"/>
        <v>8744471</v>
      </c>
      <c r="AZ175" s="1">
        <f t="shared" si="457"/>
        <v>4372236</v>
      </c>
      <c r="BB175" s="1">
        <f t="shared" si="458"/>
        <v>164</v>
      </c>
    </row>
    <row r="176" spans="2:54">
      <c r="B176" s="4">
        <v>165</v>
      </c>
      <c r="C176" s="1">
        <f t="shared" ref="C176:I176" si="564">C$5+(C$6-C$5)*(POWER(C$7,$B176-1)-1)/(POWER(C$7,$B$3-1)-1)</f>
        <v>13037.1701929271</v>
      </c>
      <c r="D176" s="1">
        <f t="shared" si="564"/>
        <v>3911.15105787814</v>
      </c>
      <c r="E176" s="1">
        <f t="shared" si="564"/>
        <v>2607.43403858543</v>
      </c>
      <c r="F176" s="1">
        <f t="shared" si="564"/>
        <v>33005.4941593092</v>
      </c>
      <c r="G176" s="1">
        <f t="shared" si="564"/>
        <v>9901.64824779276</v>
      </c>
      <c r="H176" s="1">
        <f t="shared" si="564"/>
        <v>6601.09883186184</v>
      </c>
      <c r="I176" s="1">
        <f t="shared" si="564"/>
        <v>0</v>
      </c>
      <c r="J176" s="1">
        <f>标准模型!$I$65/1*$B176/$B$3</f>
        <v>1.188</v>
      </c>
      <c r="K176" s="1">
        <f>J176*标准模型!$J$63</f>
        <v>1.188</v>
      </c>
      <c r="L176" s="1">
        <f t="shared" si="433"/>
        <v>46042.6643522363</v>
      </c>
      <c r="M176" s="1">
        <f t="shared" si="434"/>
        <v>18459.2467624301</v>
      </c>
      <c r="N176" s="1">
        <f t="shared" si="435"/>
        <v>12306.1645082868</v>
      </c>
      <c r="O176" s="1">
        <f t="shared" ref="O176:W176" si="565">O$5+(O$6-O$5)*(POWER(O$7,$B176-1)-1)/(POWER(O$7,$B$3-1)-1)</f>
        <v>0.664356183162872</v>
      </c>
      <c r="P176" s="1">
        <f t="shared" si="565"/>
        <v>0.100180986449215</v>
      </c>
      <c r="Q176" s="1">
        <f t="shared" si="565"/>
        <v>0.36539590073958</v>
      </c>
      <c r="R176" s="1">
        <f t="shared" si="565"/>
        <v>1.06574247326515</v>
      </c>
      <c r="S176" s="1">
        <f t="shared" si="565"/>
        <v>0.263663038111733</v>
      </c>
      <c r="T176" s="1">
        <f t="shared" si="565"/>
        <v>2.6409891143352</v>
      </c>
      <c r="U176" s="1">
        <f t="shared" si="565"/>
        <v>1</v>
      </c>
      <c r="V176" s="1">
        <f t="shared" si="565"/>
        <v>1.17924657240669</v>
      </c>
      <c r="W176" s="1">
        <f t="shared" si="565"/>
        <v>1.52593978612119</v>
      </c>
      <c r="X176" s="1">
        <f t="shared" si="437"/>
        <v>1.78128696135741</v>
      </c>
      <c r="Y176" s="1">
        <f t="shared" si="438"/>
        <v>3.10450688052658</v>
      </c>
      <c r="Z176" s="1">
        <f t="shared" si="439"/>
        <v>142939.768279294</v>
      </c>
      <c r="AA176" s="1">
        <f t="shared" si="440"/>
        <v>18459.2467624301</v>
      </c>
      <c r="AB176" s="1">
        <f t="shared" si="441"/>
        <v>12306.1645082868</v>
      </c>
      <c r="AC176" s="1">
        <f>AB176/(AB176+战斗公式!$M$27)</f>
        <v>0.338955234598739</v>
      </c>
      <c r="AD176" s="1">
        <f t="shared" si="442"/>
        <v>216233.114246851</v>
      </c>
      <c r="AE176" s="1">
        <f t="shared" si="443"/>
        <v>6.57618979315439</v>
      </c>
      <c r="AF176" s="1">
        <f t="shared" si="444"/>
        <v>3.77325017619891</v>
      </c>
      <c r="AG176" s="1">
        <f t="shared" si="445"/>
        <v>3.90408497833698</v>
      </c>
      <c r="AH176" s="1">
        <f t="shared" si="446"/>
        <v>0.753451135378483</v>
      </c>
      <c r="AI176" s="1">
        <f t="shared" si="447"/>
        <v>1.00025548716826</v>
      </c>
      <c r="AJ176" s="1">
        <f t="shared" si="448"/>
        <v>1.02908605438231</v>
      </c>
      <c r="AK176" s="1">
        <f t="shared" si="449"/>
        <v>1</v>
      </c>
      <c r="AL176" s="10">
        <f t="shared" si="450"/>
        <v>147896</v>
      </c>
      <c r="AM176" s="10">
        <f t="shared" si="451"/>
        <v>13908</v>
      </c>
      <c r="AN176" s="10">
        <f t="shared" si="452"/>
        <v>12306</v>
      </c>
      <c r="AO176" s="1">
        <f t="shared" si="453"/>
        <v>87327</v>
      </c>
      <c r="AP176" s="1">
        <f t="shared" si="454"/>
        <v>13908</v>
      </c>
      <c r="AR176" s="1">
        <f t="shared" ref="AR176:AX176" si="566">ROUNDUP(AR$10*$AO176,0)</f>
        <v>87327</v>
      </c>
      <c r="AS176" s="1">
        <f t="shared" si="566"/>
        <v>261981</v>
      </c>
      <c r="AT176" s="1">
        <f t="shared" si="566"/>
        <v>157189</v>
      </c>
      <c r="AU176" s="1">
        <f t="shared" si="566"/>
        <v>43664</v>
      </c>
      <c r="AV176" s="1">
        <f t="shared" si="566"/>
        <v>13100</v>
      </c>
      <c r="AW176" s="1">
        <f t="shared" si="566"/>
        <v>349308</v>
      </c>
      <c r="AX176" s="1">
        <f t="shared" si="566"/>
        <v>785943</v>
      </c>
      <c r="AY176" s="1">
        <f t="shared" si="456"/>
        <v>8876027</v>
      </c>
      <c r="AZ176" s="1">
        <f t="shared" si="457"/>
        <v>4438014</v>
      </c>
      <c r="BB176" s="1">
        <f t="shared" si="458"/>
        <v>165</v>
      </c>
    </row>
    <row r="177" spans="2:54">
      <c r="B177" s="4">
        <v>166</v>
      </c>
      <c r="C177" s="1">
        <f t="shared" ref="C177:I177" si="567">C$5+(C$6-C$5)*(POWER(C$7,$B177-1)-1)/(POWER(C$7,$B$3-1)-1)</f>
        <v>13116.17690739</v>
      </c>
      <c r="D177" s="1">
        <f t="shared" si="567"/>
        <v>3934.853072217</v>
      </c>
      <c r="E177" s="1">
        <f t="shared" si="567"/>
        <v>2623.235381478</v>
      </c>
      <c r="F177" s="1">
        <f t="shared" si="567"/>
        <v>33205.5111579494</v>
      </c>
      <c r="G177" s="1">
        <f t="shared" si="567"/>
        <v>9961.65334738481</v>
      </c>
      <c r="H177" s="1">
        <f t="shared" si="567"/>
        <v>6641.10223158987</v>
      </c>
      <c r="I177" s="1">
        <f t="shared" si="567"/>
        <v>0</v>
      </c>
      <c r="J177" s="1">
        <f>标准模型!$I$65/1*$B177/$B$3</f>
        <v>1.1952</v>
      </c>
      <c r="K177" s="1">
        <f>J177*标准模型!$J$63</f>
        <v>1.1952</v>
      </c>
      <c r="L177" s="1">
        <f t="shared" si="433"/>
        <v>46321.6880653394</v>
      </c>
      <c r="M177" s="1">
        <f t="shared" si="434"/>
        <v>18599.4428115156</v>
      </c>
      <c r="N177" s="1">
        <f t="shared" si="435"/>
        <v>12399.6285410104</v>
      </c>
      <c r="O177" s="1">
        <f t="shared" ref="O177:W177" si="568">O$5+(O$6-O$5)*(POWER(O$7,$B177-1)-1)/(POWER(O$7,$B$3-1)-1)</f>
        <v>0.665358272334416</v>
      </c>
      <c r="P177" s="1">
        <f t="shared" si="568"/>
        <v>0.100870515054419</v>
      </c>
      <c r="Q177" s="1">
        <f t="shared" si="568"/>
        <v>0.365947049783929</v>
      </c>
      <c r="R177" s="1">
        <f t="shared" si="568"/>
        <v>1.06614330893377</v>
      </c>
      <c r="S177" s="1">
        <f t="shared" si="568"/>
        <v>0.26496575403474</v>
      </c>
      <c r="T177" s="1">
        <f t="shared" si="568"/>
        <v>2.64489726210422</v>
      </c>
      <c r="U177" s="1">
        <f t="shared" si="568"/>
        <v>1</v>
      </c>
      <c r="V177" s="1">
        <f t="shared" si="568"/>
        <v>1.1803394491442</v>
      </c>
      <c r="W177" s="1">
        <f t="shared" si="568"/>
        <v>1.52914647147013</v>
      </c>
      <c r="X177" s="1">
        <f t="shared" si="437"/>
        <v>1.79361662807339</v>
      </c>
      <c r="Y177" s="1">
        <f t="shared" si="438"/>
        <v>3.12818162933783</v>
      </c>
      <c r="Z177" s="1">
        <f t="shared" si="439"/>
        <v>144902.653645912</v>
      </c>
      <c r="AA177" s="1">
        <f t="shared" si="440"/>
        <v>18599.4428115156</v>
      </c>
      <c r="AB177" s="1">
        <f t="shared" si="441"/>
        <v>12399.6285410104</v>
      </c>
      <c r="AC177" s="1">
        <f>AB177/(AB177+战斗公式!$M$27)</f>
        <v>0.340652612073777</v>
      </c>
      <c r="AD177" s="1">
        <f t="shared" si="442"/>
        <v>219766.781971579</v>
      </c>
      <c r="AE177" s="1">
        <f t="shared" si="443"/>
        <v>6.587679974795</v>
      </c>
      <c r="AF177" s="1">
        <f t="shared" si="444"/>
        <v>3.77720150019536</v>
      </c>
      <c r="AG177" s="1">
        <f t="shared" si="445"/>
        <v>3.91302199523051</v>
      </c>
      <c r="AH177" s="1">
        <f t="shared" si="446"/>
        <v>0.75669701619121</v>
      </c>
      <c r="AI177" s="1">
        <f t="shared" si="447"/>
        <v>1.00024271280941</v>
      </c>
      <c r="AJ177" s="1">
        <f t="shared" si="448"/>
        <v>1.02850366348728</v>
      </c>
      <c r="AK177" s="1">
        <f t="shared" si="449"/>
        <v>1</v>
      </c>
      <c r="AL177" s="10">
        <f t="shared" si="450"/>
        <v>150113</v>
      </c>
      <c r="AM177" s="10">
        <f t="shared" si="451"/>
        <v>14074</v>
      </c>
      <c r="AN177" s="10">
        <f t="shared" si="452"/>
        <v>12400</v>
      </c>
      <c r="AO177" s="1">
        <f t="shared" si="453"/>
        <v>88524</v>
      </c>
      <c r="AP177" s="1">
        <f t="shared" si="454"/>
        <v>14074</v>
      </c>
      <c r="AR177" s="1">
        <f t="shared" ref="AR177:AX177" si="569">ROUNDUP(AR$10*$AO177,0)</f>
        <v>88524</v>
      </c>
      <c r="AS177" s="1">
        <f t="shared" si="569"/>
        <v>265572</v>
      </c>
      <c r="AT177" s="1">
        <f t="shared" si="569"/>
        <v>159344</v>
      </c>
      <c r="AU177" s="1">
        <f t="shared" si="569"/>
        <v>44262</v>
      </c>
      <c r="AV177" s="1">
        <f t="shared" si="569"/>
        <v>13279</v>
      </c>
      <c r="AW177" s="1">
        <f t="shared" si="569"/>
        <v>354096</v>
      </c>
      <c r="AX177" s="1">
        <f t="shared" si="569"/>
        <v>796716</v>
      </c>
      <c r="AY177" s="1">
        <f t="shared" si="456"/>
        <v>9008966</v>
      </c>
      <c r="AZ177" s="1">
        <f t="shared" si="457"/>
        <v>4504483</v>
      </c>
      <c r="BB177" s="1">
        <f t="shared" si="458"/>
        <v>166</v>
      </c>
    </row>
    <row r="178" spans="2:54">
      <c r="B178" s="4">
        <v>167</v>
      </c>
      <c r="C178" s="1">
        <f t="shared" ref="C178:I178" si="570">C$5+(C$6-C$5)*(POWER(C$7,$B178-1)-1)/(POWER(C$7,$B$3-1)-1)</f>
        <v>13195.1835428525</v>
      </c>
      <c r="D178" s="1">
        <f t="shared" si="570"/>
        <v>3958.55506285574</v>
      </c>
      <c r="E178" s="1">
        <f t="shared" si="570"/>
        <v>2639.0367085705</v>
      </c>
      <c r="F178" s="1">
        <f t="shared" si="570"/>
        <v>33405.5279565886</v>
      </c>
      <c r="G178" s="1">
        <f t="shared" si="570"/>
        <v>10021.6583869766</v>
      </c>
      <c r="H178" s="1">
        <f t="shared" si="570"/>
        <v>6681.10559131771</v>
      </c>
      <c r="I178" s="1">
        <f t="shared" si="570"/>
        <v>0</v>
      </c>
      <c r="J178" s="1">
        <f>标准模型!$I$65/1*$B178/$B$3</f>
        <v>1.2024</v>
      </c>
      <c r="K178" s="1">
        <f>J178*标准模型!$J$63</f>
        <v>1.2024</v>
      </c>
      <c r="L178" s="1">
        <f t="shared" si="433"/>
        <v>46600.7114994411</v>
      </c>
      <c r="M178" s="1">
        <f t="shared" si="434"/>
        <v>18739.9800574101</v>
      </c>
      <c r="N178" s="1">
        <f t="shared" si="435"/>
        <v>12493.3200382734</v>
      </c>
      <c r="O178" s="1">
        <f t="shared" ref="O178:W178" si="571">O$5+(O$6-O$5)*(POWER(O$7,$B178-1)-1)/(POWER(O$7,$B$3-1)-1)</f>
        <v>0.666360360503951</v>
      </c>
      <c r="P178" s="1">
        <f t="shared" si="571"/>
        <v>0.10156107795253</v>
      </c>
      <c r="Q178" s="1">
        <f t="shared" si="571"/>
        <v>0.366498198277173</v>
      </c>
      <c r="R178" s="1">
        <f t="shared" si="571"/>
        <v>1.06654414420158</v>
      </c>
      <c r="S178" s="1">
        <f t="shared" si="571"/>
        <v>0.266268468655136</v>
      </c>
      <c r="T178" s="1">
        <f t="shared" si="571"/>
        <v>2.64880540596541</v>
      </c>
      <c r="U178" s="1">
        <f t="shared" si="571"/>
        <v>1</v>
      </c>
      <c r="V178" s="1">
        <f t="shared" si="571"/>
        <v>1.18143232478892</v>
      </c>
      <c r="W178" s="1">
        <f t="shared" si="571"/>
        <v>1.53235315361264</v>
      </c>
      <c r="X178" s="1">
        <f t="shared" si="437"/>
        <v>1.80602101770825</v>
      </c>
      <c r="Y178" s="1">
        <f t="shared" si="438"/>
        <v>3.15201730204823</v>
      </c>
      <c r="Z178" s="1">
        <f t="shared" si="439"/>
        <v>146886.248933996</v>
      </c>
      <c r="AA178" s="1">
        <f t="shared" si="440"/>
        <v>18739.9800574101</v>
      </c>
      <c r="AB178" s="1">
        <f t="shared" si="441"/>
        <v>12493.3200382734</v>
      </c>
      <c r="AC178" s="1">
        <f>AB178/(AB178+战斗公式!$M$27)</f>
        <v>0.342345394312457</v>
      </c>
      <c r="AD178" s="1">
        <f t="shared" si="442"/>
        <v>223348.620482076</v>
      </c>
      <c r="AE178" s="1">
        <f t="shared" si="443"/>
        <v>6.59920090048088</v>
      </c>
      <c r="AF178" s="1">
        <f t="shared" si="444"/>
        <v>3.78116437324218</v>
      </c>
      <c r="AG178" s="1">
        <f t="shared" si="445"/>
        <v>3.92189198449733</v>
      </c>
      <c r="AH178" s="1">
        <f t="shared" si="446"/>
        <v>0.759949388765563</v>
      </c>
      <c r="AI178" s="1">
        <f t="shared" si="447"/>
        <v>1.0002305771685</v>
      </c>
      <c r="AJ178" s="1">
        <f t="shared" si="448"/>
        <v>1.02793292041014</v>
      </c>
      <c r="AK178" s="1">
        <f t="shared" si="449"/>
        <v>1</v>
      </c>
      <c r="AL178" s="10">
        <f t="shared" si="450"/>
        <v>152353</v>
      </c>
      <c r="AM178" s="10">
        <f t="shared" si="451"/>
        <v>14241</v>
      </c>
      <c r="AN178" s="10">
        <f t="shared" si="452"/>
        <v>12493</v>
      </c>
      <c r="AO178" s="1">
        <f t="shared" si="453"/>
        <v>89733</v>
      </c>
      <c r="AP178" s="1">
        <f t="shared" si="454"/>
        <v>14241</v>
      </c>
      <c r="AR178" s="1">
        <f t="shared" ref="AR178:AX178" si="572">ROUNDUP(AR$10*$AO178,0)</f>
        <v>89733</v>
      </c>
      <c r="AS178" s="1">
        <f t="shared" si="572"/>
        <v>269199</v>
      </c>
      <c r="AT178" s="1">
        <f t="shared" si="572"/>
        <v>161520</v>
      </c>
      <c r="AU178" s="1">
        <f t="shared" si="572"/>
        <v>44867</v>
      </c>
      <c r="AV178" s="1">
        <f t="shared" si="572"/>
        <v>13460</v>
      </c>
      <c r="AW178" s="1">
        <f t="shared" si="572"/>
        <v>358932</v>
      </c>
      <c r="AX178" s="1">
        <f t="shared" si="572"/>
        <v>807597</v>
      </c>
      <c r="AY178" s="1">
        <f t="shared" si="456"/>
        <v>9143288</v>
      </c>
      <c r="AZ178" s="1">
        <f t="shared" si="457"/>
        <v>4571644</v>
      </c>
      <c r="BB178" s="1">
        <f t="shared" si="458"/>
        <v>167</v>
      </c>
    </row>
    <row r="179" spans="2:54">
      <c r="B179" s="4">
        <v>168</v>
      </c>
      <c r="C179" s="1">
        <f t="shared" ref="C179:I179" si="573">C$5+(C$6-C$5)*(POWER(C$7,$B179-1)-1)/(POWER(C$7,$B$3-1)-1)</f>
        <v>13274.1900993146</v>
      </c>
      <c r="D179" s="1">
        <f t="shared" si="573"/>
        <v>3982.25702979438</v>
      </c>
      <c r="E179" s="1">
        <f t="shared" si="573"/>
        <v>2654.83801986292</v>
      </c>
      <c r="F179" s="1">
        <f t="shared" si="573"/>
        <v>33605.5445552268</v>
      </c>
      <c r="G179" s="1">
        <f t="shared" si="573"/>
        <v>10081.663366568</v>
      </c>
      <c r="H179" s="1">
        <f t="shared" si="573"/>
        <v>6721.10891104536</v>
      </c>
      <c r="I179" s="1">
        <f t="shared" si="573"/>
        <v>0</v>
      </c>
      <c r="J179" s="1">
        <f>标准模型!$I$65/1*$B179/$B$3</f>
        <v>1.2096</v>
      </c>
      <c r="K179" s="1">
        <f>J179*标准模型!$J$63</f>
        <v>1.2096</v>
      </c>
      <c r="L179" s="1">
        <f t="shared" si="433"/>
        <v>46879.7346545414</v>
      </c>
      <c r="M179" s="1">
        <f t="shared" si="434"/>
        <v>18880.8584996017</v>
      </c>
      <c r="N179" s="1">
        <f t="shared" si="435"/>
        <v>12587.2389997345</v>
      </c>
      <c r="O179" s="1">
        <f t="shared" ref="O179:W179" si="574">O$5+(O$6-O$5)*(POWER(O$7,$B179-1)-1)/(POWER(O$7,$B$3-1)-1)</f>
        <v>0.667362447671477</v>
      </c>
      <c r="P179" s="1">
        <f t="shared" si="574"/>
        <v>0.102252676694988</v>
      </c>
      <c r="Q179" s="1">
        <f t="shared" si="574"/>
        <v>0.367049346219312</v>
      </c>
      <c r="R179" s="1">
        <f t="shared" si="574"/>
        <v>1.06694497906859</v>
      </c>
      <c r="S179" s="1">
        <f t="shared" si="574"/>
        <v>0.26757118197292</v>
      </c>
      <c r="T179" s="1">
        <f t="shared" si="574"/>
        <v>2.65271354591876</v>
      </c>
      <c r="U179" s="1">
        <f t="shared" si="574"/>
        <v>1</v>
      </c>
      <c r="V179" s="1">
        <f t="shared" si="574"/>
        <v>1.18252519934086</v>
      </c>
      <c r="W179" s="1">
        <f t="shared" si="574"/>
        <v>1.53555983254873</v>
      </c>
      <c r="X179" s="1">
        <f t="shared" si="437"/>
        <v>1.81850051473268</v>
      </c>
      <c r="Y179" s="1">
        <f t="shared" si="438"/>
        <v>3.17601484677083</v>
      </c>
      <c r="Z179" s="1">
        <f t="shared" si="439"/>
        <v>148890.733275501</v>
      </c>
      <c r="AA179" s="1">
        <f t="shared" si="440"/>
        <v>18880.8584996017</v>
      </c>
      <c r="AB179" s="1">
        <f t="shared" si="441"/>
        <v>12587.2389997345</v>
      </c>
      <c r="AC179" s="1">
        <f>AB179/(AB179+战斗公式!$M$27)</f>
        <v>0.344033585038374</v>
      </c>
      <c r="AD179" s="1">
        <f t="shared" si="442"/>
        <v>226979.201799852</v>
      </c>
      <c r="AE179" s="1">
        <f t="shared" si="443"/>
        <v>6.61075251091464</v>
      </c>
      <c r="AF179" s="1">
        <f t="shared" si="444"/>
        <v>3.78513874268928</v>
      </c>
      <c r="AG179" s="1">
        <f t="shared" si="445"/>
        <v>3.93069544884465</v>
      </c>
      <c r="AH179" s="1">
        <f t="shared" si="446"/>
        <v>0.763208266085064</v>
      </c>
      <c r="AI179" s="1">
        <f t="shared" si="447"/>
        <v>1.00021904830963</v>
      </c>
      <c r="AJ179" s="1">
        <f t="shared" si="448"/>
        <v>1.02737359219455</v>
      </c>
      <c r="AK179" s="1">
        <f t="shared" si="449"/>
        <v>1</v>
      </c>
      <c r="AL179" s="10">
        <f t="shared" si="450"/>
        <v>154616</v>
      </c>
      <c r="AM179" s="10">
        <f t="shared" si="451"/>
        <v>14410</v>
      </c>
      <c r="AN179" s="10">
        <f t="shared" si="452"/>
        <v>12587</v>
      </c>
      <c r="AO179" s="1">
        <f t="shared" si="453"/>
        <v>90952</v>
      </c>
      <c r="AP179" s="1">
        <f t="shared" si="454"/>
        <v>14410</v>
      </c>
      <c r="AR179" s="1">
        <f t="shared" ref="AR179:AX179" si="575">ROUNDUP(AR$10*$AO179,0)</f>
        <v>90952</v>
      </c>
      <c r="AS179" s="1">
        <f t="shared" si="575"/>
        <v>272856</v>
      </c>
      <c r="AT179" s="1">
        <f t="shared" si="575"/>
        <v>163714</v>
      </c>
      <c r="AU179" s="1">
        <f t="shared" si="575"/>
        <v>45476</v>
      </c>
      <c r="AV179" s="1">
        <f t="shared" si="575"/>
        <v>13643</v>
      </c>
      <c r="AW179" s="1">
        <f t="shared" si="575"/>
        <v>363808</v>
      </c>
      <c r="AX179" s="1">
        <f t="shared" si="575"/>
        <v>818568</v>
      </c>
      <c r="AY179" s="1">
        <f t="shared" si="456"/>
        <v>9278992</v>
      </c>
      <c r="AZ179" s="1">
        <f t="shared" si="457"/>
        <v>4639496</v>
      </c>
      <c r="BB179" s="1">
        <f t="shared" si="458"/>
        <v>168</v>
      </c>
    </row>
    <row r="180" spans="2:54">
      <c r="B180" s="4">
        <v>169</v>
      </c>
      <c r="C180" s="1">
        <f t="shared" ref="C180:I180" si="576">C$5+(C$6-C$5)*(POWER(C$7,$B180-1)-1)/(POWER(C$7,$B$3-1)-1)</f>
        <v>13353.1965767588</v>
      </c>
      <c r="D180" s="1">
        <f t="shared" si="576"/>
        <v>4005.95897302763</v>
      </c>
      <c r="E180" s="1">
        <f t="shared" si="576"/>
        <v>2670.63931535175</v>
      </c>
      <c r="F180" s="1">
        <f t="shared" si="576"/>
        <v>33805.5609538197</v>
      </c>
      <c r="G180" s="1">
        <f t="shared" si="576"/>
        <v>10141.6682861459</v>
      </c>
      <c r="H180" s="1">
        <f t="shared" si="576"/>
        <v>6761.11219076393</v>
      </c>
      <c r="I180" s="1">
        <f t="shared" si="576"/>
        <v>0</v>
      </c>
      <c r="J180" s="1">
        <f>标准模型!$I$65/1*$B180/$B$3</f>
        <v>1.2168</v>
      </c>
      <c r="K180" s="1">
        <f>J180*标准模型!$J$63</f>
        <v>1.2168</v>
      </c>
      <c r="L180" s="1">
        <f t="shared" si="433"/>
        <v>47158.7575305785</v>
      </c>
      <c r="M180" s="1">
        <f t="shared" si="434"/>
        <v>19022.0781375536</v>
      </c>
      <c r="N180" s="1">
        <f t="shared" si="435"/>
        <v>12681.3854250357</v>
      </c>
      <c r="O180" s="1">
        <f t="shared" ref="O180:W180" si="577">O$5+(O$6-O$5)*(POWER(O$7,$B180-1)-1)/(POWER(O$7,$B$3-1)-1)</f>
        <v>0.668364533836772</v>
      </c>
      <c r="P180" s="1">
        <f t="shared" si="577"/>
        <v>0.10294531283556</v>
      </c>
      <c r="Q180" s="1">
        <f t="shared" si="577"/>
        <v>0.367600493610225</v>
      </c>
      <c r="R180" s="1">
        <f t="shared" si="577"/>
        <v>1.06734581353471</v>
      </c>
      <c r="S180" s="1">
        <f t="shared" si="577"/>
        <v>0.268873893987803</v>
      </c>
      <c r="T180" s="1">
        <f t="shared" si="577"/>
        <v>2.65662168196341</v>
      </c>
      <c r="U180" s="1">
        <f t="shared" si="577"/>
        <v>1</v>
      </c>
      <c r="V180" s="1">
        <f t="shared" si="577"/>
        <v>1.18361807279976</v>
      </c>
      <c r="W180" s="1">
        <f t="shared" si="577"/>
        <v>1.53876650827767</v>
      </c>
      <c r="X180" s="1">
        <f t="shared" si="437"/>
        <v>1.83105550509495</v>
      </c>
      <c r="Y180" s="1">
        <f t="shared" si="438"/>
        <v>3.2001752160671</v>
      </c>
      <c r="Z180" s="1">
        <f t="shared" si="439"/>
        <v>150916.287069875</v>
      </c>
      <c r="AA180" s="1">
        <f t="shared" si="440"/>
        <v>19022.0781375536</v>
      </c>
      <c r="AB180" s="1">
        <f t="shared" si="441"/>
        <v>12681.3854250357</v>
      </c>
      <c r="AC180" s="1">
        <f>AB180/(AB180+战斗公式!$M$27)</f>
        <v>0.345717188107634</v>
      </c>
      <c r="AD180" s="1">
        <f t="shared" si="442"/>
        <v>230659.103871892</v>
      </c>
      <c r="AE180" s="1">
        <f t="shared" si="443"/>
        <v>6.62233474715294</v>
      </c>
      <c r="AF180" s="1">
        <f t="shared" si="444"/>
        <v>3.78912455620422</v>
      </c>
      <c r="AG180" s="1">
        <f t="shared" si="445"/>
        <v>3.93943288720937</v>
      </c>
      <c r="AH180" s="1">
        <f t="shared" si="446"/>
        <v>0.766473661159205</v>
      </c>
      <c r="AI180" s="1">
        <f t="shared" si="447"/>
        <v>1.00020809589371</v>
      </c>
      <c r="AJ180" s="1">
        <f t="shared" si="448"/>
        <v>1.02682545054327</v>
      </c>
      <c r="AK180" s="1">
        <f t="shared" si="449"/>
        <v>1</v>
      </c>
      <c r="AL180" s="10">
        <f t="shared" si="450"/>
        <v>156903</v>
      </c>
      <c r="AM180" s="10">
        <f t="shared" si="451"/>
        <v>14580</v>
      </c>
      <c r="AN180" s="10">
        <f t="shared" si="452"/>
        <v>12681</v>
      </c>
      <c r="AO180" s="1">
        <f t="shared" si="453"/>
        <v>92184</v>
      </c>
      <c r="AP180" s="1">
        <f t="shared" si="454"/>
        <v>14580</v>
      </c>
      <c r="AR180" s="1">
        <f t="shared" ref="AR180:AX180" si="578">ROUNDUP(AR$10*$AO180,0)</f>
        <v>92184</v>
      </c>
      <c r="AS180" s="1">
        <f t="shared" si="578"/>
        <v>276552</v>
      </c>
      <c r="AT180" s="1">
        <f t="shared" si="578"/>
        <v>165932</v>
      </c>
      <c r="AU180" s="1">
        <f t="shared" si="578"/>
        <v>46092</v>
      </c>
      <c r="AV180" s="1">
        <f t="shared" si="578"/>
        <v>13828</v>
      </c>
      <c r="AW180" s="1">
        <f t="shared" si="578"/>
        <v>368736</v>
      </c>
      <c r="AX180" s="1">
        <f t="shared" si="578"/>
        <v>829656</v>
      </c>
      <c r="AY180" s="1">
        <f t="shared" si="456"/>
        <v>9416139</v>
      </c>
      <c r="AZ180" s="1">
        <f t="shared" si="457"/>
        <v>4708070</v>
      </c>
      <c r="BB180" s="1">
        <f t="shared" si="458"/>
        <v>169</v>
      </c>
    </row>
    <row r="181" spans="2:54">
      <c r="B181" s="4">
        <v>170</v>
      </c>
      <c r="C181" s="1">
        <f t="shared" ref="C181:I181" si="579">C$5+(C$6-C$5)*(POWER(C$7,$B181-1)-1)/(POWER(C$7,$B$3-1)-1)</f>
        <v>13432.2029752026</v>
      </c>
      <c r="D181" s="1">
        <f t="shared" si="579"/>
        <v>4029.66089256077</v>
      </c>
      <c r="E181" s="1">
        <f t="shared" si="579"/>
        <v>2686.44059504051</v>
      </c>
      <c r="F181" s="1">
        <f t="shared" si="579"/>
        <v>34005.5771524116</v>
      </c>
      <c r="G181" s="1">
        <f t="shared" si="579"/>
        <v>10201.6731457235</v>
      </c>
      <c r="H181" s="1">
        <f t="shared" si="579"/>
        <v>6801.11543048231</v>
      </c>
      <c r="I181" s="1">
        <f t="shared" si="579"/>
        <v>0</v>
      </c>
      <c r="J181" s="1">
        <f>标准模型!$I$65/1*$B181/$B$3</f>
        <v>1.224</v>
      </c>
      <c r="K181" s="1">
        <f>J181*标准模型!$J$63</f>
        <v>1.224</v>
      </c>
      <c r="L181" s="1">
        <f t="shared" si="433"/>
        <v>47437.7801276142</v>
      </c>
      <c r="M181" s="1">
        <f t="shared" si="434"/>
        <v>19163.6389707786</v>
      </c>
      <c r="N181" s="1">
        <f t="shared" si="435"/>
        <v>12775.7593138524</v>
      </c>
      <c r="O181" s="1">
        <f t="shared" ref="O181:W181" si="580">O$5+(O$6-O$5)*(POWER(O$7,$B181-1)-1)/(POWER(O$7,$B$3-1)-1)</f>
        <v>0.669366619000058</v>
      </c>
      <c r="P181" s="1">
        <f t="shared" si="580"/>
        <v>0.103638987930343</v>
      </c>
      <c r="Q181" s="1">
        <f t="shared" si="580"/>
        <v>0.368151640450032</v>
      </c>
      <c r="R181" s="1">
        <f t="shared" si="580"/>
        <v>1.06774664760002</v>
      </c>
      <c r="S181" s="1">
        <f t="shared" si="580"/>
        <v>0.270176604700075</v>
      </c>
      <c r="T181" s="1">
        <f t="shared" si="580"/>
        <v>2.66052981410023</v>
      </c>
      <c r="U181" s="1">
        <f t="shared" si="580"/>
        <v>1</v>
      </c>
      <c r="V181" s="1">
        <f t="shared" si="580"/>
        <v>1.18471094516588</v>
      </c>
      <c r="W181" s="1">
        <f t="shared" si="580"/>
        <v>1.54197318080019</v>
      </c>
      <c r="X181" s="1">
        <f t="shared" si="437"/>
        <v>1.84368637623192</v>
      </c>
      <c r="Y181" s="1">
        <f t="shared" si="438"/>
        <v>3.22449936697679</v>
      </c>
      <c r="Z181" s="1">
        <f t="shared" si="439"/>
        <v>152963.091992276</v>
      </c>
      <c r="AA181" s="1">
        <f t="shared" si="440"/>
        <v>19163.6389707786</v>
      </c>
      <c r="AB181" s="1">
        <f t="shared" si="441"/>
        <v>12775.7593138524</v>
      </c>
      <c r="AC181" s="1">
        <f>AB181/(AB181+战斗公式!$M$27)</f>
        <v>0.347396207507812</v>
      </c>
      <c r="AD181" s="1">
        <f t="shared" si="442"/>
        <v>234388.910625442</v>
      </c>
      <c r="AE181" s="1">
        <f t="shared" si="443"/>
        <v>6.63394755061665</v>
      </c>
      <c r="AF181" s="1">
        <f t="shared" si="444"/>
        <v>3.7931217617749</v>
      </c>
      <c r="AG181" s="1">
        <f t="shared" si="445"/>
        <v>3.94810479478635</v>
      </c>
      <c r="AH181" s="1">
        <f t="shared" si="446"/>
        <v>0.769745587023493</v>
      </c>
      <c r="AI181" s="1">
        <f t="shared" si="447"/>
        <v>1.00019769109859</v>
      </c>
      <c r="AJ181" s="1">
        <f t="shared" si="448"/>
        <v>1.02628827172502</v>
      </c>
      <c r="AK181" s="1">
        <f t="shared" si="449"/>
        <v>1</v>
      </c>
      <c r="AL181" s="10">
        <f t="shared" si="450"/>
        <v>159213</v>
      </c>
      <c r="AM181" s="10">
        <f t="shared" si="451"/>
        <v>14751</v>
      </c>
      <c r="AN181" s="10">
        <f t="shared" si="452"/>
        <v>12776</v>
      </c>
      <c r="AO181" s="1">
        <f t="shared" si="453"/>
        <v>93427</v>
      </c>
      <c r="AP181" s="1">
        <f t="shared" si="454"/>
        <v>14751</v>
      </c>
      <c r="AR181" s="1">
        <f t="shared" ref="AR181:AX181" si="581">ROUNDUP(AR$10*$AO181,0)</f>
        <v>93427</v>
      </c>
      <c r="AS181" s="1">
        <f t="shared" si="581"/>
        <v>280281</v>
      </c>
      <c r="AT181" s="1">
        <f t="shared" si="581"/>
        <v>168169</v>
      </c>
      <c r="AU181" s="1">
        <f t="shared" si="581"/>
        <v>46714</v>
      </c>
      <c r="AV181" s="1">
        <f t="shared" si="581"/>
        <v>14015</v>
      </c>
      <c r="AW181" s="1">
        <f t="shared" si="581"/>
        <v>373708</v>
      </c>
      <c r="AX181" s="1">
        <f t="shared" si="581"/>
        <v>840843</v>
      </c>
      <c r="AY181" s="1">
        <f t="shared" si="456"/>
        <v>9554668</v>
      </c>
      <c r="AZ181" s="1">
        <f t="shared" si="457"/>
        <v>4777334</v>
      </c>
      <c r="BB181" s="1">
        <f t="shared" si="458"/>
        <v>170</v>
      </c>
    </row>
    <row r="182" spans="2:54">
      <c r="B182" s="4">
        <v>171</v>
      </c>
      <c r="C182" s="1">
        <f t="shared" ref="C182:I182" si="582">C$5+(C$6-C$5)*(POWER(C$7,$B182-1)-1)/(POWER(C$7,$B$3-1)-1)</f>
        <v>13511.2092946372</v>
      </c>
      <c r="D182" s="1">
        <f t="shared" si="582"/>
        <v>4053.36278839117</v>
      </c>
      <c r="E182" s="1">
        <f t="shared" si="582"/>
        <v>2702.24185892744</v>
      </c>
      <c r="F182" s="1">
        <f t="shared" si="582"/>
        <v>34205.5931509803</v>
      </c>
      <c r="G182" s="1">
        <f t="shared" si="582"/>
        <v>10261.6779452941</v>
      </c>
      <c r="H182" s="1">
        <f t="shared" si="582"/>
        <v>6841.11863019606</v>
      </c>
      <c r="I182" s="1">
        <f t="shared" si="582"/>
        <v>0</v>
      </c>
      <c r="J182" s="1">
        <f>标准模型!$I$65/1*$B182/$B$3</f>
        <v>1.2312</v>
      </c>
      <c r="K182" s="1">
        <f>J182*标准模型!$J$63</f>
        <v>1.2312</v>
      </c>
      <c r="L182" s="1">
        <f t="shared" si="433"/>
        <v>47716.8024456175</v>
      </c>
      <c r="M182" s="1">
        <f t="shared" si="434"/>
        <v>19305.5409987525</v>
      </c>
      <c r="N182" s="1">
        <f t="shared" si="435"/>
        <v>12870.360665835</v>
      </c>
      <c r="O182" s="1">
        <f t="shared" ref="O182:W182" si="583">O$5+(O$6-O$5)*(POWER(O$7,$B182-1)-1)/(POWER(O$7,$B$3-1)-1)</f>
        <v>0.670368703161224</v>
      </c>
      <c r="P182" s="1">
        <f t="shared" si="583"/>
        <v>0.104333703537769</v>
      </c>
      <c r="Q182" s="1">
        <f t="shared" si="583"/>
        <v>0.368702786738673</v>
      </c>
      <c r="R182" s="1">
        <f t="shared" si="583"/>
        <v>1.06814748126449</v>
      </c>
      <c r="S182" s="1">
        <f t="shared" si="583"/>
        <v>0.271479314109591</v>
      </c>
      <c r="T182" s="1">
        <f t="shared" si="583"/>
        <v>2.66443794232877</v>
      </c>
      <c r="U182" s="1">
        <f t="shared" si="583"/>
        <v>1</v>
      </c>
      <c r="V182" s="1">
        <f t="shared" si="583"/>
        <v>1.18580381643908</v>
      </c>
      <c r="W182" s="1">
        <f t="shared" si="583"/>
        <v>1.54517985011592</v>
      </c>
      <c r="X182" s="1">
        <f t="shared" si="437"/>
        <v>1.85639351706424</v>
      </c>
      <c r="Y182" s="1">
        <f t="shared" si="438"/>
        <v>3.24898826101575</v>
      </c>
      <c r="Z182" s="1">
        <f t="shared" si="439"/>
        <v>155031.330999019</v>
      </c>
      <c r="AA182" s="1">
        <f t="shared" si="440"/>
        <v>19305.5409987525</v>
      </c>
      <c r="AB182" s="1">
        <f t="shared" si="441"/>
        <v>12870.360665835</v>
      </c>
      <c r="AC182" s="1">
        <f>AB182/(AB182+战斗公式!$M$27)</f>
        <v>0.34907064735499</v>
      </c>
      <c r="AD182" s="1">
        <f t="shared" si="442"/>
        <v>238169.212018262</v>
      </c>
      <c r="AE182" s="1">
        <f t="shared" si="443"/>
        <v>6.64559086307193</v>
      </c>
      <c r="AF182" s="1">
        <f t="shared" si="444"/>
        <v>3.79713030770112</v>
      </c>
      <c r="AG182" s="1">
        <f t="shared" si="445"/>
        <v>3.95671166305651</v>
      </c>
      <c r="AH182" s="1">
        <f t="shared" si="446"/>
        <v>0.77302405673951</v>
      </c>
      <c r="AI182" s="1">
        <f t="shared" si="447"/>
        <v>1.00018780654322</v>
      </c>
      <c r="AJ182" s="1">
        <f t="shared" si="448"/>
        <v>1.02576183648313</v>
      </c>
      <c r="AK182" s="1">
        <f t="shared" si="449"/>
        <v>1</v>
      </c>
      <c r="AL182" s="10">
        <f t="shared" si="450"/>
        <v>161547</v>
      </c>
      <c r="AM182" s="10">
        <f t="shared" si="451"/>
        <v>14924</v>
      </c>
      <c r="AN182" s="10">
        <f t="shared" si="452"/>
        <v>12870</v>
      </c>
      <c r="AO182" s="1">
        <f t="shared" si="453"/>
        <v>94682</v>
      </c>
      <c r="AP182" s="1">
        <f t="shared" si="454"/>
        <v>14924</v>
      </c>
      <c r="AR182" s="1">
        <f t="shared" ref="AR182:AX182" si="584">ROUNDUP(AR$10*$AO182,0)</f>
        <v>94682</v>
      </c>
      <c r="AS182" s="1">
        <f t="shared" si="584"/>
        <v>284046</v>
      </c>
      <c r="AT182" s="1">
        <f t="shared" si="584"/>
        <v>170428</v>
      </c>
      <c r="AU182" s="1">
        <f t="shared" si="584"/>
        <v>47341</v>
      </c>
      <c r="AV182" s="1">
        <f t="shared" si="584"/>
        <v>14203</v>
      </c>
      <c r="AW182" s="1">
        <f t="shared" si="584"/>
        <v>378728</v>
      </c>
      <c r="AX182" s="1">
        <f t="shared" si="584"/>
        <v>852138</v>
      </c>
      <c r="AY182" s="1">
        <f t="shared" si="456"/>
        <v>9694640</v>
      </c>
      <c r="AZ182" s="1">
        <f t="shared" si="457"/>
        <v>4847320</v>
      </c>
      <c r="BB182" s="1">
        <f t="shared" si="458"/>
        <v>171</v>
      </c>
    </row>
    <row r="183" spans="2:54">
      <c r="B183" s="4">
        <v>172</v>
      </c>
      <c r="C183" s="1">
        <f t="shared" ref="C183:I183" si="585">C$5+(C$6-C$5)*(POWER(C$7,$B183-1)-1)/(POWER(C$7,$B$3-1)-1)</f>
        <v>13590.2155350715</v>
      </c>
      <c r="D183" s="1">
        <f t="shared" si="585"/>
        <v>4077.06466052145</v>
      </c>
      <c r="E183" s="1">
        <f t="shared" si="585"/>
        <v>2718.0431070143</v>
      </c>
      <c r="F183" s="1">
        <f t="shared" si="585"/>
        <v>34405.6089495481</v>
      </c>
      <c r="G183" s="1">
        <f t="shared" si="585"/>
        <v>10321.6826848644</v>
      </c>
      <c r="H183" s="1">
        <f t="shared" si="585"/>
        <v>6881.12178990962</v>
      </c>
      <c r="I183" s="1">
        <f t="shared" si="585"/>
        <v>0</v>
      </c>
      <c r="J183" s="1">
        <f>标准模型!$I$65/1*$B183/$B$3</f>
        <v>1.2384</v>
      </c>
      <c r="K183" s="1">
        <f>J183*标准模型!$J$63</f>
        <v>1.2384</v>
      </c>
      <c r="L183" s="1">
        <f t="shared" si="433"/>
        <v>47995.8244846196</v>
      </c>
      <c r="M183" s="1">
        <f t="shared" si="434"/>
        <v>19447.7842209756</v>
      </c>
      <c r="N183" s="1">
        <f t="shared" si="435"/>
        <v>12965.1894806504</v>
      </c>
      <c r="O183" s="1">
        <f t="shared" ref="O183:W183" si="586">O$5+(O$6-O$5)*(POWER(O$7,$B183-1)-1)/(POWER(O$7,$B$3-1)-1)</f>
        <v>0.671370786320381</v>
      </c>
      <c r="P183" s="1">
        <f t="shared" si="586"/>
        <v>0.105029461218605</v>
      </c>
      <c r="Q183" s="1">
        <f t="shared" si="586"/>
        <v>0.36925393247621</v>
      </c>
      <c r="R183" s="1">
        <f t="shared" si="586"/>
        <v>1.06854831452815</v>
      </c>
      <c r="S183" s="1">
        <f t="shared" si="586"/>
        <v>0.272782022216495</v>
      </c>
      <c r="T183" s="1">
        <f t="shared" si="586"/>
        <v>2.66834606664949</v>
      </c>
      <c r="U183" s="1">
        <f t="shared" si="586"/>
        <v>1</v>
      </c>
      <c r="V183" s="1">
        <f t="shared" si="586"/>
        <v>1.18689668661949</v>
      </c>
      <c r="W183" s="1">
        <f t="shared" si="586"/>
        <v>1.54838651622522</v>
      </c>
      <c r="X183" s="1">
        <f t="shared" si="437"/>
        <v>1.86917731800619</v>
      </c>
      <c r="Y183" s="1">
        <f t="shared" si="438"/>
        <v>3.27364286420356</v>
      </c>
      <c r="Z183" s="1">
        <f t="shared" si="439"/>
        <v>157121.188335641</v>
      </c>
      <c r="AA183" s="1">
        <f t="shared" si="440"/>
        <v>19447.7842209756</v>
      </c>
      <c r="AB183" s="1">
        <f t="shared" si="441"/>
        <v>12965.1894806504</v>
      </c>
      <c r="AC183" s="1">
        <f>AB183/(AB183+战斗公式!$M$27)</f>
        <v>0.350740511892604</v>
      </c>
      <c r="AD183" s="1">
        <f t="shared" si="442"/>
        <v>242000.604093831</v>
      </c>
      <c r="AE183" s="1">
        <f t="shared" si="443"/>
        <v>6.65726462663863</v>
      </c>
      <c r="AF183" s="1">
        <f t="shared" si="444"/>
        <v>3.80115014259664</v>
      </c>
      <c r="AG183" s="1">
        <f t="shared" si="445"/>
        <v>3.96525397981464</v>
      </c>
      <c r="AH183" s="1">
        <f t="shared" si="446"/>
        <v>0.77630908339496</v>
      </c>
      <c r="AI183" s="1">
        <f t="shared" si="447"/>
        <v>1.00017841621562</v>
      </c>
      <c r="AJ183" s="1">
        <f t="shared" si="448"/>
        <v>1.02524592994608</v>
      </c>
      <c r="AK183" s="1">
        <f t="shared" si="449"/>
        <v>1</v>
      </c>
      <c r="AL183" s="10">
        <f t="shared" si="450"/>
        <v>163904</v>
      </c>
      <c r="AM183" s="10">
        <f t="shared" si="451"/>
        <v>15097</v>
      </c>
      <c r="AN183" s="10">
        <f t="shared" si="452"/>
        <v>12965</v>
      </c>
      <c r="AO183" s="1">
        <f t="shared" si="453"/>
        <v>95948</v>
      </c>
      <c r="AP183" s="1">
        <f t="shared" si="454"/>
        <v>15097</v>
      </c>
      <c r="AR183" s="1">
        <f t="shared" ref="AR183:AX183" si="587">ROUNDUP(AR$10*$AO183,0)</f>
        <v>95948</v>
      </c>
      <c r="AS183" s="1">
        <f t="shared" si="587"/>
        <v>287844</v>
      </c>
      <c r="AT183" s="1">
        <f t="shared" si="587"/>
        <v>172707</v>
      </c>
      <c r="AU183" s="1">
        <f t="shared" si="587"/>
        <v>47974</v>
      </c>
      <c r="AV183" s="1">
        <f t="shared" si="587"/>
        <v>14393</v>
      </c>
      <c r="AW183" s="1">
        <f t="shared" si="587"/>
        <v>383792</v>
      </c>
      <c r="AX183" s="1">
        <f t="shared" si="587"/>
        <v>863532</v>
      </c>
      <c r="AY183" s="1">
        <f t="shared" si="456"/>
        <v>9835995</v>
      </c>
      <c r="AZ183" s="1">
        <f t="shared" si="457"/>
        <v>4917997</v>
      </c>
      <c r="BB183" s="1">
        <f t="shared" si="458"/>
        <v>172</v>
      </c>
    </row>
    <row r="184" spans="2:54">
      <c r="B184" s="4">
        <v>173</v>
      </c>
      <c r="C184" s="1">
        <f t="shared" ref="C184:I184" si="588">C$5+(C$6-C$5)*(POWER(C$7,$B184-1)-1)/(POWER(C$7,$B$3-1)-1)</f>
        <v>13669.2216964878</v>
      </c>
      <c r="D184" s="1">
        <f t="shared" si="588"/>
        <v>4100.76650894635</v>
      </c>
      <c r="E184" s="1">
        <f t="shared" si="588"/>
        <v>2733.84433929757</v>
      </c>
      <c r="F184" s="1">
        <f t="shared" si="588"/>
        <v>34605.6245480705</v>
      </c>
      <c r="G184" s="1">
        <f t="shared" si="588"/>
        <v>10381.6873644211</v>
      </c>
      <c r="H184" s="1">
        <f t="shared" si="588"/>
        <v>6921.12490961409</v>
      </c>
      <c r="I184" s="1">
        <f t="shared" si="588"/>
        <v>0</v>
      </c>
      <c r="J184" s="1">
        <f>标准模型!$I$65/1*$B184/$B$3</f>
        <v>1.2456</v>
      </c>
      <c r="K184" s="1">
        <f>J184*标准模型!$J$63</f>
        <v>1.2456</v>
      </c>
      <c r="L184" s="1">
        <f t="shared" si="433"/>
        <v>48274.8462445583</v>
      </c>
      <c r="M184" s="1">
        <f t="shared" si="434"/>
        <v>19590.3686369111</v>
      </c>
      <c r="N184" s="1">
        <f t="shared" si="435"/>
        <v>13060.2457579407</v>
      </c>
      <c r="O184" s="1">
        <f t="shared" ref="O184:W184" si="589">O$5+(O$6-O$5)*(POWER(O$7,$B184-1)-1)/(POWER(O$7,$B$3-1)-1)</f>
        <v>0.672372868477307</v>
      </c>
      <c r="P184" s="1">
        <f t="shared" si="589"/>
        <v>0.105726262535962</v>
      </c>
      <c r="Q184" s="1">
        <f t="shared" si="589"/>
        <v>0.369805077662519</v>
      </c>
      <c r="R184" s="1">
        <f t="shared" si="589"/>
        <v>1.06894914739092</v>
      </c>
      <c r="S184" s="1">
        <f t="shared" si="589"/>
        <v>0.274084729020499</v>
      </c>
      <c r="T184" s="1">
        <f t="shared" si="589"/>
        <v>2.6722541870615</v>
      </c>
      <c r="U184" s="1">
        <f t="shared" si="589"/>
        <v>1</v>
      </c>
      <c r="V184" s="1">
        <f t="shared" si="589"/>
        <v>1.18798955570687</v>
      </c>
      <c r="W184" s="1">
        <f t="shared" si="589"/>
        <v>1.55159317912738</v>
      </c>
      <c r="X184" s="1">
        <f t="shared" si="437"/>
        <v>1.88203817096323</v>
      </c>
      <c r="Y184" s="1">
        <f t="shared" si="438"/>
        <v>3.29846414706606</v>
      </c>
      <c r="Z184" s="1">
        <f t="shared" si="439"/>
        <v>159232.849542803</v>
      </c>
      <c r="AA184" s="1">
        <f t="shared" si="440"/>
        <v>19590.3686369111</v>
      </c>
      <c r="AB184" s="1">
        <f t="shared" si="441"/>
        <v>13060.2457579407</v>
      </c>
      <c r="AC184" s="1">
        <f>AB184/(AB184+战斗公式!$M$27)</f>
        <v>0.35240580548882</v>
      </c>
      <c r="AD184" s="1">
        <f t="shared" si="442"/>
        <v>245883.689033061</v>
      </c>
      <c r="AE184" s="1">
        <f t="shared" si="443"/>
        <v>6.66896878377556</v>
      </c>
      <c r="AF184" s="1">
        <f t="shared" si="444"/>
        <v>3.80518121538231</v>
      </c>
      <c r="AG184" s="1">
        <f t="shared" si="445"/>
        <v>3.97373222919708</v>
      </c>
      <c r="AH184" s="1">
        <f t="shared" si="446"/>
        <v>0.77960068010372</v>
      </c>
      <c r="AI184" s="1">
        <f t="shared" si="447"/>
        <v>1.00016949540439</v>
      </c>
      <c r="AJ184" s="1">
        <f t="shared" si="448"/>
        <v>1.02474034153977</v>
      </c>
      <c r="AK184" s="1">
        <f t="shared" si="449"/>
        <v>1</v>
      </c>
      <c r="AL184" s="10">
        <f t="shared" si="450"/>
        <v>166286</v>
      </c>
      <c r="AM184" s="10">
        <f t="shared" si="451"/>
        <v>15273</v>
      </c>
      <c r="AN184" s="10">
        <f t="shared" si="452"/>
        <v>13060</v>
      </c>
      <c r="AO184" s="1">
        <f t="shared" si="453"/>
        <v>97227</v>
      </c>
      <c r="AP184" s="1">
        <f t="shared" si="454"/>
        <v>15273</v>
      </c>
      <c r="AR184" s="1">
        <f t="shared" ref="AR184:AX184" si="590">ROUNDUP(AR$10*$AO184,0)</f>
        <v>97227</v>
      </c>
      <c r="AS184" s="1">
        <f t="shared" si="590"/>
        <v>291681</v>
      </c>
      <c r="AT184" s="1">
        <f t="shared" si="590"/>
        <v>175009</v>
      </c>
      <c r="AU184" s="1">
        <f t="shared" si="590"/>
        <v>48614</v>
      </c>
      <c r="AV184" s="1">
        <f t="shared" si="590"/>
        <v>14585</v>
      </c>
      <c r="AW184" s="1">
        <f t="shared" si="590"/>
        <v>388908</v>
      </c>
      <c r="AX184" s="1">
        <f t="shared" si="590"/>
        <v>875043</v>
      </c>
      <c r="AY184" s="1">
        <f t="shared" si="456"/>
        <v>9978851</v>
      </c>
      <c r="AZ184" s="1">
        <f t="shared" si="457"/>
        <v>4989426</v>
      </c>
      <c r="BB184" s="1">
        <f t="shared" si="458"/>
        <v>173</v>
      </c>
    </row>
    <row r="185" spans="2:54">
      <c r="B185" s="4">
        <v>174</v>
      </c>
      <c r="C185" s="1">
        <f t="shared" ref="C185:I185" si="591">C$5+(C$6-C$5)*(POWER(C$7,$B185-1)-1)/(POWER(C$7,$B$3-1)-1)</f>
        <v>13748.2277789126</v>
      </c>
      <c r="D185" s="1">
        <f t="shared" si="591"/>
        <v>4124.46833367377</v>
      </c>
      <c r="E185" s="1">
        <f t="shared" si="591"/>
        <v>2749.64555578252</v>
      </c>
      <c r="F185" s="1">
        <f t="shared" si="591"/>
        <v>34805.6399466141</v>
      </c>
      <c r="G185" s="1">
        <f t="shared" si="591"/>
        <v>10441.6919839842</v>
      </c>
      <c r="H185" s="1">
        <f t="shared" si="591"/>
        <v>6961.12798932282</v>
      </c>
      <c r="I185" s="1">
        <f t="shared" si="591"/>
        <v>0</v>
      </c>
      <c r="J185" s="1">
        <f>标准模型!$I$65/1*$B185/$B$3</f>
        <v>1.2528</v>
      </c>
      <c r="K185" s="1">
        <f>J185*标准模型!$J$63</f>
        <v>1.2528</v>
      </c>
      <c r="L185" s="1">
        <f t="shared" si="433"/>
        <v>48553.8677255267</v>
      </c>
      <c r="M185" s="1">
        <f t="shared" si="434"/>
        <v>19733.2942460845</v>
      </c>
      <c r="N185" s="1">
        <f t="shared" si="435"/>
        <v>13155.5294973897</v>
      </c>
      <c r="O185" s="1">
        <f t="shared" ref="O185:W185" si="592">O$5+(O$6-O$5)*(POWER(O$7,$B185-1)-1)/(POWER(O$7,$B$3-1)-1)</f>
        <v>0.673374949632335</v>
      </c>
      <c r="P185" s="1">
        <f t="shared" si="592"/>
        <v>0.106424109055296</v>
      </c>
      <c r="Q185" s="1">
        <f t="shared" si="592"/>
        <v>0.370356222297784</v>
      </c>
      <c r="R185" s="1">
        <f t="shared" si="592"/>
        <v>1.06934997985293</v>
      </c>
      <c r="S185" s="1">
        <f t="shared" si="592"/>
        <v>0.275387434522036</v>
      </c>
      <c r="T185" s="1">
        <f t="shared" si="592"/>
        <v>2.67616230356611</v>
      </c>
      <c r="U185" s="1">
        <f t="shared" si="592"/>
        <v>1</v>
      </c>
      <c r="V185" s="1">
        <f t="shared" si="592"/>
        <v>1.18908242370159</v>
      </c>
      <c r="W185" s="1">
        <f t="shared" si="592"/>
        <v>1.55479983882347</v>
      </c>
      <c r="X185" s="1">
        <f t="shared" si="437"/>
        <v>1.89497646934569</v>
      </c>
      <c r="Y185" s="1">
        <f t="shared" si="438"/>
        <v>3.32345308467088</v>
      </c>
      <c r="Z185" s="1">
        <f t="shared" si="439"/>
        <v>161366.501465104</v>
      </c>
      <c r="AA185" s="1">
        <f t="shared" si="440"/>
        <v>19733.2942460845</v>
      </c>
      <c r="AB185" s="1">
        <f t="shared" si="441"/>
        <v>13155.5294973897</v>
      </c>
      <c r="AC185" s="1">
        <f>AB185/(AB185+战斗公式!$M$27)</f>
        <v>0.354066532635846</v>
      </c>
      <c r="AD185" s="1">
        <f t="shared" si="442"/>
        <v>249819.075211551</v>
      </c>
      <c r="AE185" s="1">
        <f t="shared" si="443"/>
        <v>6.68070327729573</v>
      </c>
      <c r="AF185" s="1">
        <f t="shared" si="444"/>
        <v>3.80922347529084</v>
      </c>
      <c r="AG185" s="1">
        <f t="shared" si="445"/>
        <v>3.98214689170915</v>
      </c>
      <c r="AH185" s="1">
        <f t="shared" si="446"/>
        <v>0.782898860005897</v>
      </c>
      <c r="AI185" s="1">
        <f t="shared" si="447"/>
        <v>1.00016102063373</v>
      </c>
      <c r="AJ185" s="1">
        <f t="shared" si="448"/>
        <v>1.02424486490158</v>
      </c>
      <c r="AK185" s="1">
        <f t="shared" si="449"/>
        <v>1</v>
      </c>
      <c r="AL185" s="10">
        <f t="shared" si="450"/>
        <v>168692</v>
      </c>
      <c r="AM185" s="10">
        <f t="shared" si="451"/>
        <v>15449</v>
      </c>
      <c r="AN185" s="10">
        <f t="shared" si="452"/>
        <v>13156</v>
      </c>
      <c r="AO185" s="1">
        <f t="shared" si="453"/>
        <v>98517</v>
      </c>
      <c r="AP185" s="1">
        <f t="shared" si="454"/>
        <v>15449</v>
      </c>
      <c r="AR185" s="1">
        <f t="shared" ref="AR185:AX185" si="593">ROUNDUP(AR$10*$AO185,0)</f>
        <v>98517</v>
      </c>
      <c r="AS185" s="1">
        <f t="shared" si="593"/>
        <v>295551</v>
      </c>
      <c r="AT185" s="1">
        <f t="shared" si="593"/>
        <v>177331</v>
      </c>
      <c r="AU185" s="1">
        <f t="shared" si="593"/>
        <v>49259</v>
      </c>
      <c r="AV185" s="1">
        <f t="shared" si="593"/>
        <v>14778</v>
      </c>
      <c r="AW185" s="1">
        <f t="shared" si="593"/>
        <v>394068</v>
      </c>
      <c r="AX185" s="1">
        <f t="shared" si="593"/>
        <v>886653</v>
      </c>
      <c r="AY185" s="1">
        <f t="shared" si="456"/>
        <v>10123150</v>
      </c>
      <c r="AZ185" s="1">
        <f t="shared" si="457"/>
        <v>5061575</v>
      </c>
      <c r="BB185" s="1">
        <f t="shared" si="458"/>
        <v>174</v>
      </c>
    </row>
    <row r="186" spans="2:54">
      <c r="B186" s="4">
        <v>175</v>
      </c>
      <c r="C186" s="1">
        <f t="shared" ref="C186:I186" si="594">C$5+(C$6-C$5)*(POWER(C$7,$B186-1)-1)/(POWER(C$7,$B$3-1)-1)</f>
        <v>13827.2337823194</v>
      </c>
      <c r="D186" s="1">
        <f t="shared" si="594"/>
        <v>4148.17013469582</v>
      </c>
      <c r="E186" s="1">
        <f t="shared" si="594"/>
        <v>2765.44675646388</v>
      </c>
      <c r="F186" s="1">
        <f t="shared" si="594"/>
        <v>35005.6551451124</v>
      </c>
      <c r="G186" s="1">
        <f t="shared" si="594"/>
        <v>10501.6965435337</v>
      </c>
      <c r="H186" s="1">
        <f t="shared" si="594"/>
        <v>7001.13102902248</v>
      </c>
      <c r="I186" s="1">
        <f t="shared" si="594"/>
        <v>0</v>
      </c>
      <c r="J186" s="1">
        <f>标准模型!$I$65/1*$B186/$B$3</f>
        <v>1.26</v>
      </c>
      <c r="K186" s="1">
        <f>J186*标准模型!$J$63</f>
        <v>1.26</v>
      </c>
      <c r="L186" s="1">
        <f t="shared" si="433"/>
        <v>48832.8889274318</v>
      </c>
      <c r="M186" s="1">
        <f t="shared" si="434"/>
        <v>19876.5610479463</v>
      </c>
      <c r="N186" s="1">
        <f t="shared" si="435"/>
        <v>13251.0406986308</v>
      </c>
      <c r="O186" s="1">
        <f t="shared" ref="O186:W186" si="595">O$5+(O$6-O$5)*(POWER(O$7,$B186-1)-1)/(POWER(O$7,$B$3-1)-1)</f>
        <v>0.674377029785132</v>
      </c>
      <c r="P186" s="1">
        <f t="shared" si="595"/>
        <v>0.107123002344408</v>
      </c>
      <c r="Q186" s="1">
        <f t="shared" si="595"/>
        <v>0.370907366381823</v>
      </c>
      <c r="R186" s="1">
        <f t="shared" si="595"/>
        <v>1.06975081191405</v>
      </c>
      <c r="S186" s="1">
        <f t="shared" si="595"/>
        <v>0.276690138720672</v>
      </c>
      <c r="T186" s="1">
        <f t="shared" si="595"/>
        <v>2.68007041616202</v>
      </c>
      <c r="U186" s="1">
        <f t="shared" si="595"/>
        <v>1</v>
      </c>
      <c r="V186" s="1">
        <f t="shared" si="595"/>
        <v>1.19017529060327</v>
      </c>
      <c r="W186" s="1">
        <f t="shared" si="595"/>
        <v>1.55800649531242</v>
      </c>
      <c r="X186" s="1">
        <f t="shared" si="437"/>
        <v>1.90799260805881</v>
      </c>
      <c r="Y186" s="1">
        <f t="shared" si="438"/>
        <v>3.34861065661471</v>
      </c>
      <c r="Z186" s="1">
        <f t="shared" si="439"/>
        <v>163522.33225568</v>
      </c>
      <c r="AA186" s="1">
        <f t="shared" si="440"/>
        <v>19876.5610479463</v>
      </c>
      <c r="AB186" s="1">
        <f t="shared" si="441"/>
        <v>13251.0406986308</v>
      </c>
      <c r="AC186" s="1">
        <f>AB186/(AB186+战斗公式!$M$27)</f>
        <v>0.355722697946473</v>
      </c>
      <c r="AD186" s="1">
        <f t="shared" si="442"/>
        <v>253807.377249641</v>
      </c>
      <c r="AE186" s="1">
        <f t="shared" si="443"/>
        <v>6.6924680503385</v>
      </c>
      <c r="AF186" s="1">
        <f t="shared" si="444"/>
        <v>3.81327687185487</v>
      </c>
      <c r="AG186" s="1">
        <f t="shared" si="445"/>
        <v>3.99049844425239</v>
      </c>
      <c r="AH186" s="1">
        <f t="shared" si="446"/>
        <v>0.786203636267879</v>
      </c>
      <c r="AI186" s="1">
        <f t="shared" si="447"/>
        <v>1.00015296960161</v>
      </c>
      <c r="AJ186" s="1">
        <f t="shared" si="448"/>
        <v>1.02375929779616</v>
      </c>
      <c r="AK186" s="1">
        <f t="shared" si="449"/>
        <v>1</v>
      </c>
      <c r="AL186" s="10">
        <f t="shared" si="450"/>
        <v>171122</v>
      </c>
      <c r="AM186" s="10">
        <f t="shared" si="451"/>
        <v>15627</v>
      </c>
      <c r="AN186" s="10">
        <f t="shared" si="452"/>
        <v>13251</v>
      </c>
      <c r="AO186" s="1">
        <f t="shared" si="453"/>
        <v>99820</v>
      </c>
      <c r="AP186" s="1">
        <f t="shared" si="454"/>
        <v>15627</v>
      </c>
      <c r="AR186" s="1">
        <f t="shared" ref="AR186:AX186" si="596">ROUNDUP(AR$10*$AO186,0)</f>
        <v>99820</v>
      </c>
      <c r="AS186" s="1">
        <f t="shared" si="596"/>
        <v>299460</v>
      </c>
      <c r="AT186" s="1">
        <f t="shared" si="596"/>
        <v>179676</v>
      </c>
      <c r="AU186" s="1">
        <f t="shared" si="596"/>
        <v>49910</v>
      </c>
      <c r="AV186" s="1">
        <f t="shared" si="596"/>
        <v>14973</v>
      </c>
      <c r="AW186" s="1">
        <f t="shared" si="596"/>
        <v>399280</v>
      </c>
      <c r="AX186" s="1">
        <f t="shared" si="596"/>
        <v>898380</v>
      </c>
      <c r="AY186" s="1">
        <f t="shared" si="456"/>
        <v>10268891</v>
      </c>
      <c r="AZ186" s="1">
        <f t="shared" si="457"/>
        <v>5134445</v>
      </c>
      <c r="BB186" s="1">
        <f t="shared" si="458"/>
        <v>175</v>
      </c>
    </row>
    <row r="187" spans="2:54">
      <c r="B187" s="4">
        <v>176</v>
      </c>
      <c r="C187" s="1">
        <f t="shared" ref="C187:I187" si="597">C$5+(C$6-C$5)*(POWER(C$7,$B187-1)-1)/(POWER(C$7,$B$3-1)-1)</f>
        <v>13906.2397067258</v>
      </c>
      <c r="D187" s="1">
        <f t="shared" si="597"/>
        <v>4171.87191201775</v>
      </c>
      <c r="E187" s="1">
        <f t="shared" si="597"/>
        <v>2781.24794134517</v>
      </c>
      <c r="F187" s="1">
        <f t="shared" si="597"/>
        <v>35205.6701436097</v>
      </c>
      <c r="G187" s="1">
        <f t="shared" si="597"/>
        <v>10561.7010430829</v>
      </c>
      <c r="H187" s="1">
        <f t="shared" si="597"/>
        <v>7041.13402872194</v>
      </c>
      <c r="I187" s="1">
        <f t="shared" si="597"/>
        <v>0</v>
      </c>
      <c r="J187" s="1">
        <f>标准模型!$I$65/1*$B187/$B$3</f>
        <v>1.2672</v>
      </c>
      <c r="K187" s="1">
        <f>J187*标准模型!$J$63</f>
        <v>1.2672</v>
      </c>
      <c r="L187" s="1">
        <f t="shared" si="433"/>
        <v>49111.9098503355</v>
      </c>
      <c r="M187" s="1">
        <f t="shared" si="434"/>
        <v>20020.1690420095</v>
      </c>
      <c r="N187" s="1">
        <f t="shared" si="435"/>
        <v>13346.7793613397</v>
      </c>
      <c r="O187" s="1">
        <f t="shared" ref="O187:W187" si="598">O$5+(O$6-O$5)*(POWER(O$7,$B187-1)-1)/(POWER(O$7,$B$3-1)-1)</f>
        <v>0.67537910893592</v>
      </c>
      <c r="P187" s="1">
        <f t="shared" si="598"/>
        <v>0.107822943973455</v>
      </c>
      <c r="Q187" s="1">
        <f t="shared" si="598"/>
        <v>0.371458509914756</v>
      </c>
      <c r="R187" s="1">
        <f t="shared" si="598"/>
        <v>1.07015164357437</v>
      </c>
      <c r="S187" s="1">
        <f t="shared" si="598"/>
        <v>0.277992841616696</v>
      </c>
      <c r="T187" s="1">
        <f t="shared" si="598"/>
        <v>2.68397852485009</v>
      </c>
      <c r="U187" s="1">
        <f t="shared" si="598"/>
        <v>1</v>
      </c>
      <c r="V187" s="1">
        <f t="shared" si="598"/>
        <v>1.19126815641217</v>
      </c>
      <c r="W187" s="1">
        <f t="shared" si="598"/>
        <v>1.56121314859494</v>
      </c>
      <c r="X187" s="1">
        <f t="shared" si="437"/>
        <v>1.92108698352021</v>
      </c>
      <c r="Y187" s="1">
        <f t="shared" si="438"/>
        <v>3.37393784706665</v>
      </c>
      <c r="Z187" s="1">
        <f t="shared" si="439"/>
        <v>165700.531385772</v>
      </c>
      <c r="AA187" s="1">
        <f t="shared" si="440"/>
        <v>20020.1690420095</v>
      </c>
      <c r="AB187" s="1">
        <f t="shared" si="441"/>
        <v>13346.7793613397</v>
      </c>
      <c r="AC187" s="1">
        <f>AB187/(AB187+战斗公式!$M$27)</f>
        <v>0.35737430615385</v>
      </c>
      <c r="AD187" s="1">
        <f t="shared" si="442"/>
        <v>257849.216071716</v>
      </c>
      <c r="AE187" s="1">
        <f t="shared" si="443"/>
        <v>6.70426304639131</v>
      </c>
      <c r="AF187" s="1">
        <f t="shared" si="444"/>
        <v>3.81734135491425</v>
      </c>
      <c r="AG187" s="1">
        <f t="shared" si="445"/>
        <v>3.99878736015155</v>
      </c>
      <c r="AH187" s="1">
        <f t="shared" si="446"/>
        <v>0.789515022082385</v>
      </c>
      <c r="AI187" s="1">
        <f t="shared" si="447"/>
        <v>1.00014532112109</v>
      </c>
      <c r="AJ187" s="1">
        <f t="shared" si="448"/>
        <v>1.02328344203285</v>
      </c>
      <c r="AK187" s="1">
        <f t="shared" si="449"/>
        <v>1</v>
      </c>
      <c r="AL187" s="10">
        <f t="shared" si="450"/>
        <v>173577</v>
      </c>
      <c r="AM187" s="10">
        <f t="shared" si="451"/>
        <v>15806</v>
      </c>
      <c r="AN187" s="10">
        <f t="shared" si="452"/>
        <v>13347</v>
      </c>
      <c r="AO187" s="1">
        <f t="shared" si="453"/>
        <v>101134</v>
      </c>
      <c r="AP187" s="1">
        <f t="shared" si="454"/>
        <v>15806</v>
      </c>
      <c r="AR187" s="1">
        <f t="shared" ref="AR187:AX187" si="599">ROUNDUP(AR$10*$AO187,0)</f>
        <v>101134</v>
      </c>
      <c r="AS187" s="1">
        <f t="shared" si="599"/>
        <v>303402</v>
      </c>
      <c r="AT187" s="1">
        <f t="shared" si="599"/>
        <v>182042</v>
      </c>
      <c r="AU187" s="1">
        <f t="shared" si="599"/>
        <v>50567</v>
      </c>
      <c r="AV187" s="1">
        <f t="shared" si="599"/>
        <v>15171</v>
      </c>
      <c r="AW187" s="1">
        <f t="shared" si="599"/>
        <v>404536</v>
      </c>
      <c r="AX187" s="1">
        <f t="shared" si="599"/>
        <v>910206</v>
      </c>
      <c r="AY187" s="1">
        <f t="shared" si="456"/>
        <v>10416133</v>
      </c>
      <c r="AZ187" s="1">
        <f t="shared" si="457"/>
        <v>5208067</v>
      </c>
      <c r="BB187" s="1">
        <f t="shared" si="458"/>
        <v>176</v>
      </c>
    </row>
    <row r="188" spans="2:54">
      <c r="B188" s="4">
        <v>177</v>
      </c>
      <c r="C188" s="1">
        <f t="shared" ref="C188:I188" si="600">C$5+(C$6-C$5)*(POWER(C$7,$B188-1)-1)/(POWER(C$7,$B$3-1)-1)</f>
        <v>13985.2455521231</v>
      </c>
      <c r="D188" s="1">
        <f t="shared" si="600"/>
        <v>4195.57366563693</v>
      </c>
      <c r="E188" s="1">
        <f t="shared" si="600"/>
        <v>2797.04911042462</v>
      </c>
      <c r="F188" s="1">
        <f t="shared" si="600"/>
        <v>35405.6849420838</v>
      </c>
      <c r="G188" s="1">
        <f t="shared" si="600"/>
        <v>10621.7054826252</v>
      </c>
      <c r="H188" s="1">
        <f t="shared" si="600"/>
        <v>7081.13698841677</v>
      </c>
      <c r="I188" s="1">
        <f t="shared" si="600"/>
        <v>0</v>
      </c>
      <c r="J188" s="1">
        <f>标准模型!$I$65/1*$B188/$B$3</f>
        <v>1.2744</v>
      </c>
      <c r="K188" s="1">
        <f>J188*标准模型!$J$63</f>
        <v>1.2744</v>
      </c>
      <c r="L188" s="1">
        <f t="shared" si="433"/>
        <v>49390.9304942069</v>
      </c>
      <c r="M188" s="1">
        <f t="shared" si="434"/>
        <v>20164.1182277498</v>
      </c>
      <c r="N188" s="1">
        <f t="shared" si="435"/>
        <v>13442.7454851665</v>
      </c>
      <c r="O188" s="1">
        <f t="shared" ref="O188:W188" si="601">O$5+(O$6-O$5)*(POWER(O$7,$B188-1)-1)/(POWER(O$7,$B$3-1)-1)</f>
        <v>0.676381187084588</v>
      </c>
      <c r="P188" s="1">
        <f t="shared" si="601"/>
        <v>0.108523935514944</v>
      </c>
      <c r="Q188" s="1">
        <f t="shared" si="601"/>
        <v>0.372009652896524</v>
      </c>
      <c r="R188" s="1">
        <f t="shared" si="601"/>
        <v>1.07055247483384</v>
      </c>
      <c r="S188" s="1">
        <f t="shared" si="601"/>
        <v>0.279295543209965</v>
      </c>
      <c r="T188" s="1">
        <f t="shared" si="601"/>
        <v>2.68788662962989</v>
      </c>
      <c r="U188" s="1">
        <f t="shared" si="601"/>
        <v>1</v>
      </c>
      <c r="V188" s="1">
        <f t="shared" si="601"/>
        <v>1.19236102112815</v>
      </c>
      <c r="W188" s="1">
        <f t="shared" si="601"/>
        <v>1.56441979867068</v>
      </c>
      <c r="X188" s="1">
        <f t="shared" si="437"/>
        <v>1.93425999365368</v>
      </c>
      <c r="Y188" s="1">
        <f t="shared" si="438"/>
        <v>3.39943564476312</v>
      </c>
      <c r="Z188" s="1">
        <f t="shared" si="439"/>
        <v>167901.289650024</v>
      </c>
      <c r="AA188" s="1">
        <f t="shared" si="440"/>
        <v>20164.1182277498</v>
      </c>
      <c r="AB188" s="1">
        <f t="shared" si="441"/>
        <v>13442.7454851665</v>
      </c>
      <c r="AC188" s="1">
        <f>AB188/(AB188+战斗公式!$M$27)</f>
        <v>0.359021362108504</v>
      </c>
      <c r="AD188" s="1">
        <f t="shared" si="442"/>
        <v>261945.218958212</v>
      </c>
      <c r="AE188" s="1">
        <f t="shared" si="443"/>
        <v>6.71608820926864</v>
      </c>
      <c r="AF188" s="1">
        <f t="shared" si="444"/>
        <v>3.82141687460677</v>
      </c>
      <c r="AG188" s="1">
        <f t="shared" si="445"/>
        <v>4.00701410918146</v>
      </c>
      <c r="AH188" s="1">
        <f t="shared" si="446"/>
        <v>0.79283303066852</v>
      </c>
      <c r="AI188" s="1">
        <f t="shared" si="447"/>
        <v>1.00013805506459</v>
      </c>
      <c r="AJ188" s="1">
        <f t="shared" si="448"/>
        <v>1.02281710338481</v>
      </c>
      <c r="AK188" s="1">
        <f t="shared" si="449"/>
        <v>1</v>
      </c>
      <c r="AL188" s="10">
        <f t="shared" si="450"/>
        <v>176056</v>
      </c>
      <c r="AM188" s="10">
        <f t="shared" si="451"/>
        <v>15987</v>
      </c>
      <c r="AN188" s="10">
        <f t="shared" si="452"/>
        <v>13443</v>
      </c>
      <c r="AO188" s="1">
        <f t="shared" si="453"/>
        <v>102461</v>
      </c>
      <c r="AP188" s="1">
        <f t="shared" si="454"/>
        <v>15987</v>
      </c>
      <c r="AR188" s="1">
        <f t="shared" ref="AR188:AX188" si="602">ROUNDUP(AR$10*$AO188,0)</f>
        <v>102461</v>
      </c>
      <c r="AS188" s="1">
        <f t="shared" si="602"/>
        <v>307383</v>
      </c>
      <c r="AT188" s="1">
        <f t="shared" si="602"/>
        <v>184430</v>
      </c>
      <c r="AU188" s="1">
        <f t="shared" si="602"/>
        <v>51231</v>
      </c>
      <c r="AV188" s="1">
        <f t="shared" si="602"/>
        <v>15370</v>
      </c>
      <c r="AW188" s="1">
        <f t="shared" si="602"/>
        <v>409844</v>
      </c>
      <c r="AX188" s="1">
        <f t="shared" si="602"/>
        <v>922149</v>
      </c>
      <c r="AY188" s="1">
        <f t="shared" si="456"/>
        <v>10564818</v>
      </c>
      <c r="AZ188" s="1">
        <f t="shared" si="457"/>
        <v>5282409</v>
      </c>
      <c r="BB188" s="1">
        <f t="shared" si="458"/>
        <v>177</v>
      </c>
    </row>
    <row r="189" spans="2:54">
      <c r="B189" s="4">
        <v>178</v>
      </c>
      <c r="C189" s="1">
        <f t="shared" ref="C189:I189" si="603">C$5+(C$6-C$5)*(POWER(C$7,$B189-1)-1)/(POWER(C$7,$B$3-1)-1)</f>
        <v>14064.25131852</v>
      </c>
      <c r="D189" s="1">
        <f t="shared" si="603"/>
        <v>4219.27539555601</v>
      </c>
      <c r="E189" s="1">
        <f t="shared" si="603"/>
        <v>2812.850263704</v>
      </c>
      <c r="F189" s="1">
        <f t="shared" si="603"/>
        <v>35605.699540557</v>
      </c>
      <c r="G189" s="1">
        <f t="shared" si="603"/>
        <v>10681.7098621671</v>
      </c>
      <c r="H189" s="1">
        <f t="shared" si="603"/>
        <v>7121.1399081114</v>
      </c>
      <c r="I189" s="1">
        <f t="shared" si="603"/>
        <v>0</v>
      </c>
      <c r="J189" s="1">
        <f>标准模型!$I$65/1*$B189/$B$3</f>
        <v>1.2816</v>
      </c>
      <c r="K189" s="1">
        <f>J189*标准模型!$J$63</f>
        <v>1.2816</v>
      </c>
      <c r="L189" s="1">
        <f t="shared" si="433"/>
        <v>49669.950859077</v>
      </c>
      <c r="M189" s="1">
        <f t="shared" si="434"/>
        <v>20308.4086046677</v>
      </c>
      <c r="N189" s="1">
        <f t="shared" si="435"/>
        <v>13538.9390697785</v>
      </c>
      <c r="O189" s="1">
        <f t="shared" ref="O189:W189" si="604">O$5+(O$6-O$5)*(POWER(O$7,$B189-1)-1)/(POWER(O$7,$B$3-1)-1)</f>
        <v>0.677383264231248</v>
      </c>
      <c r="P189" s="1">
        <f t="shared" si="604"/>
        <v>0.109225978543747</v>
      </c>
      <c r="Q189" s="1">
        <f t="shared" si="604"/>
        <v>0.372560795327186</v>
      </c>
      <c r="R189" s="1">
        <f t="shared" si="604"/>
        <v>1.0709533056925</v>
      </c>
      <c r="S189" s="1">
        <f t="shared" si="604"/>
        <v>0.280598243500622</v>
      </c>
      <c r="T189" s="1">
        <f t="shared" si="604"/>
        <v>2.69179473050187</v>
      </c>
      <c r="U189" s="1">
        <f t="shared" si="604"/>
        <v>1</v>
      </c>
      <c r="V189" s="1">
        <f t="shared" si="604"/>
        <v>1.19345388475134</v>
      </c>
      <c r="W189" s="1">
        <f t="shared" si="604"/>
        <v>1.56762644553999</v>
      </c>
      <c r="X189" s="1">
        <f t="shared" si="437"/>
        <v>1.94751203789925</v>
      </c>
      <c r="Y189" s="1">
        <f t="shared" si="438"/>
        <v>3.42510504303605</v>
      </c>
      <c r="Z189" s="1">
        <f t="shared" si="439"/>
        <v>170124.799174778</v>
      </c>
      <c r="AA189" s="1">
        <f t="shared" si="440"/>
        <v>20308.4086046677</v>
      </c>
      <c r="AB189" s="1">
        <f t="shared" si="441"/>
        <v>13538.9390697785</v>
      </c>
      <c r="AC189" s="1">
        <f>AB189/(AB189+战斗公式!$M$27)</f>
        <v>0.360663870777272</v>
      </c>
      <c r="AD189" s="1">
        <f t="shared" si="442"/>
        <v>266096.019603345</v>
      </c>
      <c r="AE189" s="1">
        <f t="shared" si="443"/>
        <v>6.72794348312058</v>
      </c>
      <c r="AF189" s="1">
        <f t="shared" si="444"/>
        <v>3.82550338137038</v>
      </c>
      <c r="AG189" s="1">
        <f t="shared" si="445"/>
        <v>4.01517915759366</v>
      </c>
      <c r="AH189" s="1">
        <f t="shared" si="446"/>
        <v>0.796157675271827</v>
      </c>
      <c r="AI189" s="1">
        <f t="shared" si="447"/>
        <v>1.00013115231092</v>
      </c>
      <c r="AJ189" s="1">
        <f t="shared" si="448"/>
        <v>1.02236009150972</v>
      </c>
      <c r="AK189" s="1">
        <f t="shared" si="449"/>
        <v>1</v>
      </c>
      <c r="AL189" s="10">
        <f t="shared" si="450"/>
        <v>178560</v>
      </c>
      <c r="AM189" s="10">
        <f t="shared" si="451"/>
        <v>16169</v>
      </c>
      <c r="AN189" s="10">
        <f t="shared" si="452"/>
        <v>13539</v>
      </c>
      <c r="AO189" s="1">
        <f t="shared" si="453"/>
        <v>103799</v>
      </c>
      <c r="AP189" s="1">
        <f t="shared" si="454"/>
        <v>16169</v>
      </c>
      <c r="AR189" s="1">
        <f t="shared" ref="AR189:AX189" si="605">ROUNDUP(AR$10*$AO189,0)</f>
        <v>103799</v>
      </c>
      <c r="AS189" s="1">
        <f t="shared" si="605"/>
        <v>311397</v>
      </c>
      <c r="AT189" s="1">
        <f t="shared" si="605"/>
        <v>186839</v>
      </c>
      <c r="AU189" s="1">
        <f t="shared" si="605"/>
        <v>51900</v>
      </c>
      <c r="AV189" s="1">
        <f t="shared" si="605"/>
        <v>15570</v>
      </c>
      <c r="AW189" s="1">
        <f t="shared" si="605"/>
        <v>415196</v>
      </c>
      <c r="AX189" s="1">
        <f t="shared" si="605"/>
        <v>934191</v>
      </c>
      <c r="AY189" s="1">
        <f t="shared" si="456"/>
        <v>10715005</v>
      </c>
      <c r="AZ189" s="1">
        <f t="shared" si="457"/>
        <v>5357503</v>
      </c>
      <c r="BB189" s="1">
        <f t="shared" si="458"/>
        <v>178</v>
      </c>
    </row>
    <row r="190" spans="2:54">
      <c r="B190" s="4">
        <v>179</v>
      </c>
      <c r="C190" s="1">
        <f t="shared" ref="C190:I190" si="606">C$5+(C$6-C$5)*(POWER(C$7,$B190-1)-1)/(POWER(C$7,$B$3-1)-1)</f>
        <v>14143.2570059078</v>
      </c>
      <c r="D190" s="1">
        <f t="shared" si="606"/>
        <v>4242.97710177233</v>
      </c>
      <c r="E190" s="1">
        <f t="shared" si="606"/>
        <v>2828.65140118156</v>
      </c>
      <c r="F190" s="1">
        <f t="shared" si="606"/>
        <v>35805.713939007</v>
      </c>
      <c r="G190" s="1">
        <f t="shared" si="606"/>
        <v>10741.7141817021</v>
      </c>
      <c r="H190" s="1">
        <f t="shared" si="606"/>
        <v>7161.14278780141</v>
      </c>
      <c r="I190" s="1">
        <f t="shared" si="606"/>
        <v>0</v>
      </c>
      <c r="J190" s="1">
        <f>标准模型!$I$65/1*$B190/$B$3</f>
        <v>1.2888</v>
      </c>
      <c r="K190" s="1">
        <f>J190*标准模型!$J$63</f>
        <v>1.2888</v>
      </c>
      <c r="L190" s="1">
        <f t="shared" si="433"/>
        <v>49948.9709449148</v>
      </c>
      <c r="M190" s="1">
        <f t="shared" si="434"/>
        <v>20453.0401722386</v>
      </c>
      <c r="N190" s="1">
        <f t="shared" si="435"/>
        <v>13635.3601148257</v>
      </c>
      <c r="O190" s="1">
        <f t="shared" ref="O190:W190" si="607">O$5+(O$6-O$5)*(POWER(O$7,$B190-1)-1)/(POWER(O$7,$B$3-1)-1)</f>
        <v>0.678385340375787</v>
      </c>
      <c r="P190" s="1">
        <f t="shared" si="607"/>
        <v>0.109929074637092</v>
      </c>
      <c r="Q190" s="1">
        <f t="shared" si="607"/>
        <v>0.373111937206683</v>
      </c>
      <c r="R190" s="1">
        <f t="shared" si="607"/>
        <v>1.07135413615031</v>
      </c>
      <c r="S190" s="1">
        <f t="shared" si="607"/>
        <v>0.281900942488523</v>
      </c>
      <c r="T190" s="1">
        <f t="shared" si="607"/>
        <v>2.69570282746557</v>
      </c>
      <c r="U190" s="1">
        <f t="shared" si="607"/>
        <v>1</v>
      </c>
      <c r="V190" s="1">
        <f t="shared" si="607"/>
        <v>1.19454674728163</v>
      </c>
      <c r="W190" s="1">
        <f t="shared" si="607"/>
        <v>1.57083308920252</v>
      </c>
      <c r="X190" s="1">
        <f t="shared" si="437"/>
        <v>1.96084351721186</v>
      </c>
      <c r="Y190" s="1">
        <f t="shared" si="438"/>
        <v>3.45094703981794</v>
      </c>
      <c r="Z190" s="1">
        <f t="shared" si="439"/>
        <v>172371.253424306</v>
      </c>
      <c r="AA190" s="1">
        <f t="shared" si="440"/>
        <v>20453.0401722386</v>
      </c>
      <c r="AB190" s="1">
        <f t="shared" si="441"/>
        <v>13635.3601148257</v>
      </c>
      <c r="AC190" s="1">
        <f>AB190/(AB190+战斗公式!$M$27)</f>
        <v>0.36230183724094</v>
      </c>
      <c r="AD190" s="1">
        <f t="shared" si="442"/>
        <v>270302.258169485</v>
      </c>
      <c r="AE190" s="1">
        <f t="shared" si="443"/>
        <v>6.7398288124207</v>
      </c>
      <c r="AF190" s="1">
        <f t="shared" si="444"/>
        <v>3.82960082593736</v>
      </c>
      <c r="AG190" s="1">
        <f t="shared" si="445"/>
        <v>4.02328296814276</v>
      </c>
      <c r="AH190" s="1">
        <f t="shared" si="446"/>
        <v>0.799488969164341</v>
      </c>
      <c r="AI190" s="1">
        <f t="shared" si="447"/>
        <v>1.00012459469494</v>
      </c>
      <c r="AJ190" s="1">
        <f t="shared" si="448"/>
        <v>1.02191221987214</v>
      </c>
      <c r="AK190" s="1">
        <f t="shared" si="449"/>
        <v>1</v>
      </c>
      <c r="AL190" s="10">
        <f t="shared" si="450"/>
        <v>181089</v>
      </c>
      <c r="AM190" s="10">
        <f t="shared" si="451"/>
        <v>16352</v>
      </c>
      <c r="AN190" s="10">
        <f t="shared" si="452"/>
        <v>13635</v>
      </c>
      <c r="AO190" s="1">
        <f t="shared" si="453"/>
        <v>105150</v>
      </c>
      <c r="AP190" s="1">
        <f t="shared" si="454"/>
        <v>16352</v>
      </c>
      <c r="AR190" s="1">
        <f t="shared" ref="AR190:AX190" si="608">ROUNDUP(AR$10*$AO190,0)</f>
        <v>105150</v>
      </c>
      <c r="AS190" s="1">
        <f t="shared" si="608"/>
        <v>315450</v>
      </c>
      <c r="AT190" s="1">
        <f t="shared" si="608"/>
        <v>189270</v>
      </c>
      <c r="AU190" s="1">
        <f t="shared" si="608"/>
        <v>52575</v>
      </c>
      <c r="AV190" s="1">
        <f t="shared" si="608"/>
        <v>15773</v>
      </c>
      <c r="AW190" s="1">
        <f t="shared" si="608"/>
        <v>420600</v>
      </c>
      <c r="AX190" s="1">
        <f t="shared" si="608"/>
        <v>946350</v>
      </c>
      <c r="AY190" s="1">
        <f t="shared" si="456"/>
        <v>10866694</v>
      </c>
      <c r="AZ190" s="1">
        <f t="shared" si="457"/>
        <v>5433347</v>
      </c>
      <c r="BB190" s="1">
        <f t="shared" si="458"/>
        <v>179</v>
      </c>
    </row>
    <row r="191" spans="2:54">
      <c r="B191" s="4">
        <v>180</v>
      </c>
      <c r="C191" s="1">
        <f t="shared" ref="C191:I191" si="609">C$5+(C$6-C$5)*(POWER(C$7,$B191-1)-1)/(POWER(C$7,$B$3-1)-1)</f>
        <v>14222.2626142864</v>
      </c>
      <c r="D191" s="1">
        <f t="shared" si="609"/>
        <v>4266.67878428591</v>
      </c>
      <c r="E191" s="1">
        <f t="shared" si="609"/>
        <v>2844.45252285728</v>
      </c>
      <c r="F191" s="1">
        <f t="shared" si="609"/>
        <v>36005.7281374339</v>
      </c>
      <c r="G191" s="1">
        <f t="shared" si="609"/>
        <v>10801.7184412302</v>
      </c>
      <c r="H191" s="1">
        <f t="shared" si="609"/>
        <v>7201.14562748678</v>
      </c>
      <c r="I191" s="1">
        <f t="shared" si="609"/>
        <v>0</v>
      </c>
      <c r="J191" s="1">
        <f>标准模型!$I$65/1*$B191/$B$3</f>
        <v>1.296</v>
      </c>
      <c r="K191" s="1">
        <f>J191*标准模型!$J$63</f>
        <v>1.296</v>
      </c>
      <c r="L191" s="1">
        <f t="shared" si="433"/>
        <v>50227.9907517203</v>
      </c>
      <c r="M191" s="1">
        <f t="shared" si="434"/>
        <v>20598.0129299506</v>
      </c>
      <c r="N191" s="1">
        <f t="shared" si="435"/>
        <v>13732.0086199671</v>
      </c>
      <c r="O191" s="1">
        <f t="shared" ref="O191:W191" si="610">O$5+(O$6-O$5)*(POWER(O$7,$B191-1)-1)/(POWER(O$7,$B$3-1)-1)</f>
        <v>0.679387415518206</v>
      </c>
      <c r="P191" s="1">
        <f t="shared" si="610"/>
        <v>0.110633225374577</v>
      </c>
      <c r="Q191" s="1">
        <f t="shared" si="610"/>
        <v>0.373663078535013</v>
      </c>
      <c r="R191" s="1">
        <f t="shared" si="610"/>
        <v>1.07175496620728</v>
      </c>
      <c r="S191" s="1">
        <f t="shared" si="610"/>
        <v>0.283203640173668</v>
      </c>
      <c r="T191" s="1">
        <f t="shared" si="610"/>
        <v>2.699610920521</v>
      </c>
      <c r="U191" s="1">
        <f t="shared" si="610"/>
        <v>1</v>
      </c>
      <c r="V191" s="1">
        <f t="shared" si="610"/>
        <v>1.195639608719</v>
      </c>
      <c r="W191" s="1">
        <f t="shared" si="610"/>
        <v>1.57403972965826</v>
      </c>
      <c r="X191" s="1">
        <f t="shared" si="437"/>
        <v>1.97425483406899</v>
      </c>
      <c r="Y191" s="1">
        <f t="shared" si="438"/>
        <v>3.47696263766506</v>
      </c>
      <c r="Z191" s="1">
        <f t="shared" si="439"/>
        <v>174640.847208717</v>
      </c>
      <c r="AA191" s="1">
        <f t="shared" si="440"/>
        <v>20598.0129299506</v>
      </c>
      <c r="AB191" s="1">
        <f t="shared" si="441"/>
        <v>13732.0086199671</v>
      </c>
      <c r="AC191" s="1">
        <f>AB191/(AB191+战斗公式!$M$27)</f>
        <v>0.363935266692915</v>
      </c>
      <c r="AD191" s="1">
        <f t="shared" si="442"/>
        <v>274564.581344904</v>
      </c>
      <c r="AE191" s="1">
        <f t="shared" si="443"/>
        <v>6.75174414197001</v>
      </c>
      <c r="AF191" s="1">
        <f t="shared" si="444"/>
        <v>3.83370915933476</v>
      </c>
      <c r="AG191" s="1">
        <f t="shared" si="445"/>
        <v>4.03132600011274</v>
      </c>
      <c r="AH191" s="1">
        <f t="shared" si="446"/>
        <v>0.80282692564464</v>
      </c>
      <c r="AI191" s="1">
        <f t="shared" si="447"/>
        <v>1.00011836495975</v>
      </c>
      <c r="AJ191" s="1">
        <f t="shared" si="448"/>
        <v>1.02147330566731</v>
      </c>
      <c r="AK191" s="1">
        <f t="shared" si="449"/>
        <v>1</v>
      </c>
      <c r="AL191" s="10">
        <f t="shared" si="450"/>
        <v>183643</v>
      </c>
      <c r="AM191" s="10">
        <f t="shared" si="451"/>
        <v>16537</v>
      </c>
      <c r="AN191" s="10">
        <f t="shared" si="452"/>
        <v>13732</v>
      </c>
      <c r="AO191" s="1">
        <f t="shared" si="453"/>
        <v>106514</v>
      </c>
      <c r="AP191" s="1">
        <f t="shared" si="454"/>
        <v>16537</v>
      </c>
      <c r="AR191" s="1">
        <f t="shared" ref="AR191:AX191" si="611">ROUNDUP(AR$10*$AO191,0)</f>
        <v>106514</v>
      </c>
      <c r="AS191" s="1">
        <f t="shared" si="611"/>
        <v>319542</v>
      </c>
      <c r="AT191" s="1">
        <f t="shared" si="611"/>
        <v>191726</v>
      </c>
      <c r="AU191" s="1">
        <f t="shared" si="611"/>
        <v>53257</v>
      </c>
      <c r="AV191" s="1">
        <f t="shared" si="611"/>
        <v>15978</v>
      </c>
      <c r="AW191" s="1">
        <f t="shared" si="611"/>
        <v>426056</v>
      </c>
      <c r="AX191" s="1">
        <f t="shared" si="611"/>
        <v>958626</v>
      </c>
      <c r="AY191" s="1">
        <f t="shared" si="456"/>
        <v>11019884</v>
      </c>
      <c r="AZ191" s="1">
        <f t="shared" si="457"/>
        <v>5509942</v>
      </c>
      <c r="BB191" s="1">
        <f t="shared" si="458"/>
        <v>180</v>
      </c>
    </row>
    <row r="192" spans="2:54">
      <c r="B192" s="4">
        <v>181</v>
      </c>
      <c r="C192" s="1">
        <f t="shared" ref="C192:I192" si="612">C$5+(C$6-C$5)*(POWER(C$7,$B192-1)-1)/(POWER(C$7,$B$3-1)-1)</f>
        <v>14301.2681436646</v>
      </c>
      <c r="D192" s="1">
        <f t="shared" si="612"/>
        <v>4290.38044309938</v>
      </c>
      <c r="E192" s="1">
        <f t="shared" si="612"/>
        <v>2860.25362873292</v>
      </c>
      <c r="F192" s="1">
        <f t="shared" si="612"/>
        <v>36205.7421358598</v>
      </c>
      <c r="G192" s="1">
        <f t="shared" si="612"/>
        <v>10861.7226407579</v>
      </c>
      <c r="H192" s="1">
        <f t="shared" si="612"/>
        <v>7241.14842717195</v>
      </c>
      <c r="I192" s="1">
        <f t="shared" si="612"/>
        <v>0</v>
      </c>
      <c r="J192" s="1">
        <f>标准模型!$I$65/1*$B192/$B$3</f>
        <v>1.3032</v>
      </c>
      <c r="K192" s="1">
        <f>J192*标准模型!$J$63</f>
        <v>1.3032</v>
      </c>
      <c r="L192" s="1">
        <f t="shared" si="433"/>
        <v>50507.0102795244</v>
      </c>
      <c r="M192" s="1">
        <f t="shared" si="434"/>
        <v>20743.3268773044</v>
      </c>
      <c r="N192" s="1">
        <f t="shared" si="435"/>
        <v>13828.8845848696</v>
      </c>
      <c r="O192" s="1">
        <f t="shared" ref="O192:W192" si="613">O$5+(O$6-O$5)*(POWER(O$7,$B192-1)-1)/(POWER(O$7,$B$3-1)-1)</f>
        <v>0.680389489658616</v>
      </c>
      <c r="P192" s="1">
        <f t="shared" si="613"/>
        <v>0.111338432338168</v>
      </c>
      <c r="Q192" s="1">
        <f t="shared" si="613"/>
        <v>0.374214219312239</v>
      </c>
      <c r="R192" s="1">
        <f t="shared" si="613"/>
        <v>1.07215579586345</v>
      </c>
      <c r="S192" s="1">
        <f t="shared" si="613"/>
        <v>0.284506336556201</v>
      </c>
      <c r="T192" s="1">
        <f t="shared" si="613"/>
        <v>2.7035190096686</v>
      </c>
      <c r="U192" s="1">
        <f t="shared" si="613"/>
        <v>1</v>
      </c>
      <c r="V192" s="1">
        <f t="shared" si="613"/>
        <v>1.19673246906358</v>
      </c>
      <c r="W192" s="1">
        <f t="shared" si="613"/>
        <v>1.57724636690757</v>
      </c>
      <c r="X192" s="1">
        <f t="shared" si="437"/>
        <v>1.98774639247451</v>
      </c>
      <c r="Y192" s="1">
        <f t="shared" si="438"/>
        <v>3.50315284377311</v>
      </c>
      <c r="Z192" s="1">
        <f t="shared" si="439"/>
        <v>176933.776691194</v>
      </c>
      <c r="AA192" s="1">
        <f t="shared" si="440"/>
        <v>20743.3268773044</v>
      </c>
      <c r="AB192" s="1">
        <f t="shared" si="441"/>
        <v>13828.8845848696</v>
      </c>
      <c r="AC192" s="1">
        <f>AB192/(AB192+战斗公式!$M$27)</f>
        <v>0.365564164437477</v>
      </c>
      <c r="AD192" s="1">
        <f t="shared" si="442"/>
        <v>278883.642400678</v>
      </c>
      <c r="AE192" s="1">
        <f t="shared" si="443"/>
        <v>6.76368941689416</v>
      </c>
      <c r="AF192" s="1">
        <f t="shared" si="444"/>
        <v>3.83782833288223</v>
      </c>
      <c r="AG192" s="1">
        <f t="shared" si="445"/>
        <v>4.03930870934294</v>
      </c>
      <c r="AH192" s="1">
        <f t="shared" si="446"/>
        <v>0.8061715580379</v>
      </c>
      <c r="AI192" s="1">
        <f t="shared" si="447"/>
        <v>1.00011244671132</v>
      </c>
      <c r="AJ192" s="1">
        <f t="shared" si="448"/>
        <v>1.02104316974657</v>
      </c>
      <c r="AK192" s="1">
        <f t="shared" si="449"/>
        <v>1</v>
      </c>
      <c r="AL192" s="10">
        <f t="shared" si="450"/>
        <v>186223</v>
      </c>
      <c r="AM192" s="10">
        <f t="shared" si="451"/>
        <v>16723</v>
      </c>
      <c r="AN192" s="10">
        <f t="shared" si="452"/>
        <v>13829</v>
      </c>
      <c r="AO192" s="1">
        <f t="shared" si="453"/>
        <v>107889</v>
      </c>
      <c r="AP192" s="1">
        <f t="shared" si="454"/>
        <v>16723</v>
      </c>
      <c r="AR192" s="1">
        <f t="shared" ref="AR192:AX192" si="614">ROUNDUP(AR$10*$AO192,0)</f>
        <v>107889</v>
      </c>
      <c r="AS192" s="1">
        <f t="shared" si="614"/>
        <v>323667</v>
      </c>
      <c r="AT192" s="1">
        <f t="shared" si="614"/>
        <v>194201</v>
      </c>
      <c r="AU192" s="1">
        <f t="shared" si="614"/>
        <v>53945</v>
      </c>
      <c r="AV192" s="1">
        <f t="shared" si="614"/>
        <v>16184</v>
      </c>
      <c r="AW192" s="1">
        <f t="shared" si="614"/>
        <v>431556</v>
      </c>
      <c r="AX192" s="1">
        <f t="shared" si="614"/>
        <v>971001</v>
      </c>
      <c r="AY192" s="1">
        <f t="shared" si="456"/>
        <v>11174636</v>
      </c>
      <c r="AZ192" s="1">
        <f t="shared" si="457"/>
        <v>5587318</v>
      </c>
      <c r="BB192" s="1">
        <f t="shared" si="458"/>
        <v>181</v>
      </c>
    </row>
    <row r="193" spans="2:54">
      <c r="B193" s="4">
        <v>182</v>
      </c>
      <c r="C193" s="1">
        <f t="shared" ref="C193:I193" si="615">C$5+(C$6-C$5)*(POWER(C$7,$B193-1)-1)/(POWER(C$7,$B$3-1)-1)</f>
        <v>14380.2735940337</v>
      </c>
      <c r="D193" s="1">
        <f t="shared" si="615"/>
        <v>4314.0820782101</v>
      </c>
      <c r="E193" s="1">
        <f t="shared" si="615"/>
        <v>2876.05471880674</v>
      </c>
      <c r="F193" s="1">
        <f t="shared" si="615"/>
        <v>36405.7559342625</v>
      </c>
      <c r="G193" s="1">
        <f t="shared" si="615"/>
        <v>10921.7267802787</v>
      </c>
      <c r="H193" s="1">
        <f t="shared" si="615"/>
        <v>7281.15118685249</v>
      </c>
      <c r="I193" s="1">
        <f t="shared" si="615"/>
        <v>0</v>
      </c>
      <c r="J193" s="1">
        <f>标准模型!$I$65/1*$B193/$B$3</f>
        <v>1.3104</v>
      </c>
      <c r="K193" s="1">
        <f>J193*标准模型!$J$63</f>
        <v>1.3104</v>
      </c>
      <c r="L193" s="1">
        <f t="shared" si="433"/>
        <v>50786.0295282962</v>
      </c>
      <c r="M193" s="1">
        <f t="shared" si="434"/>
        <v>20888.9820137754</v>
      </c>
      <c r="N193" s="1">
        <f t="shared" si="435"/>
        <v>13925.9880091836</v>
      </c>
      <c r="O193" s="1">
        <f t="shared" ref="O193:W193" si="616">O$5+(O$6-O$5)*(POWER(O$7,$B193-1)-1)/(POWER(O$7,$B$3-1)-1)</f>
        <v>0.681391562796906</v>
      </c>
      <c r="P193" s="1">
        <f t="shared" si="616"/>
        <v>0.112044697112205</v>
      </c>
      <c r="Q193" s="1">
        <f t="shared" si="616"/>
        <v>0.374765359538298</v>
      </c>
      <c r="R193" s="1">
        <f t="shared" si="616"/>
        <v>1.07255662511876</v>
      </c>
      <c r="S193" s="1">
        <f t="shared" si="616"/>
        <v>0.285809031635978</v>
      </c>
      <c r="T193" s="1">
        <f t="shared" si="616"/>
        <v>2.70742709490793</v>
      </c>
      <c r="U193" s="1">
        <f t="shared" si="616"/>
        <v>1</v>
      </c>
      <c r="V193" s="1">
        <f t="shared" si="616"/>
        <v>1.19782532831526</v>
      </c>
      <c r="W193" s="1">
        <f t="shared" si="616"/>
        <v>1.5804530009501</v>
      </c>
      <c r="X193" s="1">
        <f t="shared" si="437"/>
        <v>2.00131859795862</v>
      </c>
      <c r="Y193" s="1">
        <f t="shared" si="438"/>
        <v>3.52951866998472</v>
      </c>
      <c r="Z193" s="1">
        <f t="shared" si="439"/>
        <v>179250.239394516</v>
      </c>
      <c r="AA193" s="1">
        <f t="shared" si="440"/>
        <v>20888.9820137754</v>
      </c>
      <c r="AB193" s="1">
        <f t="shared" si="441"/>
        <v>13925.9880091836</v>
      </c>
      <c r="AC193" s="1">
        <f>AB193/(AB193+战斗公式!$M$27)</f>
        <v>0.367188535887621</v>
      </c>
      <c r="AD193" s="1">
        <f t="shared" si="442"/>
        <v>283260.101246655</v>
      </c>
      <c r="AE193" s="1">
        <f t="shared" si="443"/>
        <v>6.77566458263382</v>
      </c>
      <c r="AF193" s="1">
        <f t="shared" si="444"/>
        <v>3.84195829818725</v>
      </c>
      <c r="AG193" s="1">
        <f t="shared" si="445"/>
        <v>4.04723154825392</v>
      </c>
      <c r="AH193" s="1">
        <f t="shared" si="446"/>
        <v>0.809522879695945</v>
      </c>
      <c r="AI193" s="1">
        <f t="shared" si="447"/>
        <v>1.00010682437531</v>
      </c>
      <c r="AJ193" s="1">
        <f t="shared" si="448"/>
        <v>1.02062163654426</v>
      </c>
      <c r="AK193" s="1">
        <f t="shared" si="449"/>
        <v>1</v>
      </c>
      <c r="AL193" s="10">
        <f t="shared" si="450"/>
        <v>188827</v>
      </c>
      <c r="AM193" s="10">
        <f t="shared" si="451"/>
        <v>16910</v>
      </c>
      <c r="AN193" s="10">
        <f t="shared" si="452"/>
        <v>13926</v>
      </c>
      <c r="AO193" s="1">
        <f t="shared" si="453"/>
        <v>109277</v>
      </c>
      <c r="AP193" s="1">
        <f t="shared" si="454"/>
        <v>16910</v>
      </c>
      <c r="AR193" s="1">
        <f t="shared" ref="AR193:AX193" si="617">ROUNDUP(AR$10*$AO193,0)</f>
        <v>109277</v>
      </c>
      <c r="AS193" s="1">
        <f t="shared" si="617"/>
        <v>327831</v>
      </c>
      <c r="AT193" s="1">
        <f t="shared" si="617"/>
        <v>196699</v>
      </c>
      <c r="AU193" s="1">
        <f t="shared" si="617"/>
        <v>54639</v>
      </c>
      <c r="AV193" s="1">
        <f t="shared" si="617"/>
        <v>16392</v>
      </c>
      <c r="AW193" s="1">
        <f t="shared" si="617"/>
        <v>437108</v>
      </c>
      <c r="AX193" s="1">
        <f t="shared" si="617"/>
        <v>983493</v>
      </c>
      <c r="AY193" s="1">
        <f t="shared" si="456"/>
        <v>11330830</v>
      </c>
      <c r="AZ193" s="1">
        <f t="shared" si="457"/>
        <v>5665415</v>
      </c>
      <c r="BB193" s="1">
        <f t="shared" si="458"/>
        <v>182</v>
      </c>
    </row>
    <row r="194" spans="2:54">
      <c r="B194" s="4">
        <v>183</v>
      </c>
      <c r="C194" s="1">
        <f t="shared" ref="C194:I194" si="618">C$5+(C$6-C$5)*(POWER(C$7,$B194-1)-1)/(POWER(C$7,$B$3-1)-1)</f>
        <v>14459.2789654024</v>
      </c>
      <c r="D194" s="1">
        <f t="shared" si="618"/>
        <v>4337.78368962071</v>
      </c>
      <c r="E194" s="1">
        <f t="shared" si="618"/>
        <v>2891.85579308047</v>
      </c>
      <c r="F194" s="1">
        <f t="shared" si="618"/>
        <v>36605.7695326642</v>
      </c>
      <c r="G194" s="1">
        <f t="shared" si="618"/>
        <v>10981.7308597993</v>
      </c>
      <c r="H194" s="1">
        <f t="shared" si="618"/>
        <v>7321.15390653285</v>
      </c>
      <c r="I194" s="1">
        <f t="shared" si="618"/>
        <v>0</v>
      </c>
      <c r="J194" s="1">
        <f>标准模型!$I$65/1*$B194/$B$3</f>
        <v>1.3176</v>
      </c>
      <c r="K194" s="1">
        <f>J194*标准模型!$J$63</f>
        <v>1.3176</v>
      </c>
      <c r="L194" s="1">
        <f t="shared" si="433"/>
        <v>51065.0484980666</v>
      </c>
      <c r="M194" s="1">
        <f t="shared" si="434"/>
        <v>21034.9783388642</v>
      </c>
      <c r="N194" s="1">
        <f t="shared" si="435"/>
        <v>14023.3188925762</v>
      </c>
      <c r="O194" s="1">
        <f t="shared" ref="O194:W194" si="619">O$5+(O$6-O$5)*(POWER(O$7,$B194-1)-1)/(POWER(O$7,$B$3-1)-1)</f>
        <v>0.682393634933188</v>
      </c>
      <c r="P194" s="1">
        <f t="shared" si="619"/>
        <v>0.112752021283403</v>
      </c>
      <c r="Q194" s="1">
        <f t="shared" si="619"/>
        <v>0.375316499213253</v>
      </c>
      <c r="R194" s="1">
        <f t="shared" si="619"/>
        <v>1.07295745397327</v>
      </c>
      <c r="S194" s="1">
        <f t="shared" si="619"/>
        <v>0.287111725413144</v>
      </c>
      <c r="T194" s="1">
        <f t="shared" si="619"/>
        <v>2.71133517623943</v>
      </c>
      <c r="U194" s="1">
        <f t="shared" si="619"/>
        <v>1</v>
      </c>
      <c r="V194" s="1">
        <f t="shared" si="619"/>
        <v>1.19891818647414</v>
      </c>
      <c r="W194" s="1">
        <f t="shared" si="619"/>
        <v>1.5836596317862</v>
      </c>
      <c r="X194" s="1">
        <f t="shared" si="437"/>
        <v>2.0149718575868</v>
      </c>
      <c r="Y194" s="1">
        <f t="shared" si="438"/>
        <v>3.55606113281563</v>
      </c>
      <c r="Z194" s="1">
        <f t="shared" si="439"/>
        <v>181590.43420932</v>
      </c>
      <c r="AA194" s="1">
        <f t="shared" si="440"/>
        <v>21034.9783388642</v>
      </c>
      <c r="AB194" s="1">
        <f t="shared" si="441"/>
        <v>14023.3188925762</v>
      </c>
      <c r="AC194" s="1">
        <f>AB194/(AB194+战斗公式!$M$27)</f>
        <v>0.368808386563913</v>
      </c>
      <c r="AD194" s="1">
        <f t="shared" si="442"/>
        <v>287694.62449093</v>
      </c>
      <c r="AE194" s="1">
        <f t="shared" si="443"/>
        <v>6.78766958495103</v>
      </c>
      <c r="AF194" s="1">
        <f t="shared" si="444"/>
        <v>3.84609900714643</v>
      </c>
      <c r="AG194" s="1">
        <f t="shared" si="445"/>
        <v>4.05509496587307</v>
      </c>
      <c r="AH194" s="1">
        <f t="shared" si="446"/>
        <v>0.812880903997308</v>
      </c>
      <c r="AI194" s="1">
        <f t="shared" si="447"/>
        <v>1.00010148315611</v>
      </c>
      <c r="AJ194" s="1">
        <f t="shared" si="448"/>
        <v>1.02020853400598</v>
      </c>
      <c r="AK194" s="1">
        <f t="shared" si="449"/>
        <v>1</v>
      </c>
      <c r="AL194" s="10">
        <f t="shared" si="450"/>
        <v>191458</v>
      </c>
      <c r="AM194" s="10">
        <f t="shared" si="451"/>
        <v>17099</v>
      </c>
      <c r="AN194" s="10">
        <f t="shared" si="452"/>
        <v>14023</v>
      </c>
      <c r="AO194" s="1">
        <f t="shared" si="453"/>
        <v>110678</v>
      </c>
      <c r="AP194" s="1">
        <f t="shared" si="454"/>
        <v>17099</v>
      </c>
      <c r="AR194" s="1">
        <f t="shared" ref="AR194:AX194" si="620">ROUNDUP(AR$10*$AO194,0)</f>
        <v>110678</v>
      </c>
      <c r="AS194" s="1">
        <f t="shared" si="620"/>
        <v>332034</v>
      </c>
      <c r="AT194" s="1">
        <f t="shared" si="620"/>
        <v>199221</v>
      </c>
      <c r="AU194" s="1">
        <f t="shared" si="620"/>
        <v>55339</v>
      </c>
      <c r="AV194" s="1">
        <f t="shared" si="620"/>
        <v>16602</v>
      </c>
      <c r="AW194" s="1">
        <f t="shared" si="620"/>
        <v>442712</v>
      </c>
      <c r="AX194" s="1">
        <f t="shared" si="620"/>
        <v>996102</v>
      </c>
      <c r="AY194" s="1">
        <f t="shared" si="456"/>
        <v>11488646</v>
      </c>
      <c r="AZ194" s="1">
        <f t="shared" si="457"/>
        <v>5744323</v>
      </c>
      <c r="BB194" s="1">
        <f t="shared" si="458"/>
        <v>183</v>
      </c>
    </row>
    <row r="195" spans="2:54">
      <c r="B195" s="4">
        <v>184</v>
      </c>
      <c r="C195" s="1">
        <f t="shared" ref="C195:I195" si="621">C$5+(C$6-C$5)*(POWER(C$7,$B195-1)-1)/(POWER(C$7,$B$3-1)-1)</f>
        <v>14538.2842577619</v>
      </c>
      <c r="D195" s="1">
        <f t="shared" si="621"/>
        <v>4361.48527732857</v>
      </c>
      <c r="E195" s="1">
        <f t="shared" si="621"/>
        <v>2907.65685155238</v>
      </c>
      <c r="F195" s="1">
        <f t="shared" si="621"/>
        <v>36805.7829310428</v>
      </c>
      <c r="G195" s="1">
        <f t="shared" si="621"/>
        <v>11041.7348793128</v>
      </c>
      <c r="H195" s="1">
        <f t="shared" si="621"/>
        <v>7361.15658620856</v>
      </c>
      <c r="I195" s="1">
        <f t="shared" si="621"/>
        <v>0</v>
      </c>
      <c r="J195" s="1">
        <f>标准模型!$I$65/1*$B195/$B$3</f>
        <v>1.3248</v>
      </c>
      <c r="K195" s="1">
        <f>J195*标准模型!$J$63</f>
        <v>1.3248</v>
      </c>
      <c r="L195" s="1">
        <f t="shared" si="433"/>
        <v>51344.0671888047</v>
      </c>
      <c r="M195" s="1">
        <f t="shared" si="434"/>
        <v>21181.3158520463</v>
      </c>
      <c r="N195" s="1">
        <f t="shared" si="435"/>
        <v>14120.8772346975</v>
      </c>
      <c r="O195" s="1">
        <f t="shared" ref="O195:W195" si="622">O$5+(O$6-O$5)*(POWER(O$7,$B195-1)-1)/(POWER(O$7,$B$3-1)-1)</f>
        <v>0.683395706067349</v>
      </c>
      <c r="P195" s="1">
        <f t="shared" si="622"/>
        <v>0.113460406440858</v>
      </c>
      <c r="Q195" s="1">
        <f t="shared" si="622"/>
        <v>0.375867638337042</v>
      </c>
      <c r="R195" s="1">
        <f t="shared" si="622"/>
        <v>1.07335828242694</v>
      </c>
      <c r="S195" s="1">
        <f t="shared" si="622"/>
        <v>0.288414417887553</v>
      </c>
      <c r="T195" s="1">
        <f t="shared" si="622"/>
        <v>2.71524325366266</v>
      </c>
      <c r="U195" s="1">
        <f t="shared" si="622"/>
        <v>1</v>
      </c>
      <c r="V195" s="1">
        <f t="shared" si="622"/>
        <v>1.20001104354012</v>
      </c>
      <c r="W195" s="1">
        <f t="shared" si="622"/>
        <v>1.58686625941552</v>
      </c>
      <c r="X195" s="1">
        <f t="shared" si="437"/>
        <v>2.02870657995847</v>
      </c>
      <c r="Y195" s="1">
        <f t="shared" si="438"/>
        <v>3.58278125345962</v>
      </c>
      <c r="Z195" s="1">
        <f t="shared" si="439"/>
        <v>183954.561400421</v>
      </c>
      <c r="AA195" s="1">
        <f t="shared" si="440"/>
        <v>21181.3158520463</v>
      </c>
      <c r="AB195" s="1">
        <f t="shared" si="441"/>
        <v>14120.8772346975</v>
      </c>
      <c r="AC195" s="1">
        <f>AB195/(AB195+战斗公式!$M$27)</f>
        <v>0.370423722092228</v>
      </c>
      <c r="AD195" s="1">
        <f t="shared" si="442"/>
        <v>292187.88549617</v>
      </c>
      <c r="AE195" s="1">
        <f t="shared" si="443"/>
        <v>6.79970436991724</v>
      </c>
      <c r="AF195" s="1">
        <f t="shared" si="444"/>
        <v>3.85025041193989</v>
      </c>
      <c r="AG195" s="1">
        <f t="shared" si="445"/>
        <v>4.06289940786008</v>
      </c>
      <c r="AH195" s="1">
        <f t="shared" si="446"/>
        <v>0.816245644347273</v>
      </c>
      <c r="AI195" s="1">
        <f t="shared" si="447"/>
        <v>1.00009640899786</v>
      </c>
      <c r="AJ195" s="1">
        <f t="shared" si="448"/>
        <v>1.01980369351847</v>
      </c>
      <c r="AK195" s="1">
        <f t="shared" si="449"/>
        <v>1</v>
      </c>
      <c r="AL195" s="10">
        <f t="shared" si="450"/>
        <v>194114</v>
      </c>
      <c r="AM195" s="10">
        <f t="shared" si="451"/>
        <v>17289</v>
      </c>
      <c r="AN195" s="10">
        <f t="shared" si="452"/>
        <v>14121</v>
      </c>
      <c r="AO195" s="1">
        <f t="shared" si="453"/>
        <v>112092</v>
      </c>
      <c r="AP195" s="1">
        <f t="shared" si="454"/>
        <v>17289</v>
      </c>
      <c r="AR195" s="1">
        <f t="shared" ref="AR195:AX195" si="623">ROUNDUP(AR$10*$AO195,0)</f>
        <v>112092</v>
      </c>
      <c r="AS195" s="1">
        <f t="shared" si="623"/>
        <v>336276</v>
      </c>
      <c r="AT195" s="1">
        <f t="shared" si="623"/>
        <v>201766</v>
      </c>
      <c r="AU195" s="1">
        <f t="shared" si="623"/>
        <v>56046</v>
      </c>
      <c r="AV195" s="1">
        <f t="shared" si="623"/>
        <v>16814</v>
      </c>
      <c r="AW195" s="1">
        <f t="shared" si="623"/>
        <v>448368</v>
      </c>
      <c r="AX195" s="1">
        <f t="shared" si="623"/>
        <v>1008828</v>
      </c>
      <c r="AY195" s="1">
        <f t="shared" si="456"/>
        <v>11647963</v>
      </c>
      <c r="AZ195" s="1">
        <f t="shared" si="457"/>
        <v>5823981</v>
      </c>
      <c r="BB195" s="1">
        <f t="shared" si="458"/>
        <v>184</v>
      </c>
    </row>
    <row r="196" spans="2:54">
      <c r="B196" s="4">
        <v>185</v>
      </c>
      <c r="C196" s="1">
        <f t="shared" ref="C196:I196" si="624">C$5+(C$6-C$5)*(POWER(C$7,$B196-1)-1)/(POWER(C$7,$B$3-1)-1)</f>
        <v>14617.2894711211</v>
      </c>
      <c r="D196" s="1">
        <f t="shared" si="624"/>
        <v>4385.18684133632</v>
      </c>
      <c r="E196" s="1">
        <f t="shared" si="624"/>
        <v>2923.45789422422</v>
      </c>
      <c r="F196" s="1">
        <f t="shared" si="624"/>
        <v>37005.7961294205</v>
      </c>
      <c r="G196" s="1">
        <f t="shared" si="624"/>
        <v>11101.7388388261</v>
      </c>
      <c r="H196" s="1">
        <f t="shared" si="624"/>
        <v>7401.15922588409</v>
      </c>
      <c r="I196" s="1">
        <f t="shared" si="624"/>
        <v>0</v>
      </c>
      <c r="J196" s="1">
        <f>标准模型!$I$65/1*$B196/$B$3</f>
        <v>1.332</v>
      </c>
      <c r="K196" s="1">
        <f>J196*标准模型!$J$63</f>
        <v>1.332</v>
      </c>
      <c r="L196" s="1">
        <f t="shared" si="433"/>
        <v>51623.0856005416</v>
      </c>
      <c r="M196" s="1">
        <f t="shared" si="434"/>
        <v>21327.9945528224</v>
      </c>
      <c r="N196" s="1">
        <f t="shared" si="435"/>
        <v>14218.663035215</v>
      </c>
      <c r="O196" s="1">
        <f t="shared" ref="O196:W196" si="625">O$5+(O$6-O$5)*(POWER(O$7,$B196-1)-1)/(POWER(O$7,$B$3-1)-1)</f>
        <v>0.684397776199501</v>
      </c>
      <c r="P196" s="1">
        <f t="shared" si="625"/>
        <v>0.114169854176049</v>
      </c>
      <c r="Q196" s="1">
        <f t="shared" si="625"/>
        <v>0.376418776909726</v>
      </c>
      <c r="R196" s="1">
        <f t="shared" si="625"/>
        <v>1.0737591104798</v>
      </c>
      <c r="S196" s="1">
        <f t="shared" si="625"/>
        <v>0.289717109059352</v>
      </c>
      <c r="T196" s="1">
        <f t="shared" si="625"/>
        <v>2.71915132717805</v>
      </c>
      <c r="U196" s="1">
        <f t="shared" si="625"/>
        <v>1</v>
      </c>
      <c r="V196" s="1">
        <f t="shared" si="625"/>
        <v>1.2011038995133</v>
      </c>
      <c r="W196" s="1">
        <f t="shared" si="625"/>
        <v>1.5900728838384</v>
      </c>
      <c r="X196" s="1">
        <f t="shared" si="437"/>
        <v>2.04252317521605</v>
      </c>
      <c r="Y196" s="1">
        <f t="shared" si="438"/>
        <v>3.60968005781493</v>
      </c>
      <c r="Z196" s="1">
        <f t="shared" si="439"/>
        <v>186342.822615148</v>
      </c>
      <c r="AA196" s="1">
        <f t="shared" si="440"/>
        <v>21327.9945528224</v>
      </c>
      <c r="AB196" s="1">
        <f t="shared" si="441"/>
        <v>14218.663035215</v>
      </c>
      <c r="AC196" s="1">
        <f>AB196/(AB196+战斗公式!$M$27)</f>
        <v>0.372034548202635</v>
      </c>
      <c r="AD196" s="1">
        <f t="shared" si="442"/>
        <v>296740.564439966</v>
      </c>
      <c r="AE196" s="1">
        <f t="shared" si="443"/>
        <v>6.81176888391982</v>
      </c>
      <c r="AF196" s="1">
        <f t="shared" si="444"/>
        <v>3.8544124650327</v>
      </c>
      <c r="AG196" s="1">
        <f t="shared" si="445"/>
        <v>4.07064531653218</v>
      </c>
      <c r="AH196" s="1">
        <f t="shared" si="446"/>
        <v>0.819617114177937</v>
      </c>
      <c r="AI196" s="1">
        <f t="shared" si="447"/>
        <v>1.00009158854753</v>
      </c>
      <c r="AJ196" s="1">
        <f t="shared" si="448"/>
        <v>1.01940694984072</v>
      </c>
      <c r="AK196" s="1">
        <f t="shared" si="449"/>
        <v>1</v>
      </c>
      <c r="AL196" s="10">
        <f t="shared" si="450"/>
        <v>196797</v>
      </c>
      <c r="AM196" s="10">
        <f t="shared" si="451"/>
        <v>17481</v>
      </c>
      <c r="AN196" s="10">
        <f t="shared" si="452"/>
        <v>14219</v>
      </c>
      <c r="AO196" s="1">
        <f t="shared" si="453"/>
        <v>113518</v>
      </c>
      <c r="AP196" s="1">
        <f t="shared" si="454"/>
        <v>17481</v>
      </c>
      <c r="AR196" s="1">
        <f t="shared" ref="AR196:AX196" si="626">ROUNDUP(AR$10*$AO196,0)</f>
        <v>113518</v>
      </c>
      <c r="AS196" s="1">
        <f t="shared" si="626"/>
        <v>340554</v>
      </c>
      <c r="AT196" s="1">
        <f t="shared" si="626"/>
        <v>204333</v>
      </c>
      <c r="AU196" s="1">
        <f t="shared" si="626"/>
        <v>56759</v>
      </c>
      <c r="AV196" s="1">
        <f t="shared" si="626"/>
        <v>17028</v>
      </c>
      <c r="AW196" s="1">
        <f t="shared" si="626"/>
        <v>454072</v>
      </c>
      <c r="AX196" s="1">
        <f t="shared" si="626"/>
        <v>1021662</v>
      </c>
      <c r="AY196" s="1">
        <f t="shared" si="456"/>
        <v>11808901</v>
      </c>
      <c r="AZ196" s="1">
        <f t="shared" si="457"/>
        <v>5904451</v>
      </c>
      <c r="BB196" s="1">
        <f t="shared" si="458"/>
        <v>185</v>
      </c>
    </row>
    <row r="197" spans="2:54">
      <c r="B197" s="4">
        <v>186</v>
      </c>
      <c r="C197" s="1">
        <f t="shared" ref="C197:I197" si="627">C$5+(C$6-C$5)*(POWER(C$7,$B197-1)-1)/(POWER(C$7,$B$3-1)-1)</f>
        <v>14696.2946054711</v>
      </c>
      <c r="D197" s="1">
        <f t="shared" si="627"/>
        <v>4408.88838164133</v>
      </c>
      <c r="E197" s="1">
        <f t="shared" si="627"/>
        <v>2939.25892109422</v>
      </c>
      <c r="F197" s="1">
        <f t="shared" si="627"/>
        <v>37205.8091277749</v>
      </c>
      <c r="G197" s="1">
        <f t="shared" si="627"/>
        <v>11161.7427383325</v>
      </c>
      <c r="H197" s="1">
        <f t="shared" si="627"/>
        <v>7441.16182555498</v>
      </c>
      <c r="I197" s="1">
        <f t="shared" si="627"/>
        <v>0</v>
      </c>
      <c r="J197" s="1">
        <f>标准模型!$I$65/1*$B197/$B$3</f>
        <v>1.3392</v>
      </c>
      <c r="K197" s="1">
        <f>J197*标准模型!$J$63</f>
        <v>1.3392</v>
      </c>
      <c r="L197" s="1">
        <f t="shared" si="433"/>
        <v>51902.103733246</v>
      </c>
      <c r="M197" s="1">
        <f t="shared" si="434"/>
        <v>21475.0144406679</v>
      </c>
      <c r="N197" s="1">
        <f t="shared" si="435"/>
        <v>14316.6762937786</v>
      </c>
      <c r="O197" s="1">
        <f t="shared" ref="O197:W197" si="628">O$5+(O$6-O$5)*(POWER(O$7,$B197-1)-1)/(POWER(O$7,$B$3-1)-1)</f>
        <v>0.685399845329534</v>
      </c>
      <c r="P197" s="1">
        <f t="shared" si="628"/>
        <v>0.114880366082843</v>
      </c>
      <c r="Q197" s="1">
        <f t="shared" si="628"/>
        <v>0.376969914931244</v>
      </c>
      <c r="R197" s="1">
        <f t="shared" si="628"/>
        <v>1.07415993813181</v>
      </c>
      <c r="S197" s="1">
        <f t="shared" si="628"/>
        <v>0.291019798928394</v>
      </c>
      <c r="T197" s="1">
        <f t="shared" si="628"/>
        <v>2.72305939678518</v>
      </c>
      <c r="U197" s="1">
        <f t="shared" si="628"/>
        <v>1</v>
      </c>
      <c r="V197" s="1">
        <f t="shared" si="628"/>
        <v>1.20219675439358</v>
      </c>
      <c r="W197" s="1">
        <f t="shared" si="628"/>
        <v>1.59327950505451</v>
      </c>
      <c r="X197" s="1">
        <f t="shared" si="437"/>
        <v>2.05642205504363</v>
      </c>
      <c r="Y197" s="1">
        <f t="shared" si="438"/>
        <v>3.63675857648916</v>
      </c>
      <c r="Z197" s="1">
        <f t="shared" si="439"/>
        <v>188755.420889712</v>
      </c>
      <c r="AA197" s="1">
        <f t="shared" si="440"/>
        <v>21475.0144406679</v>
      </c>
      <c r="AB197" s="1">
        <f t="shared" si="441"/>
        <v>14316.6762937786</v>
      </c>
      <c r="AC197" s="1">
        <f>AB197/(AB197+战斗公式!$M$27)</f>
        <v>0.373640870727171</v>
      </c>
      <c r="AD197" s="1">
        <f t="shared" si="442"/>
        <v>301353.34837196</v>
      </c>
      <c r="AE197" s="1">
        <f t="shared" si="443"/>
        <v>6.82386307365013</v>
      </c>
      <c r="AF197" s="1">
        <f t="shared" si="444"/>
        <v>3.85858511916917</v>
      </c>
      <c r="AG197" s="1">
        <f t="shared" si="445"/>
        <v>4.07833313088924</v>
      </c>
      <c r="AH197" s="1">
        <f t="shared" si="446"/>
        <v>0.822995326948263</v>
      </c>
      <c r="AI197" s="1">
        <f t="shared" si="447"/>
        <v>1.00008700911971</v>
      </c>
      <c r="AJ197" s="1">
        <f t="shared" si="448"/>
        <v>1.01901814103651</v>
      </c>
      <c r="AK197" s="1">
        <f t="shared" si="449"/>
        <v>1</v>
      </c>
      <c r="AL197" s="10">
        <f t="shared" si="450"/>
        <v>199505</v>
      </c>
      <c r="AM197" s="10">
        <f t="shared" si="451"/>
        <v>17674</v>
      </c>
      <c r="AN197" s="10">
        <f t="shared" si="452"/>
        <v>14317</v>
      </c>
      <c r="AO197" s="1">
        <f t="shared" si="453"/>
        <v>114957</v>
      </c>
      <c r="AP197" s="1">
        <f t="shared" si="454"/>
        <v>17674</v>
      </c>
      <c r="AR197" s="1">
        <f t="shared" ref="AR197:AX197" si="629">ROUNDUP(AR$10*$AO197,0)</f>
        <v>114957</v>
      </c>
      <c r="AS197" s="1">
        <f t="shared" si="629"/>
        <v>344871</v>
      </c>
      <c r="AT197" s="1">
        <f t="shared" si="629"/>
        <v>206923</v>
      </c>
      <c r="AU197" s="1">
        <f t="shared" si="629"/>
        <v>57479</v>
      </c>
      <c r="AV197" s="1">
        <f t="shared" si="629"/>
        <v>17244</v>
      </c>
      <c r="AW197" s="1">
        <f t="shared" si="629"/>
        <v>459828</v>
      </c>
      <c r="AX197" s="1">
        <f t="shared" si="629"/>
        <v>1034613</v>
      </c>
      <c r="AY197" s="1">
        <f t="shared" si="456"/>
        <v>11971342</v>
      </c>
      <c r="AZ197" s="1">
        <f t="shared" si="457"/>
        <v>5985671</v>
      </c>
      <c r="BB197" s="1">
        <f t="shared" si="458"/>
        <v>186</v>
      </c>
    </row>
    <row r="198" spans="2:54">
      <c r="B198" s="4">
        <v>187</v>
      </c>
      <c r="C198" s="1">
        <f t="shared" ref="C198:I198" si="630">C$5+(C$6-C$5)*(POWER(C$7,$B198-1)-1)/(POWER(C$7,$B$3-1)-1)</f>
        <v>14775.299660812</v>
      </c>
      <c r="D198" s="1">
        <f t="shared" si="630"/>
        <v>4432.58989824359</v>
      </c>
      <c r="E198" s="1">
        <f t="shared" si="630"/>
        <v>2955.05993216239</v>
      </c>
      <c r="F198" s="1">
        <f t="shared" si="630"/>
        <v>37405.8219261062</v>
      </c>
      <c r="G198" s="1">
        <f t="shared" si="630"/>
        <v>11221.7465778319</v>
      </c>
      <c r="H198" s="1">
        <f t="shared" si="630"/>
        <v>7481.16438522124</v>
      </c>
      <c r="I198" s="1">
        <f t="shared" si="630"/>
        <v>0</v>
      </c>
      <c r="J198" s="1">
        <f>标准模型!$I$65/1*$B198/$B$3</f>
        <v>1.3464</v>
      </c>
      <c r="K198" s="1">
        <f>J198*标准模型!$J$63</f>
        <v>1.3464</v>
      </c>
      <c r="L198" s="1">
        <f t="shared" si="433"/>
        <v>52181.1215869181</v>
      </c>
      <c r="M198" s="1">
        <f t="shared" si="434"/>
        <v>21622.3755150706</v>
      </c>
      <c r="N198" s="1">
        <f t="shared" si="435"/>
        <v>14414.9170100471</v>
      </c>
      <c r="O198" s="1">
        <f t="shared" ref="O198:W198" si="631">O$5+(O$6-O$5)*(POWER(O$7,$B198-1)-1)/(POWER(O$7,$B$3-1)-1)</f>
        <v>0.686401913457446</v>
      </c>
      <c r="P198" s="1">
        <f t="shared" si="631"/>
        <v>0.115591943757496</v>
      </c>
      <c r="Q198" s="1">
        <f t="shared" si="631"/>
        <v>0.377521052401595</v>
      </c>
      <c r="R198" s="1">
        <f t="shared" si="631"/>
        <v>1.07456076538298</v>
      </c>
      <c r="S198" s="1">
        <f t="shared" si="631"/>
        <v>0.29232248749468</v>
      </c>
      <c r="T198" s="1">
        <f t="shared" si="631"/>
        <v>2.72696746248404</v>
      </c>
      <c r="U198" s="1">
        <f t="shared" si="631"/>
        <v>1</v>
      </c>
      <c r="V198" s="1">
        <f t="shared" si="631"/>
        <v>1.20328960818094</v>
      </c>
      <c r="W198" s="1">
        <f t="shared" si="631"/>
        <v>1.59648612306383</v>
      </c>
      <c r="X198" s="1">
        <f t="shared" si="437"/>
        <v>2.07040363267459</v>
      </c>
      <c r="Y198" s="1">
        <f t="shared" si="438"/>
        <v>3.66401784482294</v>
      </c>
      <c r="Z198" s="1">
        <f t="shared" si="439"/>
        <v>191192.560657344</v>
      </c>
      <c r="AA198" s="1">
        <f t="shared" si="440"/>
        <v>21622.3755150706</v>
      </c>
      <c r="AB198" s="1">
        <f t="shared" si="441"/>
        <v>14414.9170100471</v>
      </c>
      <c r="AC198" s="1">
        <f>AB198/(AB198+战斗公式!$M$27)</f>
        <v>0.375242695598613</v>
      </c>
      <c r="AD198" s="1">
        <f t="shared" si="442"/>
        <v>306026.931274593</v>
      </c>
      <c r="AE198" s="1">
        <f t="shared" si="443"/>
        <v>6.83598688610792</v>
      </c>
      <c r="AF198" s="1">
        <f t="shared" si="444"/>
        <v>3.8627683273736</v>
      </c>
      <c r="AG198" s="1">
        <f t="shared" si="445"/>
        <v>4.08596328663862</v>
      </c>
      <c r="AH198" s="1">
        <f t="shared" si="446"/>
        <v>0.82638029614413</v>
      </c>
      <c r="AI198" s="1">
        <f t="shared" si="447"/>
        <v>1.00008265866329</v>
      </c>
      <c r="AJ198" s="1">
        <f t="shared" si="448"/>
        <v>1.0186371084084</v>
      </c>
      <c r="AK198" s="1">
        <f t="shared" si="449"/>
        <v>1</v>
      </c>
      <c r="AL198" s="10">
        <f t="shared" si="450"/>
        <v>202240</v>
      </c>
      <c r="AM198" s="10">
        <f t="shared" si="451"/>
        <v>17868</v>
      </c>
      <c r="AN198" s="10">
        <f t="shared" si="452"/>
        <v>14415</v>
      </c>
      <c r="AO198" s="1">
        <f t="shared" si="453"/>
        <v>116408</v>
      </c>
      <c r="AP198" s="1">
        <f t="shared" si="454"/>
        <v>17868</v>
      </c>
      <c r="AR198" s="1">
        <f t="shared" ref="AR198:AX198" si="632">ROUNDUP(AR$10*$AO198,0)</f>
        <v>116408</v>
      </c>
      <c r="AS198" s="1">
        <f t="shared" si="632"/>
        <v>349224</v>
      </c>
      <c r="AT198" s="1">
        <f t="shared" si="632"/>
        <v>209535</v>
      </c>
      <c r="AU198" s="1">
        <f t="shared" si="632"/>
        <v>58204</v>
      </c>
      <c r="AV198" s="1">
        <f t="shared" si="632"/>
        <v>17462</v>
      </c>
      <c r="AW198" s="1">
        <f t="shared" si="632"/>
        <v>465632</v>
      </c>
      <c r="AX198" s="1">
        <f t="shared" si="632"/>
        <v>1047672</v>
      </c>
      <c r="AY198" s="1">
        <f t="shared" si="456"/>
        <v>12135403</v>
      </c>
      <c r="AZ198" s="1">
        <f t="shared" si="457"/>
        <v>6067702</v>
      </c>
      <c r="BB198" s="1">
        <f t="shared" si="458"/>
        <v>187</v>
      </c>
    </row>
    <row r="199" spans="2:54">
      <c r="B199" s="4">
        <v>188</v>
      </c>
      <c r="C199" s="1">
        <f t="shared" ref="C199:I199" si="633">C$5+(C$6-C$5)*(POWER(C$7,$B199-1)-1)/(POWER(C$7,$B$3-1)-1)</f>
        <v>14854.3046371524</v>
      </c>
      <c r="D199" s="1">
        <f t="shared" si="633"/>
        <v>4456.29139114573</v>
      </c>
      <c r="E199" s="1">
        <f t="shared" si="633"/>
        <v>2970.86092743049</v>
      </c>
      <c r="F199" s="1">
        <f t="shared" si="633"/>
        <v>37605.8345244365</v>
      </c>
      <c r="G199" s="1">
        <f t="shared" si="633"/>
        <v>11281.750357331</v>
      </c>
      <c r="H199" s="1">
        <f t="shared" si="633"/>
        <v>7521.16690488731</v>
      </c>
      <c r="I199" s="1">
        <f t="shared" si="633"/>
        <v>0</v>
      </c>
      <c r="J199" s="1">
        <f>标准模型!$I$65/1*$B199/$B$3</f>
        <v>1.3536</v>
      </c>
      <c r="K199" s="1">
        <f>J199*标准模型!$J$63</f>
        <v>1.3536</v>
      </c>
      <c r="L199" s="1">
        <f t="shared" si="433"/>
        <v>52460.1391615889</v>
      </c>
      <c r="M199" s="1">
        <f t="shared" si="434"/>
        <v>21770.0777755316</v>
      </c>
      <c r="N199" s="1">
        <f t="shared" si="435"/>
        <v>14513.3851836877</v>
      </c>
      <c r="O199" s="1">
        <f t="shared" ref="O199:W199" si="634">O$5+(O$6-O$5)*(POWER(O$7,$B199-1)-1)/(POWER(O$7,$B$3-1)-1)</f>
        <v>0.687403980583349</v>
      </c>
      <c r="P199" s="1">
        <f t="shared" si="634"/>
        <v>0.116304588798662</v>
      </c>
      <c r="Q199" s="1">
        <f t="shared" si="634"/>
        <v>0.378072189320842</v>
      </c>
      <c r="R199" s="1">
        <f t="shared" si="634"/>
        <v>1.07496159223334</v>
      </c>
      <c r="S199" s="1">
        <f t="shared" si="634"/>
        <v>0.293625174758354</v>
      </c>
      <c r="T199" s="1">
        <f t="shared" si="634"/>
        <v>2.73087552427506</v>
      </c>
      <c r="U199" s="1">
        <f t="shared" si="634"/>
        <v>1</v>
      </c>
      <c r="V199" s="1">
        <f t="shared" si="634"/>
        <v>1.20438246087552</v>
      </c>
      <c r="W199" s="1">
        <f t="shared" si="634"/>
        <v>1.59969273786672</v>
      </c>
      <c r="X199" s="1">
        <f t="shared" si="437"/>
        <v>2.08446832289573</v>
      </c>
      <c r="Y199" s="1">
        <f t="shared" si="438"/>
        <v>3.69145890290604</v>
      </c>
      <c r="Z199" s="1">
        <f t="shared" si="439"/>
        <v>193654.447755737</v>
      </c>
      <c r="AA199" s="1">
        <f t="shared" si="440"/>
        <v>21770.0777755316</v>
      </c>
      <c r="AB199" s="1">
        <f t="shared" si="441"/>
        <v>14513.3851836877</v>
      </c>
      <c r="AC199" s="1">
        <f>AB199/(AB199+战斗公式!$M$27)</f>
        <v>0.376840028848849</v>
      </c>
      <c r="AD199" s="1">
        <f t="shared" si="442"/>
        <v>310762.01412296</v>
      </c>
      <c r="AE199" s="1">
        <f t="shared" si="443"/>
        <v>6.84814026859837</v>
      </c>
      <c r="AF199" s="1">
        <f t="shared" si="444"/>
        <v>3.86696204294796</v>
      </c>
      <c r="AG199" s="1">
        <f t="shared" si="445"/>
        <v>4.09353621621989</v>
      </c>
      <c r="AH199" s="1">
        <f t="shared" si="446"/>
        <v>0.829772035278389</v>
      </c>
      <c r="AI199" s="1">
        <f t="shared" si="447"/>
        <v>1.00007852572968</v>
      </c>
      <c r="AJ199" s="1">
        <f t="shared" si="448"/>
        <v>1.01826369643284</v>
      </c>
      <c r="AK199" s="1">
        <f t="shared" si="449"/>
        <v>1</v>
      </c>
      <c r="AL199" s="10">
        <f t="shared" si="450"/>
        <v>205001</v>
      </c>
      <c r="AM199" s="10">
        <f t="shared" si="451"/>
        <v>18064</v>
      </c>
      <c r="AN199" s="10">
        <f t="shared" si="452"/>
        <v>14513</v>
      </c>
      <c r="AO199" s="1">
        <f t="shared" si="453"/>
        <v>117873</v>
      </c>
      <c r="AP199" s="1">
        <f t="shared" si="454"/>
        <v>18064</v>
      </c>
      <c r="AR199" s="1">
        <f t="shared" ref="AR199:AX199" si="635">ROUNDUP(AR$10*$AO199,0)</f>
        <v>117873</v>
      </c>
      <c r="AS199" s="1">
        <f t="shared" si="635"/>
        <v>353619</v>
      </c>
      <c r="AT199" s="1">
        <f t="shared" si="635"/>
        <v>212172</v>
      </c>
      <c r="AU199" s="1">
        <f t="shared" si="635"/>
        <v>58937</v>
      </c>
      <c r="AV199" s="1">
        <f t="shared" si="635"/>
        <v>17681</v>
      </c>
      <c r="AW199" s="1">
        <f t="shared" si="635"/>
        <v>471492</v>
      </c>
      <c r="AX199" s="1">
        <f t="shared" si="635"/>
        <v>1060857</v>
      </c>
      <c r="AY199" s="1">
        <f t="shared" si="456"/>
        <v>12301026</v>
      </c>
      <c r="AZ199" s="1">
        <f t="shared" si="457"/>
        <v>6150513</v>
      </c>
      <c r="BB199" s="1">
        <f t="shared" si="458"/>
        <v>188</v>
      </c>
    </row>
    <row r="200" spans="2:54">
      <c r="B200" s="4">
        <v>189</v>
      </c>
      <c r="C200" s="1">
        <f t="shared" ref="C200:I200" si="636">C$5+(C$6-C$5)*(POWER(C$7,$B200-1)-1)/(POWER(C$7,$B$3-1)-1)</f>
        <v>14933.3095344838</v>
      </c>
      <c r="D200" s="1">
        <f t="shared" si="636"/>
        <v>4479.99286034513</v>
      </c>
      <c r="E200" s="1">
        <f t="shared" si="636"/>
        <v>2986.66190689675</v>
      </c>
      <c r="F200" s="1">
        <f t="shared" si="636"/>
        <v>37805.8469227437</v>
      </c>
      <c r="G200" s="1">
        <f t="shared" si="636"/>
        <v>11341.7540768231</v>
      </c>
      <c r="H200" s="1">
        <f t="shared" si="636"/>
        <v>7561.16938454874</v>
      </c>
      <c r="I200" s="1">
        <f t="shared" si="636"/>
        <v>0</v>
      </c>
      <c r="J200" s="1">
        <f>标准模型!$I$65/1*$B200/$B$3</f>
        <v>1.3608</v>
      </c>
      <c r="K200" s="1">
        <f>J200*标准模型!$J$63</f>
        <v>1.3608</v>
      </c>
      <c r="L200" s="1">
        <f t="shared" si="433"/>
        <v>52739.1564572275</v>
      </c>
      <c r="M200" s="1">
        <f t="shared" si="434"/>
        <v>21918.1212215259</v>
      </c>
      <c r="N200" s="1">
        <f t="shared" si="435"/>
        <v>14612.0808143506</v>
      </c>
      <c r="O200" s="1">
        <f t="shared" ref="O200:W200" si="637">O$5+(O$6-O$5)*(POWER(O$7,$B200-1)-1)/(POWER(O$7,$B$3-1)-1)</f>
        <v>0.688406046707133</v>
      </c>
      <c r="P200" s="1">
        <f t="shared" si="637"/>
        <v>0.11701830280739</v>
      </c>
      <c r="Q200" s="1">
        <f t="shared" si="637"/>
        <v>0.378623325688923</v>
      </c>
      <c r="R200" s="1">
        <f t="shared" si="637"/>
        <v>1.07536241868285</v>
      </c>
      <c r="S200" s="1">
        <f t="shared" si="637"/>
        <v>0.294927860719273</v>
      </c>
      <c r="T200" s="1">
        <f t="shared" si="637"/>
        <v>2.73478358215782</v>
      </c>
      <c r="U200" s="1">
        <f t="shared" si="637"/>
        <v>1</v>
      </c>
      <c r="V200" s="1">
        <f t="shared" si="637"/>
        <v>1.20547531247718</v>
      </c>
      <c r="W200" s="1">
        <f t="shared" si="637"/>
        <v>1.60289934946283</v>
      </c>
      <c r="X200" s="1">
        <f t="shared" si="437"/>
        <v>2.09861654204696</v>
      </c>
      <c r="Y200" s="1">
        <f t="shared" si="438"/>
        <v>3.71908279558466</v>
      </c>
      <c r="Z200" s="1">
        <f t="shared" si="439"/>
        <v>196141.289433722</v>
      </c>
      <c r="AA200" s="1">
        <f t="shared" si="440"/>
        <v>21918.1212215259</v>
      </c>
      <c r="AB200" s="1">
        <f t="shared" si="441"/>
        <v>14612.0808143506</v>
      </c>
      <c r="AC200" s="1">
        <f>AB200/(AB200+战斗公式!$M$27)</f>
        <v>0.378432876606843</v>
      </c>
      <c r="AD200" s="1">
        <f t="shared" si="442"/>
        <v>315559.304943576</v>
      </c>
      <c r="AE200" s="1">
        <f t="shared" si="443"/>
        <v>6.86032316872296</v>
      </c>
      <c r="AF200" s="1">
        <f t="shared" si="444"/>
        <v>3.87116621946748</v>
      </c>
      <c r="AG200" s="1">
        <f t="shared" si="445"/>
        <v>4.10105234882929</v>
      </c>
      <c r="AH200" s="1">
        <f t="shared" si="446"/>
        <v>0.833170557890916</v>
      </c>
      <c r="AI200" s="1">
        <f t="shared" si="447"/>
        <v>1.00007459944276</v>
      </c>
      <c r="AJ200" s="1">
        <f t="shared" si="448"/>
        <v>1.01789775269679</v>
      </c>
      <c r="AK200" s="1">
        <f t="shared" si="449"/>
        <v>1</v>
      </c>
      <c r="AL200" s="10">
        <f t="shared" si="450"/>
        <v>207789</v>
      </c>
      <c r="AM200" s="10">
        <f t="shared" si="451"/>
        <v>18262</v>
      </c>
      <c r="AN200" s="10">
        <f t="shared" si="452"/>
        <v>14612</v>
      </c>
      <c r="AO200" s="1">
        <f t="shared" si="453"/>
        <v>119350</v>
      </c>
      <c r="AP200" s="1">
        <f t="shared" si="454"/>
        <v>18262</v>
      </c>
      <c r="AR200" s="1">
        <f t="shared" ref="AR200:AX200" si="638">ROUNDUP(AR$10*$AO200,0)</f>
        <v>119350</v>
      </c>
      <c r="AS200" s="1">
        <f t="shared" si="638"/>
        <v>358050</v>
      </c>
      <c r="AT200" s="1">
        <f t="shared" si="638"/>
        <v>214830</v>
      </c>
      <c r="AU200" s="1">
        <f t="shared" si="638"/>
        <v>59675</v>
      </c>
      <c r="AV200" s="1">
        <f t="shared" si="638"/>
        <v>17903</v>
      </c>
      <c r="AW200" s="1">
        <f t="shared" si="638"/>
        <v>477400</v>
      </c>
      <c r="AX200" s="1">
        <f t="shared" si="638"/>
        <v>1074150</v>
      </c>
      <c r="AY200" s="1">
        <f t="shared" si="456"/>
        <v>12468270</v>
      </c>
      <c r="AZ200" s="1">
        <f t="shared" si="457"/>
        <v>6234135</v>
      </c>
      <c r="BB200" s="1">
        <f t="shared" si="458"/>
        <v>189</v>
      </c>
    </row>
    <row r="201" spans="2:54">
      <c r="B201" s="4">
        <v>190</v>
      </c>
      <c r="C201" s="1">
        <f t="shared" ref="C201:I201" si="639">C$5+(C$6-C$5)*(POWER(C$7,$B201-1)-1)/(POWER(C$7,$B$3-1)-1)</f>
        <v>15012.3143528147</v>
      </c>
      <c r="D201" s="1">
        <f t="shared" si="639"/>
        <v>4503.69430584441</v>
      </c>
      <c r="E201" s="1">
        <f t="shared" si="639"/>
        <v>3002.46287056294</v>
      </c>
      <c r="F201" s="1">
        <f t="shared" si="639"/>
        <v>38005.8591210499</v>
      </c>
      <c r="G201" s="1">
        <f t="shared" si="639"/>
        <v>11401.757736315</v>
      </c>
      <c r="H201" s="1">
        <f t="shared" si="639"/>
        <v>7601.17182420998</v>
      </c>
      <c r="I201" s="1">
        <f t="shared" si="639"/>
        <v>0</v>
      </c>
      <c r="J201" s="1">
        <f>标准模型!$I$65/1*$B201/$B$3</f>
        <v>1.368</v>
      </c>
      <c r="K201" s="1">
        <f>J201*标准模型!$J$63</f>
        <v>1.368</v>
      </c>
      <c r="L201" s="1">
        <f t="shared" si="433"/>
        <v>53018.1734738646</v>
      </c>
      <c r="M201" s="1">
        <f t="shared" si="434"/>
        <v>22066.5058525546</v>
      </c>
      <c r="N201" s="1">
        <f t="shared" si="435"/>
        <v>14711.003901703</v>
      </c>
      <c r="O201" s="1">
        <f t="shared" ref="O201:W201" si="640">O$5+(O$6-O$5)*(POWER(O$7,$B201-1)-1)/(POWER(O$7,$B$3-1)-1)</f>
        <v>0.689408111828907</v>
      </c>
      <c r="P201" s="1">
        <f t="shared" si="640"/>
        <v>0.117733087387131</v>
      </c>
      <c r="Q201" s="1">
        <f t="shared" si="640"/>
        <v>0.379174461505899</v>
      </c>
      <c r="R201" s="1">
        <f t="shared" si="640"/>
        <v>1.07576324473156</v>
      </c>
      <c r="S201" s="1">
        <f t="shared" si="640"/>
        <v>0.29623054537758</v>
      </c>
      <c r="T201" s="1">
        <f t="shared" si="640"/>
        <v>2.73869163613274</v>
      </c>
      <c r="U201" s="1">
        <f t="shared" si="640"/>
        <v>1</v>
      </c>
      <c r="V201" s="1">
        <f t="shared" si="640"/>
        <v>1.20656816298606</v>
      </c>
      <c r="W201" s="1">
        <f t="shared" si="640"/>
        <v>1.6061059578525</v>
      </c>
      <c r="X201" s="1">
        <f t="shared" si="437"/>
        <v>2.11284870803061</v>
      </c>
      <c r="Y201" s="1">
        <f t="shared" si="438"/>
        <v>3.74689057248842</v>
      </c>
      <c r="Z201" s="1">
        <f t="shared" si="439"/>
        <v>198653.294359779</v>
      </c>
      <c r="AA201" s="1">
        <f t="shared" si="440"/>
        <v>22066.5058525546</v>
      </c>
      <c r="AB201" s="1">
        <f t="shared" si="441"/>
        <v>14711.003901703</v>
      </c>
      <c r="AC201" s="1">
        <f>AB201/(AB201+战斗公式!$M$27)</f>
        <v>0.380021245097595</v>
      </c>
      <c r="AD201" s="1">
        <f t="shared" si="442"/>
        <v>320419.518876982</v>
      </c>
      <c r="AE201" s="1">
        <f t="shared" si="443"/>
        <v>6.87253553438574</v>
      </c>
      <c r="AF201" s="1">
        <f t="shared" si="444"/>
        <v>3.87538081078195</v>
      </c>
      <c r="AG201" s="1">
        <f t="shared" si="445"/>
        <v>4.10851211044412</v>
      </c>
      <c r="AH201" s="1">
        <f t="shared" si="446"/>
        <v>0.836575877548668</v>
      </c>
      <c r="AI201" s="1">
        <f t="shared" si="447"/>
        <v>1.00007086947018</v>
      </c>
      <c r="AJ201" s="1">
        <f t="shared" si="448"/>
        <v>1.01753912783547</v>
      </c>
      <c r="AK201" s="1">
        <f t="shared" si="449"/>
        <v>1</v>
      </c>
      <c r="AL201" s="10">
        <f t="shared" si="450"/>
        <v>210604</v>
      </c>
      <c r="AM201" s="10">
        <f t="shared" si="451"/>
        <v>18460</v>
      </c>
      <c r="AN201" s="10">
        <f t="shared" si="452"/>
        <v>14711</v>
      </c>
      <c r="AO201" s="1">
        <f t="shared" si="453"/>
        <v>120841</v>
      </c>
      <c r="AP201" s="1">
        <f t="shared" si="454"/>
        <v>18460</v>
      </c>
      <c r="AR201" s="1">
        <f t="shared" ref="AR201:AX201" si="641">ROUNDUP(AR$10*$AO201,0)</f>
        <v>120841</v>
      </c>
      <c r="AS201" s="1">
        <f t="shared" si="641"/>
        <v>362523</v>
      </c>
      <c r="AT201" s="1">
        <f t="shared" si="641"/>
        <v>217514</v>
      </c>
      <c r="AU201" s="1">
        <f t="shared" si="641"/>
        <v>60421</v>
      </c>
      <c r="AV201" s="1">
        <f t="shared" si="641"/>
        <v>18127</v>
      </c>
      <c r="AW201" s="1">
        <f t="shared" si="641"/>
        <v>483364</v>
      </c>
      <c r="AX201" s="1">
        <f t="shared" si="641"/>
        <v>1087569</v>
      </c>
      <c r="AY201" s="1">
        <f t="shared" si="456"/>
        <v>12637136</v>
      </c>
      <c r="AZ201" s="1">
        <f t="shared" si="457"/>
        <v>6318568</v>
      </c>
      <c r="BB201" s="1">
        <f t="shared" si="458"/>
        <v>190</v>
      </c>
    </row>
    <row r="202" spans="2:54">
      <c r="B202" s="4">
        <v>191</v>
      </c>
      <c r="C202" s="1">
        <f t="shared" ref="C202:I202" si="642">C$5+(C$6-C$5)*(POWER(C$7,$B202-1)-1)/(POWER(C$7,$B$3-1)-1)</f>
        <v>15091.3190921453</v>
      </c>
      <c r="D202" s="1">
        <f t="shared" si="642"/>
        <v>4527.39572764359</v>
      </c>
      <c r="E202" s="1">
        <f t="shared" si="642"/>
        <v>3018.26381842906</v>
      </c>
      <c r="F202" s="1">
        <f t="shared" si="642"/>
        <v>38205.8711193552</v>
      </c>
      <c r="G202" s="1">
        <f t="shared" si="642"/>
        <v>11461.7613358066</v>
      </c>
      <c r="H202" s="1">
        <f t="shared" si="642"/>
        <v>7641.17422387103</v>
      </c>
      <c r="I202" s="1">
        <f t="shared" si="642"/>
        <v>0</v>
      </c>
      <c r="J202" s="1">
        <f>标准模型!$I$65/1*$B202/$B$3</f>
        <v>1.3752</v>
      </c>
      <c r="K202" s="1">
        <f>J202*标准模型!$J$63</f>
        <v>1.3752</v>
      </c>
      <c r="L202" s="1">
        <f t="shared" si="433"/>
        <v>53297.1902115005</v>
      </c>
      <c r="M202" s="1">
        <f t="shared" si="434"/>
        <v>22215.2316681056</v>
      </c>
      <c r="N202" s="1">
        <f t="shared" si="435"/>
        <v>14810.1544454037</v>
      </c>
      <c r="O202" s="1">
        <f t="shared" ref="O202:W202" si="643">O$5+(O$6-O$5)*(POWER(O$7,$B202-1)-1)/(POWER(O$7,$B$3-1)-1)</f>
        <v>0.690410175948673</v>
      </c>
      <c r="P202" s="1">
        <f t="shared" si="643"/>
        <v>0.118448944143741</v>
      </c>
      <c r="Q202" s="1">
        <f t="shared" si="643"/>
        <v>0.37972559677177</v>
      </c>
      <c r="R202" s="1">
        <f t="shared" si="643"/>
        <v>1.07616407037947</v>
      </c>
      <c r="S202" s="1">
        <f t="shared" si="643"/>
        <v>0.297533228733275</v>
      </c>
      <c r="T202" s="1">
        <f t="shared" si="643"/>
        <v>2.74259968619983</v>
      </c>
      <c r="U202" s="1">
        <f t="shared" si="643"/>
        <v>1</v>
      </c>
      <c r="V202" s="1">
        <f t="shared" si="643"/>
        <v>1.20766101240214</v>
      </c>
      <c r="W202" s="1">
        <f t="shared" si="643"/>
        <v>1.60931256303575</v>
      </c>
      <c r="X202" s="1">
        <f t="shared" si="437"/>
        <v>2.12716524031135</v>
      </c>
      <c r="Y202" s="1">
        <f t="shared" si="438"/>
        <v>3.77488328803798</v>
      </c>
      <c r="Z202" s="1">
        <f t="shared" si="439"/>
        <v>201190.672628775</v>
      </c>
      <c r="AA202" s="1">
        <f t="shared" si="440"/>
        <v>22215.2316681056</v>
      </c>
      <c r="AB202" s="1">
        <f t="shared" si="441"/>
        <v>14810.1544454037</v>
      </c>
      <c r="AC202" s="1">
        <f>AB202/(AB202+战斗公式!$M$27)</f>
        <v>0.381605140640137</v>
      </c>
      <c r="AD202" s="1">
        <f t="shared" si="442"/>
        <v>325343.378237392</v>
      </c>
      <c r="AE202" s="1">
        <f t="shared" si="443"/>
        <v>6.88477731378419</v>
      </c>
      <c r="AF202" s="1">
        <f t="shared" si="444"/>
        <v>3.87960577101119</v>
      </c>
      <c r="AG202" s="1">
        <f t="shared" si="445"/>
        <v>4.11591592384684</v>
      </c>
      <c r="AH202" s="1">
        <f t="shared" si="446"/>
        <v>0.839988007845735</v>
      </c>
      <c r="AI202" s="1">
        <f t="shared" si="447"/>
        <v>1.00006732599623</v>
      </c>
      <c r="AJ202" s="1">
        <f t="shared" si="448"/>
        <v>1.01718767547137</v>
      </c>
      <c r="AK202" s="1">
        <f t="shared" si="449"/>
        <v>1</v>
      </c>
      <c r="AL202" s="10">
        <f t="shared" si="450"/>
        <v>213445</v>
      </c>
      <c r="AM202" s="10">
        <f t="shared" si="451"/>
        <v>18661</v>
      </c>
      <c r="AN202" s="10">
        <f t="shared" si="452"/>
        <v>14810</v>
      </c>
      <c r="AO202" s="1">
        <f t="shared" si="453"/>
        <v>122345</v>
      </c>
      <c r="AP202" s="1">
        <f t="shared" si="454"/>
        <v>18661</v>
      </c>
      <c r="AR202" s="1">
        <f t="shared" ref="AR202:AX202" si="644">ROUNDUP(AR$10*$AO202,0)</f>
        <v>122345</v>
      </c>
      <c r="AS202" s="1">
        <f t="shared" si="644"/>
        <v>367035</v>
      </c>
      <c r="AT202" s="1">
        <f t="shared" si="644"/>
        <v>220221</v>
      </c>
      <c r="AU202" s="1">
        <f t="shared" si="644"/>
        <v>61173</v>
      </c>
      <c r="AV202" s="1">
        <f t="shared" si="644"/>
        <v>18352</v>
      </c>
      <c r="AW202" s="1">
        <f t="shared" si="644"/>
        <v>489380</v>
      </c>
      <c r="AX202" s="1">
        <f t="shared" si="644"/>
        <v>1101105</v>
      </c>
      <c r="AY202" s="1">
        <f t="shared" si="456"/>
        <v>12807562</v>
      </c>
      <c r="AZ202" s="1">
        <f t="shared" si="457"/>
        <v>6403781</v>
      </c>
      <c r="BB202" s="1">
        <f t="shared" si="458"/>
        <v>191</v>
      </c>
    </row>
    <row r="203" spans="2:54">
      <c r="B203" s="4">
        <v>192</v>
      </c>
      <c r="C203" s="1">
        <f t="shared" ref="C203:I203" si="645">C$5+(C$6-C$5)*(POWER(C$7,$B203-1)-1)/(POWER(C$7,$B$3-1)-1)</f>
        <v>15170.3237524579</v>
      </c>
      <c r="D203" s="1">
        <f t="shared" si="645"/>
        <v>4551.09712573738</v>
      </c>
      <c r="E203" s="1">
        <f t="shared" si="645"/>
        <v>3034.06475049159</v>
      </c>
      <c r="F203" s="1">
        <f t="shared" si="645"/>
        <v>38405.882917615</v>
      </c>
      <c r="G203" s="1">
        <f t="shared" si="645"/>
        <v>11521.7648752845</v>
      </c>
      <c r="H203" s="1">
        <f t="shared" si="645"/>
        <v>7681.17658352301</v>
      </c>
      <c r="I203" s="1">
        <f t="shared" si="645"/>
        <v>0</v>
      </c>
      <c r="J203" s="1">
        <f>标准模型!$I$65/1*$B203/$B$3</f>
        <v>1.3824</v>
      </c>
      <c r="K203" s="1">
        <f>J203*标准模型!$J$63</f>
        <v>1.3824</v>
      </c>
      <c r="L203" s="1">
        <f t="shared" si="433"/>
        <v>53576.2066700729</v>
      </c>
      <c r="M203" s="1">
        <f t="shared" si="434"/>
        <v>22364.2986676412</v>
      </c>
      <c r="N203" s="1">
        <f t="shared" si="435"/>
        <v>14909.5324450942</v>
      </c>
      <c r="O203" s="1">
        <f t="shared" ref="O203:W203" si="646">O$5+(O$6-O$5)*(POWER(O$7,$B203-1)-1)/(POWER(O$7,$B$3-1)-1)</f>
        <v>0.691412239066208</v>
      </c>
      <c r="P203" s="1">
        <f t="shared" si="646"/>
        <v>0.119165874685486</v>
      </c>
      <c r="Q203" s="1">
        <f t="shared" si="646"/>
        <v>0.380276731486414</v>
      </c>
      <c r="R203" s="1">
        <f t="shared" si="646"/>
        <v>1.07656489562648</v>
      </c>
      <c r="S203" s="1">
        <f t="shared" si="646"/>
        <v>0.29883591078607</v>
      </c>
      <c r="T203" s="1">
        <f t="shared" si="646"/>
        <v>2.74650773235821</v>
      </c>
      <c r="U203" s="1">
        <f t="shared" si="646"/>
        <v>1</v>
      </c>
      <c r="V203" s="1">
        <f t="shared" si="646"/>
        <v>1.2087538607252</v>
      </c>
      <c r="W203" s="1">
        <f t="shared" si="646"/>
        <v>1.61251916501186</v>
      </c>
      <c r="X203" s="1">
        <f t="shared" si="437"/>
        <v>2.14156655991853</v>
      </c>
      <c r="Y203" s="1">
        <f t="shared" si="438"/>
        <v>3.80306200145784</v>
      </c>
      <c r="Z203" s="1">
        <f t="shared" si="439"/>
        <v>203753.635769207</v>
      </c>
      <c r="AA203" s="1">
        <f t="shared" si="440"/>
        <v>22364.2986676412</v>
      </c>
      <c r="AB203" s="1">
        <f t="shared" si="441"/>
        <v>14909.5324450942</v>
      </c>
      <c r="AC203" s="1">
        <f>AB203/(AB203+战斗公式!$M$27)</f>
        <v>0.383184569645838</v>
      </c>
      <c r="AD203" s="1">
        <f t="shared" si="442"/>
        <v>330331.612573661</v>
      </c>
      <c r="AE203" s="1">
        <f t="shared" si="443"/>
        <v>6.8970484554042</v>
      </c>
      <c r="AF203" s="1">
        <f t="shared" si="444"/>
        <v>3.88384105454219</v>
      </c>
      <c r="AG203" s="1">
        <f t="shared" si="445"/>
        <v>4.12326420864905</v>
      </c>
      <c r="AH203" s="1">
        <f t="shared" si="446"/>
        <v>0.843406962403397</v>
      </c>
      <c r="AI203" s="1">
        <f t="shared" si="447"/>
        <v>1.00006395969598</v>
      </c>
      <c r="AJ203" s="1">
        <f t="shared" si="448"/>
        <v>1.01684325215456</v>
      </c>
      <c r="AK203" s="1">
        <f t="shared" si="449"/>
        <v>1</v>
      </c>
      <c r="AL203" s="10">
        <f t="shared" si="450"/>
        <v>216314</v>
      </c>
      <c r="AM203" s="10">
        <f t="shared" si="451"/>
        <v>18862</v>
      </c>
      <c r="AN203" s="10">
        <f t="shared" si="452"/>
        <v>14910</v>
      </c>
      <c r="AO203" s="1">
        <f t="shared" si="453"/>
        <v>123862</v>
      </c>
      <c r="AP203" s="1">
        <f t="shared" si="454"/>
        <v>18862</v>
      </c>
      <c r="AR203" s="1">
        <f t="shared" ref="AR203:AX203" si="647">ROUNDUP(AR$10*$AO203,0)</f>
        <v>123862</v>
      </c>
      <c r="AS203" s="1">
        <f t="shared" si="647"/>
        <v>371586</v>
      </c>
      <c r="AT203" s="1">
        <f t="shared" si="647"/>
        <v>222952</v>
      </c>
      <c r="AU203" s="1">
        <f t="shared" si="647"/>
        <v>61931</v>
      </c>
      <c r="AV203" s="1">
        <f t="shared" si="647"/>
        <v>18580</v>
      </c>
      <c r="AW203" s="1">
        <f t="shared" si="647"/>
        <v>495448</v>
      </c>
      <c r="AX203" s="1">
        <f t="shared" si="647"/>
        <v>1114758</v>
      </c>
      <c r="AY203" s="1">
        <f t="shared" si="456"/>
        <v>12979670</v>
      </c>
      <c r="AZ203" s="1">
        <f t="shared" si="457"/>
        <v>6489835</v>
      </c>
      <c r="BB203" s="1">
        <f t="shared" si="458"/>
        <v>192</v>
      </c>
    </row>
    <row r="204" spans="2:54">
      <c r="B204" s="4">
        <v>193</v>
      </c>
      <c r="C204" s="1">
        <f t="shared" ref="C204:I204" si="648">C$5+(C$6-C$5)*(POWER(C$7,$B204-1)-1)/(POWER(C$7,$B$3-1)-1)</f>
        <v>15249.328333779</v>
      </c>
      <c r="D204" s="1">
        <f t="shared" si="648"/>
        <v>4574.79850013369</v>
      </c>
      <c r="E204" s="1">
        <f t="shared" si="648"/>
        <v>3049.8656667558</v>
      </c>
      <c r="F204" s="1">
        <f t="shared" si="648"/>
        <v>38605.8945158962</v>
      </c>
      <c r="G204" s="1">
        <f t="shared" si="648"/>
        <v>11581.7683547688</v>
      </c>
      <c r="H204" s="1">
        <f t="shared" si="648"/>
        <v>7721.17890317923</v>
      </c>
      <c r="I204" s="1">
        <f t="shared" si="648"/>
        <v>0</v>
      </c>
      <c r="J204" s="1">
        <f>标准模型!$I$65/1*$B204/$B$3</f>
        <v>1.3896</v>
      </c>
      <c r="K204" s="1">
        <f>J204*标准模型!$J$63</f>
        <v>1.3896</v>
      </c>
      <c r="L204" s="1">
        <f t="shared" ref="L204:L267" si="649">C204*(1+I204)+F204</f>
        <v>53855.2228496752</v>
      </c>
      <c r="M204" s="1">
        <f t="shared" ref="M204:M267" si="650">D204*(1+J204)+G204</f>
        <v>22513.7068506883</v>
      </c>
      <c r="N204" s="1">
        <f t="shared" ref="N204:N267" si="651">E204*(1+K204)+H204</f>
        <v>15009.1379004589</v>
      </c>
      <c r="O204" s="1">
        <f t="shared" ref="O204:W204" si="652">O$5+(O$6-O$5)*(POWER(O$7,$B204-1)-1)/(POWER(O$7,$B$3-1)-1)</f>
        <v>0.692414301181844</v>
      </c>
      <c r="P204" s="1">
        <f t="shared" si="652"/>
        <v>0.119883880623044</v>
      </c>
      <c r="Q204" s="1">
        <f t="shared" si="652"/>
        <v>0.380827865650014</v>
      </c>
      <c r="R204" s="1">
        <f t="shared" si="652"/>
        <v>1.07696572047274</v>
      </c>
      <c r="S204" s="1">
        <f t="shared" si="652"/>
        <v>0.300138591536398</v>
      </c>
      <c r="T204" s="1">
        <f t="shared" si="652"/>
        <v>2.75041577460919</v>
      </c>
      <c r="U204" s="1">
        <f t="shared" si="652"/>
        <v>1</v>
      </c>
      <c r="V204" s="1">
        <f t="shared" si="652"/>
        <v>1.20984670795558</v>
      </c>
      <c r="W204" s="1">
        <f t="shared" si="652"/>
        <v>1.6157257637819</v>
      </c>
      <c r="X204" s="1">
        <f t="shared" ref="X204:X267" si="653">(1+S204*(T204-1))*U204*W204*(O204+P204)*R204</f>
        <v>2.15605308945993</v>
      </c>
      <c r="Y204" s="1">
        <f t="shared" ref="Y204:Y267" si="654">(1+S204*(T204-1))*(O204+P204+Q204)*U204*V204*W204*R204</f>
        <v>3.83142777681252</v>
      </c>
      <c r="Z204" s="1">
        <f t="shared" ref="Z204:Z267" si="655">Y204*L204</f>
        <v>206342.396752674</v>
      </c>
      <c r="AA204" s="1">
        <f t="shared" ref="AA204:AA267" si="656">M204</f>
        <v>22513.7068506883</v>
      </c>
      <c r="AB204" s="1">
        <f t="shared" ref="AB204:AB267" si="657">N204</f>
        <v>15009.1379004589</v>
      </c>
      <c r="AC204" s="1">
        <f>AB204/(AB204+战斗公式!$M$27)</f>
        <v>0.384759538617805</v>
      </c>
      <c r="AD204" s="1">
        <f t="shared" ref="AD204:AD267" si="658">Z204/(1-AC204)</f>
        <v>335384.958734844</v>
      </c>
      <c r="AE204" s="1">
        <f t="shared" ref="AE204:AE267" si="659">AD204/AA204/X204</f>
        <v>6.9093489080336</v>
      </c>
      <c r="AF204" s="1">
        <f t="shared" ref="AF204:AF267" si="660">AD204/AA204/Y204</f>
        <v>3.88808661603316</v>
      </c>
      <c r="AG204" s="1">
        <f t="shared" ref="AG204:AG267" si="661">AG$5+(AG$6-AG$5)*(POWER(AG$7,$B204-1)-1)/(POWER(AG$7,$B$3-1)-1)</f>
        <v>4.13055738131523</v>
      </c>
      <c r="AH204" s="1">
        <f t="shared" ref="AH204:AH267" si="662">$AH$5+($AH$6-$AH$5)*(POWER($AH$7,$B204-1)-1)/(POWER($AH$7,$B$3-1)-1)</f>
        <v>0.846832754870174</v>
      </c>
      <c r="AI204" s="1">
        <f t="shared" ref="AI204:AI267" si="663">$AI$5+($AI$6-$AI$5)*(POWER($AI$7,$B204-1)-1)/(POWER($AI$7,$B$3-1)-1)</f>
        <v>1.00006076171074</v>
      </c>
      <c r="AJ204" s="1">
        <f t="shared" ref="AJ204:AJ267" si="664">$AJ$5+($AJ$6-$AJ$5)*(POWER($AJ$7,$B204-1)-1)/(POWER($AJ$7,$B$3-1)-1)</f>
        <v>1.01650571730408</v>
      </c>
      <c r="AK204" s="1">
        <f t="shared" ref="AK204:AK267" si="665">$AK$5+($AK$6-$AK$5)*(POWER($AK$7,$B204-1)-1)/(POWER($AK$7,$B$3-1)-1)</f>
        <v>1</v>
      </c>
      <c r="AL204" s="10">
        <f t="shared" ref="AL204:AL267" si="666">ROUND(Z204/AF204*AG204,0)</f>
        <v>219210</v>
      </c>
      <c r="AM204" s="10">
        <f t="shared" ref="AM204:AM267" si="667">ROUND(AA204*AH204,0)</f>
        <v>19065</v>
      </c>
      <c r="AN204" s="10">
        <f t="shared" ref="AN204:AN267" si="668">ROUND(AB204,0)</f>
        <v>15009</v>
      </c>
      <c r="AO204" s="1">
        <f t="shared" ref="AO204:AO267" si="669">ROUND(Z204/$AE204*AG204*AJ204,0)</f>
        <v>125392</v>
      </c>
      <c r="AP204" s="1">
        <f t="shared" ref="AP204:AP267" si="670">ROUND(AM204*AK204,0)</f>
        <v>19065</v>
      </c>
      <c r="AR204" s="1">
        <f t="shared" ref="AR204:AX204" si="671">ROUNDUP(AR$10*$AO204,0)</f>
        <v>125392</v>
      </c>
      <c r="AS204" s="1">
        <f t="shared" si="671"/>
        <v>376176</v>
      </c>
      <c r="AT204" s="1">
        <f t="shared" si="671"/>
        <v>225706</v>
      </c>
      <c r="AU204" s="1">
        <f t="shared" si="671"/>
        <v>62696</v>
      </c>
      <c r="AV204" s="1">
        <f t="shared" si="671"/>
        <v>18809</v>
      </c>
      <c r="AW204" s="1">
        <f t="shared" si="671"/>
        <v>501568</v>
      </c>
      <c r="AX204" s="1">
        <f t="shared" si="671"/>
        <v>1128528</v>
      </c>
      <c r="AY204" s="1">
        <f t="shared" ref="AY204:AY267" si="672">ROUND(AL204*$AY$10*AI204,0)</f>
        <v>13153399</v>
      </c>
      <c r="AZ204" s="1">
        <f t="shared" ref="AZ204:AZ267" si="673">ROUND(AL204*$AZ$10*AI204,0)</f>
        <v>6576700</v>
      </c>
      <c r="BB204" s="1">
        <f t="shared" ref="BB204:BB267" si="674">B204</f>
        <v>193</v>
      </c>
    </row>
    <row r="205" spans="2:54">
      <c r="B205" s="4">
        <v>194</v>
      </c>
      <c r="C205" s="1">
        <f t="shared" ref="C205:I205" si="675">C$5+(C$6-C$5)*(POWER(C$7,$B205-1)-1)/(POWER(C$7,$B$3-1)-1)</f>
        <v>15328.3328360909</v>
      </c>
      <c r="D205" s="1">
        <f t="shared" si="675"/>
        <v>4598.49985082726</v>
      </c>
      <c r="E205" s="1">
        <f t="shared" si="675"/>
        <v>3065.66656721817</v>
      </c>
      <c r="F205" s="1">
        <f t="shared" si="675"/>
        <v>38805.9059141541</v>
      </c>
      <c r="G205" s="1">
        <f t="shared" si="675"/>
        <v>11641.7717742462</v>
      </c>
      <c r="H205" s="1">
        <f t="shared" si="675"/>
        <v>7761.18118283082</v>
      </c>
      <c r="I205" s="1">
        <f t="shared" si="675"/>
        <v>0</v>
      </c>
      <c r="J205" s="1">
        <f>标准模型!$I$65/1*$B205/$B$3</f>
        <v>1.3968</v>
      </c>
      <c r="K205" s="1">
        <f>J205*标准模型!$J$63</f>
        <v>1.3968</v>
      </c>
      <c r="L205" s="1">
        <f t="shared" si="649"/>
        <v>54134.238750245</v>
      </c>
      <c r="M205" s="1">
        <f t="shared" si="650"/>
        <v>22663.456216709</v>
      </c>
      <c r="N205" s="1">
        <f t="shared" si="651"/>
        <v>15108.9708111393</v>
      </c>
      <c r="O205" s="1">
        <f t="shared" ref="O205:W205" si="676">O$5+(O$6-O$5)*(POWER(O$7,$B205-1)-1)/(POWER(O$7,$B$3-1)-1)</f>
        <v>0.693416362295361</v>
      </c>
      <c r="P205" s="1">
        <f t="shared" si="676"/>
        <v>0.120602963569508</v>
      </c>
      <c r="Q205" s="1">
        <f t="shared" si="676"/>
        <v>0.381378999262449</v>
      </c>
      <c r="R205" s="1">
        <f t="shared" si="676"/>
        <v>1.07736654491814</v>
      </c>
      <c r="S205" s="1">
        <f t="shared" si="676"/>
        <v>0.30144127098397</v>
      </c>
      <c r="T205" s="1">
        <f t="shared" si="676"/>
        <v>2.75432381295191</v>
      </c>
      <c r="U205" s="1">
        <f t="shared" si="676"/>
        <v>1</v>
      </c>
      <c r="V205" s="1">
        <f t="shared" si="676"/>
        <v>1.21093955409306</v>
      </c>
      <c r="W205" s="1">
        <f t="shared" si="676"/>
        <v>1.61893235934516</v>
      </c>
      <c r="X205" s="1">
        <f t="shared" si="653"/>
        <v>2.17062525311175</v>
      </c>
      <c r="Y205" s="1">
        <f t="shared" si="654"/>
        <v>3.85998168299379</v>
      </c>
      <c r="Z205" s="1">
        <f t="shared" si="655"/>
        <v>208957.169998758</v>
      </c>
      <c r="AA205" s="1">
        <f t="shared" si="656"/>
        <v>22663.456216709</v>
      </c>
      <c r="AB205" s="1">
        <f t="shared" si="657"/>
        <v>15108.9708111393</v>
      </c>
      <c r="AC205" s="1">
        <f>AB205/(AB205+战斗公式!$M$27)</f>
        <v>0.386330054147983</v>
      </c>
      <c r="AD205" s="1">
        <f t="shared" si="658"/>
        <v>340504.160927488</v>
      </c>
      <c r="AE205" s="1">
        <f t="shared" si="659"/>
        <v>6.92167862073697</v>
      </c>
      <c r="AF205" s="1">
        <f t="shared" si="660"/>
        <v>3.89234241040298</v>
      </c>
      <c r="AG205" s="1">
        <f t="shared" si="661"/>
        <v>4.13779585518642</v>
      </c>
      <c r="AH205" s="1">
        <f t="shared" si="662"/>
        <v>0.850265398921884</v>
      </c>
      <c r="AI205" s="1">
        <f t="shared" si="663"/>
        <v>1.00005772362476</v>
      </c>
      <c r="AJ205" s="1">
        <f t="shared" si="664"/>
        <v>1.01617493315061</v>
      </c>
      <c r="AK205" s="1">
        <f t="shared" si="665"/>
        <v>1</v>
      </c>
      <c r="AL205" s="10">
        <f t="shared" si="666"/>
        <v>222134</v>
      </c>
      <c r="AM205" s="10">
        <f t="shared" si="667"/>
        <v>19270</v>
      </c>
      <c r="AN205" s="10">
        <f t="shared" si="668"/>
        <v>15109</v>
      </c>
      <c r="AO205" s="1">
        <f t="shared" si="669"/>
        <v>126936</v>
      </c>
      <c r="AP205" s="1">
        <f t="shared" si="670"/>
        <v>19270</v>
      </c>
      <c r="AR205" s="1">
        <f t="shared" ref="AR205:AX205" si="677">ROUNDUP(AR$10*$AO205,0)</f>
        <v>126936</v>
      </c>
      <c r="AS205" s="1">
        <f t="shared" si="677"/>
        <v>380808</v>
      </c>
      <c r="AT205" s="1">
        <f t="shared" si="677"/>
        <v>228485</v>
      </c>
      <c r="AU205" s="1">
        <f t="shared" si="677"/>
        <v>63468</v>
      </c>
      <c r="AV205" s="1">
        <f t="shared" si="677"/>
        <v>19041</v>
      </c>
      <c r="AW205" s="1">
        <f t="shared" si="677"/>
        <v>507744</v>
      </c>
      <c r="AX205" s="1">
        <f t="shared" si="677"/>
        <v>1142424</v>
      </c>
      <c r="AY205" s="1">
        <f t="shared" si="672"/>
        <v>13328809</v>
      </c>
      <c r="AZ205" s="1">
        <f t="shared" si="673"/>
        <v>6664405</v>
      </c>
      <c r="BB205" s="1">
        <f t="shared" si="674"/>
        <v>194</v>
      </c>
    </row>
    <row r="206" spans="2:54">
      <c r="B206" s="4">
        <v>195</v>
      </c>
      <c r="C206" s="1">
        <f t="shared" ref="C206:I206" si="678">C$5+(C$6-C$5)*(POWER(C$7,$B206-1)-1)/(POWER(C$7,$B$3-1)-1)</f>
        <v>15407.3372593936</v>
      </c>
      <c r="D206" s="1">
        <f t="shared" si="678"/>
        <v>4622.20117781808</v>
      </c>
      <c r="E206" s="1">
        <f t="shared" si="678"/>
        <v>3081.46745187872</v>
      </c>
      <c r="F206" s="1">
        <f t="shared" si="678"/>
        <v>39005.9171123889</v>
      </c>
      <c r="G206" s="1">
        <f t="shared" si="678"/>
        <v>11701.7751337167</v>
      </c>
      <c r="H206" s="1">
        <f t="shared" si="678"/>
        <v>7801.18342247778</v>
      </c>
      <c r="I206" s="1">
        <f t="shared" si="678"/>
        <v>0</v>
      </c>
      <c r="J206" s="1">
        <f>标准模型!$I$65/1*$B206/$B$3</f>
        <v>1.404</v>
      </c>
      <c r="K206" s="1">
        <f>J206*标准模型!$J$63</f>
        <v>1.404</v>
      </c>
      <c r="L206" s="1">
        <f t="shared" si="649"/>
        <v>54413.2543717825</v>
      </c>
      <c r="M206" s="1">
        <f t="shared" si="650"/>
        <v>22813.5467651913</v>
      </c>
      <c r="N206" s="1">
        <f t="shared" si="651"/>
        <v>15209.0311767942</v>
      </c>
      <c r="O206" s="1">
        <f t="shared" ref="O206:W206" si="679">O$5+(O$6-O$5)*(POWER(O$7,$B206-1)-1)/(POWER(O$7,$B$3-1)-1)</f>
        <v>0.694418422406758</v>
      </c>
      <c r="P206" s="1">
        <f t="shared" si="679"/>
        <v>0.121323125140392</v>
      </c>
      <c r="Q206" s="1">
        <f t="shared" si="679"/>
        <v>0.381930132323717</v>
      </c>
      <c r="R206" s="1">
        <f t="shared" si="679"/>
        <v>1.0777673689627</v>
      </c>
      <c r="S206" s="1">
        <f t="shared" si="679"/>
        <v>0.302743949128785</v>
      </c>
      <c r="T206" s="1">
        <f t="shared" si="679"/>
        <v>2.75823184738636</v>
      </c>
      <c r="U206" s="1">
        <f t="shared" si="679"/>
        <v>1</v>
      </c>
      <c r="V206" s="1">
        <f t="shared" si="679"/>
        <v>1.21203239913763</v>
      </c>
      <c r="W206" s="1">
        <f t="shared" si="679"/>
        <v>1.62213895170163</v>
      </c>
      <c r="X206" s="1">
        <f t="shared" si="653"/>
        <v>2.18528347663225</v>
      </c>
      <c r="Y206" s="1">
        <f t="shared" si="654"/>
        <v>3.88872479375674</v>
      </c>
      <c r="Z206" s="1">
        <f t="shared" si="655"/>
        <v>211598.171384543</v>
      </c>
      <c r="AA206" s="1">
        <f t="shared" si="656"/>
        <v>22813.5467651913</v>
      </c>
      <c r="AB206" s="1">
        <f t="shared" si="657"/>
        <v>15209.0311767942</v>
      </c>
      <c r="AC206" s="1">
        <f>AB206/(AB206+战斗公式!$M$27)</f>
        <v>0.387896122916591</v>
      </c>
      <c r="AD206" s="1">
        <f t="shared" si="658"/>
        <v>345689.97078205</v>
      </c>
      <c r="AE206" s="1">
        <f t="shared" si="659"/>
        <v>6.93403754286903</v>
      </c>
      <c r="AF206" s="1">
        <f t="shared" si="660"/>
        <v>3.89660839283533</v>
      </c>
      <c r="AG206" s="1">
        <f t="shared" si="661"/>
        <v>4.14498004050357</v>
      </c>
      <c r="AH206" s="1">
        <f t="shared" si="662"/>
        <v>0.853704908261698</v>
      </c>
      <c r="AI206" s="1">
        <f t="shared" si="663"/>
        <v>1.00005483744308</v>
      </c>
      <c r="AJ206" s="1">
        <f t="shared" si="664"/>
        <v>1.01585076468021</v>
      </c>
      <c r="AK206" s="1">
        <f t="shared" si="665"/>
        <v>1</v>
      </c>
      <c r="AL206" s="10">
        <f t="shared" si="666"/>
        <v>225086</v>
      </c>
      <c r="AM206" s="10">
        <f t="shared" si="667"/>
        <v>19476</v>
      </c>
      <c r="AN206" s="10">
        <f t="shared" si="668"/>
        <v>15209</v>
      </c>
      <c r="AO206" s="1">
        <f t="shared" si="669"/>
        <v>128493</v>
      </c>
      <c r="AP206" s="1">
        <f t="shared" si="670"/>
        <v>19476</v>
      </c>
      <c r="AR206" s="1">
        <f t="shared" ref="AR206:AX206" si="680">ROUNDUP(AR$10*$AO206,0)</f>
        <v>128493</v>
      </c>
      <c r="AS206" s="1">
        <f t="shared" si="680"/>
        <v>385479</v>
      </c>
      <c r="AT206" s="1">
        <f t="shared" si="680"/>
        <v>231288</v>
      </c>
      <c r="AU206" s="1">
        <f t="shared" si="680"/>
        <v>64247</v>
      </c>
      <c r="AV206" s="1">
        <f t="shared" si="680"/>
        <v>19274</v>
      </c>
      <c r="AW206" s="1">
        <f t="shared" si="680"/>
        <v>513972</v>
      </c>
      <c r="AX206" s="1">
        <f t="shared" si="680"/>
        <v>1156437</v>
      </c>
      <c r="AY206" s="1">
        <f t="shared" si="672"/>
        <v>13505901</v>
      </c>
      <c r="AZ206" s="1">
        <f t="shared" si="673"/>
        <v>6752950</v>
      </c>
      <c r="BB206" s="1">
        <f t="shared" si="674"/>
        <v>195</v>
      </c>
    </row>
    <row r="207" spans="2:54">
      <c r="B207" s="4">
        <v>196</v>
      </c>
      <c r="C207" s="1">
        <f t="shared" ref="C207:I207" si="681">C$5+(C$6-C$5)*(POWER(C$7,$B207-1)-1)/(POWER(C$7,$B$3-1)-1)</f>
        <v>15486.341603696</v>
      </c>
      <c r="D207" s="1">
        <f t="shared" si="681"/>
        <v>4645.90248110879</v>
      </c>
      <c r="E207" s="1">
        <f t="shared" si="681"/>
        <v>3097.26832073919</v>
      </c>
      <c r="F207" s="1">
        <f t="shared" si="681"/>
        <v>39205.9281106227</v>
      </c>
      <c r="G207" s="1">
        <f t="shared" si="681"/>
        <v>11761.7784331868</v>
      </c>
      <c r="H207" s="1">
        <f t="shared" si="681"/>
        <v>7841.18562212454</v>
      </c>
      <c r="I207" s="1">
        <f t="shared" si="681"/>
        <v>0</v>
      </c>
      <c r="J207" s="1">
        <f>标准模型!$I$65/1*$B207/$B$3</f>
        <v>1.4112</v>
      </c>
      <c r="K207" s="1">
        <f>J207*标准模型!$J$63</f>
        <v>1.4112</v>
      </c>
      <c r="L207" s="1">
        <f t="shared" si="649"/>
        <v>54692.2697143187</v>
      </c>
      <c r="M207" s="1">
        <f t="shared" si="650"/>
        <v>22963.9784956363</v>
      </c>
      <c r="N207" s="1">
        <f t="shared" si="651"/>
        <v>15309.3189970909</v>
      </c>
      <c r="O207" s="1">
        <f t="shared" ref="O207:W207" si="682">O$5+(O$6-O$5)*(POWER(O$7,$B207-1)-1)/(POWER(O$7,$B$3-1)-1)</f>
        <v>0.695420481516146</v>
      </c>
      <c r="P207" s="1">
        <f t="shared" si="682"/>
        <v>0.122044366953632</v>
      </c>
      <c r="Q207" s="1">
        <f t="shared" si="682"/>
        <v>0.38248126483388</v>
      </c>
      <c r="R207" s="1">
        <f t="shared" si="682"/>
        <v>1.07816819260646</v>
      </c>
      <c r="S207" s="1">
        <f t="shared" si="682"/>
        <v>0.30404662597099</v>
      </c>
      <c r="T207" s="1">
        <f t="shared" si="682"/>
        <v>2.76213987791297</v>
      </c>
      <c r="U207" s="1">
        <f t="shared" si="682"/>
        <v>1</v>
      </c>
      <c r="V207" s="1">
        <f t="shared" si="682"/>
        <v>1.2131252430894</v>
      </c>
      <c r="W207" s="1">
        <f t="shared" si="682"/>
        <v>1.62534554085167</v>
      </c>
      <c r="X207" s="1">
        <f t="shared" si="653"/>
        <v>2.20002818736436</v>
      </c>
      <c r="Y207" s="1">
        <f t="shared" si="654"/>
        <v>3.91765818773326</v>
      </c>
      <c r="Z207" s="1">
        <f t="shared" si="655"/>
        <v>214265.618252016</v>
      </c>
      <c r="AA207" s="1">
        <f t="shared" si="656"/>
        <v>22963.9784956363</v>
      </c>
      <c r="AB207" s="1">
        <f t="shared" si="657"/>
        <v>15309.3189970909</v>
      </c>
      <c r="AC207" s="1">
        <f>AB207/(AB207+战斗公式!$M$27)</f>
        <v>0.38945775169048</v>
      </c>
      <c r="AD207" s="1">
        <f t="shared" si="658"/>
        <v>350943.147415725</v>
      </c>
      <c r="AE207" s="1">
        <f t="shared" si="659"/>
        <v>6.94642562406997</v>
      </c>
      <c r="AF207" s="1">
        <f t="shared" si="660"/>
        <v>3.90088451877582</v>
      </c>
      <c r="AG207" s="1">
        <f t="shared" si="661"/>
        <v>4.15211034443085</v>
      </c>
      <c r="AH207" s="1">
        <f t="shared" si="662"/>
        <v>0.857151296620192</v>
      </c>
      <c r="AI207" s="1">
        <f t="shared" si="663"/>
        <v>1.00005209557049</v>
      </c>
      <c r="AJ207" s="1">
        <f t="shared" si="664"/>
        <v>1.01553307957921</v>
      </c>
      <c r="AK207" s="1">
        <f t="shared" si="665"/>
        <v>1</v>
      </c>
      <c r="AL207" s="10">
        <f t="shared" si="666"/>
        <v>228065</v>
      </c>
      <c r="AM207" s="10">
        <f t="shared" si="667"/>
        <v>19684</v>
      </c>
      <c r="AN207" s="10">
        <f t="shared" si="668"/>
        <v>15309</v>
      </c>
      <c r="AO207" s="1">
        <f t="shared" si="669"/>
        <v>130063</v>
      </c>
      <c r="AP207" s="1">
        <f t="shared" si="670"/>
        <v>19684</v>
      </c>
      <c r="AR207" s="1">
        <f t="shared" ref="AR207:AX207" si="683">ROUNDUP(AR$10*$AO207,0)</f>
        <v>130063</v>
      </c>
      <c r="AS207" s="1">
        <f t="shared" si="683"/>
        <v>390189</v>
      </c>
      <c r="AT207" s="1">
        <f t="shared" si="683"/>
        <v>234114</v>
      </c>
      <c r="AU207" s="1">
        <f t="shared" si="683"/>
        <v>65032</v>
      </c>
      <c r="AV207" s="1">
        <f t="shared" si="683"/>
        <v>19510</v>
      </c>
      <c r="AW207" s="1">
        <f t="shared" si="683"/>
        <v>520252</v>
      </c>
      <c r="AX207" s="1">
        <f t="shared" si="683"/>
        <v>1170567</v>
      </c>
      <c r="AY207" s="1">
        <f t="shared" si="672"/>
        <v>13684613</v>
      </c>
      <c r="AZ207" s="1">
        <f t="shared" si="673"/>
        <v>6842306</v>
      </c>
      <c r="BB207" s="1">
        <f t="shared" si="674"/>
        <v>196</v>
      </c>
    </row>
    <row r="208" spans="2:54">
      <c r="B208" s="4">
        <v>197</v>
      </c>
      <c r="C208" s="1">
        <f t="shared" ref="C208:I208" si="684">C$5+(C$6-C$5)*(POWER(C$7,$B208-1)-1)/(POWER(C$7,$B$3-1)-1)</f>
        <v>15565.345868998</v>
      </c>
      <c r="D208" s="1">
        <f t="shared" si="684"/>
        <v>4669.60376069939</v>
      </c>
      <c r="E208" s="1">
        <f t="shared" si="684"/>
        <v>3113.06917379959</v>
      </c>
      <c r="F208" s="1">
        <f t="shared" si="684"/>
        <v>39405.9389088556</v>
      </c>
      <c r="G208" s="1">
        <f t="shared" si="684"/>
        <v>11821.7816726567</v>
      </c>
      <c r="H208" s="1">
        <f t="shared" si="684"/>
        <v>7881.18778177112</v>
      </c>
      <c r="I208" s="1">
        <f t="shared" si="684"/>
        <v>0</v>
      </c>
      <c r="J208" s="1">
        <f>标准模型!$I$65/1*$B208/$B$3</f>
        <v>1.4184</v>
      </c>
      <c r="K208" s="1">
        <f>J208*标准模型!$J$63</f>
        <v>1.4184</v>
      </c>
      <c r="L208" s="1">
        <f t="shared" si="649"/>
        <v>54971.2847778536</v>
      </c>
      <c r="M208" s="1">
        <f t="shared" si="650"/>
        <v>23114.7514075321</v>
      </c>
      <c r="N208" s="1">
        <f t="shared" si="651"/>
        <v>15409.834271688</v>
      </c>
      <c r="O208" s="1">
        <f t="shared" ref="O208:W208" si="685">O$5+(O$6-O$5)*(POWER(O$7,$B208-1)-1)/(POWER(O$7,$B$3-1)-1)</f>
        <v>0.696422539623525</v>
      </c>
      <c r="P208" s="1">
        <f t="shared" si="685"/>
        <v>0.122766690629592</v>
      </c>
      <c r="Q208" s="1">
        <f t="shared" si="685"/>
        <v>0.383032396792939</v>
      </c>
      <c r="R208" s="1">
        <f t="shared" si="685"/>
        <v>1.07856901584941</v>
      </c>
      <c r="S208" s="1">
        <f t="shared" si="685"/>
        <v>0.305349301510582</v>
      </c>
      <c r="T208" s="1">
        <f t="shared" si="685"/>
        <v>2.76604790453175</v>
      </c>
      <c r="U208" s="1">
        <f t="shared" si="685"/>
        <v>1</v>
      </c>
      <c r="V208" s="1">
        <f t="shared" si="685"/>
        <v>1.21421808594839</v>
      </c>
      <c r="W208" s="1">
        <f t="shared" si="685"/>
        <v>1.62855212679528</v>
      </c>
      <c r="X208" s="1">
        <f t="shared" si="653"/>
        <v>2.21485981423684</v>
      </c>
      <c r="Y208" s="1">
        <f t="shared" si="654"/>
        <v>3.94678294844214</v>
      </c>
      <c r="Z208" s="1">
        <f t="shared" si="655"/>
        <v>216959.729415189</v>
      </c>
      <c r="AA208" s="1">
        <f t="shared" si="656"/>
        <v>23114.7514075321</v>
      </c>
      <c r="AB208" s="1">
        <f t="shared" si="657"/>
        <v>15409.834271688</v>
      </c>
      <c r="AC208" s="1">
        <f>AB208/(AB208+战斗公式!$M$27)</f>
        <v>0.391014947321371</v>
      </c>
      <c r="AD208" s="1">
        <f t="shared" si="658"/>
        <v>356264.457495121</v>
      </c>
      <c r="AE208" s="1">
        <f t="shared" si="659"/>
        <v>6.95884281425854</v>
      </c>
      <c r="AF208" s="1">
        <f t="shared" si="660"/>
        <v>3.90517074392848</v>
      </c>
      <c r="AG208" s="1">
        <f t="shared" si="661"/>
        <v>4.15918717107867</v>
      </c>
      <c r="AH208" s="1">
        <f t="shared" si="662"/>
        <v>0.860604577755403</v>
      </c>
      <c r="AI208" s="1">
        <f t="shared" si="663"/>
        <v>1.00004949079152</v>
      </c>
      <c r="AJ208" s="1">
        <f t="shared" si="664"/>
        <v>1.01522174818024</v>
      </c>
      <c r="AK208" s="1">
        <f t="shared" si="665"/>
        <v>1</v>
      </c>
      <c r="AL208" s="10">
        <f t="shared" si="666"/>
        <v>231072</v>
      </c>
      <c r="AM208" s="10">
        <f t="shared" si="667"/>
        <v>19893</v>
      </c>
      <c r="AN208" s="10">
        <f t="shared" si="668"/>
        <v>15410</v>
      </c>
      <c r="AO208" s="1">
        <f t="shared" si="669"/>
        <v>131647</v>
      </c>
      <c r="AP208" s="1">
        <f t="shared" si="670"/>
        <v>19893</v>
      </c>
      <c r="AR208" s="1">
        <f t="shared" ref="AR208:AX208" si="686">ROUNDUP(AR$10*$AO208,0)</f>
        <v>131647</v>
      </c>
      <c r="AS208" s="1">
        <f t="shared" si="686"/>
        <v>394941</v>
      </c>
      <c r="AT208" s="1">
        <f t="shared" si="686"/>
        <v>236965</v>
      </c>
      <c r="AU208" s="1">
        <f t="shared" si="686"/>
        <v>65824</v>
      </c>
      <c r="AV208" s="1">
        <f t="shared" si="686"/>
        <v>19748</v>
      </c>
      <c r="AW208" s="1">
        <f t="shared" si="686"/>
        <v>526588</v>
      </c>
      <c r="AX208" s="1">
        <f t="shared" si="686"/>
        <v>1184823</v>
      </c>
      <c r="AY208" s="1">
        <f t="shared" si="672"/>
        <v>13865006</v>
      </c>
      <c r="AZ208" s="1">
        <f t="shared" si="673"/>
        <v>6932503</v>
      </c>
      <c r="BB208" s="1">
        <f t="shared" si="674"/>
        <v>197</v>
      </c>
    </row>
    <row r="209" spans="2:54">
      <c r="B209" s="4">
        <v>198</v>
      </c>
      <c r="C209" s="1">
        <f t="shared" ref="C209:I209" si="687">C$5+(C$6-C$5)*(POWER(C$7,$B209-1)-1)/(POWER(C$7,$B$3-1)-1)</f>
        <v>15644.3500552908</v>
      </c>
      <c r="D209" s="1">
        <f t="shared" si="687"/>
        <v>4693.30501658723</v>
      </c>
      <c r="E209" s="1">
        <f t="shared" si="687"/>
        <v>3128.87001105816</v>
      </c>
      <c r="F209" s="1">
        <f t="shared" si="687"/>
        <v>39605.9495070653</v>
      </c>
      <c r="G209" s="1">
        <f t="shared" si="687"/>
        <v>11881.7848521196</v>
      </c>
      <c r="H209" s="1">
        <f t="shared" si="687"/>
        <v>7921.18990141306</v>
      </c>
      <c r="I209" s="1">
        <f t="shared" si="687"/>
        <v>0</v>
      </c>
      <c r="J209" s="1">
        <f>标准模型!$I$65/1*$B209/$B$3</f>
        <v>1.4256</v>
      </c>
      <c r="K209" s="1">
        <f>J209*标准模型!$J$63</f>
        <v>1.4256</v>
      </c>
      <c r="L209" s="1">
        <f t="shared" si="649"/>
        <v>55250.2995623561</v>
      </c>
      <c r="M209" s="1">
        <f t="shared" si="650"/>
        <v>23265.8655003536</v>
      </c>
      <c r="N209" s="1">
        <f t="shared" si="651"/>
        <v>15510.5770002357</v>
      </c>
      <c r="O209" s="1">
        <f t="shared" ref="O209:W209" si="688">O$5+(O$6-O$5)*(POWER(O$7,$B209-1)-1)/(POWER(O$7,$B$3-1)-1)</f>
        <v>0.697424596728784</v>
      </c>
      <c r="P209" s="1">
        <f t="shared" si="688"/>
        <v>0.123490097791066</v>
      </c>
      <c r="Q209" s="1">
        <f t="shared" si="688"/>
        <v>0.383583528200831</v>
      </c>
      <c r="R209" s="1">
        <f t="shared" si="688"/>
        <v>1.07896983869151</v>
      </c>
      <c r="S209" s="1">
        <f t="shared" si="688"/>
        <v>0.306651975747419</v>
      </c>
      <c r="T209" s="1">
        <f t="shared" si="688"/>
        <v>2.76995592724226</v>
      </c>
      <c r="U209" s="1">
        <f t="shared" si="688"/>
        <v>1</v>
      </c>
      <c r="V209" s="1">
        <f t="shared" si="688"/>
        <v>1.21531092771447</v>
      </c>
      <c r="W209" s="1">
        <f t="shared" si="688"/>
        <v>1.63175870953211</v>
      </c>
      <c r="X209" s="1">
        <f t="shared" si="653"/>
        <v>2.22977878776818</v>
      </c>
      <c r="Y209" s="1">
        <f t="shared" si="654"/>
        <v>3.97610016430525</v>
      </c>
      <c r="Z209" s="1">
        <f t="shared" si="655"/>
        <v>219680.725167798</v>
      </c>
      <c r="AA209" s="1">
        <f t="shared" si="656"/>
        <v>23265.8655003536</v>
      </c>
      <c r="AB209" s="1">
        <f t="shared" si="657"/>
        <v>15510.5770002357</v>
      </c>
      <c r="AC209" s="1">
        <f>AB209/(AB209+战斗公式!$M$27)</f>
        <v>0.392567716744384</v>
      </c>
      <c r="AD209" s="1">
        <f t="shared" si="658"/>
        <v>361654.675300413</v>
      </c>
      <c r="AE209" s="1">
        <f t="shared" si="659"/>
        <v>6.97128906362958</v>
      </c>
      <c r="AF209" s="1">
        <f t="shared" si="660"/>
        <v>3.9094670242538</v>
      </c>
      <c r="AG209" s="1">
        <f t="shared" si="661"/>
        <v>4.16621092152663</v>
      </c>
      <c r="AH209" s="1">
        <f t="shared" si="662"/>
        <v>0.864064765452883</v>
      </c>
      <c r="AI209" s="1">
        <f t="shared" si="663"/>
        <v>1.00004701625151</v>
      </c>
      <c r="AJ209" s="1">
        <f t="shared" si="664"/>
        <v>1.01491664340925</v>
      </c>
      <c r="AK209" s="1">
        <f t="shared" si="665"/>
        <v>1</v>
      </c>
      <c r="AL209" s="10">
        <f t="shared" si="666"/>
        <v>234108</v>
      </c>
      <c r="AM209" s="10">
        <f t="shared" si="667"/>
        <v>20103</v>
      </c>
      <c r="AN209" s="10">
        <f t="shared" si="668"/>
        <v>15511</v>
      </c>
      <c r="AO209" s="1">
        <f t="shared" si="669"/>
        <v>133245</v>
      </c>
      <c r="AP209" s="1">
        <f t="shared" si="670"/>
        <v>20103</v>
      </c>
      <c r="AR209" s="1">
        <f t="shared" ref="AR209:AX209" si="689">ROUNDUP(AR$10*$AO209,0)</f>
        <v>133245</v>
      </c>
      <c r="AS209" s="1">
        <f t="shared" si="689"/>
        <v>399735</v>
      </c>
      <c r="AT209" s="1">
        <f t="shared" si="689"/>
        <v>239841</v>
      </c>
      <c r="AU209" s="1">
        <f t="shared" si="689"/>
        <v>66623</v>
      </c>
      <c r="AV209" s="1">
        <f t="shared" si="689"/>
        <v>19987</v>
      </c>
      <c r="AW209" s="1">
        <f t="shared" si="689"/>
        <v>532980</v>
      </c>
      <c r="AX209" s="1">
        <f t="shared" si="689"/>
        <v>1199205</v>
      </c>
      <c r="AY209" s="1">
        <f t="shared" si="672"/>
        <v>14047140</v>
      </c>
      <c r="AZ209" s="1">
        <f t="shared" si="673"/>
        <v>7023570</v>
      </c>
      <c r="BB209" s="1">
        <f t="shared" si="674"/>
        <v>198</v>
      </c>
    </row>
    <row r="210" spans="2:54">
      <c r="B210" s="4">
        <v>199</v>
      </c>
      <c r="C210" s="1">
        <f t="shared" ref="C210:I210" si="690">C$5+(C$6-C$5)*(POWER(C$7,$B210-1)-1)/(POWER(C$7,$B$3-1)-1)</f>
        <v>15723.3541625745</v>
      </c>
      <c r="D210" s="1">
        <f t="shared" si="690"/>
        <v>4717.00624877234</v>
      </c>
      <c r="E210" s="1">
        <f t="shared" si="690"/>
        <v>3144.67083251489</v>
      </c>
      <c r="F210" s="1">
        <f t="shared" si="690"/>
        <v>39805.9599052518</v>
      </c>
      <c r="G210" s="1">
        <f t="shared" si="690"/>
        <v>11941.7879715755</v>
      </c>
      <c r="H210" s="1">
        <f t="shared" si="690"/>
        <v>7961.19198105036</v>
      </c>
      <c r="I210" s="1">
        <f t="shared" si="690"/>
        <v>0</v>
      </c>
      <c r="J210" s="1">
        <f>标准模型!$I$65/1*$B210/$B$3</f>
        <v>1.4328</v>
      </c>
      <c r="K210" s="1">
        <f>J210*标准模型!$J$63</f>
        <v>1.4328</v>
      </c>
      <c r="L210" s="1">
        <f t="shared" si="649"/>
        <v>55529.3140678263</v>
      </c>
      <c r="M210" s="1">
        <f t="shared" si="650"/>
        <v>23417.3207735889</v>
      </c>
      <c r="N210" s="1">
        <f t="shared" si="651"/>
        <v>15611.5471823926</v>
      </c>
      <c r="O210" s="1">
        <f t="shared" ref="O210:W210" si="691">O$5+(O$6-O$5)*(POWER(O$7,$B210-1)-1)/(POWER(O$7,$B$3-1)-1)</f>
        <v>0.698426652831923</v>
      </c>
      <c r="P210" s="1">
        <f t="shared" si="691"/>
        <v>0.124214590063283</v>
      </c>
      <c r="Q210" s="1">
        <f t="shared" si="691"/>
        <v>0.384134659057558</v>
      </c>
      <c r="R210" s="1">
        <f t="shared" si="691"/>
        <v>1.07937066113277</v>
      </c>
      <c r="S210" s="1">
        <f t="shared" si="691"/>
        <v>0.3079546486815</v>
      </c>
      <c r="T210" s="1">
        <f t="shared" si="691"/>
        <v>2.7738639460445</v>
      </c>
      <c r="U210" s="1">
        <f t="shared" si="691"/>
        <v>1</v>
      </c>
      <c r="V210" s="1">
        <f t="shared" si="691"/>
        <v>1.21640376838764</v>
      </c>
      <c r="W210" s="1">
        <f t="shared" si="691"/>
        <v>1.63496528906215</v>
      </c>
      <c r="X210" s="1">
        <f t="shared" si="653"/>
        <v>2.24478554007338</v>
      </c>
      <c r="Y210" s="1">
        <f t="shared" si="654"/>
        <v>4.00561092866958</v>
      </c>
      <c r="Z210" s="1">
        <f t="shared" si="655"/>
        <v>222428.82729161</v>
      </c>
      <c r="AA210" s="1">
        <f t="shared" si="656"/>
        <v>23417.3207735889</v>
      </c>
      <c r="AB210" s="1">
        <f t="shared" si="657"/>
        <v>15611.5471823926</v>
      </c>
      <c r="AC210" s="1">
        <f>AB210/(AB210+战斗公式!$M$27)</f>
        <v>0.394116066976853</v>
      </c>
      <c r="AD210" s="1">
        <f t="shared" si="658"/>
        <v>367114.582791079</v>
      </c>
      <c r="AE210" s="1">
        <f t="shared" si="659"/>
        <v>6.98376432265634</v>
      </c>
      <c r="AF210" s="1">
        <f t="shared" si="660"/>
        <v>3.91377331596862</v>
      </c>
      <c r="AG210" s="1">
        <f t="shared" si="661"/>
        <v>4.17318199384624</v>
      </c>
      <c r="AH210" s="1">
        <f t="shared" si="662"/>
        <v>0.867531873525759</v>
      </c>
      <c r="AI210" s="1">
        <f t="shared" si="663"/>
        <v>1.00004466543849</v>
      </c>
      <c r="AJ210" s="1">
        <f t="shared" si="664"/>
        <v>1.01461764073368</v>
      </c>
      <c r="AK210" s="1">
        <f t="shared" si="665"/>
        <v>1</v>
      </c>
      <c r="AL210" s="10">
        <f t="shared" si="666"/>
        <v>237172</v>
      </c>
      <c r="AM210" s="10">
        <f t="shared" si="667"/>
        <v>20315</v>
      </c>
      <c r="AN210" s="10">
        <f t="shared" si="668"/>
        <v>15612</v>
      </c>
      <c r="AO210" s="1">
        <f t="shared" si="669"/>
        <v>134856</v>
      </c>
      <c r="AP210" s="1">
        <f t="shared" si="670"/>
        <v>20315</v>
      </c>
      <c r="AR210" s="1">
        <f t="shared" ref="AR210:AX210" si="692">ROUNDUP(AR$10*$AO210,0)</f>
        <v>134856</v>
      </c>
      <c r="AS210" s="1">
        <f t="shared" si="692"/>
        <v>404568</v>
      </c>
      <c r="AT210" s="1">
        <f t="shared" si="692"/>
        <v>242741</v>
      </c>
      <c r="AU210" s="1">
        <f t="shared" si="692"/>
        <v>67428</v>
      </c>
      <c r="AV210" s="1">
        <f t="shared" si="692"/>
        <v>20229</v>
      </c>
      <c r="AW210" s="1">
        <f t="shared" si="692"/>
        <v>539424</v>
      </c>
      <c r="AX210" s="1">
        <f t="shared" si="692"/>
        <v>1213704</v>
      </c>
      <c r="AY210" s="1">
        <f t="shared" si="672"/>
        <v>14230956</v>
      </c>
      <c r="AZ210" s="1">
        <f t="shared" si="673"/>
        <v>7115478</v>
      </c>
      <c r="BB210" s="1">
        <f t="shared" si="674"/>
        <v>199</v>
      </c>
    </row>
    <row r="211" spans="2:54">
      <c r="B211" s="4">
        <v>200</v>
      </c>
      <c r="C211" s="1">
        <f t="shared" ref="C211:I211" si="693">C$5+(C$6-C$5)*(POWER(C$7,$B211-1)-1)/(POWER(C$7,$B$3-1)-1)</f>
        <v>15802.3581908665</v>
      </c>
      <c r="D211" s="1">
        <f t="shared" si="693"/>
        <v>4740.70745725996</v>
      </c>
      <c r="E211" s="1">
        <f t="shared" si="693"/>
        <v>3160.47163817331</v>
      </c>
      <c r="F211" s="1">
        <f t="shared" si="693"/>
        <v>40005.9701034596</v>
      </c>
      <c r="G211" s="1">
        <f t="shared" si="693"/>
        <v>12001.7910310379</v>
      </c>
      <c r="H211" s="1">
        <f t="shared" si="693"/>
        <v>8001.19402069192</v>
      </c>
      <c r="I211" s="1">
        <f t="shared" si="693"/>
        <v>0</v>
      </c>
      <c r="J211" s="1">
        <f>标准模型!$I$65/1*$B211/$B$3</f>
        <v>1.44</v>
      </c>
      <c r="K211" s="1">
        <f>J211*标准模型!$J$63</f>
        <v>1.44</v>
      </c>
      <c r="L211" s="1">
        <f t="shared" si="649"/>
        <v>55808.3282943261</v>
      </c>
      <c r="M211" s="1">
        <f t="shared" si="650"/>
        <v>23569.1172267522</v>
      </c>
      <c r="N211" s="1">
        <f t="shared" si="651"/>
        <v>15712.7448178348</v>
      </c>
      <c r="O211" s="1">
        <f t="shared" ref="O211:W211" si="694">O$5+(O$6-O$5)*(POWER(O$7,$B211-1)-1)/(POWER(O$7,$B$3-1)-1)</f>
        <v>0.699428707933164</v>
      </c>
      <c r="P211" s="1">
        <f t="shared" si="694"/>
        <v>0.124940169073907</v>
      </c>
      <c r="Q211" s="1">
        <f t="shared" si="694"/>
        <v>0.38468578936324</v>
      </c>
      <c r="R211" s="1">
        <f t="shared" si="694"/>
        <v>1.07977148317327</v>
      </c>
      <c r="S211" s="1">
        <f t="shared" si="694"/>
        <v>0.309257320313113</v>
      </c>
      <c r="T211" s="1">
        <f t="shared" si="694"/>
        <v>2.77777196093934</v>
      </c>
      <c r="U211" s="1">
        <f t="shared" si="694"/>
        <v>1</v>
      </c>
      <c r="V211" s="1">
        <f t="shared" si="694"/>
        <v>1.21749660796813</v>
      </c>
      <c r="W211" s="1">
        <f t="shared" si="694"/>
        <v>1.63817186538613</v>
      </c>
      <c r="X211" s="1">
        <f t="shared" si="653"/>
        <v>2.25988050486954</v>
      </c>
      <c r="Y211" s="1">
        <f t="shared" si="654"/>
        <v>4.03531633982671</v>
      </c>
      <c r="Z211" s="1">
        <f t="shared" si="655"/>
        <v>225204.259064508</v>
      </c>
      <c r="AA211" s="1">
        <f t="shared" si="656"/>
        <v>23569.1172267522</v>
      </c>
      <c r="AB211" s="1">
        <f t="shared" si="657"/>
        <v>15712.7448178348</v>
      </c>
      <c r="AC211" s="1">
        <f>AB211/(AB211+战斗公式!$M$27)</f>
        <v>0.395660005117004</v>
      </c>
      <c r="AD211" s="1">
        <f t="shared" si="658"/>
        <v>372644.969671598</v>
      </c>
      <c r="AE211" s="1">
        <f t="shared" si="659"/>
        <v>6.99626854209029</v>
      </c>
      <c r="AF211" s="1">
        <f t="shared" si="660"/>
        <v>3.91808957554511</v>
      </c>
      <c r="AG211" s="1">
        <f t="shared" si="661"/>
        <v>4.18010078312344</v>
      </c>
      <c r="AH211" s="1">
        <f t="shared" si="662"/>
        <v>0.871005915814781</v>
      </c>
      <c r="AI211" s="1">
        <f t="shared" si="663"/>
        <v>1.00004243216613</v>
      </c>
      <c r="AJ211" s="1">
        <f t="shared" si="664"/>
        <v>1.01432461811161</v>
      </c>
      <c r="AK211" s="1">
        <f t="shared" si="665"/>
        <v>1</v>
      </c>
      <c r="AL211" s="10">
        <f t="shared" si="666"/>
        <v>240264</v>
      </c>
      <c r="AM211" s="10">
        <f t="shared" si="667"/>
        <v>20529</v>
      </c>
      <c r="AN211" s="10">
        <f t="shared" si="668"/>
        <v>15713</v>
      </c>
      <c r="AO211" s="1">
        <f t="shared" si="669"/>
        <v>136482</v>
      </c>
      <c r="AP211" s="1">
        <f t="shared" si="670"/>
        <v>20529</v>
      </c>
      <c r="AR211" s="1">
        <f t="shared" ref="AR211:AX211" si="695">ROUNDUP(AR$10*$AO211,0)</f>
        <v>136482</v>
      </c>
      <c r="AS211" s="1">
        <f t="shared" si="695"/>
        <v>409446</v>
      </c>
      <c r="AT211" s="1">
        <f t="shared" si="695"/>
        <v>245668</v>
      </c>
      <c r="AU211" s="1">
        <f t="shared" si="695"/>
        <v>68241</v>
      </c>
      <c r="AV211" s="1">
        <f t="shared" si="695"/>
        <v>20473</v>
      </c>
      <c r="AW211" s="1">
        <f t="shared" si="695"/>
        <v>545928</v>
      </c>
      <c r="AX211" s="1">
        <f t="shared" si="695"/>
        <v>1228338</v>
      </c>
      <c r="AY211" s="1">
        <f t="shared" si="672"/>
        <v>14416452</v>
      </c>
      <c r="AZ211" s="1">
        <f t="shared" si="673"/>
        <v>7208226</v>
      </c>
      <c r="BB211" s="1">
        <f t="shared" si="674"/>
        <v>200</v>
      </c>
    </row>
    <row r="212" spans="2:54">
      <c r="B212" s="4">
        <v>201</v>
      </c>
      <c r="C212" s="1">
        <f t="shared" ref="C212:I212" si="696">C$5+(C$6-C$5)*(POWER(C$7,$B212-1)-1)/(POWER(C$7,$B$3-1)-1)</f>
        <v>15881.3621401407</v>
      </c>
      <c r="D212" s="1">
        <f t="shared" si="696"/>
        <v>4764.40864204221</v>
      </c>
      <c r="E212" s="1">
        <f t="shared" si="696"/>
        <v>3176.27242802814</v>
      </c>
      <c r="F212" s="1">
        <f t="shared" si="696"/>
        <v>40205.980101622</v>
      </c>
      <c r="G212" s="1">
        <f t="shared" si="696"/>
        <v>12061.7940304866</v>
      </c>
      <c r="H212" s="1">
        <f t="shared" si="696"/>
        <v>8041.1960203244</v>
      </c>
      <c r="I212" s="1">
        <f t="shared" si="696"/>
        <v>0</v>
      </c>
      <c r="J212" s="1">
        <f>标准模型!$I$65/1*$B212/$B$3</f>
        <v>1.4472</v>
      </c>
      <c r="K212" s="1">
        <f>J212*标准模型!$J$63</f>
        <v>1.4472</v>
      </c>
      <c r="L212" s="1">
        <f t="shared" si="649"/>
        <v>56087.3422417627</v>
      </c>
      <c r="M212" s="1">
        <f t="shared" si="650"/>
        <v>23721.2548592923</v>
      </c>
      <c r="N212" s="1">
        <f t="shared" si="651"/>
        <v>15814.1699061949</v>
      </c>
      <c r="O212" s="1">
        <f t="shared" ref="O212:W212" si="697">O$5+(O$6-O$5)*(POWER(O$7,$B212-1)-1)/(POWER(O$7,$B$3-1)-1)</f>
        <v>0.700430762032174</v>
      </c>
      <c r="P212" s="1">
        <f t="shared" si="697"/>
        <v>0.125666836453048</v>
      </c>
      <c r="Q212" s="1">
        <f t="shared" si="697"/>
        <v>0.385236919117696</v>
      </c>
      <c r="R212" s="1">
        <f t="shared" si="697"/>
        <v>1.08017230481287</v>
      </c>
      <c r="S212" s="1">
        <f t="shared" si="697"/>
        <v>0.310559990641827</v>
      </c>
      <c r="T212" s="1">
        <f t="shared" si="697"/>
        <v>2.78167997192548</v>
      </c>
      <c r="U212" s="1">
        <f t="shared" si="697"/>
        <v>1</v>
      </c>
      <c r="V212" s="1">
        <f t="shared" si="697"/>
        <v>1.2185894464556</v>
      </c>
      <c r="W212" s="1">
        <f t="shared" si="697"/>
        <v>1.64137843850296</v>
      </c>
      <c r="X212" s="1">
        <f t="shared" si="653"/>
        <v>2.27506411746956</v>
      </c>
      <c r="Y212" s="1">
        <f t="shared" si="654"/>
        <v>4.06521750100779</v>
      </c>
      <c r="Z212" s="1">
        <f t="shared" si="655"/>
        <v>228007.245266227</v>
      </c>
      <c r="AA212" s="1">
        <f t="shared" si="656"/>
        <v>23721.2548592923</v>
      </c>
      <c r="AB212" s="1">
        <f t="shared" si="657"/>
        <v>15814.1699061949</v>
      </c>
      <c r="AC212" s="1">
        <f>AB212/(AB212+战斗公式!$M$27)</f>
        <v>0.397199538341606</v>
      </c>
      <c r="AD212" s="1">
        <f t="shared" si="658"/>
        <v>378246.633453042</v>
      </c>
      <c r="AE212" s="1">
        <f t="shared" si="659"/>
        <v>7.008801672943</v>
      </c>
      <c r="AF212" s="1">
        <f t="shared" si="660"/>
        <v>3.92241575970295</v>
      </c>
      <c r="AG212" s="1">
        <f t="shared" si="661"/>
        <v>4.18696768148107</v>
      </c>
      <c r="AH212" s="1">
        <f t="shared" si="662"/>
        <v>0.874486906188381</v>
      </c>
      <c r="AI212" s="1">
        <f t="shared" si="663"/>
        <v>1.00004031055738</v>
      </c>
      <c r="AJ212" s="1">
        <f t="shared" si="664"/>
        <v>1.01403745594199</v>
      </c>
      <c r="AK212" s="1">
        <f t="shared" si="665"/>
        <v>1</v>
      </c>
      <c r="AL212" s="10">
        <f t="shared" si="666"/>
        <v>243385</v>
      </c>
      <c r="AM212" s="10">
        <f t="shared" si="667"/>
        <v>20744</v>
      </c>
      <c r="AN212" s="10">
        <f t="shared" si="668"/>
        <v>15814</v>
      </c>
      <c r="AO212" s="1">
        <f t="shared" si="669"/>
        <v>138121</v>
      </c>
      <c r="AP212" s="1">
        <f t="shared" si="670"/>
        <v>20744</v>
      </c>
      <c r="AR212" s="1">
        <f t="shared" ref="AR212:AX212" si="698">ROUNDUP(AR$10*$AO212,0)</f>
        <v>138121</v>
      </c>
      <c r="AS212" s="1">
        <f t="shared" si="698"/>
        <v>414363</v>
      </c>
      <c r="AT212" s="1">
        <f t="shared" si="698"/>
        <v>248618</v>
      </c>
      <c r="AU212" s="1">
        <f t="shared" si="698"/>
        <v>69061</v>
      </c>
      <c r="AV212" s="1">
        <f t="shared" si="698"/>
        <v>20719</v>
      </c>
      <c r="AW212" s="1">
        <f t="shared" si="698"/>
        <v>552484</v>
      </c>
      <c r="AX212" s="1">
        <f t="shared" si="698"/>
        <v>1243089</v>
      </c>
      <c r="AY212" s="1">
        <f t="shared" si="672"/>
        <v>14603689</v>
      </c>
      <c r="AZ212" s="1">
        <f t="shared" si="673"/>
        <v>7301844</v>
      </c>
      <c r="BB212" s="1">
        <f t="shared" si="674"/>
        <v>201</v>
      </c>
    </row>
    <row r="213" spans="2:54">
      <c r="B213" s="4">
        <v>202</v>
      </c>
      <c r="C213" s="1">
        <f t="shared" ref="C213:I213" si="699">C$5+(C$6-C$5)*(POWER(C$7,$B213-1)-1)/(POWER(C$7,$B$3-1)-1)</f>
        <v>15960.3660104232</v>
      </c>
      <c r="D213" s="1">
        <f t="shared" si="699"/>
        <v>4788.10980312697</v>
      </c>
      <c r="E213" s="1">
        <f t="shared" si="699"/>
        <v>3192.07320208465</v>
      </c>
      <c r="F213" s="1">
        <f t="shared" si="699"/>
        <v>40405.9898998056</v>
      </c>
      <c r="G213" s="1">
        <f t="shared" si="699"/>
        <v>12121.7969699417</v>
      </c>
      <c r="H213" s="1">
        <f t="shared" si="699"/>
        <v>8081.19797996113</v>
      </c>
      <c r="I213" s="1">
        <f t="shared" si="699"/>
        <v>0</v>
      </c>
      <c r="J213" s="1">
        <f>标准模型!$I$65/1*$B213/$B$3</f>
        <v>1.4544</v>
      </c>
      <c r="K213" s="1">
        <f>J213*标准模型!$J$63</f>
        <v>1.4544</v>
      </c>
      <c r="L213" s="1">
        <f t="shared" si="649"/>
        <v>56366.3559102288</v>
      </c>
      <c r="M213" s="1">
        <f t="shared" si="650"/>
        <v>23873.7336707365</v>
      </c>
      <c r="N213" s="1">
        <f t="shared" si="651"/>
        <v>15915.8224471577</v>
      </c>
      <c r="O213" s="1">
        <f t="shared" ref="O213:W213" si="700">O$5+(O$6-O$5)*(POWER(O$7,$B213-1)-1)/(POWER(O$7,$B$3-1)-1)</f>
        <v>0.701432815129287</v>
      </c>
      <c r="P213" s="1">
        <f t="shared" si="700"/>
        <v>0.126394593833257</v>
      </c>
      <c r="Q213" s="1">
        <f t="shared" si="700"/>
        <v>0.385788048321108</v>
      </c>
      <c r="R213" s="1">
        <f t="shared" si="700"/>
        <v>1.08057312605171</v>
      </c>
      <c r="S213" s="1">
        <f t="shared" si="700"/>
        <v>0.311862659668073</v>
      </c>
      <c r="T213" s="1">
        <f t="shared" si="700"/>
        <v>2.78558797900422</v>
      </c>
      <c r="U213" s="1">
        <f t="shared" si="700"/>
        <v>1</v>
      </c>
      <c r="V213" s="1">
        <f t="shared" si="700"/>
        <v>1.2196822838504</v>
      </c>
      <c r="W213" s="1">
        <f t="shared" si="700"/>
        <v>1.64458500841372</v>
      </c>
      <c r="X213" s="1">
        <f t="shared" si="653"/>
        <v>2.29033681480221</v>
      </c>
      <c r="Y213" s="1">
        <f t="shared" si="654"/>
        <v>4.09531552043331</v>
      </c>
      <c r="Z213" s="1">
        <f t="shared" si="655"/>
        <v>230838.012189428</v>
      </c>
      <c r="AA213" s="1">
        <f t="shared" si="656"/>
        <v>23873.7336707365</v>
      </c>
      <c r="AB213" s="1">
        <f t="shared" si="657"/>
        <v>15915.8224471577</v>
      </c>
      <c r="AC213" s="1">
        <f>AB213/(AB213+战斗公式!$M$27)</f>
        <v>0.398734673906012</v>
      </c>
      <c r="AD213" s="1">
        <f t="shared" si="658"/>
        <v>383920.379525334</v>
      </c>
      <c r="AE213" s="1">
        <f t="shared" si="659"/>
        <v>7.02136366650886</v>
      </c>
      <c r="AF213" s="1">
        <f t="shared" si="660"/>
        <v>3.92675182541696</v>
      </c>
      <c r="AG213" s="1">
        <f t="shared" si="661"/>
        <v>4.19378307810101</v>
      </c>
      <c r="AH213" s="1">
        <f t="shared" si="662"/>
        <v>0.877974858542728</v>
      </c>
      <c r="AI213" s="1">
        <f t="shared" si="663"/>
        <v>1.00003829502907</v>
      </c>
      <c r="AJ213" s="1">
        <f t="shared" si="664"/>
        <v>1.01375603701576</v>
      </c>
      <c r="AK213" s="1">
        <f t="shared" si="665"/>
        <v>1</v>
      </c>
      <c r="AL213" s="10">
        <f t="shared" si="666"/>
        <v>246536</v>
      </c>
      <c r="AM213" s="10">
        <f t="shared" si="667"/>
        <v>20961</v>
      </c>
      <c r="AN213" s="10">
        <f t="shared" si="668"/>
        <v>15916</v>
      </c>
      <c r="AO213" s="1">
        <f t="shared" si="669"/>
        <v>139774</v>
      </c>
      <c r="AP213" s="1">
        <f t="shared" si="670"/>
        <v>20961</v>
      </c>
      <c r="AR213" s="1">
        <f t="shared" ref="AR213:AX213" si="701">ROUNDUP(AR$10*$AO213,0)</f>
        <v>139774</v>
      </c>
      <c r="AS213" s="1">
        <f t="shared" si="701"/>
        <v>419322</v>
      </c>
      <c r="AT213" s="1">
        <f t="shared" si="701"/>
        <v>251594</v>
      </c>
      <c r="AU213" s="1">
        <f t="shared" si="701"/>
        <v>69887</v>
      </c>
      <c r="AV213" s="1">
        <f t="shared" si="701"/>
        <v>20967</v>
      </c>
      <c r="AW213" s="1">
        <f t="shared" si="701"/>
        <v>559096</v>
      </c>
      <c r="AX213" s="1">
        <f t="shared" si="701"/>
        <v>1257966</v>
      </c>
      <c r="AY213" s="1">
        <f t="shared" si="672"/>
        <v>14792726</v>
      </c>
      <c r="AZ213" s="1">
        <f t="shared" si="673"/>
        <v>7396363</v>
      </c>
      <c r="BB213" s="1">
        <f t="shared" si="674"/>
        <v>202</v>
      </c>
    </row>
    <row r="214" spans="2:54">
      <c r="B214" s="4">
        <v>203</v>
      </c>
      <c r="C214" s="1">
        <f t="shared" ref="C214:I214" si="702">C$5+(C$6-C$5)*(POWER(C$7,$B214-1)-1)/(POWER(C$7,$B$3-1)-1)</f>
        <v>16039.3698016966</v>
      </c>
      <c r="D214" s="1">
        <f t="shared" si="702"/>
        <v>4811.81094050899</v>
      </c>
      <c r="E214" s="1">
        <f t="shared" si="702"/>
        <v>3207.87396033932</v>
      </c>
      <c r="F214" s="1">
        <f t="shared" si="702"/>
        <v>40605.9994979661</v>
      </c>
      <c r="G214" s="1">
        <f t="shared" si="702"/>
        <v>12181.7998493898</v>
      </c>
      <c r="H214" s="1">
        <f t="shared" si="702"/>
        <v>8121.19989959323</v>
      </c>
      <c r="I214" s="1">
        <f t="shared" si="702"/>
        <v>0</v>
      </c>
      <c r="J214" s="1">
        <f>标准模型!$I$65/1*$B214/$B$3</f>
        <v>1.4616</v>
      </c>
      <c r="K214" s="1">
        <f>J214*标准模型!$J$63</f>
        <v>1.4616</v>
      </c>
      <c r="L214" s="1">
        <f t="shared" si="649"/>
        <v>56645.3692996627</v>
      </c>
      <c r="M214" s="1">
        <f t="shared" si="650"/>
        <v>24026.5536605468</v>
      </c>
      <c r="N214" s="1">
        <f t="shared" si="651"/>
        <v>16017.7024403645</v>
      </c>
      <c r="O214" s="1">
        <f t="shared" ref="O214:W214" si="703">O$5+(O$6-O$5)*(POWER(O$7,$B214-1)-1)/(POWER(O$7,$B$3-1)-1)</f>
        <v>0.702434867224279</v>
      </c>
      <c r="P214" s="1">
        <f t="shared" si="703"/>
        <v>0.127123442849536</v>
      </c>
      <c r="Q214" s="1">
        <f t="shared" si="703"/>
        <v>0.386339176973354</v>
      </c>
      <c r="R214" s="1">
        <f t="shared" si="703"/>
        <v>1.08097394688971</v>
      </c>
      <c r="S214" s="1">
        <f t="shared" si="703"/>
        <v>0.313165327391563</v>
      </c>
      <c r="T214" s="1">
        <f t="shared" si="703"/>
        <v>2.78949598217469</v>
      </c>
      <c r="U214" s="1">
        <f t="shared" si="703"/>
        <v>1</v>
      </c>
      <c r="V214" s="1">
        <f t="shared" si="703"/>
        <v>1.22077512015229</v>
      </c>
      <c r="W214" s="1">
        <f t="shared" si="703"/>
        <v>1.64779157511769</v>
      </c>
      <c r="X214" s="1">
        <f t="shared" si="653"/>
        <v>2.30569903540009</v>
      </c>
      <c r="Y214" s="1">
        <f t="shared" si="654"/>
        <v>4.12561151129589</v>
      </c>
      <c r="Z214" s="1">
        <f t="shared" si="655"/>
        <v>233696.787644295</v>
      </c>
      <c r="AA214" s="1">
        <f t="shared" si="656"/>
        <v>24026.5536605468</v>
      </c>
      <c r="AB214" s="1">
        <f t="shared" si="657"/>
        <v>16017.7024403645</v>
      </c>
      <c r="AC214" s="1">
        <f>AB214/(AB214+战斗公式!$M$27)</f>
        <v>0.400265419141305</v>
      </c>
      <c r="AD214" s="1">
        <f t="shared" si="658"/>
        <v>389667.021217436</v>
      </c>
      <c r="AE214" s="1">
        <f t="shared" si="659"/>
        <v>7.03395447433771</v>
      </c>
      <c r="AF214" s="1">
        <f t="shared" si="660"/>
        <v>3.93109772990582</v>
      </c>
      <c r="AG214" s="1">
        <f t="shared" si="661"/>
        <v>4.20054735924631</v>
      </c>
      <c r="AH214" s="1">
        <f t="shared" si="662"/>
        <v>0.881469786801783</v>
      </c>
      <c r="AI214" s="1">
        <f t="shared" si="663"/>
        <v>1.00003638027718</v>
      </c>
      <c r="AJ214" s="1">
        <f t="shared" si="664"/>
        <v>1.01348024646806</v>
      </c>
      <c r="AK214" s="1">
        <f t="shared" si="665"/>
        <v>1</v>
      </c>
      <c r="AL214" s="10">
        <f t="shared" si="666"/>
        <v>249715</v>
      </c>
      <c r="AM214" s="10">
        <f t="shared" si="667"/>
        <v>21179</v>
      </c>
      <c r="AN214" s="10">
        <f t="shared" si="668"/>
        <v>16018</v>
      </c>
      <c r="AO214" s="1">
        <f t="shared" si="669"/>
        <v>141441</v>
      </c>
      <c r="AP214" s="1">
        <f t="shared" si="670"/>
        <v>21179</v>
      </c>
      <c r="AR214" s="1">
        <f t="shared" ref="AR214:AX214" si="704">ROUNDUP(AR$10*$AO214,0)</f>
        <v>141441</v>
      </c>
      <c r="AS214" s="1">
        <f t="shared" si="704"/>
        <v>424323</v>
      </c>
      <c r="AT214" s="1">
        <f t="shared" si="704"/>
        <v>254594</v>
      </c>
      <c r="AU214" s="1">
        <f t="shared" si="704"/>
        <v>70721</v>
      </c>
      <c r="AV214" s="1">
        <f t="shared" si="704"/>
        <v>21217</v>
      </c>
      <c r="AW214" s="1">
        <f t="shared" si="704"/>
        <v>565764</v>
      </c>
      <c r="AX214" s="1">
        <f t="shared" si="704"/>
        <v>1272969</v>
      </c>
      <c r="AY214" s="1">
        <f t="shared" si="672"/>
        <v>14983445</v>
      </c>
      <c r="AZ214" s="1">
        <f t="shared" si="673"/>
        <v>7491723</v>
      </c>
      <c r="BB214" s="1">
        <f t="shared" si="674"/>
        <v>203</v>
      </c>
    </row>
    <row r="215" spans="2:54">
      <c r="B215" s="4">
        <v>204</v>
      </c>
      <c r="C215" s="1">
        <f t="shared" ref="C215:I215" si="705">C$5+(C$6-C$5)*(POWER(C$7,$B215-1)-1)/(POWER(C$7,$B$3-1)-1)</f>
        <v>16118.3735139609</v>
      </c>
      <c r="D215" s="1">
        <f t="shared" si="705"/>
        <v>4835.51205418826</v>
      </c>
      <c r="E215" s="1">
        <f t="shared" si="705"/>
        <v>3223.67470279217</v>
      </c>
      <c r="F215" s="1">
        <f t="shared" si="705"/>
        <v>40806.0088961034</v>
      </c>
      <c r="G215" s="1">
        <f t="shared" si="705"/>
        <v>12241.802668831</v>
      </c>
      <c r="H215" s="1">
        <f t="shared" si="705"/>
        <v>8161.20177922069</v>
      </c>
      <c r="I215" s="1">
        <f t="shared" si="705"/>
        <v>0</v>
      </c>
      <c r="J215" s="1">
        <f>标准模型!$I$65/1*$B215/$B$3</f>
        <v>1.4688</v>
      </c>
      <c r="K215" s="1">
        <f>J215*标准模型!$J$63</f>
        <v>1.4688</v>
      </c>
      <c r="L215" s="1">
        <f t="shared" si="649"/>
        <v>56924.3824100643</v>
      </c>
      <c r="M215" s="1">
        <f t="shared" si="650"/>
        <v>24179.714828211</v>
      </c>
      <c r="N215" s="1">
        <f t="shared" si="651"/>
        <v>16119.809885474</v>
      </c>
      <c r="O215" s="1">
        <f t="shared" ref="O215:W215" si="706">O$5+(O$6-O$5)*(POWER(O$7,$B215-1)-1)/(POWER(O$7,$B$3-1)-1)</f>
        <v>0.703436918317151</v>
      </c>
      <c r="P215" s="1">
        <f t="shared" si="706"/>
        <v>0.12785338513934</v>
      </c>
      <c r="Q215" s="1">
        <f t="shared" si="706"/>
        <v>0.386890305074433</v>
      </c>
      <c r="R215" s="1">
        <f t="shared" si="706"/>
        <v>1.08137476732686</v>
      </c>
      <c r="S215" s="1">
        <f t="shared" si="706"/>
        <v>0.314467993812297</v>
      </c>
      <c r="T215" s="1">
        <f t="shared" si="706"/>
        <v>2.79340398143689</v>
      </c>
      <c r="U215" s="1">
        <f t="shared" si="706"/>
        <v>1</v>
      </c>
      <c r="V215" s="1">
        <f t="shared" si="706"/>
        <v>1.22186795536127</v>
      </c>
      <c r="W215" s="1">
        <f t="shared" si="706"/>
        <v>1.65099813861488</v>
      </c>
      <c r="X215" s="1">
        <f t="shared" si="653"/>
        <v>2.32115121941386</v>
      </c>
      <c r="Y215" s="1">
        <f t="shared" si="654"/>
        <v>4.15610659179816</v>
      </c>
      <c r="Z215" s="1">
        <f t="shared" si="655"/>
        <v>236583.800968507</v>
      </c>
      <c r="AA215" s="1">
        <f t="shared" si="656"/>
        <v>24179.714828211</v>
      </c>
      <c r="AB215" s="1">
        <f t="shared" si="657"/>
        <v>16119.809885474</v>
      </c>
      <c r="AC215" s="1">
        <f>AB215/(AB215+战斗公式!$M$27)</f>
        <v>0.401791781453841</v>
      </c>
      <c r="AD215" s="1">
        <f t="shared" si="658"/>
        <v>395487.379868306</v>
      </c>
      <c r="AE215" s="1">
        <f t="shared" si="659"/>
        <v>7.04657404824867</v>
      </c>
      <c r="AF215" s="1">
        <f t="shared" si="660"/>
        <v>3.93545343063635</v>
      </c>
      <c r="AG215" s="1">
        <f t="shared" si="661"/>
        <v>4.20726090828301</v>
      </c>
      <c r="AH215" s="1">
        <f t="shared" si="662"/>
        <v>0.884971704917357</v>
      </c>
      <c r="AI215" s="1">
        <f t="shared" si="663"/>
        <v>1.00003456126288</v>
      </c>
      <c r="AJ215" s="1">
        <f t="shared" si="664"/>
        <v>1.01320997173131</v>
      </c>
      <c r="AK215" s="1">
        <f t="shared" si="665"/>
        <v>1</v>
      </c>
      <c r="AL215" s="10">
        <f t="shared" si="666"/>
        <v>252924</v>
      </c>
      <c r="AM215" s="10">
        <f t="shared" si="667"/>
        <v>21398</v>
      </c>
      <c r="AN215" s="10">
        <f t="shared" si="668"/>
        <v>16120</v>
      </c>
      <c r="AO215" s="1">
        <f t="shared" si="669"/>
        <v>143122</v>
      </c>
      <c r="AP215" s="1">
        <f t="shared" si="670"/>
        <v>21398</v>
      </c>
      <c r="AR215" s="1">
        <f t="shared" ref="AR215:AX215" si="707">ROUNDUP(AR$10*$AO215,0)</f>
        <v>143122</v>
      </c>
      <c r="AS215" s="1">
        <f t="shared" si="707"/>
        <v>429366</v>
      </c>
      <c r="AT215" s="1">
        <f t="shared" si="707"/>
        <v>257620</v>
      </c>
      <c r="AU215" s="1">
        <f t="shared" si="707"/>
        <v>71561</v>
      </c>
      <c r="AV215" s="1">
        <f t="shared" si="707"/>
        <v>21469</v>
      </c>
      <c r="AW215" s="1">
        <f t="shared" si="707"/>
        <v>572488</v>
      </c>
      <c r="AX215" s="1">
        <f t="shared" si="707"/>
        <v>1288098</v>
      </c>
      <c r="AY215" s="1">
        <f t="shared" si="672"/>
        <v>15175964</v>
      </c>
      <c r="AZ215" s="1">
        <f t="shared" si="673"/>
        <v>7587982</v>
      </c>
      <c r="BB215" s="1">
        <f t="shared" si="674"/>
        <v>204</v>
      </c>
    </row>
    <row r="216" spans="2:54">
      <c r="B216" s="4">
        <v>205</v>
      </c>
      <c r="C216" s="1">
        <f t="shared" ref="C216:I216" si="708">C$5+(C$6-C$5)*(POWER(C$7,$B216-1)-1)/(POWER(C$7,$B$3-1)-1)</f>
        <v>16197.3771472247</v>
      </c>
      <c r="D216" s="1">
        <f t="shared" si="708"/>
        <v>4859.21314416742</v>
      </c>
      <c r="E216" s="1">
        <f t="shared" si="708"/>
        <v>3239.47542944494</v>
      </c>
      <c r="F216" s="1">
        <f t="shared" si="708"/>
        <v>41006.0180942398</v>
      </c>
      <c r="G216" s="1">
        <f t="shared" si="708"/>
        <v>12301.8054282719</v>
      </c>
      <c r="H216" s="1">
        <f t="shared" si="708"/>
        <v>8201.20361884796</v>
      </c>
      <c r="I216" s="1">
        <f t="shared" si="708"/>
        <v>0</v>
      </c>
      <c r="J216" s="1">
        <f>标准模型!$I$65/1*$B216/$B$3</f>
        <v>1.476</v>
      </c>
      <c r="K216" s="1">
        <f>J216*标准模型!$J$63</f>
        <v>1.476</v>
      </c>
      <c r="L216" s="1">
        <f t="shared" si="649"/>
        <v>57203.3952414645</v>
      </c>
      <c r="M216" s="1">
        <f t="shared" si="650"/>
        <v>24333.2171732305</v>
      </c>
      <c r="N216" s="1">
        <f t="shared" si="651"/>
        <v>16222.1447821536</v>
      </c>
      <c r="O216" s="1">
        <f t="shared" ref="O216:W216" si="709">O$5+(O$6-O$5)*(POWER(O$7,$B216-1)-1)/(POWER(O$7,$B$3-1)-1)</f>
        <v>0.704438968408015</v>
      </c>
      <c r="P216" s="1">
        <f t="shared" si="709"/>
        <v>0.128584422342579</v>
      </c>
      <c r="Q216" s="1">
        <f t="shared" si="709"/>
        <v>0.387441432624408</v>
      </c>
      <c r="R216" s="1">
        <f t="shared" si="709"/>
        <v>1.08177558736321</v>
      </c>
      <c r="S216" s="1">
        <f t="shared" si="709"/>
        <v>0.31577065893042</v>
      </c>
      <c r="T216" s="1">
        <f t="shared" si="709"/>
        <v>2.79731197679126</v>
      </c>
      <c r="U216" s="1">
        <f t="shared" si="709"/>
        <v>1</v>
      </c>
      <c r="V216" s="1">
        <f t="shared" si="709"/>
        <v>1.22296078947746</v>
      </c>
      <c r="W216" s="1">
        <f t="shared" si="709"/>
        <v>1.65420469890565</v>
      </c>
      <c r="X216" s="1">
        <f t="shared" si="653"/>
        <v>2.33669380861485</v>
      </c>
      <c r="Y216" s="1">
        <f t="shared" si="654"/>
        <v>4.18680188516614</v>
      </c>
      <c r="Z216" s="1">
        <f t="shared" si="655"/>
        <v>239499.283034867</v>
      </c>
      <c r="AA216" s="1">
        <f t="shared" si="656"/>
        <v>24333.2171732305</v>
      </c>
      <c r="AB216" s="1">
        <f t="shared" si="657"/>
        <v>16222.1447821536</v>
      </c>
      <c r="AC216" s="1">
        <f>AB216/(AB216+战斗公式!$M$27)</f>
        <v>0.403313768323745</v>
      </c>
      <c r="AD216" s="1">
        <f t="shared" si="658"/>
        <v>401382.284893768</v>
      </c>
      <c r="AE216" s="1">
        <f t="shared" si="659"/>
        <v>7.05922234032553</v>
      </c>
      <c r="AF216" s="1">
        <f t="shared" si="660"/>
        <v>3.9398188853208</v>
      </c>
      <c r="AG216" s="1">
        <f t="shared" si="661"/>
        <v>4.21392410570194</v>
      </c>
      <c r="AH216" s="1">
        <f t="shared" si="662"/>
        <v>0.888480626869162</v>
      </c>
      <c r="AI216" s="1">
        <f t="shared" si="663"/>
        <v>1.00003283319929</v>
      </c>
      <c r="AJ216" s="1">
        <f t="shared" si="664"/>
        <v>1.0129451024893</v>
      </c>
      <c r="AK216" s="1">
        <f t="shared" si="665"/>
        <v>1</v>
      </c>
      <c r="AL216" s="10">
        <f t="shared" si="666"/>
        <v>256162</v>
      </c>
      <c r="AM216" s="10">
        <f t="shared" si="667"/>
        <v>21620</v>
      </c>
      <c r="AN216" s="10">
        <f t="shared" si="668"/>
        <v>16222</v>
      </c>
      <c r="AO216" s="1">
        <f t="shared" si="669"/>
        <v>144817</v>
      </c>
      <c r="AP216" s="1">
        <f t="shared" si="670"/>
        <v>21620</v>
      </c>
      <c r="AR216" s="1">
        <f t="shared" ref="AR216:AX216" si="710">ROUNDUP(AR$10*$AO216,0)</f>
        <v>144817</v>
      </c>
      <c r="AS216" s="1">
        <f t="shared" si="710"/>
        <v>434451</v>
      </c>
      <c r="AT216" s="1">
        <f t="shared" si="710"/>
        <v>260671</v>
      </c>
      <c r="AU216" s="1">
        <f t="shared" si="710"/>
        <v>72409</v>
      </c>
      <c r="AV216" s="1">
        <f t="shared" si="710"/>
        <v>21723</v>
      </c>
      <c r="AW216" s="1">
        <f t="shared" si="710"/>
        <v>579268</v>
      </c>
      <c r="AX216" s="1">
        <f t="shared" si="710"/>
        <v>1303353</v>
      </c>
      <c r="AY216" s="1">
        <f t="shared" si="672"/>
        <v>15370225</v>
      </c>
      <c r="AZ216" s="1">
        <f t="shared" si="673"/>
        <v>7685112</v>
      </c>
      <c r="BB216" s="1">
        <f t="shared" si="674"/>
        <v>205</v>
      </c>
    </row>
    <row r="217" spans="2:54">
      <c r="B217" s="4">
        <v>206</v>
      </c>
      <c r="C217" s="1">
        <f t="shared" ref="C217:I217" si="711">C$5+(C$6-C$5)*(POWER(C$7,$B217-1)-1)/(POWER(C$7,$B$3-1)-1)</f>
        <v>16276.3807014882</v>
      </c>
      <c r="D217" s="1">
        <f t="shared" si="711"/>
        <v>4882.91421044646</v>
      </c>
      <c r="E217" s="1">
        <f t="shared" si="711"/>
        <v>3255.27614029764</v>
      </c>
      <c r="F217" s="1">
        <f t="shared" si="711"/>
        <v>41206.0270923752</v>
      </c>
      <c r="G217" s="1">
        <f t="shared" si="711"/>
        <v>12361.8081277126</v>
      </c>
      <c r="H217" s="1">
        <f t="shared" si="711"/>
        <v>8241.20541847504</v>
      </c>
      <c r="I217" s="1">
        <f t="shared" si="711"/>
        <v>0</v>
      </c>
      <c r="J217" s="1">
        <f>标准模型!$I$65/1*$B217/$B$3</f>
        <v>1.4832</v>
      </c>
      <c r="K217" s="1">
        <f>J217*标准模型!$J$63</f>
        <v>1.4832</v>
      </c>
      <c r="L217" s="1">
        <f t="shared" si="649"/>
        <v>57482.4077938634</v>
      </c>
      <c r="M217" s="1">
        <f t="shared" si="650"/>
        <v>24487.0606950932</v>
      </c>
      <c r="N217" s="1">
        <f t="shared" si="651"/>
        <v>16324.7071300621</v>
      </c>
      <c r="O217" s="1">
        <f t="shared" ref="O217:W217" si="712">O$5+(O$6-O$5)*(POWER(O$7,$B217-1)-1)/(POWER(O$7,$B$3-1)-1)</f>
        <v>0.70544101749687</v>
      </c>
      <c r="P217" s="1">
        <f t="shared" si="712"/>
        <v>0.129316556101622</v>
      </c>
      <c r="Q217" s="1">
        <f t="shared" si="712"/>
        <v>0.387992559623278</v>
      </c>
      <c r="R217" s="1">
        <f t="shared" si="712"/>
        <v>1.08217640699875</v>
      </c>
      <c r="S217" s="1">
        <f t="shared" si="712"/>
        <v>0.317073322745931</v>
      </c>
      <c r="T217" s="1">
        <f t="shared" si="712"/>
        <v>2.80121996823779</v>
      </c>
      <c r="U217" s="1">
        <f t="shared" si="712"/>
        <v>1</v>
      </c>
      <c r="V217" s="1">
        <f t="shared" si="712"/>
        <v>1.22405362250086</v>
      </c>
      <c r="W217" s="1">
        <f t="shared" si="712"/>
        <v>1.65741125598998</v>
      </c>
      <c r="X217" s="1">
        <f t="shared" si="653"/>
        <v>2.35232724639611</v>
      </c>
      <c r="Y217" s="1">
        <f t="shared" si="654"/>
        <v>4.21769851965946</v>
      </c>
      <c r="Z217" s="1">
        <f t="shared" si="655"/>
        <v>242443.466258639</v>
      </c>
      <c r="AA217" s="1">
        <f t="shared" si="656"/>
        <v>24487.0606950932</v>
      </c>
      <c r="AB217" s="1">
        <f t="shared" si="657"/>
        <v>16324.7071300621</v>
      </c>
      <c r="AC217" s="1">
        <f>AB217/(AB217+战斗公式!$M$27)</f>
        <v>0.404831387303295</v>
      </c>
      <c r="AD217" s="1">
        <f t="shared" si="658"/>
        <v>407352.573853196</v>
      </c>
      <c r="AE217" s="1">
        <f t="shared" si="659"/>
        <v>7.07189930291011</v>
      </c>
      <c r="AF217" s="1">
        <f t="shared" si="660"/>
        <v>3.94419405191348</v>
      </c>
      <c r="AG217" s="1">
        <f t="shared" si="661"/>
        <v>4.22053732914023</v>
      </c>
      <c r="AH217" s="1">
        <f t="shared" si="662"/>
        <v>0.891996566664871</v>
      </c>
      <c r="AI217" s="1">
        <f t="shared" si="663"/>
        <v>1.00003119153889</v>
      </c>
      <c r="AJ217" s="1">
        <f t="shared" si="664"/>
        <v>1.01268553063212</v>
      </c>
      <c r="AK217" s="1">
        <f t="shared" si="665"/>
        <v>1</v>
      </c>
      <c r="AL217" s="10">
        <f t="shared" si="666"/>
        <v>259430</v>
      </c>
      <c r="AM217" s="10">
        <f t="shared" si="667"/>
        <v>21842</v>
      </c>
      <c r="AN217" s="10">
        <f t="shared" si="668"/>
        <v>16325</v>
      </c>
      <c r="AO217" s="1">
        <f t="shared" si="669"/>
        <v>146527</v>
      </c>
      <c r="AP217" s="1">
        <f t="shared" si="670"/>
        <v>21842</v>
      </c>
      <c r="AR217" s="1">
        <f t="shared" ref="AR217:AX217" si="713">ROUNDUP(AR$10*$AO217,0)</f>
        <v>146527</v>
      </c>
      <c r="AS217" s="1">
        <f t="shared" si="713"/>
        <v>439581</v>
      </c>
      <c r="AT217" s="1">
        <f t="shared" si="713"/>
        <v>263749</v>
      </c>
      <c r="AU217" s="1">
        <f t="shared" si="713"/>
        <v>73264</v>
      </c>
      <c r="AV217" s="1">
        <f t="shared" si="713"/>
        <v>21980</v>
      </c>
      <c r="AW217" s="1">
        <f t="shared" si="713"/>
        <v>586108</v>
      </c>
      <c r="AX217" s="1">
        <f t="shared" si="713"/>
        <v>1318743</v>
      </c>
      <c r="AY217" s="1">
        <f t="shared" si="672"/>
        <v>15566286</v>
      </c>
      <c r="AZ217" s="1">
        <f t="shared" si="673"/>
        <v>7783143</v>
      </c>
      <c r="BB217" s="1">
        <f t="shared" si="674"/>
        <v>206</v>
      </c>
    </row>
    <row r="218" spans="2:54">
      <c r="B218" s="4">
        <v>207</v>
      </c>
      <c r="C218" s="1">
        <f t="shared" ref="C218:I218" si="714">C$5+(C$6-C$5)*(POWER(C$7,$B218-1)-1)/(POWER(C$7,$B$3-1)-1)</f>
        <v>16355.3841767513</v>
      </c>
      <c r="D218" s="1">
        <f t="shared" si="714"/>
        <v>4906.61525302539</v>
      </c>
      <c r="E218" s="1">
        <f t="shared" si="714"/>
        <v>3271.07683535026</v>
      </c>
      <c r="F218" s="1">
        <f t="shared" si="714"/>
        <v>41406.0358905096</v>
      </c>
      <c r="G218" s="1">
        <f t="shared" si="714"/>
        <v>12421.8107671529</v>
      </c>
      <c r="H218" s="1">
        <f t="shared" si="714"/>
        <v>8281.20717810193</v>
      </c>
      <c r="I218" s="1">
        <f t="shared" si="714"/>
        <v>0</v>
      </c>
      <c r="J218" s="1">
        <f>标准模型!$I$65/1*$B218/$B$3</f>
        <v>1.4904</v>
      </c>
      <c r="K218" s="1">
        <f>J218*标准模型!$J$63</f>
        <v>1.4904</v>
      </c>
      <c r="L218" s="1">
        <f t="shared" si="649"/>
        <v>57761.4200672609</v>
      </c>
      <c r="M218" s="1">
        <f t="shared" si="650"/>
        <v>24641.2453932873</v>
      </c>
      <c r="N218" s="1">
        <f t="shared" si="651"/>
        <v>16427.4969288582</v>
      </c>
      <c r="O218" s="1">
        <f t="shared" ref="O218:W218" si="715">O$5+(O$6-O$5)*(POWER(O$7,$B218-1)-1)/(POWER(O$7,$B$3-1)-1)</f>
        <v>0.706443065583716</v>
      </c>
      <c r="P218" s="1">
        <f t="shared" si="715"/>
        <v>0.130049788061304</v>
      </c>
      <c r="Q218" s="1">
        <f t="shared" si="715"/>
        <v>0.388543686071044</v>
      </c>
      <c r="R218" s="1">
        <f t="shared" si="715"/>
        <v>1.08257722623349</v>
      </c>
      <c r="S218" s="1">
        <f t="shared" si="715"/>
        <v>0.31837598525883</v>
      </c>
      <c r="T218" s="1">
        <f t="shared" si="715"/>
        <v>2.80512795577649</v>
      </c>
      <c r="U218" s="1">
        <f t="shared" si="715"/>
        <v>1</v>
      </c>
      <c r="V218" s="1">
        <f t="shared" si="715"/>
        <v>1.22514645443147</v>
      </c>
      <c r="W218" s="1">
        <f t="shared" si="715"/>
        <v>1.66061780986789</v>
      </c>
      <c r="X218" s="1">
        <f t="shared" si="653"/>
        <v>2.368051977778</v>
      </c>
      <c r="Y218" s="1">
        <f t="shared" si="654"/>
        <v>4.24879762859118</v>
      </c>
      <c r="Z218" s="1">
        <f t="shared" si="655"/>
        <v>245416.584605837</v>
      </c>
      <c r="AA218" s="1">
        <f t="shared" si="656"/>
        <v>24641.2453932873</v>
      </c>
      <c r="AB218" s="1">
        <f t="shared" si="657"/>
        <v>16427.4969288582</v>
      </c>
      <c r="AC218" s="1">
        <f>AB218/(AB218+战斗公式!$M$27)</f>
        <v>0.406344646015713</v>
      </c>
      <c r="AD218" s="1">
        <f t="shared" si="658"/>
        <v>413399.092518473</v>
      </c>
      <c r="AE218" s="1">
        <f t="shared" si="659"/>
        <v>7.08460488860228</v>
      </c>
      <c r="AF218" s="1">
        <f t="shared" si="660"/>
        <v>3.94857888860976</v>
      </c>
      <c r="AG218" s="1">
        <f t="shared" si="661"/>
        <v>4.22710095340273</v>
      </c>
      <c r="AH218" s="1">
        <f t="shared" si="662"/>
        <v>0.89551953834017</v>
      </c>
      <c r="AI218" s="1">
        <f t="shared" si="663"/>
        <v>1.0000296319615</v>
      </c>
      <c r="AJ218" s="1">
        <f t="shared" si="664"/>
        <v>1.01243115021209</v>
      </c>
      <c r="AK218" s="1">
        <f t="shared" si="665"/>
        <v>1</v>
      </c>
      <c r="AL218" s="10">
        <f t="shared" si="666"/>
        <v>262728</v>
      </c>
      <c r="AM218" s="10">
        <f t="shared" si="667"/>
        <v>22067</v>
      </c>
      <c r="AN218" s="10">
        <f t="shared" si="668"/>
        <v>16427</v>
      </c>
      <c r="AO218" s="1">
        <f t="shared" si="669"/>
        <v>148251</v>
      </c>
      <c r="AP218" s="1">
        <f t="shared" si="670"/>
        <v>22067</v>
      </c>
      <c r="AR218" s="1">
        <f t="shared" ref="AR218:AX218" si="716">ROUNDUP(AR$10*$AO218,0)</f>
        <v>148251</v>
      </c>
      <c r="AS218" s="1">
        <f t="shared" si="716"/>
        <v>444753</v>
      </c>
      <c r="AT218" s="1">
        <f t="shared" si="716"/>
        <v>266852</v>
      </c>
      <c r="AU218" s="1">
        <f t="shared" si="716"/>
        <v>74126</v>
      </c>
      <c r="AV218" s="1">
        <f t="shared" si="716"/>
        <v>22238</v>
      </c>
      <c r="AW218" s="1">
        <f t="shared" si="716"/>
        <v>593004</v>
      </c>
      <c r="AX218" s="1">
        <f t="shared" si="716"/>
        <v>1334259</v>
      </c>
      <c r="AY218" s="1">
        <f t="shared" si="672"/>
        <v>15764147</v>
      </c>
      <c r="AZ218" s="1">
        <f t="shared" si="673"/>
        <v>7882074</v>
      </c>
      <c r="BB218" s="1">
        <f t="shared" si="674"/>
        <v>207</v>
      </c>
    </row>
    <row r="219" spans="2:54">
      <c r="B219" s="4">
        <v>208</v>
      </c>
      <c r="C219" s="1">
        <f t="shared" ref="C219:I219" si="717">C$5+(C$6-C$5)*(POWER(C$7,$B219-1)-1)/(POWER(C$7,$B$3-1)-1)</f>
        <v>16434.3875730053</v>
      </c>
      <c r="D219" s="1">
        <f t="shared" si="717"/>
        <v>4930.31627190158</v>
      </c>
      <c r="E219" s="1">
        <f t="shared" si="717"/>
        <v>3286.87751460105</v>
      </c>
      <c r="F219" s="1">
        <f t="shared" si="717"/>
        <v>41606.0444886209</v>
      </c>
      <c r="G219" s="1">
        <f t="shared" si="717"/>
        <v>12481.8133465863</v>
      </c>
      <c r="H219" s="1">
        <f t="shared" si="717"/>
        <v>8321.20889772418</v>
      </c>
      <c r="I219" s="1">
        <f t="shared" si="717"/>
        <v>0</v>
      </c>
      <c r="J219" s="1">
        <f>标准模型!$I$65/1*$B219/$B$3</f>
        <v>1.4976</v>
      </c>
      <c r="K219" s="1">
        <f>J219*标准模型!$J$63</f>
        <v>1.4976</v>
      </c>
      <c r="L219" s="1">
        <f t="shared" si="649"/>
        <v>58040.4320616262</v>
      </c>
      <c r="M219" s="1">
        <f t="shared" si="650"/>
        <v>24795.7712672877</v>
      </c>
      <c r="N219" s="1">
        <f t="shared" si="651"/>
        <v>16530.5141781918</v>
      </c>
      <c r="O219" s="1">
        <f t="shared" ref="O219:W219" si="718">O$5+(O$6-O$5)*(POWER(O$7,$B219-1)-1)/(POWER(O$7,$B$3-1)-1)</f>
        <v>0.707445112668441</v>
      </c>
      <c r="P219" s="1">
        <f t="shared" si="718"/>
        <v>0.130784119868926</v>
      </c>
      <c r="Q219" s="1">
        <f t="shared" si="718"/>
        <v>0.389094811967643</v>
      </c>
      <c r="R219" s="1">
        <f t="shared" si="718"/>
        <v>1.08297804506738</v>
      </c>
      <c r="S219" s="1">
        <f t="shared" si="718"/>
        <v>0.319678646468974</v>
      </c>
      <c r="T219" s="1">
        <f t="shared" si="718"/>
        <v>2.80903593940692</v>
      </c>
      <c r="U219" s="1">
        <f t="shared" si="718"/>
        <v>1</v>
      </c>
      <c r="V219" s="1">
        <f t="shared" si="718"/>
        <v>1.22623928526917</v>
      </c>
      <c r="W219" s="1">
        <f t="shared" si="718"/>
        <v>1.66382436053901</v>
      </c>
      <c r="X219" s="1">
        <f t="shared" si="653"/>
        <v>2.38386844941065</v>
      </c>
      <c r="Y219" s="1">
        <f t="shared" si="654"/>
        <v>4.28010035034094</v>
      </c>
      <c r="Z219" s="1">
        <f t="shared" si="655"/>
        <v>248418.873600906</v>
      </c>
      <c r="AA219" s="1">
        <f t="shared" si="656"/>
        <v>24795.7712672877</v>
      </c>
      <c r="AB219" s="1">
        <f t="shared" si="657"/>
        <v>16530.5141781918</v>
      </c>
      <c r="AC219" s="1">
        <f>AB219/(AB219+战斗公式!$M$27)</f>
        <v>0.407853552153709</v>
      </c>
      <c r="AD219" s="1">
        <f t="shared" si="658"/>
        <v>419522.694942164</v>
      </c>
      <c r="AE219" s="1">
        <f t="shared" si="659"/>
        <v>7.09733905025551</v>
      </c>
      <c r="AF219" s="1">
        <f t="shared" si="660"/>
        <v>3.95297335384356</v>
      </c>
      <c r="AG219" s="1">
        <f t="shared" si="661"/>
        <v>4.23361535048326</v>
      </c>
      <c r="AH219" s="1">
        <f t="shared" si="662"/>
        <v>0.899049555958821</v>
      </c>
      <c r="AI219" s="1">
        <f t="shared" si="663"/>
        <v>1.00002815036299</v>
      </c>
      <c r="AJ219" s="1">
        <f t="shared" si="664"/>
        <v>1.01218185740046</v>
      </c>
      <c r="AK219" s="1">
        <f t="shared" si="665"/>
        <v>1</v>
      </c>
      <c r="AL219" s="10">
        <f t="shared" si="666"/>
        <v>266055</v>
      </c>
      <c r="AM219" s="10">
        <f t="shared" si="667"/>
        <v>22293</v>
      </c>
      <c r="AN219" s="10">
        <f t="shared" si="668"/>
        <v>16531</v>
      </c>
      <c r="AO219" s="1">
        <f t="shared" si="669"/>
        <v>149989</v>
      </c>
      <c r="AP219" s="1">
        <f t="shared" si="670"/>
        <v>22293</v>
      </c>
      <c r="AR219" s="1">
        <f t="shared" ref="AR219:AX219" si="719">ROUNDUP(AR$10*$AO219,0)</f>
        <v>149989</v>
      </c>
      <c r="AS219" s="1">
        <f t="shared" si="719"/>
        <v>449967</v>
      </c>
      <c r="AT219" s="1">
        <f t="shared" si="719"/>
        <v>269981</v>
      </c>
      <c r="AU219" s="1">
        <f t="shared" si="719"/>
        <v>74995</v>
      </c>
      <c r="AV219" s="1">
        <f t="shared" si="719"/>
        <v>22499</v>
      </c>
      <c r="AW219" s="1">
        <f t="shared" si="719"/>
        <v>599956</v>
      </c>
      <c r="AX219" s="1">
        <f t="shared" si="719"/>
        <v>1349901</v>
      </c>
      <c r="AY219" s="1">
        <f t="shared" si="672"/>
        <v>15963749</v>
      </c>
      <c r="AZ219" s="1">
        <f t="shared" si="673"/>
        <v>7981875</v>
      </c>
      <c r="BB219" s="1">
        <f t="shared" si="674"/>
        <v>208</v>
      </c>
    </row>
    <row r="220" spans="2:54">
      <c r="B220" s="4">
        <v>209</v>
      </c>
      <c r="C220" s="1">
        <f t="shared" ref="C220:I220" si="720">C$5+(C$6-C$5)*(POWER(C$7,$B220-1)-1)/(POWER(C$7,$B$3-1)-1)</f>
        <v>16513.3908902588</v>
      </c>
      <c r="D220" s="1">
        <f t="shared" si="720"/>
        <v>4954.01726707765</v>
      </c>
      <c r="E220" s="1">
        <f t="shared" si="720"/>
        <v>3302.67817805177</v>
      </c>
      <c r="F220" s="1">
        <f t="shared" si="720"/>
        <v>41806.0528867312</v>
      </c>
      <c r="G220" s="1">
        <f t="shared" si="720"/>
        <v>12541.8158660194</v>
      </c>
      <c r="H220" s="1">
        <f t="shared" si="720"/>
        <v>8361.21057734624</v>
      </c>
      <c r="I220" s="1">
        <f t="shared" si="720"/>
        <v>0</v>
      </c>
      <c r="J220" s="1">
        <f>标准模型!$I$65/1*$B220/$B$3</f>
        <v>1.5048</v>
      </c>
      <c r="K220" s="1">
        <f>J220*标准模型!$J$63</f>
        <v>1.5048</v>
      </c>
      <c r="L220" s="1">
        <f t="shared" si="649"/>
        <v>58319.44377699</v>
      </c>
      <c r="M220" s="1">
        <f t="shared" si="650"/>
        <v>24950.6383165955</v>
      </c>
      <c r="N220" s="1">
        <f t="shared" si="651"/>
        <v>16633.7588777303</v>
      </c>
      <c r="O220" s="1">
        <f t="shared" ref="O220:W220" si="721">O$5+(O$6-O$5)*(POWER(O$7,$B220-1)-1)/(POWER(O$7,$B$3-1)-1)</f>
        <v>0.708447158751158</v>
      </c>
      <c r="P220" s="1">
        <f t="shared" si="721"/>
        <v>0.131519553174259</v>
      </c>
      <c r="Q220" s="1">
        <f t="shared" si="721"/>
        <v>0.389645937313137</v>
      </c>
      <c r="R220" s="1">
        <f t="shared" si="721"/>
        <v>1.08337886350046</v>
      </c>
      <c r="S220" s="1">
        <f t="shared" si="721"/>
        <v>0.320981306376506</v>
      </c>
      <c r="T220" s="1">
        <f t="shared" si="721"/>
        <v>2.81294391912952</v>
      </c>
      <c r="U220" s="1">
        <f t="shared" si="721"/>
        <v>1</v>
      </c>
      <c r="V220" s="1">
        <f t="shared" si="721"/>
        <v>1.22733211501408</v>
      </c>
      <c r="W220" s="1">
        <f t="shared" si="721"/>
        <v>1.66703090800371</v>
      </c>
      <c r="X220" s="1">
        <f t="shared" si="653"/>
        <v>2.39977710958265</v>
      </c>
      <c r="Y220" s="1">
        <f t="shared" si="654"/>
        <v>4.31160782838129</v>
      </c>
      <c r="Z220" s="1">
        <f t="shared" si="655"/>
        <v>251450.570335713</v>
      </c>
      <c r="AA220" s="1">
        <f t="shared" si="656"/>
        <v>24950.6383165955</v>
      </c>
      <c r="AB220" s="1">
        <f t="shared" si="657"/>
        <v>16633.7588777303</v>
      </c>
      <c r="AC220" s="1">
        <f>AB220/(AB220+战斗公式!$M$27)</f>
        <v>0.409358113478559</v>
      </c>
      <c r="AD220" s="1">
        <f t="shared" si="658"/>
        <v>425724.243528713</v>
      </c>
      <c r="AE220" s="1">
        <f t="shared" si="659"/>
        <v>7.11010174098174</v>
      </c>
      <c r="AF220" s="1">
        <f t="shared" si="660"/>
        <v>3.95737740628826</v>
      </c>
      <c r="AG220" s="1">
        <f t="shared" si="661"/>
        <v>4.24008088958569</v>
      </c>
      <c r="AH220" s="1">
        <f t="shared" si="662"/>
        <v>0.902586633612709</v>
      </c>
      <c r="AI220" s="1">
        <f t="shared" si="663"/>
        <v>1.0000267428444</v>
      </c>
      <c r="AJ220" s="1">
        <f t="shared" si="664"/>
        <v>1.01193755044506</v>
      </c>
      <c r="AK220" s="1">
        <f t="shared" si="665"/>
        <v>1</v>
      </c>
      <c r="AL220" s="10">
        <f t="shared" si="666"/>
        <v>269413</v>
      </c>
      <c r="AM220" s="10">
        <f t="shared" si="667"/>
        <v>22520</v>
      </c>
      <c r="AN220" s="10">
        <f t="shared" si="668"/>
        <v>16634</v>
      </c>
      <c r="AO220" s="1">
        <f t="shared" si="669"/>
        <v>151742</v>
      </c>
      <c r="AP220" s="1">
        <f t="shared" si="670"/>
        <v>22520</v>
      </c>
      <c r="AR220" s="1">
        <f t="shared" ref="AR220:AX220" si="722">ROUNDUP(AR$10*$AO220,0)</f>
        <v>151742</v>
      </c>
      <c r="AS220" s="1">
        <f t="shared" si="722"/>
        <v>455226</v>
      </c>
      <c r="AT220" s="1">
        <f t="shared" si="722"/>
        <v>273136</v>
      </c>
      <c r="AU220" s="1">
        <f t="shared" si="722"/>
        <v>75871</v>
      </c>
      <c r="AV220" s="1">
        <f t="shared" si="722"/>
        <v>22762</v>
      </c>
      <c r="AW220" s="1">
        <f t="shared" si="722"/>
        <v>606968</v>
      </c>
      <c r="AX220" s="1">
        <f t="shared" si="722"/>
        <v>1365678</v>
      </c>
      <c r="AY220" s="1">
        <f t="shared" si="672"/>
        <v>16165212</v>
      </c>
      <c r="AZ220" s="1">
        <f t="shared" si="673"/>
        <v>8082606</v>
      </c>
      <c r="BB220" s="1">
        <f t="shared" si="674"/>
        <v>209</v>
      </c>
    </row>
    <row r="221" spans="2:54">
      <c r="B221" s="4">
        <v>210</v>
      </c>
      <c r="C221" s="1">
        <f t="shared" ref="C221:I221" si="723">C$5+(C$6-C$5)*(POWER(C$7,$B221-1)-1)/(POWER(C$7,$B$3-1)-1)</f>
        <v>16592.3941285032</v>
      </c>
      <c r="D221" s="1">
        <f t="shared" si="723"/>
        <v>4977.71823855098</v>
      </c>
      <c r="E221" s="1">
        <f t="shared" si="723"/>
        <v>3318.47882570065</v>
      </c>
      <c r="F221" s="1">
        <f t="shared" si="723"/>
        <v>42006.0610848184</v>
      </c>
      <c r="G221" s="1">
        <f t="shared" si="723"/>
        <v>12601.8183254455</v>
      </c>
      <c r="H221" s="1">
        <f t="shared" si="723"/>
        <v>8401.21221696367</v>
      </c>
      <c r="I221" s="1">
        <f t="shared" si="723"/>
        <v>0</v>
      </c>
      <c r="J221" s="1">
        <f>标准模型!$I$65/1*$B221/$B$3</f>
        <v>1.512</v>
      </c>
      <c r="K221" s="1">
        <f>J221*标准模型!$J$63</f>
        <v>1.512</v>
      </c>
      <c r="L221" s="1">
        <f t="shared" si="649"/>
        <v>58598.4552133216</v>
      </c>
      <c r="M221" s="1">
        <f t="shared" si="650"/>
        <v>25105.8465406856</v>
      </c>
      <c r="N221" s="1">
        <f t="shared" si="651"/>
        <v>16737.2310271237</v>
      </c>
      <c r="O221" s="1">
        <f t="shared" ref="O221:W221" si="724">O$5+(O$6-O$5)*(POWER(O$7,$B221-1)-1)/(POWER(O$7,$B$3-1)-1)</f>
        <v>0.709449203831755</v>
      </c>
      <c r="P221" s="1">
        <f t="shared" si="724"/>
        <v>0.13225608962955</v>
      </c>
      <c r="Q221" s="1">
        <f t="shared" si="724"/>
        <v>0.390197062107465</v>
      </c>
      <c r="R221" s="1">
        <f t="shared" si="724"/>
        <v>1.0837796815327</v>
      </c>
      <c r="S221" s="1">
        <f t="shared" si="724"/>
        <v>0.322283964981282</v>
      </c>
      <c r="T221" s="1">
        <f t="shared" si="724"/>
        <v>2.81685189494385</v>
      </c>
      <c r="U221" s="1">
        <f t="shared" si="724"/>
        <v>1</v>
      </c>
      <c r="V221" s="1">
        <f t="shared" si="724"/>
        <v>1.22842494366609</v>
      </c>
      <c r="W221" s="1">
        <f t="shared" si="724"/>
        <v>1.67023745226162</v>
      </c>
      <c r="X221" s="1">
        <f t="shared" si="653"/>
        <v>2.41577840821896</v>
      </c>
      <c r="Y221" s="1">
        <f t="shared" si="654"/>
        <v>4.34332121128143</v>
      </c>
      <c r="Z221" s="1">
        <f t="shared" si="655"/>
        <v>254511.913476345</v>
      </c>
      <c r="AA221" s="1">
        <f t="shared" si="656"/>
        <v>25105.8465406856</v>
      </c>
      <c r="AB221" s="1">
        <f t="shared" si="657"/>
        <v>16737.2310271237</v>
      </c>
      <c r="AC221" s="1">
        <f>AB221/(AB221+战斗公式!$M$27)</f>
        <v>0.41085833781829</v>
      </c>
      <c r="AD221" s="1">
        <f t="shared" si="658"/>
        <v>432004.609101716</v>
      </c>
      <c r="AE221" s="1">
        <f t="shared" si="659"/>
        <v>7.12289291413997</v>
      </c>
      <c r="AF221" s="1">
        <f t="shared" si="660"/>
        <v>3.96179100485143</v>
      </c>
      <c r="AG221" s="1">
        <f t="shared" si="661"/>
        <v>4.24649793714485</v>
      </c>
      <c r="AH221" s="1">
        <f t="shared" si="662"/>
        <v>0.906130785421905</v>
      </c>
      <c r="AI221" s="1">
        <f t="shared" si="663"/>
        <v>1.00002540570174</v>
      </c>
      <c r="AJ221" s="1">
        <f t="shared" si="664"/>
        <v>1.01169812962878</v>
      </c>
      <c r="AK221" s="1">
        <f t="shared" si="665"/>
        <v>1</v>
      </c>
      <c r="AL221" s="10">
        <f t="shared" si="666"/>
        <v>272802</v>
      </c>
      <c r="AM221" s="10">
        <f t="shared" si="667"/>
        <v>22749</v>
      </c>
      <c r="AN221" s="10">
        <f t="shared" si="668"/>
        <v>16737</v>
      </c>
      <c r="AO221" s="1">
        <f t="shared" si="669"/>
        <v>153509</v>
      </c>
      <c r="AP221" s="1">
        <f t="shared" si="670"/>
        <v>22749</v>
      </c>
      <c r="AR221" s="1">
        <f t="shared" ref="AR221:AX221" si="725">ROUNDUP(AR$10*$AO221,0)</f>
        <v>153509</v>
      </c>
      <c r="AS221" s="1">
        <f t="shared" si="725"/>
        <v>460527</v>
      </c>
      <c r="AT221" s="1">
        <f t="shared" si="725"/>
        <v>276317</v>
      </c>
      <c r="AU221" s="1">
        <f t="shared" si="725"/>
        <v>76755</v>
      </c>
      <c r="AV221" s="1">
        <f t="shared" si="725"/>
        <v>23027</v>
      </c>
      <c r="AW221" s="1">
        <f t="shared" si="725"/>
        <v>614036</v>
      </c>
      <c r="AX221" s="1">
        <f t="shared" si="725"/>
        <v>1381581</v>
      </c>
      <c r="AY221" s="1">
        <f t="shared" si="672"/>
        <v>16368536</v>
      </c>
      <c r="AZ221" s="1">
        <f t="shared" si="673"/>
        <v>8184268</v>
      </c>
      <c r="BB221" s="1">
        <f t="shared" si="674"/>
        <v>210</v>
      </c>
    </row>
    <row r="222" spans="2:54">
      <c r="B222" s="4">
        <v>211</v>
      </c>
      <c r="C222" s="1">
        <f t="shared" ref="C222:I222" si="726">C$5+(C$6-C$5)*(POWER(C$7,$B222-1)-1)/(POWER(C$7,$B$3-1)-1)</f>
        <v>16671.3972877473</v>
      </c>
      <c r="D222" s="1">
        <f t="shared" si="726"/>
        <v>5001.41918632419</v>
      </c>
      <c r="E222" s="1">
        <f t="shared" si="726"/>
        <v>3334.27945754946</v>
      </c>
      <c r="F222" s="1">
        <f t="shared" si="726"/>
        <v>42206.0690829045</v>
      </c>
      <c r="G222" s="1">
        <f t="shared" si="726"/>
        <v>12661.8207248714</v>
      </c>
      <c r="H222" s="1">
        <f t="shared" si="726"/>
        <v>8441.21381658091</v>
      </c>
      <c r="I222" s="1">
        <f t="shared" si="726"/>
        <v>0</v>
      </c>
      <c r="J222" s="1">
        <f>标准模型!$I$65/1*$B222/$B$3</f>
        <v>1.5192</v>
      </c>
      <c r="K222" s="1">
        <f>J222*标准模型!$J$63</f>
        <v>1.5192</v>
      </c>
      <c r="L222" s="1">
        <f t="shared" si="649"/>
        <v>58877.4663706518</v>
      </c>
      <c r="M222" s="1">
        <f t="shared" si="650"/>
        <v>25261.3959390593</v>
      </c>
      <c r="N222" s="1">
        <f t="shared" si="651"/>
        <v>16840.9306260395</v>
      </c>
      <c r="O222" s="1">
        <f t="shared" ref="O222:W222" si="727">O$5+(O$6-O$5)*(POWER(O$7,$B222-1)-1)/(POWER(O$7,$B$3-1)-1)</f>
        <v>0.710451247910343</v>
      </c>
      <c r="P222" s="1">
        <f t="shared" si="727"/>
        <v>0.132993730889524</v>
      </c>
      <c r="Q222" s="1">
        <f t="shared" si="727"/>
        <v>0.390748186350689</v>
      </c>
      <c r="R222" s="1">
        <f t="shared" si="727"/>
        <v>1.08418049916414</v>
      </c>
      <c r="S222" s="1">
        <f t="shared" si="727"/>
        <v>0.323586622283446</v>
      </c>
      <c r="T222" s="1">
        <f t="shared" si="727"/>
        <v>2.82075986685034</v>
      </c>
      <c r="U222" s="1">
        <f t="shared" si="727"/>
        <v>1</v>
      </c>
      <c r="V222" s="1">
        <f t="shared" si="727"/>
        <v>1.2295177712253</v>
      </c>
      <c r="W222" s="1">
        <f t="shared" si="727"/>
        <v>1.6734439933131</v>
      </c>
      <c r="X222" s="1">
        <f t="shared" si="653"/>
        <v>2.43187279689123</v>
      </c>
      <c r="Y222" s="1">
        <f t="shared" si="654"/>
        <v>4.37524165273689</v>
      </c>
      <c r="Z222" s="1">
        <f t="shared" si="655"/>
        <v>257603.143272491</v>
      </c>
      <c r="AA222" s="1">
        <f t="shared" si="656"/>
        <v>25261.3959390593</v>
      </c>
      <c r="AB222" s="1">
        <f t="shared" si="657"/>
        <v>16840.9306260395</v>
      </c>
      <c r="AC222" s="1">
        <f>AB222/(AB222+战斗公式!$M$27)</f>
        <v>0.412354233066913</v>
      </c>
      <c r="AD222" s="1">
        <f t="shared" si="658"/>
        <v>438364.670976731</v>
      </c>
      <c r="AE222" s="1">
        <f t="shared" si="659"/>
        <v>7.13571252334344</v>
      </c>
      <c r="AF222" s="1">
        <f t="shared" si="660"/>
        <v>3.9662141086767</v>
      </c>
      <c r="AG222" s="1">
        <f t="shared" si="661"/>
        <v>4.25286685684732</v>
      </c>
      <c r="AH222" s="1">
        <f t="shared" si="662"/>
        <v>0.909682025534718</v>
      </c>
      <c r="AI222" s="1">
        <f t="shared" si="663"/>
        <v>1.00002413541621</v>
      </c>
      <c r="AJ222" s="1">
        <f t="shared" si="664"/>
        <v>1.01146349722881</v>
      </c>
      <c r="AK222" s="1">
        <f t="shared" si="665"/>
        <v>1</v>
      </c>
      <c r="AL222" s="10">
        <f t="shared" si="666"/>
        <v>276221</v>
      </c>
      <c r="AM222" s="10">
        <f t="shared" si="667"/>
        <v>22980</v>
      </c>
      <c r="AN222" s="10">
        <f t="shared" si="668"/>
        <v>16841</v>
      </c>
      <c r="AO222" s="1">
        <f t="shared" si="669"/>
        <v>155291</v>
      </c>
      <c r="AP222" s="1">
        <f t="shared" si="670"/>
        <v>22980</v>
      </c>
      <c r="AR222" s="1">
        <f t="shared" ref="AR222:AX222" si="728">ROUNDUP(AR$10*$AO222,0)</f>
        <v>155291</v>
      </c>
      <c r="AS222" s="1">
        <f t="shared" si="728"/>
        <v>465873</v>
      </c>
      <c r="AT222" s="1">
        <f t="shared" si="728"/>
        <v>279524</v>
      </c>
      <c r="AU222" s="1">
        <f t="shared" si="728"/>
        <v>77646</v>
      </c>
      <c r="AV222" s="1">
        <f t="shared" si="728"/>
        <v>23294</v>
      </c>
      <c r="AW222" s="1">
        <f t="shared" si="728"/>
        <v>621164</v>
      </c>
      <c r="AX222" s="1">
        <f t="shared" si="728"/>
        <v>1397619</v>
      </c>
      <c r="AY222" s="1">
        <f t="shared" si="672"/>
        <v>16573660</v>
      </c>
      <c r="AZ222" s="1">
        <f t="shared" si="673"/>
        <v>8286830</v>
      </c>
      <c r="BB222" s="1">
        <f t="shared" si="674"/>
        <v>211</v>
      </c>
    </row>
    <row r="223" spans="2:54">
      <c r="B223" s="4">
        <v>212</v>
      </c>
      <c r="C223" s="1">
        <f t="shared" ref="C223:I223" si="729">C$5+(C$6-C$5)*(POWER(C$7,$B223-1)-1)/(POWER(C$7,$B$3-1)-1)</f>
        <v>16750.400367991</v>
      </c>
      <c r="D223" s="1">
        <f t="shared" si="729"/>
        <v>5025.12011039729</v>
      </c>
      <c r="E223" s="1">
        <f t="shared" si="729"/>
        <v>3350.08007359819</v>
      </c>
      <c r="F223" s="1">
        <f t="shared" si="729"/>
        <v>42406.0768809898</v>
      </c>
      <c r="G223" s="1">
        <f t="shared" si="729"/>
        <v>12721.8230642969</v>
      </c>
      <c r="H223" s="1">
        <f t="shared" si="729"/>
        <v>8481.21537619795</v>
      </c>
      <c r="I223" s="1">
        <f t="shared" si="729"/>
        <v>0</v>
      </c>
      <c r="J223" s="1">
        <f>标准模型!$I$65/1*$B223/$B$3</f>
        <v>1.5264</v>
      </c>
      <c r="K223" s="1">
        <f>J223*标准模型!$J$63</f>
        <v>1.5264</v>
      </c>
      <c r="L223" s="1">
        <f t="shared" si="649"/>
        <v>59156.4772489808</v>
      </c>
      <c r="M223" s="1">
        <f t="shared" si="650"/>
        <v>25417.2865112046</v>
      </c>
      <c r="N223" s="1">
        <f t="shared" si="651"/>
        <v>16944.8576741364</v>
      </c>
      <c r="O223" s="1">
        <f t="shared" ref="O223:W223" si="730">O$5+(O$6-O$5)*(POWER(O$7,$B223-1)-1)/(POWER(O$7,$B$3-1)-1)</f>
        <v>0.711453290986923</v>
      </c>
      <c r="P223" s="1">
        <f t="shared" si="730"/>
        <v>0.133732478611388</v>
      </c>
      <c r="Q223" s="1">
        <f t="shared" si="730"/>
        <v>0.391299310042807</v>
      </c>
      <c r="R223" s="1">
        <f t="shared" si="730"/>
        <v>1.08458131639477</v>
      </c>
      <c r="S223" s="1">
        <f t="shared" si="730"/>
        <v>0.324889278282999</v>
      </c>
      <c r="T223" s="1">
        <f t="shared" si="730"/>
        <v>2.824667834849</v>
      </c>
      <c r="U223" s="1">
        <f t="shared" si="730"/>
        <v>1</v>
      </c>
      <c r="V223" s="1">
        <f t="shared" si="730"/>
        <v>1.23061059769172</v>
      </c>
      <c r="W223" s="1">
        <f t="shared" si="730"/>
        <v>1.67665053115815</v>
      </c>
      <c r="X223" s="1">
        <f t="shared" si="653"/>
        <v>2.44806072881724</v>
      </c>
      <c r="Y223" s="1">
        <f t="shared" si="654"/>
        <v>4.40737031157656</v>
      </c>
      <c r="Z223" s="1">
        <f t="shared" si="655"/>
        <v>260724.501564612</v>
      </c>
      <c r="AA223" s="1">
        <f t="shared" si="656"/>
        <v>25417.2865112046</v>
      </c>
      <c r="AB223" s="1">
        <f t="shared" si="657"/>
        <v>16944.8576741364</v>
      </c>
      <c r="AC223" s="1">
        <f>AB223/(AB223+战斗公式!$M$27)</f>
        <v>0.413845807182765</v>
      </c>
      <c r="AD223" s="1">
        <f t="shared" si="658"/>
        <v>444805.317030133</v>
      </c>
      <c r="AE223" s="1">
        <f t="shared" si="659"/>
        <v>7.14856052245066</v>
      </c>
      <c r="AF223" s="1">
        <f t="shared" si="660"/>
        <v>3.97064667713949</v>
      </c>
      <c r="AG223" s="1">
        <f t="shared" si="661"/>
        <v>4.25918800965201</v>
      </c>
      <c r="AH223" s="1">
        <f t="shared" si="662"/>
        <v>0.913240368127758</v>
      </c>
      <c r="AI223" s="1">
        <f t="shared" si="663"/>
        <v>1.00002292864496</v>
      </c>
      <c r="AJ223" s="1">
        <f t="shared" si="664"/>
        <v>1.01123355747685</v>
      </c>
      <c r="AK223" s="1">
        <f t="shared" si="665"/>
        <v>1</v>
      </c>
      <c r="AL223" s="10">
        <f t="shared" si="666"/>
        <v>279671</v>
      </c>
      <c r="AM223" s="10">
        <f t="shared" si="667"/>
        <v>23212</v>
      </c>
      <c r="AN223" s="10">
        <f t="shared" si="668"/>
        <v>16945</v>
      </c>
      <c r="AO223" s="1">
        <f t="shared" si="669"/>
        <v>157087</v>
      </c>
      <c r="AP223" s="1">
        <f t="shared" si="670"/>
        <v>23212</v>
      </c>
      <c r="AR223" s="1">
        <f t="shared" ref="AR223:AX223" si="731">ROUNDUP(AR$10*$AO223,0)</f>
        <v>157087</v>
      </c>
      <c r="AS223" s="1">
        <f t="shared" si="731"/>
        <v>471261</v>
      </c>
      <c r="AT223" s="1">
        <f t="shared" si="731"/>
        <v>282757</v>
      </c>
      <c r="AU223" s="1">
        <f t="shared" si="731"/>
        <v>78544</v>
      </c>
      <c r="AV223" s="1">
        <f t="shared" si="731"/>
        <v>23564</v>
      </c>
      <c r="AW223" s="1">
        <f t="shared" si="731"/>
        <v>628348</v>
      </c>
      <c r="AX223" s="1">
        <f t="shared" si="731"/>
        <v>1413783</v>
      </c>
      <c r="AY223" s="1">
        <f t="shared" si="672"/>
        <v>16780645</v>
      </c>
      <c r="AZ223" s="1">
        <f t="shared" si="673"/>
        <v>8390322</v>
      </c>
      <c r="BB223" s="1">
        <f t="shared" si="674"/>
        <v>212</v>
      </c>
    </row>
    <row r="224" spans="2:54">
      <c r="B224" s="4">
        <v>213</v>
      </c>
      <c r="C224" s="1">
        <f t="shared" ref="C224:I224" si="732">C$5+(C$6-C$5)*(POWER(C$7,$B224-1)-1)/(POWER(C$7,$B$3-1)-1)</f>
        <v>16829.4033692342</v>
      </c>
      <c r="D224" s="1">
        <f t="shared" si="732"/>
        <v>5048.82101077027</v>
      </c>
      <c r="E224" s="1">
        <f t="shared" si="732"/>
        <v>3365.88067384685</v>
      </c>
      <c r="F224" s="1">
        <f t="shared" si="732"/>
        <v>42606.084479074</v>
      </c>
      <c r="G224" s="1">
        <f t="shared" si="732"/>
        <v>12781.8253437222</v>
      </c>
      <c r="H224" s="1">
        <f t="shared" si="732"/>
        <v>8521.21689581481</v>
      </c>
      <c r="I224" s="1">
        <f t="shared" si="732"/>
        <v>0</v>
      </c>
      <c r="J224" s="1">
        <f>标准模型!$I$65/1*$B224/$B$3</f>
        <v>1.5336</v>
      </c>
      <c r="K224" s="1">
        <f>J224*标准模型!$J$63</f>
        <v>1.5336</v>
      </c>
      <c r="L224" s="1">
        <f t="shared" si="649"/>
        <v>59435.4878483082</v>
      </c>
      <c r="M224" s="1">
        <f t="shared" si="650"/>
        <v>25573.5182566098</v>
      </c>
      <c r="N224" s="1">
        <f t="shared" si="651"/>
        <v>17049.0121710732</v>
      </c>
      <c r="O224" s="1">
        <f t="shared" ref="O224:W224" si="733">O$5+(O$6-O$5)*(POWER(O$7,$B224-1)-1)/(POWER(O$7,$B$3-1)-1)</f>
        <v>0.712455333061493</v>
      </c>
      <c r="P224" s="1">
        <f t="shared" si="733"/>
        <v>0.134472334454835</v>
      </c>
      <c r="Q224" s="1">
        <f t="shared" si="733"/>
        <v>0.391850433183821</v>
      </c>
      <c r="R224" s="1">
        <f t="shared" si="733"/>
        <v>1.0849821332246</v>
      </c>
      <c r="S224" s="1">
        <f t="shared" si="733"/>
        <v>0.326191932979941</v>
      </c>
      <c r="T224" s="1">
        <f t="shared" si="733"/>
        <v>2.82857579893982</v>
      </c>
      <c r="U224" s="1">
        <f t="shared" si="733"/>
        <v>1</v>
      </c>
      <c r="V224" s="1">
        <f t="shared" si="733"/>
        <v>1.23170342306535</v>
      </c>
      <c r="W224" s="1">
        <f t="shared" si="733"/>
        <v>1.67985706579678</v>
      </c>
      <c r="X224" s="1">
        <f t="shared" si="653"/>
        <v>2.46434265886653</v>
      </c>
      <c r="Y224" s="1">
        <f t="shared" si="654"/>
        <v>4.43970835178268</v>
      </c>
      <c r="Z224" s="1">
        <f t="shared" si="655"/>
        <v>263876.231792412</v>
      </c>
      <c r="AA224" s="1">
        <f t="shared" si="656"/>
        <v>25573.5182566098</v>
      </c>
      <c r="AB224" s="1">
        <f t="shared" si="657"/>
        <v>17049.0121710732</v>
      </c>
      <c r="AC224" s="1">
        <f>AB224/(AB224+战斗公式!$M$27)</f>
        <v>0.415333068187386</v>
      </c>
      <c r="AD224" s="1">
        <f t="shared" si="658"/>
        <v>451327.443770985</v>
      </c>
      <c r="AE224" s="1">
        <f t="shared" si="659"/>
        <v>7.16143686556557</v>
      </c>
      <c r="AF224" s="1">
        <f t="shared" si="660"/>
        <v>3.97508866984615</v>
      </c>
      <c r="AG224" s="1">
        <f t="shared" si="661"/>
        <v>4.26546175381068</v>
      </c>
      <c r="AH224" s="1">
        <f t="shared" si="662"/>
        <v>0.916805827405984</v>
      </c>
      <c r="AI224" s="1">
        <f t="shared" si="663"/>
        <v>1.00002178221227</v>
      </c>
      <c r="AJ224" s="1">
        <f t="shared" si="664"/>
        <v>1.01100821651992</v>
      </c>
      <c r="AK224" s="1">
        <f t="shared" si="665"/>
        <v>1</v>
      </c>
      <c r="AL224" s="10">
        <f t="shared" si="666"/>
        <v>283152</v>
      </c>
      <c r="AM224" s="10">
        <f t="shared" si="667"/>
        <v>23446</v>
      </c>
      <c r="AN224" s="10">
        <f t="shared" si="668"/>
        <v>17049</v>
      </c>
      <c r="AO224" s="1">
        <f t="shared" si="669"/>
        <v>158899</v>
      </c>
      <c r="AP224" s="1">
        <f t="shared" si="670"/>
        <v>23446</v>
      </c>
      <c r="AR224" s="1">
        <f t="shared" ref="AR224:AX224" si="734">ROUNDUP(AR$10*$AO224,0)</f>
        <v>158899</v>
      </c>
      <c r="AS224" s="1">
        <f t="shared" si="734"/>
        <v>476697</v>
      </c>
      <c r="AT224" s="1">
        <f t="shared" si="734"/>
        <v>286019</v>
      </c>
      <c r="AU224" s="1">
        <f t="shared" si="734"/>
        <v>79450</v>
      </c>
      <c r="AV224" s="1">
        <f t="shared" si="734"/>
        <v>23835</v>
      </c>
      <c r="AW224" s="1">
        <f t="shared" si="734"/>
        <v>635596</v>
      </c>
      <c r="AX224" s="1">
        <f t="shared" si="734"/>
        <v>1430091</v>
      </c>
      <c r="AY224" s="1">
        <f t="shared" si="672"/>
        <v>16989490</v>
      </c>
      <c r="AZ224" s="1">
        <f t="shared" si="673"/>
        <v>8494745</v>
      </c>
      <c r="BB224" s="1">
        <f t="shared" si="674"/>
        <v>213</v>
      </c>
    </row>
    <row r="225" spans="2:54">
      <c r="B225" s="4">
        <v>214</v>
      </c>
      <c r="C225" s="1">
        <f t="shared" ref="C225:I225" si="735">C$5+(C$6-C$5)*(POWER(C$7,$B225-1)-1)/(POWER(C$7,$B$3-1)-1)</f>
        <v>16908.4062914684</v>
      </c>
      <c r="D225" s="1">
        <f t="shared" si="735"/>
        <v>5072.52188744051</v>
      </c>
      <c r="E225" s="1">
        <f t="shared" si="735"/>
        <v>3381.68125829368</v>
      </c>
      <c r="F225" s="1">
        <f t="shared" si="735"/>
        <v>42806.0918771351</v>
      </c>
      <c r="G225" s="1">
        <f t="shared" si="735"/>
        <v>12841.8275631405</v>
      </c>
      <c r="H225" s="1">
        <f t="shared" si="735"/>
        <v>8561.21837542703</v>
      </c>
      <c r="I225" s="1">
        <f t="shared" si="735"/>
        <v>0</v>
      </c>
      <c r="J225" s="1">
        <f>标准模型!$I$65/1*$B225/$B$3</f>
        <v>1.5408</v>
      </c>
      <c r="K225" s="1">
        <f>J225*标准模型!$J$63</f>
        <v>1.5408</v>
      </c>
      <c r="L225" s="1">
        <f t="shared" si="649"/>
        <v>59714.4981686035</v>
      </c>
      <c r="M225" s="1">
        <f t="shared" si="650"/>
        <v>25730.0911747494</v>
      </c>
      <c r="N225" s="1">
        <f t="shared" si="651"/>
        <v>17153.3941164996</v>
      </c>
      <c r="O225" s="1">
        <f t="shared" ref="O225:W225" si="736">O$5+(O$6-O$5)*(POWER(O$7,$B225-1)-1)/(POWER(O$7,$B$3-1)-1)</f>
        <v>0.713457374133944</v>
      </c>
      <c r="P225" s="1">
        <f t="shared" si="736"/>
        <v>0.135213300082046</v>
      </c>
      <c r="Q225" s="1">
        <f t="shared" si="736"/>
        <v>0.392401555773669</v>
      </c>
      <c r="R225" s="1">
        <f t="shared" si="736"/>
        <v>1.08538294965358</v>
      </c>
      <c r="S225" s="1">
        <f t="shared" si="736"/>
        <v>0.327494586374127</v>
      </c>
      <c r="T225" s="1">
        <f t="shared" si="736"/>
        <v>2.83248375912238</v>
      </c>
      <c r="U225" s="1">
        <f t="shared" si="736"/>
        <v>1</v>
      </c>
      <c r="V225" s="1">
        <f t="shared" si="736"/>
        <v>1.23279624734608</v>
      </c>
      <c r="W225" s="1">
        <f t="shared" si="736"/>
        <v>1.68306359722862</v>
      </c>
      <c r="X225" s="1">
        <f t="shared" si="653"/>
        <v>2.48071904356294</v>
      </c>
      <c r="Y225" s="1">
        <f t="shared" si="654"/>
        <v>4.47225694250427</v>
      </c>
      <c r="Z225" s="1">
        <f t="shared" si="655"/>
        <v>267058.579002695</v>
      </c>
      <c r="AA225" s="1">
        <f t="shared" si="656"/>
        <v>25730.0911747494</v>
      </c>
      <c r="AB225" s="1">
        <f t="shared" si="657"/>
        <v>17153.3941164996</v>
      </c>
      <c r="AC225" s="1">
        <f>AB225/(AB225+战斗公式!$M$27)</f>
        <v>0.416816024164148</v>
      </c>
      <c r="AD225" s="1">
        <f t="shared" si="658"/>
        <v>457931.956412094</v>
      </c>
      <c r="AE225" s="1">
        <f t="shared" si="659"/>
        <v>7.17434150703342</v>
      </c>
      <c r="AF225" s="1">
        <f t="shared" si="660"/>
        <v>3.97954004663159</v>
      </c>
      <c r="AG225" s="1">
        <f t="shared" si="661"/>
        <v>4.27168844488815</v>
      </c>
      <c r="AH225" s="1">
        <f t="shared" si="662"/>
        <v>0.920378417602766</v>
      </c>
      <c r="AI225" s="1">
        <f t="shared" si="663"/>
        <v>1.00002069310122</v>
      </c>
      <c r="AJ225" s="1">
        <f t="shared" si="664"/>
        <v>1.01078738238214</v>
      </c>
      <c r="AK225" s="1">
        <f t="shared" si="665"/>
        <v>1</v>
      </c>
      <c r="AL225" s="10">
        <f t="shared" si="666"/>
        <v>286664</v>
      </c>
      <c r="AM225" s="10">
        <f t="shared" si="667"/>
        <v>23681</v>
      </c>
      <c r="AN225" s="10">
        <f t="shared" si="668"/>
        <v>17153</v>
      </c>
      <c r="AO225" s="1">
        <f t="shared" si="669"/>
        <v>160725</v>
      </c>
      <c r="AP225" s="1">
        <f t="shared" si="670"/>
        <v>23681</v>
      </c>
      <c r="AR225" s="1">
        <f t="shared" ref="AR225:AX225" si="737">ROUNDUP(AR$10*$AO225,0)</f>
        <v>160725</v>
      </c>
      <c r="AS225" s="1">
        <f t="shared" si="737"/>
        <v>482175</v>
      </c>
      <c r="AT225" s="1">
        <f t="shared" si="737"/>
        <v>289305</v>
      </c>
      <c r="AU225" s="1">
        <f t="shared" si="737"/>
        <v>80363</v>
      </c>
      <c r="AV225" s="1">
        <f t="shared" si="737"/>
        <v>24109</v>
      </c>
      <c r="AW225" s="1">
        <f t="shared" si="737"/>
        <v>642900</v>
      </c>
      <c r="AX225" s="1">
        <f t="shared" si="737"/>
        <v>1446525</v>
      </c>
      <c r="AY225" s="1">
        <f t="shared" si="672"/>
        <v>17200196</v>
      </c>
      <c r="AZ225" s="1">
        <f t="shared" si="673"/>
        <v>8600098</v>
      </c>
      <c r="BB225" s="1">
        <f t="shared" si="674"/>
        <v>214</v>
      </c>
    </row>
    <row r="226" spans="2:54">
      <c r="B226" s="4">
        <v>215</v>
      </c>
      <c r="C226" s="1">
        <f t="shared" ref="C226:I226" si="738">C$5+(C$6-C$5)*(POWER(C$7,$B226-1)-1)/(POWER(C$7,$B$3-1)-1)</f>
        <v>16987.4091347021</v>
      </c>
      <c r="D226" s="1">
        <f t="shared" si="738"/>
        <v>5096.22274041064</v>
      </c>
      <c r="E226" s="1">
        <f t="shared" si="738"/>
        <v>3397.48182694043</v>
      </c>
      <c r="F226" s="1">
        <f t="shared" si="738"/>
        <v>43006.0990751953</v>
      </c>
      <c r="G226" s="1">
        <f t="shared" si="738"/>
        <v>12901.8297225586</v>
      </c>
      <c r="H226" s="1">
        <f t="shared" si="738"/>
        <v>8601.21981503905</v>
      </c>
      <c r="I226" s="1">
        <f t="shared" si="738"/>
        <v>0</v>
      </c>
      <c r="J226" s="1">
        <f>标准模型!$I$65/1*$B226/$B$3</f>
        <v>1.548</v>
      </c>
      <c r="K226" s="1">
        <f>J226*标准模型!$J$63</f>
        <v>1.548</v>
      </c>
      <c r="L226" s="1">
        <f t="shared" si="649"/>
        <v>59993.5082098974</v>
      </c>
      <c r="M226" s="1">
        <f t="shared" si="650"/>
        <v>25887.0052651249</v>
      </c>
      <c r="N226" s="1">
        <f t="shared" si="651"/>
        <v>17258.0035100833</v>
      </c>
      <c r="O226" s="1">
        <f t="shared" ref="O226:W226" si="739">O$5+(O$6-O$5)*(POWER(O$7,$B226-1)-1)/(POWER(O$7,$B$3-1)-1)</f>
        <v>0.714459414204385</v>
      </c>
      <c r="P226" s="1">
        <f t="shared" si="739"/>
        <v>0.135955377157699</v>
      </c>
      <c r="Q226" s="1">
        <f t="shared" si="739"/>
        <v>0.392952677812412</v>
      </c>
      <c r="R226" s="1">
        <f t="shared" si="739"/>
        <v>1.08578376568175</v>
      </c>
      <c r="S226" s="1">
        <f t="shared" si="739"/>
        <v>0.328797238465701</v>
      </c>
      <c r="T226" s="1">
        <f t="shared" si="739"/>
        <v>2.8363917153971</v>
      </c>
      <c r="U226" s="1">
        <f t="shared" si="739"/>
        <v>1</v>
      </c>
      <c r="V226" s="1">
        <f t="shared" si="739"/>
        <v>1.23388907053401</v>
      </c>
      <c r="W226" s="1">
        <f t="shared" si="739"/>
        <v>1.68627012545403</v>
      </c>
      <c r="X226" s="1">
        <f t="shared" si="653"/>
        <v>2.4971903410935</v>
      </c>
      <c r="Y226" s="1">
        <f t="shared" si="654"/>
        <v>4.50501725808402</v>
      </c>
      <c r="Z226" s="1">
        <f t="shared" si="655"/>
        <v>270271.789858593</v>
      </c>
      <c r="AA226" s="1">
        <f t="shared" si="656"/>
        <v>25887.0052651249</v>
      </c>
      <c r="AB226" s="1">
        <f t="shared" si="657"/>
        <v>17258.0035100833</v>
      </c>
      <c r="AC226" s="1">
        <f>AB226/(AB226+战斗公式!$M$27)</f>
        <v>0.418294683257407</v>
      </c>
      <c r="AD226" s="1">
        <f t="shared" si="658"/>
        <v>464619.768944264</v>
      </c>
      <c r="AE226" s="1">
        <f t="shared" si="659"/>
        <v>7.18727440144547</v>
      </c>
      <c r="AF226" s="1">
        <f t="shared" si="660"/>
        <v>3.9840007675601</v>
      </c>
      <c r="AG226" s="1">
        <f t="shared" si="661"/>
        <v>4.27786843578254</v>
      </c>
      <c r="AH226" s="1">
        <f t="shared" si="662"/>
        <v>0.923958152979942</v>
      </c>
      <c r="AI226" s="1">
        <f t="shared" si="663"/>
        <v>1.00001965844572</v>
      </c>
      <c r="AJ226" s="1">
        <f t="shared" si="664"/>
        <v>1.0105709649271</v>
      </c>
      <c r="AK226" s="1">
        <f t="shared" si="665"/>
        <v>1</v>
      </c>
      <c r="AL226" s="10">
        <f t="shared" si="666"/>
        <v>290208</v>
      </c>
      <c r="AM226" s="10">
        <f t="shared" si="667"/>
        <v>23919</v>
      </c>
      <c r="AN226" s="10">
        <f t="shared" si="668"/>
        <v>17258</v>
      </c>
      <c r="AO226" s="1">
        <f t="shared" si="669"/>
        <v>162566</v>
      </c>
      <c r="AP226" s="1">
        <f t="shared" si="670"/>
        <v>23919</v>
      </c>
      <c r="AR226" s="1">
        <f t="shared" ref="AR226:AX226" si="740">ROUNDUP(AR$10*$AO226,0)</f>
        <v>162566</v>
      </c>
      <c r="AS226" s="1">
        <f t="shared" si="740"/>
        <v>487698</v>
      </c>
      <c r="AT226" s="1">
        <f t="shared" si="740"/>
        <v>292619</v>
      </c>
      <c r="AU226" s="1">
        <f t="shared" si="740"/>
        <v>81283</v>
      </c>
      <c r="AV226" s="1">
        <f t="shared" si="740"/>
        <v>24385</v>
      </c>
      <c r="AW226" s="1">
        <f t="shared" si="740"/>
        <v>650264</v>
      </c>
      <c r="AX226" s="1">
        <f t="shared" si="740"/>
        <v>1463094</v>
      </c>
      <c r="AY226" s="1">
        <f t="shared" si="672"/>
        <v>17412822</v>
      </c>
      <c r="AZ226" s="1">
        <f t="shared" si="673"/>
        <v>8706411</v>
      </c>
      <c r="BB226" s="1">
        <f t="shared" si="674"/>
        <v>215</v>
      </c>
    </row>
    <row r="227" spans="2:54">
      <c r="B227" s="4">
        <v>216</v>
      </c>
      <c r="C227" s="1">
        <f t="shared" ref="C227:I227" si="741">C$5+(C$6-C$5)*(POWER(C$7,$B227-1)-1)/(POWER(C$7,$B$3-1)-1)</f>
        <v>17066.4118989267</v>
      </c>
      <c r="D227" s="1">
        <f t="shared" si="741"/>
        <v>5119.92356967802</v>
      </c>
      <c r="E227" s="1">
        <f t="shared" si="741"/>
        <v>3413.28237978535</v>
      </c>
      <c r="F227" s="1">
        <f t="shared" si="741"/>
        <v>43206.1060732322</v>
      </c>
      <c r="G227" s="1">
        <f t="shared" si="741"/>
        <v>12961.8318219697</v>
      </c>
      <c r="H227" s="1">
        <f t="shared" si="741"/>
        <v>8641.22121464645</v>
      </c>
      <c r="I227" s="1">
        <f t="shared" si="741"/>
        <v>0</v>
      </c>
      <c r="J227" s="1">
        <f>标准模型!$I$65/1*$B227/$B$3</f>
        <v>1.5552</v>
      </c>
      <c r="K227" s="1">
        <f>J227*标准模型!$J$63</f>
        <v>1.5552</v>
      </c>
      <c r="L227" s="1">
        <f t="shared" si="649"/>
        <v>60272.5179721589</v>
      </c>
      <c r="M227" s="1">
        <f t="shared" si="650"/>
        <v>26044.260527211</v>
      </c>
      <c r="N227" s="1">
        <f t="shared" si="651"/>
        <v>17362.840351474</v>
      </c>
      <c r="O227" s="1">
        <f t="shared" ref="O227:W227" si="742">O$5+(O$6-O$5)*(POWER(O$7,$B227-1)-1)/(POWER(O$7,$B$3-1)-1)</f>
        <v>0.715461453272707</v>
      </c>
      <c r="P227" s="1">
        <f t="shared" si="742"/>
        <v>0.136698567348965</v>
      </c>
      <c r="Q227" s="1">
        <f t="shared" si="742"/>
        <v>0.393503799299989</v>
      </c>
      <c r="R227" s="1">
        <f t="shared" si="742"/>
        <v>1.08618458130908</v>
      </c>
      <c r="S227" s="1">
        <f t="shared" si="742"/>
        <v>0.330099889254519</v>
      </c>
      <c r="T227" s="1">
        <f t="shared" si="742"/>
        <v>2.84029966776356</v>
      </c>
      <c r="U227" s="1">
        <f t="shared" si="742"/>
        <v>1</v>
      </c>
      <c r="V227" s="1">
        <f t="shared" si="742"/>
        <v>1.23498189262904</v>
      </c>
      <c r="W227" s="1">
        <f t="shared" si="742"/>
        <v>1.68947665047266</v>
      </c>
      <c r="X227" s="1">
        <f t="shared" si="653"/>
        <v>2.51375701130625</v>
      </c>
      <c r="Y227" s="1">
        <f t="shared" si="654"/>
        <v>4.53799047806192</v>
      </c>
      <c r="Z227" s="1">
        <f t="shared" si="655"/>
        <v>273516.112646473</v>
      </c>
      <c r="AA227" s="1">
        <f t="shared" si="656"/>
        <v>26044.260527211</v>
      </c>
      <c r="AB227" s="1">
        <f t="shared" si="657"/>
        <v>17362.840351474</v>
      </c>
      <c r="AC227" s="1">
        <f>AB227/(AB227+战斗公式!$M$27)</f>
        <v>0.419769053670785</v>
      </c>
      <c r="AD227" s="1">
        <f t="shared" si="658"/>
        <v>471391.804206327</v>
      </c>
      <c r="AE227" s="1">
        <f t="shared" si="659"/>
        <v>7.20023550362784</v>
      </c>
      <c r="AF227" s="1">
        <f t="shared" si="660"/>
        <v>3.98847079292037</v>
      </c>
      <c r="AG227" s="1">
        <f t="shared" si="661"/>
        <v>4.28400207674522</v>
      </c>
      <c r="AH227" s="1">
        <f t="shared" si="662"/>
        <v>0.927545047827872</v>
      </c>
      <c r="AI227" s="1">
        <f t="shared" si="663"/>
        <v>1.00001867552299</v>
      </c>
      <c r="AJ227" s="1">
        <f t="shared" si="664"/>
        <v>1.01035887582117</v>
      </c>
      <c r="AK227" s="1">
        <f t="shared" si="665"/>
        <v>1</v>
      </c>
      <c r="AL227" s="10">
        <f t="shared" si="666"/>
        <v>293783</v>
      </c>
      <c r="AM227" s="10">
        <f t="shared" si="667"/>
        <v>24157</v>
      </c>
      <c r="AN227" s="10">
        <f t="shared" si="668"/>
        <v>17363</v>
      </c>
      <c r="AO227" s="1">
        <f t="shared" si="669"/>
        <v>164423</v>
      </c>
      <c r="AP227" s="1">
        <f t="shared" si="670"/>
        <v>24157</v>
      </c>
      <c r="AR227" s="1">
        <f t="shared" ref="AR227:AX227" si="743">ROUNDUP(AR$10*$AO227,0)</f>
        <v>164423</v>
      </c>
      <c r="AS227" s="1">
        <f t="shared" si="743"/>
        <v>493269</v>
      </c>
      <c r="AT227" s="1">
        <f t="shared" si="743"/>
        <v>295962</v>
      </c>
      <c r="AU227" s="1">
        <f t="shared" si="743"/>
        <v>82212</v>
      </c>
      <c r="AV227" s="1">
        <f t="shared" si="743"/>
        <v>24664</v>
      </c>
      <c r="AW227" s="1">
        <f t="shared" si="743"/>
        <v>657692</v>
      </c>
      <c r="AX227" s="1">
        <f t="shared" si="743"/>
        <v>1479807</v>
      </c>
      <c r="AY227" s="1">
        <f t="shared" si="672"/>
        <v>17627309</v>
      </c>
      <c r="AZ227" s="1">
        <f t="shared" si="673"/>
        <v>8813655</v>
      </c>
      <c r="BB227" s="1">
        <f t="shared" si="674"/>
        <v>216</v>
      </c>
    </row>
    <row r="228" spans="2:54">
      <c r="B228" s="4">
        <v>217</v>
      </c>
      <c r="C228" s="1">
        <f t="shared" ref="C228:I228" si="744">C$5+(C$6-C$5)*(POWER(C$7,$B228-1)-1)/(POWER(C$7,$B$3-1)-1)</f>
        <v>17145.4145841597</v>
      </c>
      <c r="D228" s="1">
        <f t="shared" si="744"/>
        <v>5143.62437524792</v>
      </c>
      <c r="E228" s="1">
        <f t="shared" si="744"/>
        <v>3429.08291683195</v>
      </c>
      <c r="F228" s="1">
        <f t="shared" si="744"/>
        <v>43406.1128712905</v>
      </c>
      <c r="G228" s="1">
        <f t="shared" si="744"/>
        <v>13021.8338613871</v>
      </c>
      <c r="H228" s="1">
        <f t="shared" si="744"/>
        <v>8681.22257425809</v>
      </c>
      <c r="I228" s="1">
        <f t="shared" si="744"/>
        <v>0</v>
      </c>
      <c r="J228" s="1">
        <f>标准模型!$I$65/1*$B228/$B$3</f>
        <v>1.5624</v>
      </c>
      <c r="K228" s="1">
        <f>J228*标准模型!$J$63</f>
        <v>1.5624</v>
      </c>
      <c r="L228" s="1">
        <f t="shared" si="649"/>
        <v>60551.5274554502</v>
      </c>
      <c r="M228" s="1">
        <f t="shared" si="650"/>
        <v>26201.8569605224</v>
      </c>
      <c r="N228" s="1">
        <f t="shared" si="651"/>
        <v>17467.9046403483</v>
      </c>
      <c r="O228" s="1">
        <f t="shared" ref="O228:W228" si="745">O$5+(O$6-O$5)*(POWER(O$7,$B228-1)-1)/(POWER(O$7,$B$3-1)-1)</f>
        <v>0.716463491339131</v>
      </c>
      <c r="P228" s="1">
        <f t="shared" si="745"/>
        <v>0.137442872325518</v>
      </c>
      <c r="Q228" s="1">
        <f t="shared" si="745"/>
        <v>0.394054920236522</v>
      </c>
      <c r="R228" s="1">
        <f t="shared" si="745"/>
        <v>1.08658539653565</v>
      </c>
      <c r="S228" s="1">
        <f t="shared" si="745"/>
        <v>0.33140253874087</v>
      </c>
      <c r="T228" s="1">
        <f t="shared" si="745"/>
        <v>2.84420761622261</v>
      </c>
      <c r="U228" s="1">
        <f t="shared" si="745"/>
        <v>1</v>
      </c>
      <c r="V228" s="1">
        <f t="shared" si="745"/>
        <v>1.23607471363139</v>
      </c>
      <c r="W228" s="1">
        <f t="shared" si="745"/>
        <v>1.69268317228522</v>
      </c>
      <c r="X228" s="1">
        <f t="shared" si="653"/>
        <v>2.53041951572231</v>
      </c>
      <c r="Y228" s="1">
        <f t="shared" si="654"/>
        <v>4.57117778720888</v>
      </c>
      <c r="Z228" s="1">
        <f t="shared" si="655"/>
        <v>276791.797285923</v>
      </c>
      <c r="AA228" s="1">
        <f t="shared" si="656"/>
        <v>26201.8569605224</v>
      </c>
      <c r="AB228" s="1">
        <f t="shared" si="657"/>
        <v>17467.9046403483</v>
      </c>
      <c r="AC228" s="1">
        <f>AB228/(AB228+战斗公式!$M$27)</f>
        <v>0.421239143666594</v>
      </c>
      <c r="AD228" s="1">
        <f t="shared" si="658"/>
        <v>478248.993961802</v>
      </c>
      <c r="AE228" s="1">
        <f t="shared" si="659"/>
        <v>7.21322476865126</v>
      </c>
      <c r="AF228" s="1">
        <f t="shared" si="660"/>
        <v>3.99295008322822</v>
      </c>
      <c r="AG228" s="1">
        <f t="shared" si="661"/>
        <v>4.29008971540069</v>
      </c>
      <c r="AH228" s="1">
        <f t="shared" si="662"/>
        <v>0.931139116465498</v>
      </c>
      <c r="AI228" s="1">
        <f t="shared" si="663"/>
        <v>1.0000177417464</v>
      </c>
      <c r="AJ228" s="1">
        <f t="shared" si="664"/>
        <v>1.01015102849736</v>
      </c>
      <c r="AK228" s="1">
        <f t="shared" si="665"/>
        <v>1</v>
      </c>
      <c r="AL228" s="10">
        <f t="shared" si="666"/>
        <v>297390</v>
      </c>
      <c r="AM228" s="10">
        <f t="shared" si="667"/>
        <v>24398</v>
      </c>
      <c r="AN228" s="10">
        <f t="shared" si="668"/>
        <v>17468</v>
      </c>
      <c r="AO228" s="1">
        <f t="shared" si="669"/>
        <v>166294</v>
      </c>
      <c r="AP228" s="1">
        <f t="shared" si="670"/>
        <v>24398</v>
      </c>
      <c r="AR228" s="1">
        <f t="shared" ref="AR228:AX228" si="746">ROUNDUP(AR$10*$AO228,0)</f>
        <v>166294</v>
      </c>
      <c r="AS228" s="1">
        <f t="shared" si="746"/>
        <v>498882</v>
      </c>
      <c r="AT228" s="1">
        <f t="shared" si="746"/>
        <v>299330</v>
      </c>
      <c r="AU228" s="1">
        <f t="shared" si="746"/>
        <v>83147</v>
      </c>
      <c r="AV228" s="1">
        <f t="shared" si="746"/>
        <v>24945</v>
      </c>
      <c r="AW228" s="1">
        <f t="shared" si="746"/>
        <v>665176</v>
      </c>
      <c r="AX228" s="1">
        <f t="shared" si="746"/>
        <v>1496646</v>
      </c>
      <c r="AY228" s="1">
        <f t="shared" si="672"/>
        <v>17843717</v>
      </c>
      <c r="AZ228" s="1">
        <f t="shared" si="673"/>
        <v>8921858</v>
      </c>
      <c r="BB228" s="1">
        <f t="shared" si="674"/>
        <v>217</v>
      </c>
    </row>
    <row r="229" spans="2:54">
      <c r="B229" s="4">
        <v>218</v>
      </c>
      <c r="C229" s="1">
        <f t="shared" ref="C229:I229" si="747">C$5+(C$6-C$5)*(POWER(C$7,$B229-1)-1)/(POWER(C$7,$B$3-1)-1)</f>
        <v>17224.4171903836</v>
      </c>
      <c r="D229" s="1">
        <f t="shared" si="747"/>
        <v>5167.32515711507</v>
      </c>
      <c r="E229" s="1">
        <f t="shared" si="747"/>
        <v>3444.88343807672</v>
      </c>
      <c r="F229" s="1">
        <f t="shared" si="747"/>
        <v>43606.1194693255</v>
      </c>
      <c r="G229" s="1">
        <f t="shared" si="747"/>
        <v>13081.8358407977</v>
      </c>
      <c r="H229" s="1">
        <f t="shared" si="747"/>
        <v>8721.2238938651</v>
      </c>
      <c r="I229" s="1">
        <f t="shared" si="747"/>
        <v>0</v>
      </c>
      <c r="J229" s="1">
        <f>标准模型!$I$65/1*$B229/$B$3</f>
        <v>1.5696</v>
      </c>
      <c r="K229" s="1">
        <f>J229*标准模型!$J$63</f>
        <v>1.5696</v>
      </c>
      <c r="L229" s="1">
        <f t="shared" si="649"/>
        <v>60830.5366597091</v>
      </c>
      <c r="M229" s="1">
        <f t="shared" si="650"/>
        <v>26359.7945645205</v>
      </c>
      <c r="N229" s="1">
        <f t="shared" si="651"/>
        <v>17573.196376347</v>
      </c>
      <c r="O229" s="1">
        <f t="shared" ref="O229:W229" si="748">O$5+(O$6-O$5)*(POWER(O$7,$B229-1)-1)/(POWER(O$7,$B$3-1)-1)</f>
        <v>0.717465528403434</v>
      </c>
      <c r="P229" s="1">
        <f t="shared" si="748"/>
        <v>0.138188293759536</v>
      </c>
      <c r="Q229" s="1">
        <f t="shared" si="748"/>
        <v>0.394606040621889</v>
      </c>
      <c r="R229" s="1">
        <f t="shared" si="748"/>
        <v>1.08698621136137</v>
      </c>
      <c r="S229" s="1">
        <f t="shared" si="748"/>
        <v>0.332705186924465</v>
      </c>
      <c r="T229" s="1">
        <f t="shared" si="748"/>
        <v>2.84811556077339</v>
      </c>
      <c r="U229" s="1">
        <f t="shared" si="748"/>
        <v>1</v>
      </c>
      <c r="V229" s="1">
        <f t="shared" si="748"/>
        <v>1.23716753354084</v>
      </c>
      <c r="W229" s="1">
        <f t="shared" si="748"/>
        <v>1.69588969089099</v>
      </c>
      <c r="X229" s="1">
        <f t="shared" si="653"/>
        <v>2.54717831752884</v>
      </c>
      <c r="Y229" s="1">
        <f t="shared" si="654"/>
        <v>4.60458037552017</v>
      </c>
      <c r="Z229" s="1">
        <f t="shared" si="655"/>
        <v>280099.095335657</v>
      </c>
      <c r="AA229" s="1">
        <f t="shared" si="656"/>
        <v>26359.7945645205</v>
      </c>
      <c r="AB229" s="1">
        <f t="shared" si="657"/>
        <v>17573.196376347</v>
      </c>
      <c r="AC229" s="1">
        <f>AB229/(AB229+战斗公式!$M$27)</f>
        <v>0.422704961563775</v>
      </c>
      <c r="AD229" s="1">
        <f t="shared" si="658"/>
        <v>485192.278967768</v>
      </c>
      <c r="AE229" s="1">
        <f t="shared" si="659"/>
        <v>7.22624215181265</v>
      </c>
      <c r="AF229" s="1">
        <f t="shared" si="660"/>
        <v>3.99743859921888</v>
      </c>
      <c r="AG229" s="1">
        <f t="shared" si="661"/>
        <v>4.29613169676623</v>
      </c>
      <c r="AH229" s="1">
        <f t="shared" si="662"/>
        <v>0.934740373240399</v>
      </c>
      <c r="AI229" s="1">
        <f t="shared" si="663"/>
        <v>1.00001685465864</v>
      </c>
      <c r="AJ229" s="1">
        <f t="shared" si="664"/>
        <v>1.00994733812003</v>
      </c>
      <c r="AK229" s="1">
        <f t="shared" si="665"/>
        <v>1</v>
      </c>
      <c r="AL229" s="10">
        <f t="shared" si="666"/>
        <v>301028</v>
      </c>
      <c r="AM229" s="10">
        <f t="shared" si="667"/>
        <v>24640</v>
      </c>
      <c r="AN229" s="10">
        <f t="shared" si="668"/>
        <v>17573</v>
      </c>
      <c r="AO229" s="1">
        <f t="shared" si="669"/>
        <v>168180</v>
      </c>
      <c r="AP229" s="1">
        <f t="shared" si="670"/>
        <v>24640</v>
      </c>
      <c r="AR229" s="1">
        <f t="shared" ref="AR229:AX229" si="749">ROUNDUP(AR$10*$AO229,0)</f>
        <v>168180</v>
      </c>
      <c r="AS229" s="1">
        <f t="shared" si="749"/>
        <v>504540</v>
      </c>
      <c r="AT229" s="1">
        <f t="shared" si="749"/>
        <v>302724</v>
      </c>
      <c r="AU229" s="1">
        <f t="shared" si="749"/>
        <v>84090</v>
      </c>
      <c r="AV229" s="1">
        <f t="shared" si="749"/>
        <v>25227</v>
      </c>
      <c r="AW229" s="1">
        <f t="shared" si="749"/>
        <v>672720</v>
      </c>
      <c r="AX229" s="1">
        <f t="shared" si="749"/>
        <v>1513620</v>
      </c>
      <c r="AY229" s="1">
        <f t="shared" si="672"/>
        <v>18061984</v>
      </c>
      <c r="AZ229" s="1">
        <f t="shared" si="673"/>
        <v>9030992</v>
      </c>
      <c r="BB229" s="1">
        <f t="shared" si="674"/>
        <v>218</v>
      </c>
    </row>
    <row r="230" spans="2:54">
      <c r="B230" s="4">
        <v>219</v>
      </c>
      <c r="C230" s="1">
        <f t="shared" ref="C230:I230" si="750">C$5+(C$6-C$5)*(POWER(C$7,$B230-1)-1)/(POWER(C$7,$B$3-1)-1)</f>
        <v>17303.419717607</v>
      </c>
      <c r="D230" s="1">
        <f t="shared" si="750"/>
        <v>5191.02591528211</v>
      </c>
      <c r="E230" s="1">
        <f t="shared" si="750"/>
        <v>3460.68394352141</v>
      </c>
      <c r="F230" s="1">
        <f t="shared" si="750"/>
        <v>43806.1258673596</v>
      </c>
      <c r="G230" s="1">
        <f t="shared" si="750"/>
        <v>13141.8377602079</v>
      </c>
      <c r="H230" s="1">
        <f t="shared" si="750"/>
        <v>8761.22517347192</v>
      </c>
      <c r="I230" s="1">
        <f t="shared" si="750"/>
        <v>0</v>
      </c>
      <c r="J230" s="1">
        <f>标准模型!$I$65/1*$B230/$B$3</f>
        <v>1.5768</v>
      </c>
      <c r="K230" s="1">
        <f>J230*标准模型!$J$63</f>
        <v>1.5768</v>
      </c>
      <c r="L230" s="1">
        <f t="shared" si="649"/>
        <v>61109.5455849666</v>
      </c>
      <c r="M230" s="1">
        <f t="shared" si="650"/>
        <v>26518.0733387068</v>
      </c>
      <c r="N230" s="1">
        <f t="shared" si="651"/>
        <v>17678.7155591379</v>
      </c>
      <c r="O230" s="1">
        <f t="shared" ref="O230:W230" si="751">O$5+(O$6-O$5)*(POWER(O$7,$B230-1)-1)/(POWER(O$7,$B$3-1)-1)</f>
        <v>0.718467564465729</v>
      </c>
      <c r="P230" s="1">
        <f t="shared" si="751"/>
        <v>0.138934833325705</v>
      </c>
      <c r="Q230" s="1">
        <f t="shared" si="751"/>
        <v>0.395157160456151</v>
      </c>
      <c r="R230" s="1">
        <f t="shared" si="751"/>
        <v>1.08738702578629</v>
      </c>
      <c r="S230" s="1">
        <f t="shared" si="751"/>
        <v>0.334007833805448</v>
      </c>
      <c r="T230" s="1">
        <f t="shared" si="751"/>
        <v>2.85202350141635</v>
      </c>
      <c r="U230" s="1">
        <f t="shared" si="751"/>
        <v>1</v>
      </c>
      <c r="V230" s="1">
        <f t="shared" si="751"/>
        <v>1.2382603523575</v>
      </c>
      <c r="W230" s="1">
        <f t="shared" si="751"/>
        <v>1.69909620629033</v>
      </c>
      <c r="X230" s="1">
        <f t="shared" si="653"/>
        <v>2.56403388159452</v>
      </c>
      <c r="Y230" s="1">
        <f t="shared" si="654"/>
        <v>4.63819943825617</v>
      </c>
      <c r="Z230" s="1">
        <f t="shared" si="655"/>
        <v>283438.260004282</v>
      </c>
      <c r="AA230" s="1">
        <f t="shared" si="656"/>
        <v>26518.0733387068</v>
      </c>
      <c r="AB230" s="1">
        <f t="shared" si="657"/>
        <v>17678.7155591379</v>
      </c>
      <c r="AC230" s="1">
        <f>AB230/(AB230+战斗公式!$M$27)</f>
        <v>0.424166515737597</v>
      </c>
      <c r="AD230" s="1">
        <f t="shared" si="658"/>
        <v>492222.609053977</v>
      </c>
      <c r="AE230" s="1">
        <f t="shared" si="659"/>
        <v>7.2392876086496</v>
      </c>
      <c r="AF230" s="1">
        <f t="shared" si="660"/>
        <v>4.00193630185158</v>
      </c>
      <c r="AG230" s="1">
        <f t="shared" si="661"/>
        <v>4.30212836327154</v>
      </c>
      <c r="AH230" s="1">
        <f t="shared" si="662"/>
        <v>0.93834883252885</v>
      </c>
      <c r="AI230" s="1">
        <f t="shared" si="663"/>
        <v>1.00001601192527</v>
      </c>
      <c r="AJ230" s="1">
        <f t="shared" si="664"/>
        <v>1.00974772155024</v>
      </c>
      <c r="AK230" s="1">
        <f t="shared" si="665"/>
        <v>1</v>
      </c>
      <c r="AL230" s="10">
        <f t="shared" si="666"/>
        <v>304699</v>
      </c>
      <c r="AM230" s="10">
        <f t="shared" si="667"/>
        <v>24883</v>
      </c>
      <c r="AN230" s="10">
        <f t="shared" si="668"/>
        <v>17679</v>
      </c>
      <c r="AO230" s="1">
        <f t="shared" si="669"/>
        <v>170082</v>
      </c>
      <c r="AP230" s="1">
        <f t="shared" si="670"/>
        <v>24883</v>
      </c>
      <c r="AR230" s="1">
        <f t="shared" ref="AR230:AX230" si="752">ROUNDUP(AR$10*$AO230,0)</f>
        <v>170082</v>
      </c>
      <c r="AS230" s="1">
        <f t="shared" si="752"/>
        <v>510246</v>
      </c>
      <c r="AT230" s="1">
        <f t="shared" si="752"/>
        <v>306148</v>
      </c>
      <c r="AU230" s="1">
        <f t="shared" si="752"/>
        <v>85041</v>
      </c>
      <c r="AV230" s="1">
        <f t="shared" si="752"/>
        <v>25513</v>
      </c>
      <c r="AW230" s="1">
        <f t="shared" si="752"/>
        <v>680328</v>
      </c>
      <c r="AX230" s="1">
        <f t="shared" si="752"/>
        <v>1530738</v>
      </c>
      <c r="AY230" s="1">
        <f t="shared" si="672"/>
        <v>18282233</v>
      </c>
      <c r="AZ230" s="1">
        <f t="shared" si="673"/>
        <v>9141116</v>
      </c>
      <c r="BB230" s="1">
        <f t="shared" si="674"/>
        <v>219</v>
      </c>
    </row>
    <row r="231" spans="2:54">
      <c r="B231" s="4">
        <v>220</v>
      </c>
      <c r="C231" s="1">
        <f t="shared" ref="C231:I231" si="753">C$5+(C$6-C$5)*(POWER(C$7,$B231-1)-1)/(POWER(C$7,$B$3-1)-1)</f>
        <v>17382.4221658214</v>
      </c>
      <c r="D231" s="1">
        <f t="shared" si="753"/>
        <v>5214.72664974641</v>
      </c>
      <c r="E231" s="1">
        <f t="shared" si="753"/>
        <v>3476.48443316427</v>
      </c>
      <c r="F231" s="1">
        <f t="shared" si="753"/>
        <v>44006.1320653705</v>
      </c>
      <c r="G231" s="1">
        <f t="shared" si="753"/>
        <v>13201.8396196112</v>
      </c>
      <c r="H231" s="1">
        <f t="shared" si="753"/>
        <v>8801.22641307411</v>
      </c>
      <c r="I231" s="1">
        <f t="shared" si="753"/>
        <v>0</v>
      </c>
      <c r="J231" s="1">
        <f>标准模型!$I$65/1*$B231/$B$3</f>
        <v>1.584</v>
      </c>
      <c r="K231" s="1">
        <f>J231*标准模型!$J$63</f>
        <v>1.584</v>
      </c>
      <c r="L231" s="1">
        <f t="shared" si="649"/>
        <v>61388.5542311919</v>
      </c>
      <c r="M231" s="1">
        <f t="shared" si="650"/>
        <v>26676.6932825559</v>
      </c>
      <c r="N231" s="1">
        <f t="shared" si="651"/>
        <v>17784.4621883706</v>
      </c>
      <c r="O231" s="1">
        <f t="shared" ref="O231:W231" si="754">O$5+(O$6-O$5)*(POWER(O$7,$B231-1)-1)/(POWER(O$7,$B$3-1)-1)</f>
        <v>0.719469599525905</v>
      </c>
      <c r="P231" s="1">
        <f t="shared" si="754"/>
        <v>0.139682492701223</v>
      </c>
      <c r="Q231" s="1">
        <f t="shared" si="754"/>
        <v>0.395708279739247</v>
      </c>
      <c r="R231" s="1">
        <f t="shared" si="754"/>
        <v>1.08778783981036</v>
      </c>
      <c r="S231" s="1">
        <f t="shared" si="754"/>
        <v>0.335310479383676</v>
      </c>
      <c r="T231" s="1">
        <f t="shared" si="754"/>
        <v>2.85593143815103</v>
      </c>
      <c r="U231" s="1">
        <f t="shared" si="754"/>
        <v>1</v>
      </c>
      <c r="V231" s="1">
        <f t="shared" si="754"/>
        <v>1.23935317008124</v>
      </c>
      <c r="W231" s="1">
        <f t="shared" si="754"/>
        <v>1.70230271848289</v>
      </c>
      <c r="X231" s="1">
        <f t="shared" si="653"/>
        <v>2.58098667446558</v>
      </c>
      <c r="Y231" s="1">
        <f t="shared" si="654"/>
        <v>4.67203617594234</v>
      </c>
      <c r="Z231" s="1">
        <f t="shared" si="655"/>
        <v>286809.546156927</v>
      </c>
      <c r="AA231" s="1">
        <f t="shared" si="656"/>
        <v>26676.6932825559</v>
      </c>
      <c r="AB231" s="1">
        <f t="shared" si="657"/>
        <v>17784.4621883706</v>
      </c>
      <c r="AC231" s="1">
        <f>AB231/(AB231+战斗公式!$M$27)</f>
        <v>0.425623814617874</v>
      </c>
      <c r="AD231" s="1">
        <f t="shared" si="658"/>
        <v>499340.943194077</v>
      </c>
      <c r="AE231" s="1">
        <f t="shared" si="659"/>
        <v>7.25236109492686</v>
      </c>
      <c r="AF231" s="1">
        <f t="shared" si="660"/>
        <v>4.00644315230358</v>
      </c>
      <c r="AG231" s="1">
        <f t="shared" si="661"/>
        <v>4.30808005477806</v>
      </c>
      <c r="AH231" s="1">
        <f t="shared" si="662"/>
        <v>0.941964508735878</v>
      </c>
      <c r="AI231" s="1">
        <f t="shared" si="663"/>
        <v>1.00001521132856</v>
      </c>
      <c r="AJ231" s="1">
        <f t="shared" si="664"/>
        <v>1.00955209731184</v>
      </c>
      <c r="AK231" s="1">
        <f t="shared" si="665"/>
        <v>1</v>
      </c>
      <c r="AL231" s="10">
        <f t="shared" si="666"/>
        <v>308403</v>
      </c>
      <c r="AM231" s="10">
        <f t="shared" si="667"/>
        <v>25128</v>
      </c>
      <c r="AN231" s="10">
        <f t="shared" si="668"/>
        <v>17784</v>
      </c>
      <c r="AO231" s="1">
        <f t="shared" si="669"/>
        <v>171999</v>
      </c>
      <c r="AP231" s="1">
        <f t="shared" si="670"/>
        <v>25128</v>
      </c>
      <c r="AR231" s="1">
        <f t="shared" ref="AR231:AX231" si="755">ROUNDUP(AR$10*$AO231,0)</f>
        <v>171999</v>
      </c>
      <c r="AS231" s="1">
        <f t="shared" si="755"/>
        <v>515997</v>
      </c>
      <c r="AT231" s="1">
        <f t="shared" si="755"/>
        <v>309599</v>
      </c>
      <c r="AU231" s="1">
        <f t="shared" si="755"/>
        <v>86000</v>
      </c>
      <c r="AV231" s="1">
        <f t="shared" si="755"/>
        <v>25800</v>
      </c>
      <c r="AW231" s="1">
        <f t="shared" si="755"/>
        <v>687996</v>
      </c>
      <c r="AX231" s="1">
        <f t="shared" si="755"/>
        <v>1547991</v>
      </c>
      <c r="AY231" s="1">
        <f t="shared" si="672"/>
        <v>18504461</v>
      </c>
      <c r="AZ231" s="1">
        <f t="shared" si="673"/>
        <v>9252231</v>
      </c>
      <c r="BB231" s="1">
        <f t="shared" si="674"/>
        <v>220</v>
      </c>
    </row>
    <row r="232" spans="2:54">
      <c r="B232" s="4">
        <v>221</v>
      </c>
      <c r="C232" s="1">
        <f t="shared" ref="C232:I232" si="756">C$5+(C$6-C$5)*(POWER(C$7,$B232-1)-1)/(POWER(C$7,$B$3-1)-1)</f>
        <v>17461.4245350441</v>
      </c>
      <c r="D232" s="1">
        <f t="shared" si="756"/>
        <v>5238.42736051322</v>
      </c>
      <c r="E232" s="1">
        <f t="shared" si="756"/>
        <v>3492.28490700882</v>
      </c>
      <c r="F232" s="1">
        <f t="shared" si="756"/>
        <v>44206.1380634027</v>
      </c>
      <c r="G232" s="1">
        <f t="shared" si="756"/>
        <v>13261.8414190208</v>
      </c>
      <c r="H232" s="1">
        <f t="shared" si="756"/>
        <v>8841.22761268054</v>
      </c>
      <c r="I232" s="1">
        <f t="shared" si="756"/>
        <v>0</v>
      </c>
      <c r="J232" s="1">
        <f>标准模型!$I$65/1*$B232/$B$3</f>
        <v>1.5912</v>
      </c>
      <c r="K232" s="1">
        <f>J232*标准模型!$J$63</f>
        <v>1.5912</v>
      </c>
      <c r="L232" s="1">
        <f t="shared" si="649"/>
        <v>61667.5625984468</v>
      </c>
      <c r="M232" s="1">
        <f t="shared" si="650"/>
        <v>26835.6543955827</v>
      </c>
      <c r="N232" s="1">
        <f t="shared" si="651"/>
        <v>17890.4362637218</v>
      </c>
      <c r="O232" s="1">
        <f t="shared" ref="O232:W232" si="757">O$5+(O$6-O$5)*(POWER(O$7,$B232-1)-1)/(POWER(O$7,$B$3-1)-1)</f>
        <v>0.720471633584182</v>
      </c>
      <c r="P232" s="1">
        <f t="shared" si="757"/>
        <v>0.140431273565805</v>
      </c>
      <c r="Q232" s="1">
        <f t="shared" si="757"/>
        <v>0.3962593984713</v>
      </c>
      <c r="R232" s="1">
        <f t="shared" si="757"/>
        <v>1.08818865343367</v>
      </c>
      <c r="S232" s="1">
        <f t="shared" si="757"/>
        <v>0.336613123659436</v>
      </c>
      <c r="T232" s="1">
        <f t="shared" si="757"/>
        <v>2.85983937097831</v>
      </c>
      <c r="U232" s="1">
        <f t="shared" si="757"/>
        <v>1</v>
      </c>
      <c r="V232" s="1">
        <f t="shared" si="757"/>
        <v>1.24044598671232</v>
      </c>
      <c r="W232" s="1">
        <f t="shared" si="757"/>
        <v>1.70550922746938</v>
      </c>
      <c r="X232" s="1">
        <f t="shared" si="653"/>
        <v>2.59803716437814</v>
      </c>
      <c r="Y232" s="1">
        <f t="shared" si="654"/>
        <v>4.70609179440359</v>
      </c>
      <c r="Z232" s="1">
        <f t="shared" si="655"/>
        <v>290213.21032542</v>
      </c>
      <c r="AA232" s="1">
        <f t="shared" si="656"/>
        <v>26835.6543955827</v>
      </c>
      <c r="AB232" s="1">
        <f t="shared" si="657"/>
        <v>17890.4362637218</v>
      </c>
      <c r="AC232" s="1">
        <f>AB232/(AB232+战斗公式!$M$27)</f>
        <v>0.427076866688432</v>
      </c>
      <c r="AD232" s="1">
        <f t="shared" si="658"/>
        <v>506548.249584462</v>
      </c>
      <c r="AE232" s="1">
        <f t="shared" si="659"/>
        <v>7.26546256664599</v>
      </c>
      <c r="AF232" s="1">
        <f t="shared" si="660"/>
        <v>4.01095911197301</v>
      </c>
      <c r="AG232" s="1">
        <f t="shared" si="661"/>
        <v>4.31398710859827</v>
      </c>
      <c r="AH232" s="1">
        <f t="shared" si="662"/>
        <v>0.94558741629532</v>
      </c>
      <c r="AI232" s="1">
        <f t="shared" si="663"/>
        <v>1.0000144507617</v>
      </c>
      <c r="AJ232" s="1">
        <f t="shared" si="664"/>
        <v>1.00936038555822</v>
      </c>
      <c r="AK232" s="1">
        <f t="shared" si="665"/>
        <v>1</v>
      </c>
      <c r="AL232" s="10">
        <f t="shared" si="666"/>
        <v>312139</v>
      </c>
      <c r="AM232" s="10">
        <f t="shared" si="667"/>
        <v>25375</v>
      </c>
      <c r="AN232" s="10">
        <f t="shared" si="668"/>
        <v>17890</v>
      </c>
      <c r="AO232" s="1">
        <f t="shared" si="669"/>
        <v>173932</v>
      </c>
      <c r="AP232" s="1">
        <f t="shared" si="670"/>
        <v>25375</v>
      </c>
      <c r="AR232" s="1">
        <f t="shared" ref="AR232:AX232" si="758">ROUNDUP(AR$10*$AO232,0)</f>
        <v>173932</v>
      </c>
      <c r="AS232" s="1">
        <f t="shared" si="758"/>
        <v>521796</v>
      </c>
      <c r="AT232" s="1">
        <f t="shared" si="758"/>
        <v>313078</v>
      </c>
      <c r="AU232" s="1">
        <f t="shared" si="758"/>
        <v>86966</v>
      </c>
      <c r="AV232" s="1">
        <f t="shared" si="758"/>
        <v>26090</v>
      </c>
      <c r="AW232" s="1">
        <f t="shared" si="758"/>
        <v>695728</v>
      </c>
      <c r="AX232" s="1">
        <f t="shared" si="758"/>
        <v>1565388</v>
      </c>
      <c r="AY232" s="1">
        <f t="shared" si="672"/>
        <v>18728611</v>
      </c>
      <c r="AZ232" s="1">
        <f t="shared" si="673"/>
        <v>9364305</v>
      </c>
      <c r="BB232" s="1">
        <f t="shared" si="674"/>
        <v>221</v>
      </c>
    </row>
    <row r="233" spans="2:54">
      <c r="B233" s="4">
        <v>222</v>
      </c>
      <c r="C233" s="1">
        <f t="shared" ref="C233:I233" si="759">C$5+(C$6-C$5)*(POWER(C$7,$B233-1)-1)/(POWER(C$7,$B$3-1)-1)</f>
        <v>17540.4268252576</v>
      </c>
      <c r="D233" s="1">
        <f t="shared" si="759"/>
        <v>5262.12804757729</v>
      </c>
      <c r="E233" s="1">
        <f t="shared" si="759"/>
        <v>3508.08536505153</v>
      </c>
      <c r="F233" s="1">
        <f t="shared" si="759"/>
        <v>44406.1438614117</v>
      </c>
      <c r="G233" s="1">
        <f t="shared" si="759"/>
        <v>13321.8431584235</v>
      </c>
      <c r="H233" s="1">
        <f t="shared" si="759"/>
        <v>8881.22877228234</v>
      </c>
      <c r="I233" s="1">
        <f t="shared" si="759"/>
        <v>0</v>
      </c>
      <c r="J233" s="1">
        <f>标准模型!$I$65/1*$B233/$B$3</f>
        <v>1.5984</v>
      </c>
      <c r="K233" s="1">
        <f>J233*标准模型!$J$63</f>
        <v>1.5984</v>
      </c>
      <c r="L233" s="1">
        <f t="shared" si="649"/>
        <v>61946.5706866693</v>
      </c>
      <c r="M233" s="1">
        <f t="shared" si="650"/>
        <v>26994.9566772483</v>
      </c>
      <c r="N233" s="1">
        <f t="shared" si="651"/>
        <v>17996.6377848322</v>
      </c>
      <c r="O233" s="1">
        <f t="shared" ref="O233:W233" si="760">O$5+(O$6-O$5)*(POWER(O$7,$B233-1)-1)/(POWER(O$7,$B$3-1)-1)</f>
        <v>0.721473666640339</v>
      </c>
      <c r="P233" s="1">
        <f t="shared" si="760"/>
        <v>0.141181177601683</v>
      </c>
      <c r="Q233" s="1">
        <f t="shared" si="760"/>
        <v>0.396810516652187</v>
      </c>
      <c r="R233" s="1">
        <f t="shared" si="760"/>
        <v>1.08858946665614</v>
      </c>
      <c r="S233" s="1">
        <f t="shared" si="760"/>
        <v>0.337915766632441</v>
      </c>
      <c r="T233" s="1">
        <f t="shared" si="760"/>
        <v>2.86374729989732</v>
      </c>
      <c r="U233" s="1">
        <f t="shared" si="760"/>
        <v>1</v>
      </c>
      <c r="V233" s="1">
        <f t="shared" si="760"/>
        <v>1.24153880225049</v>
      </c>
      <c r="W233" s="1">
        <f t="shared" si="760"/>
        <v>1.70871573324909</v>
      </c>
      <c r="X233" s="1">
        <f t="shared" si="653"/>
        <v>2.61518582125103</v>
      </c>
      <c r="Y233" s="1">
        <f t="shared" si="654"/>
        <v>4.74036750475723</v>
      </c>
      <c r="Z233" s="1">
        <f t="shared" si="655"/>
        <v>293649.510714234</v>
      </c>
      <c r="AA233" s="1">
        <f t="shared" si="656"/>
        <v>26994.9566772483</v>
      </c>
      <c r="AB233" s="1">
        <f t="shared" si="657"/>
        <v>17996.6377848322</v>
      </c>
      <c r="AC233" s="1">
        <f>AB233/(AB233+战斗公式!$M$27)</f>
        <v>0.428525680485118</v>
      </c>
      <c r="AD233" s="1">
        <f t="shared" si="658"/>
        <v>513845.505714955</v>
      </c>
      <c r="AE233" s="1">
        <f t="shared" si="659"/>
        <v>7.27859198002732</v>
      </c>
      <c r="AF233" s="1">
        <f t="shared" si="660"/>
        <v>4.01548414247129</v>
      </c>
      <c r="AG233" s="1">
        <f t="shared" si="661"/>
        <v>4.31984985951484</v>
      </c>
      <c r="AH233" s="1">
        <f t="shared" si="662"/>
        <v>0.949217569669881</v>
      </c>
      <c r="AI233" s="1">
        <f t="shared" si="663"/>
        <v>1.00001372822317</v>
      </c>
      <c r="AJ233" s="1">
        <f t="shared" si="664"/>
        <v>1.00917250803967</v>
      </c>
      <c r="AK233" s="1">
        <f t="shared" si="665"/>
        <v>1</v>
      </c>
      <c r="AL233" s="10">
        <f t="shared" si="666"/>
        <v>315908</v>
      </c>
      <c r="AM233" s="10">
        <f t="shared" si="667"/>
        <v>25624</v>
      </c>
      <c r="AN233" s="10">
        <f t="shared" si="668"/>
        <v>17997</v>
      </c>
      <c r="AO233" s="1">
        <f t="shared" si="669"/>
        <v>175880</v>
      </c>
      <c r="AP233" s="1">
        <f t="shared" si="670"/>
        <v>25624</v>
      </c>
      <c r="AR233" s="1">
        <f t="shared" ref="AR233:AX233" si="761">ROUNDUP(AR$10*$AO233,0)</f>
        <v>175880</v>
      </c>
      <c r="AS233" s="1">
        <f t="shared" si="761"/>
        <v>527640</v>
      </c>
      <c r="AT233" s="1">
        <f t="shared" si="761"/>
        <v>316584</v>
      </c>
      <c r="AU233" s="1">
        <f t="shared" si="761"/>
        <v>87940</v>
      </c>
      <c r="AV233" s="1">
        <f t="shared" si="761"/>
        <v>26382</v>
      </c>
      <c r="AW233" s="1">
        <f t="shared" si="761"/>
        <v>703520</v>
      </c>
      <c r="AX233" s="1">
        <f t="shared" si="761"/>
        <v>1582920</v>
      </c>
      <c r="AY233" s="1">
        <f t="shared" si="672"/>
        <v>18954740</v>
      </c>
      <c r="AZ233" s="1">
        <f t="shared" si="673"/>
        <v>9477370</v>
      </c>
      <c r="BB233" s="1">
        <f t="shared" si="674"/>
        <v>222</v>
      </c>
    </row>
    <row r="234" spans="2:54">
      <c r="B234" s="4">
        <v>223</v>
      </c>
      <c r="C234" s="1">
        <f t="shared" ref="C234:I234" si="762">C$5+(C$6-C$5)*(POWER(C$7,$B234-1)-1)/(POWER(C$7,$B$3-1)-1)</f>
        <v>17619.4290364708</v>
      </c>
      <c r="D234" s="1">
        <f t="shared" si="762"/>
        <v>5285.82871094124</v>
      </c>
      <c r="E234" s="1">
        <f t="shared" si="762"/>
        <v>3523.88580729416</v>
      </c>
      <c r="F234" s="1">
        <f t="shared" si="762"/>
        <v>44606.1494594198</v>
      </c>
      <c r="G234" s="1">
        <f t="shared" si="762"/>
        <v>13381.8448378259</v>
      </c>
      <c r="H234" s="1">
        <f t="shared" si="762"/>
        <v>8921.22989188396</v>
      </c>
      <c r="I234" s="1">
        <f t="shared" si="762"/>
        <v>0</v>
      </c>
      <c r="J234" s="1">
        <f>标准模型!$I$65/1*$B234/$B$3</f>
        <v>1.6056</v>
      </c>
      <c r="K234" s="1">
        <f>J234*标准模型!$J$63</f>
        <v>1.6056</v>
      </c>
      <c r="L234" s="1">
        <f t="shared" si="649"/>
        <v>62225.5784958906</v>
      </c>
      <c r="M234" s="1">
        <f t="shared" si="650"/>
        <v>27154.6001270544</v>
      </c>
      <c r="N234" s="1">
        <f t="shared" si="651"/>
        <v>18103.0667513696</v>
      </c>
      <c r="O234" s="1">
        <f t="shared" ref="O234:W234" si="763">O$5+(O$6-O$5)*(POWER(O$7,$B234-1)-1)/(POWER(O$7,$B$3-1)-1)</f>
        <v>0.722475698694488</v>
      </c>
      <c r="P234" s="1">
        <f t="shared" si="763"/>
        <v>0.141932206493615</v>
      </c>
      <c r="Q234" s="1">
        <f t="shared" si="763"/>
        <v>0.397361634281968</v>
      </c>
      <c r="R234" s="1">
        <f t="shared" si="763"/>
        <v>1.0889902794778</v>
      </c>
      <c r="S234" s="1">
        <f t="shared" si="763"/>
        <v>0.339218408302834</v>
      </c>
      <c r="T234" s="1">
        <f t="shared" si="763"/>
        <v>2.8676552249085</v>
      </c>
      <c r="U234" s="1">
        <f t="shared" si="763"/>
        <v>1</v>
      </c>
      <c r="V234" s="1">
        <f t="shared" si="763"/>
        <v>1.24263161669587</v>
      </c>
      <c r="W234" s="1">
        <f t="shared" si="763"/>
        <v>1.71192223582236</v>
      </c>
      <c r="X234" s="1">
        <f t="shared" si="653"/>
        <v>2.63243311670135</v>
      </c>
      <c r="Y234" s="1">
        <f t="shared" si="654"/>
        <v>4.7748645234544</v>
      </c>
      <c r="Z234" s="1">
        <f t="shared" si="655"/>
        <v>297118.707211455</v>
      </c>
      <c r="AA234" s="1">
        <f t="shared" si="656"/>
        <v>27154.6001270544</v>
      </c>
      <c r="AB234" s="1">
        <f t="shared" si="657"/>
        <v>18103.0667513696</v>
      </c>
      <c r="AC234" s="1">
        <f>AB234/(AB234+战斗公式!$M$27)</f>
        <v>0.429970264595529</v>
      </c>
      <c r="AD234" s="1">
        <f t="shared" si="658"/>
        <v>521233.698450189</v>
      </c>
      <c r="AE234" s="1">
        <f t="shared" si="659"/>
        <v>7.29174929152416</v>
      </c>
      <c r="AF234" s="1">
        <f t="shared" si="660"/>
        <v>4.02001820562754</v>
      </c>
      <c r="AG234" s="1">
        <f t="shared" si="661"/>
        <v>4.32566863979953</v>
      </c>
      <c r="AH234" s="1">
        <f t="shared" si="662"/>
        <v>0.952854983351191</v>
      </c>
      <c r="AI234" s="1">
        <f t="shared" si="663"/>
        <v>1.00001304181157</v>
      </c>
      <c r="AJ234" s="1">
        <f t="shared" si="664"/>
        <v>1.00898838807149</v>
      </c>
      <c r="AK234" s="1">
        <f t="shared" si="665"/>
        <v>1</v>
      </c>
      <c r="AL234" s="10">
        <f t="shared" si="666"/>
        <v>319709</v>
      </c>
      <c r="AM234" s="10">
        <f t="shared" si="667"/>
        <v>25874</v>
      </c>
      <c r="AN234" s="10">
        <f t="shared" si="668"/>
        <v>18103</v>
      </c>
      <c r="AO234" s="1">
        <f t="shared" si="669"/>
        <v>177843</v>
      </c>
      <c r="AP234" s="1">
        <f t="shared" si="670"/>
        <v>25874</v>
      </c>
      <c r="AR234" s="1">
        <f t="shared" ref="AR234:AX234" si="764">ROUNDUP(AR$10*$AO234,0)</f>
        <v>177843</v>
      </c>
      <c r="AS234" s="1">
        <f t="shared" si="764"/>
        <v>533529</v>
      </c>
      <c r="AT234" s="1">
        <f t="shared" si="764"/>
        <v>320118</v>
      </c>
      <c r="AU234" s="1">
        <f t="shared" si="764"/>
        <v>88922</v>
      </c>
      <c r="AV234" s="1">
        <f t="shared" si="764"/>
        <v>26677</v>
      </c>
      <c r="AW234" s="1">
        <f t="shared" si="764"/>
        <v>711372</v>
      </c>
      <c r="AX234" s="1">
        <f t="shared" si="764"/>
        <v>1600587</v>
      </c>
      <c r="AY234" s="1">
        <f t="shared" si="672"/>
        <v>19182790</v>
      </c>
      <c r="AZ234" s="1">
        <f t="shared" si="673"/>
        <v>9591395</v>
      </c>
      <c r="BB234" s="1">
        <f t="shared" si="674"/>
        <v>223</v>
      </c>
    </row>
    <row r="235" spans="2:54">
      <c r="B235" s="4">
        <v>224</v>
      </c>
      <c r="C235" s="1">
        <f t="shared" ref="C235:I235" si="765">C$5+(C$6-C$5)*(POWER(C$7,$B235-1)-1)/(POWER(C$7,$B$3-1)-1)</f>
        <v>17698.4311686748</v>
      </c>
      <c r="D235" s="1">
        <f t="shared" si="765"/>
        <v>5309.52935060245</v>
      </c>
      <c r="E235" s="1">
        <f t="shared" si="765"/>
        <v>3539.68623373497</v>
      </c>
      <c r="F235" s="1">
        <f t="shared" si="765"/>
        <v>44806.1548574047</v>
      </c>
      <c r="G235" s="1">
        <f t="shared" si="765"/>
        <v>13441.8464572214</v>
      </c>
      <c r="H235" s="1">
        <f t="shared" si="765"/>
        <v>8961.23097148093</v>
      </c>
      <c r="I235" s="1">
        <f t="shared" si="765"/>
        <v>0</v>
      </c>
      <c r="J235" s="1">
        <f>标准模型!$I$65/1*$B235/$B$3</f>
        <v>1.6128</v>
      </c>
      <c r="K235" s="1">
        <f>J235*标准模型!$J$63</f>
        <v>1.6128</v>
      </c>
      <c r="L235" s="1">
        <f t="shared" si="649"/>
        <v>62504.5860260795</v>
      </c>
      <c r="M235" s="1">
        <f t="shared" si="650"/>
        <v>27314.5847444755</v>
      </c>
      <c r="N235" s="1">
        <f t="shared" si="651"/>
        <v>18209.7231629837</v>
      </c>
      <c r="O235" s="1">
        <f t="shared" ref="O235:W235" si="766">O$5+(O$6-O$5)*(POWER(O$7,$B235-1)-1)/(POWER(O$7,$B$3-1)-1)</f>
        <v>0.723477729746516</v>
      </c>
      <c r="P235" s="1">
        <f t="shared" si="766"/>
        <v>0.142684361928885</v>
      </c>
      <c r="Q235" s="1">
        <f t="shared" si="766"/>
        <v>0.397912751360584</v>
      </c>
      <c r="R235" s="1">
        <f t="shared" si="766"/>
        <v>1.08939109189861</v>
      </c>
      <c r="S235" s="1">
        <f t="shared" si="766"/>
        <v>0.340521048670471</v>
      </c>
      <c r="T235" s="1">
        <f t="shared" si="766"/>
        <v>2.87156314601141</v>
      </c>
      <c r="U235" s="1">
        <f t="shared" si="766"/>
        <v>1</v>
      </c>
      <c r="V235" s="1">
        <f t="shared" si="766"/>
        <v>1.24372443004834</v>
      </c>
      <c r="W235" s="1">
        <f t="shared" si="766"/>
        <v>1.71512873518885</v>
      </c>
      <c r="X235" s="1">
        <f t="shared" si="653"/>
        <v>2.64977952404059</v>
      </c>
      <c r="Y235" s="1">
        <f t="shared" si="654"/>
        <v>4.80958407227998</v>
      </c>
      <c r="Z235" s="1">
        <f t="shared" si="655"/>
        <v>300621.061395486</v>
      </c>
      <c r="AA235" s="1">
        <f t="shared" si="656"/>
        <v>27314.5847444755</v>
      </c>
      <c r="AB235" s="1">
        <f t="shared" si="657"/>
        <v>18209.7231629837</v>
      </c>
      <c r="AC235" s="1">
        <f>AB235/(AB235+战斗公式!$M$27)</f>
        <v>0.4314106276573</v>
      </c>
      <c r="AD235" s="1">
        <f t="shared" si="658"/>
        <v>528713.82410274</v>
      </c>
      <c r="AE235" s="1">
        <f t="shared" si="659"/>
        <v>7.30493445780963</v>
      </c>
      <c r="AF235" s="1">
        <f t="shared" si="660"/>
        <v>4.02456126348294</v>
      </c>
      <c r="AG235" s="1">
        <f t="shared" si="661"/>
        <v>4.33144377923209</v>
      </c>
      <c r="AH235" s="1">
        <f t="shared" si="662"/>
        <v>0.956499671859863</v>
      </c>
      <c r="AI235" s="1">
        <f t="shared" si="663"/>
        <v>1.00001238972055</v>
      </c>
      <c r="AJ235" s="1">
        <f t="shared" si="664"/>
        <v>1.00880795050267</v>
      </c>
      <c r="AK235" s="1">
        <f t="shared" si="665"/>
        <v>1</v>
      </c>
      <c r="AL235" s="10">
        <f t="shared" si="666"/>
        <v>323544</v>
      </c>
      <c r="AM235" s="10">
        <f t="shared" si="667"/>
        <v>26126</v>
      </c>
      <c r="AN235" s="10">
        <f t="shared" si="668"/>
        <v>18210</v>
      </c>
      <c r="AO235" s="1">
        <f t="shared" si="669"/>
        <v>179823</v>
      </c>
      <c r="AP235" s="1">
        <f t="shared" si="670"/>
        <v>26126</v>
      </c>
      <c r="AR235" s="1">
        <f t="shared" ref="AR235:AX235" si="767">ROUNDUP(AR$10*$AO235,0)</f>
        <v>179823</v>
      </c>
      <c r="AS235" s="1">
        <f t="shared" si="767"/>
        <v>539469</v>
      </c>
      <c r="AT235" s="1">
        <f t="shared" si="767"/>
        <v>323682</v>
      </c>
      <c r="AU235" s="1">
        <f t="shared" si="767"/>
        <v>89912</v>
      </c>
      <c r="AV235" s="1">
        <f t="shared" si="767"/>
        <v>26974</v>
      </c>
      <c r="AW235" s="1">
        <f t="shared" si="767"/>
        <v>719292</v>
      </c>
      <c r="AX235" s="1">
        <f t="shared" si="767"/>
        <v>1618407</v>
      </c>
      <c r="AY235" s="1">
        <f t="shared" si="672"/>
        <v>19412881</v>
      </c>
      <c r="AZ235" s="1">
        <f t="shared" si="673"/>
        <v>9706440</v>
      </c>
      <c r="BB235" s="1">
        <f t="shared" si="674"/>
        <v>224</v>
      </c>
    </row>
    <row r="236" spans="2:54">
      <c r="B236" s="4">
        <v>225</v>
      </c>
      <c r="C236" s="1">
        <f t="shared" ref="C236:I236" si="768">C$5+(C$6-C$5)*(POWER(C$7,$B236-1)-1)/(POWER(C$7,$B$3-1)-1)</f>
        <v>17777.4332218873</v>
      </c>
      <c r="D236" s="1">
        <f t="shared" si="768"/>
        <v>5333.22996656618</v>
      </c>
      <c r="E236" s="1">
        <f t="shared" si="768"/>
        <v>3555.48664437745</v>
      </c>
      <c r="F236" s="1">
        <f t="shared" si="768"/>
        <v>45006.1600554108</v>
      </c>
      <c r="G236" s="1">
        <f t="shared" si="768"/>
        <v>13501.8480166232</v>
      </c>
      <c r="H236" s="1">
        <f t="shared" si="768"/>
        <v>9001.23201108216</v>
      </c>
      <c r="I236" s="1">
        <f t="shared" si="768"/>
        <v>0</v>
      </c>
      <c r="J236" s="1">
        <f>标准模型!$I$65/1*$B236/$B$3</f>
        <v>1.62</v>
      </c>
      <c r="K236" s="1">
        <f>J236*标准模型!$J$63</f>
        <v>1.62</v>
      </c>
      <c r="L236" s="1">
        <f t="shared" si="649"/>
        <v>62783.5932772981</v>
      </c>
      <c r="M236" s="1">
        <f t="shared" si="650"/>
        <v>27474.9105290266</v>
      </c>
      <c r="N236" s="1">
        <f t="shared" si="651"/>
        <v>18316.6070193511</v>
      </c>
      <c r="O236" s="1">
        <f t="shared" ref="O236:W236" si="769">O$5+(O$6-O$5)*(POWER(O$7,$B236-1)-1)/(POWER(O$7,$B$3-1)-1)</f>
        <v>0.724479759796647</v>
      </c>
      <c r="P236" s="1">
        <f t="shared" si="769"/>
        <v>0.143437645597308</v>
      </c>
      <c r="Q236" s="1">
        <f t="shared" si="769"/>
        <v>0.398463867888156</v>
      </c>
      <c r="R236" s="1">
        <f t="shared" si="769"/>
        <v>1.08979190391866</v>
      </c>
      <c r="S236" s="1">
        <f t="shared" si="769"/>
        <v>0.341823687735641</v>
      </c>
      <c r="T236" s="1">
        <f t="shared" si="769"/>
        <v>2.87547106320692</v>
      </c>
      <c r="U236" s="1">
        <f t="shared" si="769"/>
        <v>1</v>
      </c>
      <c r="V236" s="1">
        <f t="shared" si="769"/>
        <v>1.24481724230814</v>
      </c>
      <c r="W236" s="1">
        <f t="shared" si="769"/>
        <v>1.71833523134927</v>
      </c>
      <c r="X236" s="1">
        <f t="shared" si="653"/>
        <v>2.66722551828713</v>
      </c>
      <c r="Y236" s="1">
        <f t="shared" si="654"/>
        <v>4.84452737838742</v>
      </c>
      <c r="Z236" s="1">
        <f t="shared" si="655"/>
        <v>304156.836545411</v>
      </c>
      <c r="AA236" s="1">
        <f t="shared" si="656"/>
        <v>27474.9105290266</v>
      </c>
      <c r="AB236" s="1">
        <f t="shared" si="657"/>
        <v>18316.6070193511</v>
      </c>
      <c r="AC236" s="1">
        <f>AB236/(AB236+战斗公式!$M$27)</f>
        <v>0.432846778357609</v>
      </c>
      <c r="AD236" s="1">
        <f t="shared" si="658"/>
        <v>536286.888514215</v>
      </c>
      <c r="AE236" s="1">
        <f t="shared" si="659"/>
        <v>7.31814743578632</v>
      </c>
      <c r="AF236" s="1">
        <f t="shared" si="660"/>
        <v>4.02911327829342</v>
      </c>
      <c r="AG236" s="1">
        <f t="shared" si="661"/>
        <v>4.3371756051189</v>
      </c>
      <c r="AH236" s="1">
        <f t="shared" si="662"/>
        <v>0.960151649745553</v>
      </c>
      <c r="AI236" s="1">
        <f t="shared" si="663"/>
        <v>1.00001177023409</v>
      </c>
      <c r="AJ236" s="1">
        <f t="shared" si="664"/>
        <v>1.00863112168523</v>
      </c>
      <c r="AK236" s="1">
        <f t="shared" si="665"/>
        <v>1</v>
      </c>
      <c r="AL236" s="10">
        <f t="shared" si="666"/>
        <v>327412</v>
      </c>
      <c r="AM236" s="10">
        <f t="shared" si="667"/>
        <v>26380</v>
      </c>
      <c r="AN236" s="10">
        <f t="shared" si="668"/>
        <v>18317</v>
      </c>
      <c r="AO236" s="1">
        <f t="shared" si="669"/>
        <v>181818</v>
      </c>
      <c r="AP236" s="1">
        <f t="shared" si="670"/>
        <v>26380</v>
      </c>
      <c r="AR236" s="1">
        <f t="shared" ref="AR236:AX236" si="770">ROUNDUP(AR$10*$AO236,0)</f>
        <v>181818</v>
      </c>
      <c r="AS236" s="1">
        <f t="shared" si="770"/>
        <v>545454</v>
      </c>
      <c r="AT236" s="1">
        <f t="shared" si="770"/>
        <v>327273</v>
      </c>
      <c r="AU236" s="1">
        <f t="shared" si="770"/>
        <v>90909</v>
      </c>
      <c r="AV236" s="1">
        <f t="shared" si="770"/>
        <v>27273</v>
      </c>
      <c r="AW236" s="1">
        <f t="shared" si="770"/>
        <v>727272</v>
      </c>
      <c r="AX236" s="1">
        <f t="shared" si="770"/>
        <v>1636362</v>
      </c>
      <c r="AY236" s="1">
        <f t="shared" si="672"/>
        <v>19644951</v>
      </c>
      <c r="AZ236" s="1">
        <f t="shared" si="673"/>
        <v>9822476</v>
      </c>
      <c r="BB236" s="1">
        <f t="shared" si="674"/>
        <v>225</v>
      </c>
    </row>
    <row r="237" spans="2:54">
      <c r="B237" s="4">
        <v>226</v>
      </c>
      <c r="C237" s="1">
        <f t="shared" ref="C237:I237" si="771">C$5+(C$6-C$5)*(POWER(C$7,$B237-1)-1)/(POWER(C$7,$B$3-1)-1)</f>
        <v>17856.4351960905</v>
      </c>
      <c r="D237" s="1">
        <f t="shared" si="771"/>
        <v>5356.93055882716</v>
      </c>
      <c r="E237" s="1">
        <f t="shared" si="771"/>
        <v>3571.28703921811</v>
      </c>
      <c r="F237" s="1">
        <f t="shared" si="771"/>
        <v>45206.1650533937</v>
      </c>
      <c r="G237" s="1">
        <f t="shared" si="771"/>
        <v>13561.8495160181</v>
      </c>
      <c r="H237" s="1">
        <f t="shared" si="771"/>
        <v>9041.23301067875</v>
      </c>
      <c r="I237" s="1">
        <f t="shared" si="771"/>
        <v>0</v>
      </c>
      <c r="J237" s="1">
        <f>标准模型!$I$65/1*$B237/$B$3</f>
        <v>1.6272</v>
      </c>
      <c r="K237" s="1">
        <f>J237*标准模型!$J$63</f>
        <v>1.6272</v>
      </c>
      <c r="L237" s="1">
        <f t="shared" si="649"/>
        <v>63062.6002494842</v>
      </c>
      <c r="M237" s="1">
        <f t="shared" si="650"/>
        <v>27635.5774801688</v>
      </c>
      <c r="N237" s="1">
        <f t="shared" si="651"/>
        <v>18423.7183201126</v>
      </c>
      <c r="O237" s="1">
        <f t="shared" ref="O237:W237" si="772">O$5+(O$6-O$5)*(POWER(O$7,$B237-1)-1)/(POWER(O$7,$B$3-1)-1)</f>
        <v>0.725481788844658</v>
      </c>
      <c r="P237" s="1">
        <f t="shared" si="772"/>
        <v>0.144192059191234</v>
      </c>
      <c r="Q237" s="1">
        <f t="shared" si="772"/>
        <v>0.399014983864562</v>
      </c>
      <c r="R237" s="1">
        <f t="shared" si="772"/>
        <v>1.09019271553786</v>
      </c>
      <c r="S237" s="1">
        <f t="shared" si="772"/>
        <v>0.343126325498055</v>
      </c>
      <c r="T237" s="1">
        <f t="shared" si="772"/>
        <v>2.87937897649417</v>
      </c>
      <c r="U237" s="1">
        <f t="shared" si="772"/>
        <v>1</v>
      </c>
      <c r="V237" s="1">
        <f t="shared" si="772"/>
        <v>1.24591005347503</v>
      </c>
      <c r="W237" s="1">
        <f t="shared" si="772"/>
        <v>1.72154172430291</v>
      </c>
      <c r="X237" s="1">
        <f t="shared" si="653"/>
        <v>2.68477157615873</v>
      </c>
      <c r="Y237" s="1">
        <f t="shared" si="654"/>
        <v>4.87969567429131</v>
      </c>
      <c r="Z237" s="1">
        <f t="shared" si="655"/>
        <v>307726.29764697</v>
      </c>
      <c r="AA237" s="1">
        <f t="shared" si="656"/>
        <v>27635.5774801688</v>
      </c>
      <c r="AB237" s="1">
        <f t="shared" si="657"/>
        <v>18423.7183201126</v>
      </c>
      <c r="AC237" s="1">
        <f>AB237/(AB237+战斗公式!$M$27)</f>
        <v>0.434278725431243</v>
      </c>
      <c r="AD237" s="1">
        <f t="shared" si="658"/>
        <v>543953.907127757</v>
      </c>
      <c r="AE237" s="1">
        <f t="shared" si="659"/>
        <v>7.33138818256814</v>
      </c>
      <c r="AF237" s="1">
        <f t="shared" si="660"/>
        <v>4.03367421252219</v>
      </c>
      <c r="AG237" s="1">
        <f t="shared" si="661"/>
        <v>4.34286444231156</v>
      </c>
      <c r="AH237" s="1">
        <f t="shared" si="662"/>
        <v>0.963810931587014</v>
      </c>
      <c r="AI237" s="1">
        <f t="shared" si="663"/>
        <v>1.00001118172194</v>
      </c>
      <c r="AJ237" s="1">
        <f t="shared" si="664"/>
        <v>1.00845782944413</v>
      </c>
      <c r="AK237" s="1">
        <f t="shared" si="665"/>
        <v>1</v>
      </c>
      <c r="AL237" s="10">
        <f t="shared" si="666"/>
        <v>331314</v>
      </c>
      <c r="AM237" s="10">
        <f t="shared" si="667"/>
        <v>26635</v>
      </c>
      <c r="AN237" s="10">
        <f t="shared" si="668"/>
        <v>18424</v>
      </c>
      <c r="AO237" s="1">
        <f t="shared" si="669"/>
        <v>183828</v>
      </c>
      <c r="AP237" s="1">
        <f t="shared" si="670"/>
        <v>26635</v>
      </c>
      <c r="AR237" s="1">
        <f t="shared" ref="AR237:AX237" si="773">ROUNDUP(AR$10*$AO237,0)</f>
        <v>183828</v>
      </c>
      <c r="AS237" s="1">
        <f t="shared" si="773"/>
        <v>551484</v>
      </c>
      <c r="AT237" s="1">
        <f t="shared" si="773"/>
        <v>330891</v>
      </c>
      <c r="AU237" s="1">
        <f t="shared" si="773"/>
        <v>91914</v>
      </c>
      <c r="AV237" s="1">
        <f t="shared" si="773"/>
        <v>27575</v>
      </c>
      <c r="AW237" s="1">
        <f t="shared" si="773"/>
        <v>735312</v>
      </c>
      <c r="AX237" s="1">
        <f t="shared" si="773"/>
        <v>1654452</v>
      </c>
      <c r="AY237" s="1">
        <f t="shared" si="672"/>
        <v>19879062</v>
      </c>
      <c r="AZ237" s="1">
        <f t="shared" si="673"/>
        <v>9939531</v>
      </c>
      <c r="BB237" s="1">
        <f t="shared" si="674"/>
        <v>226</v>
      </c>
    </row>
    <row r="238" spans="2:54">
      <c r="B238" s="4">
        <v>227</v>
      </c>
      <c r="C238" s="1">
        <f t="shared" ref="C238:I238" si="774">C$5+(C$6-C$5)*(POWER(C$7,$B238-1)-1)/(POWER(C$7,$B$3-1)-1)</f>
        <v>17935.4370912934</v>
      </c>
      <c r="D238" s="1">
        <f t="shared" si="774"/>
        <v>5380.63112738803</v>
      </c>
      <c r="E238" s="1">
        <f t="shared" si="774"/>
        <v>3587.08741825868</v>
      </c>
      <c r="F238" s="1">
        <f t="shared" si="774"/>
        <v>45406.1698513758</v>
      </c>
      <c r="G238" s="1">
        <f t="shared" si="774"/>
        <v>13621.8509554127</v>
      </c>
      <c r="H238" s="1">
        <f t="shared" si="774"/>
        <v>9081.23397027515</v>
      </c>
      <c r="I238" s="1">
        <f t="shared" si="774"/>
        <v>0</v>
      </c>
      <c r="J238" s="1">
        <f>标准模型!$I$65/1*$B238/$B$3</f>
        <v>1.6344</v>
      </c>
      <c r="K238" s="1">
        <f>J238*标准模型!$J$63</f>
        <v>1.6344</v>
      </c>
      <c r="L238" s="1">
        <f t="shared" si="649"/>
        <v>63341.6069426692</v>
      </c>
      <c r="M238" s="1">
        <f t="shared" si="650"/>
        <v>27796.5855974037</v>
      </c>
      <c r="N238" s="1">
        <f t="shared" si="651"/>
        <v>18531.0570649358</v>
      </c>
      <c r="O238" s="1">
        <f t="shared" ref="O238:W238" si="775">O$5+(O$6-O$5)*(POWER(O$7,$B238-1)-1)/(POWER(O$7,$B$3-1)-1)</f>
        <v>0.72648381689066</v>
      </c>
      <c r="P238" s="1">
        <f t="shared" si="775"/>
        <v>0.14494760440555</v>
      </c>
      <c r="Q238" s="1">
        <f t="shared" si="775"/>
        <v>0.399566099289863</v>
      </c>
      <c r="R238" s="1">
        <f t="shared" si="775"/>
        <v>1.09059352675626</v>
      </c>
      <c r="S238" s="1">
        <f t="shared" si="775"/>
        <v>0.344428961957858</v>
      </c>
      <c r="T238" s="1">
        <f t="shared" si="775"/>
        <v>2.88328688587357</v>
      </c>
      <c r="U238" s="1">
        <f t="shared" si="775"/>
        <v>1</v>
      </c>
      <c r="V238" s="1">
        <f t="shared" si="775"/>
        <v>1.24700286354913</v>
      </c>
      <c r="W238" s="1">
        <f t="shared" si="775"/>
        <v>1.72474821405011</v>
      </c>
      <c r="X238" s="1">
        <f t="shared" si="653"/>
        <v>2.70241817608852</v>
      </c>
      <c r="Y238" s="1">
        <f t="shared" si="654"/>
        <v>4.91509019790951</v>
      </c>
      <c r="Z238" s="1">
        <f t="shared" si="655"/>
        <v>311329.711403751</v>
      </c>
      <c r="AA238" s="1">
        <f t="shared" si="656"/>
        <v>27796.5855974037</v>
      </c>
      <c r="AB238" s="1">
        <f t="shared" si="657"/>
        <v>18531.0570649358</v>
      </c>
      <c r="AC238" s="1">
        <f>AB238/(AB238+战斗公式!$M$27)</f>
        <v>0.435706477660381</v>
      </c>
      <c r="AD238" s="1">
        <f t="shared" si="658"/>
        <v>551715.905071789</v>
      </c>
      <c r="AE238" s="1">
        <f t="shared" si="659"/>
        <v>7.34465665549503</v>
      </c>
      <c r="AF238" s="1">
        <f t="shared" si="660"/>
        <v>4.03824402884431</v>
      </c>
      <c r="AG238" s="1">
        <f t="shared" si="661"/>
        <v>4.34851061322527</v>
      </c>
      <c r="AH238" s="1">
        <f t="shared" si="662"/>
        <v>0.967477531992159</v>
      </c>
      <c r="AI238" s="1">
        <f t="shared" si="663"/>
        <v>1.0000106226354</v>
      </c>
      <c r="AJ238" s="1">
        <f t="shared" si="664"/>
        <v>1.00828800304786</v>
      </c>
      <c r="AK238" s="1">
        <f t="shared" si="665"/>
        <v>1</v>
      </c>
      <c r="AL238" s="10">
        <f t="shared" si="666"/>
        <v>335250</v>
      </c>
      <c r="AM238" s="10">
        <f t="shared" si="667"/>
        <v>26893</v>
      </c>
      <c r="AN238" s="10">
        <f t="shared" si="668"/>
        <v>18531</v>
      </c>
      <c r="AO238" s="1">
        <f t="shared" si="669"/>
        <v>185855</v>
      </c>
      <c r="AP238" s="1">
        <f t="shared" si="670"/>
        <v>26893</v>
      </c>
      <c r="AR238" s="1">
        <f t="shared" ref="AR238:AX238" si="776">ROUNDUP(AR$10*$AO238,0)</f>
        <v>185855</v>
      </c>
      <c r="AS238" s="1">
        <f t="shared" si="776"/>
        <v>557565</v>
      </c>
      <c r="AT238" s="1">
        <f t="shared" si="776"/>
        <v>334539</v>
      </c>
      <c r="AU238" s="1">
        <f t="shared" si="776"/>
        <v>92928</v>
      </c>
      <c r="AV238" s="1">
        <f t="shared" si="776"/>
        <v>27879</v>
      </c>
      <c r="AW238" s="1">
        <f t="shared" si="776"/>
        <v>743420</v>
      </c>
      <c r="AX238" s="1">
        <f t="shared" si="776"/>
        <v>1672695</v>
      </c>
      <c r="AY238" s="1">
        <f t="shared" si="672"/>
        <v>20115214</v>
      </c>
      <c r="AZ238" s="1">
        <f t="shared" si="673"/>
        <v>10057607</v>
      </c>
      <c r="BB238" s="1">
        <f t="shared" si="674"/>
        <v>227</v>
      </c>
    </row>
    <row r="239" spans="2:54">
      <c r="B239" s="4">
        <v>228</v>
      </c>
      <c r="C239" s="1">
        <f t="shared" ref="C239:I239" si="777">C$5+(C$6-C$5)*(POWER(C$7,$B239-1)-1)/(POWER(C$7,$B$3-1)-1)</f>
        <v>18014.4389074959</v>
      </c>
      <c r="D239" s="1">
        <f t="shared" si="777"/>
        <v>5404.33167224878</v>
      </c>
      <c r="E239" s="1">
        <f t="shared" si="777"/>
        <v>3602.88778149919</v>
      </c>
      <c r="F239" s="1">
        <f t="shared" si="777"/>
        <v>45606.1744493568</v>
      </c>
      <c r="G239" s="1">
        <f t="shared" si="777"/>
        <v>13681.852334807</v>
      </c>
      <c r="H239" s="1">
        <f t="shared" si="777"/>
        <v>9121.23488987136</v>
      </c>
      <c r="I239" s="1">
        <f t="shared" si="777"/>
        <v>0</v>
      </c>
      <c r="J239" s="1">
        <f>标准模型!$I$65/1*$B239/$B$3</f>
        <v>1.6416</v>
      </c>
      <c r="K239" s="1">
        <f>J239*标准模型!$J$63</f>
        <v>1.6416</v>
      </c>
      <c r="L239" s="1">
        <f t="shared" si="649"/>
        <v>63620.6133568527</v>
      </c>
      <c r="M239" s="1">
        <f t="shared" si="650"/>
        <v>27957.9348802194</v>
      </c>
      <c r="N239" s="1">
        <f t="shared" si="651"/>
        <v>18638.6232534796</v>
      </c>
      <c r="O239" s="1">
        <f t="shared" ref="O239:W239" si="778">O$5+(O$6-O$5)*(POWER(O$7,$B239-1)-1)/(POWER(O$7,$B$3-1)-1)</f>
        <v>0.727485843934653</v>
      </c>
      <c r="P239" s="1">
        <f t="shared" si="778"/>
        <v>0.145704282937688</v>
      </c>
      <c r="Q239" s="1">
        <f t="shared" si="778"/>
        <v>0.400117214164059</v>
      </c>
      <c r="R239" s="1">
        <f t="shared" si="778"/>
        <v>1.09099433757386</v>
      </c>
      <c r="S239" s="1">
        <f t="shared" si="778"/>
        <v>0.345731597115049</v>
      </c>
      <c r="T239" s="1">
        <f t="shared" si="778"/>
        <v>2.88719479134515</v>
      </c>
      <c r="U239" s="1">
        <f t="shared" si="778"/>
        <v>1</v>
      </c>
      <c r="V239" s="1">
        <f t="shared" si="778"/>
        <v>1.24809567253044</v>
      </c>
      <c r="W239" s="1">
        <f t="shared" si="778"/>
        <v>1.72795470059089</v>
      </c>
      <c r="X239" s="1">
        <f t="shared" si="653"/>
        <v>2.72016579822267</v>
      </c>
      <c r="Y239" s="1">
        <f t="shared" si="654"/>
        <v>4.95071219256661</v>
      </c>
      <c r="Z239" s="1">
        <f t="shared" si="655"/>
        <v>314967.346244337</v>
      </c>
      <c r="AA239" s="1">
        <f t="shared" si="656"/>
        <v>27957.9348802194</v>
      </c>
      <c r="AB239" s="1">
        <f t="shared" si="657"/>
        <v>18638.6232534796</v>
      </c>
      <c r="AC239" s="1">
        <f>AB239/(AB239+战斗公式!$M$27)</f>
        <v>0.437130043873041</v>
      </c>
      <c r="AD239" s="1">
        <f t="shared" si="658"/>
        <v>559573.917235856</v>
      </c>
      <c r="AE239" s="1">
        <f t="shared" si="659"/>
        <v>7.35795281212162</v>
      </c>
      <c r="AF239" s="1">
        <f t="shared" si="660"/>
        <v>4.04282269014172</v>
      </c>
      <c r="AG239" s="1">
        <f t="shared" si="661"/>
        <v>4.35411443785714</v>
      </c>
      <c r="AH239" s="1">
        <f t="shared" si="662"/>
        <v>0.971151465598113</v>
      </c>
      <c r="AI239" s="1">
        <f t="shared" si="663"/>
        <v>1.00001009150319</v>
      </c>
      <c r="AJ239" s="1">
        <f t="shared" si="664"/>
        <v>1.00812157317952</v>
      </c>
      <c r="AK239" s="1">
        <f t="shared" si="665"/>
        <v>1</v>
      </c>
      <c r="AL239" s="10">
        <f t="shared" si="666"/>
        <v>339219</v>
      </c>
      <c r="AM239" s="10">
        <f t="shared" si="667"/>
        <v>27151</v>
      </c>
      <c r="AN239" s="10">
        <f t="shared" si="668"/>
        <v>18639</v>
      </c>
      <c r="AO239" s="1">
        <f t="shared" si="669"/>
        <v>187898</v>
      </c>
      <c r="AP239" s="1">
        <f t="shared" si="670"/>
        <v>27151</v>
      </c>
      <c r="AR239" s="1">
        <f t="shared" ref="AR239:AX239" si="779">ROUNDUP(AR$10*$AO239,0)</f>
        <v>187898</v>
      </c>
      <c r="AS239" s="1">
        <f t="shared" si="779"/>
        <v>563694</v>
      </c>
      <c r="AT239" s="1">
        <f t="shared" si="779"/>
        <v>338217</v>
      </c>
      <c r="AU239" s="1">
        <f t="shared" si="779"/>
        <v>93949</v>
      </c>
      <c r="AV239" s="1">
        <f t="shared" si="779"/>
        <v>28185</v>
      </c>
      <c r="AW239" s="1">
        <f t="shared" si="779"/>
        <v>751592</v>
      </c>
      <c r="AX239" s="1">
        <f t="shared" si="779"/>
        <v>1691082</v>
      </c>
      <c r="AY239" s="1">
        <f t="shared" si="672"/>
        <v>20353345</v>
      </c>
      <c r="AZ239" s="1">
        <f t="shared" si="673"/>
        <v>10176673</v>
      </c>
      <c r="BB239" s="1">
        <f t="shared" si="674"/>
        <v>228</v>
      </c>
    </row>
    <row r="240" spans="2:54">
      <c r="B240" s="4">
        <v>229</v>
      </c>
      <c r="C240" s="1">
        <f t="shared" ref="C240:I240" si="780">C$5+(C$6-C$5)*(POWER(C$7,$B240-1)-1)/(POWER(C$7,$B$3-1)-1)</f>
        <v>18093.4406446981</v>
      </c>
      <c r="D240" s="1">
        <f t="shared" si="780"/>
        <v>5428.03219340942</v>
      </c>
      <c r="E240" s="1">
        <f t="shared" si="780"/>
        <v>3618.68812893961</v>
      </c>
      <c r="F240" s="1">
        <f t="shared" si="780"/>
        <v>45806.1788473369</v>
      </c>
      <c r="G240" s="1">
        <f t="shared" si="780"/>
        <v>13741.8536542011</v>
      </c>
      <c r="H240" s="1">
        <f t="shared" si="780"/>
        <v>9161.23576946738</v>
      </c>
      <c r="I240" s="1">
        <f t="shared" si="780"/>
        <v>0</v>
      </c>
      <c r="J240" s="1">
        <f>标准模型!$I$65/1*$B240/$B$3</f>
        <v>1.6488</v>
      </c>
      <c r="K240" s="1">
        <f>J240*标准模型!$J$63</f>
        <v>1.6488</v>
      </c>
      <c r="L240" s="1">
        <f t="shared" si="649"/>
        <v>63899.619492035</v>
      </c>
      <c r="M240" s="1">
        <f t="shared" si="650"/>
        <v>28119.6253281039</v>
      </c>
      <c r="N240" s="1">
        <f t="shared" si="651"/>
        <v>18746.4168854026</v>
      </c>
      <c r="O240" s="1">
        <f t="shared" ref="O240:W240" si="781">O$5+(O$6-O$5)*(POWER(O$7,$B240-1)-1)/(POWER(O$7,$B$3-1)-1)</f>
        <v>0.728487869976638</v>
      </c>
      <c r="P240" s="1">
        <f t="shared" si="781"/>
        <v>0.146462096487624</v>
      </c>
      <c r="Q240" s="1">
        <f t="shared" si="781"/>
        <v>0.400668328487151</v>
      </c>
      <c r="R240" s="1">
        <f t="shared" si="781"/>
        <v>1.09139514799065</v>
      </c>
      <c r="S240" s="1">
        <f t="shared" si="781"/>
        <v>0.347034230969629</v>
      </c>
      <c r="T240" s="1">
        <f t="shared" si="781"/>
        <v>2.89110269290889</v>
      </c>
      <c r="U240" s="1">
        <f t="shared" si="781"/>
        <v>1</v>
      </c>
      <c r="V240" s="1">
        <f t="shared" si="781"/>
        <v>1.24918848041897</v>
      </c>
      <c r="W240" s="1">
        <f t="shared" si="781"/>
        <v>1.73116118392524</v>
      </c>
      <c r="X240" s="1">
        <f t="shared" si="653"/>
        <v>2.73801492442618</v>
      </c>
      <c r="Y240" s="1">
        <f t="shared" si="654"/>
        <v>4.98656290701463</v>
      </c>
      <c r="Z240" s="1">
        <f t="shared" si="655"/>
        <v>318639.47233133</v>
      </c>
      <c r="AA240" s="1">
        <f t="shared" si="656"/>
        <v>28119.6253281039</v>
      </c>
      <c r="AB240" s="1">
        <f t="shared" si="657"/>
        <v>18746.4168854026</v>
      </c>
      <c r="AC240" s="1">
        <f>AB240/(AB240+战斗公式!$M$27)</f>
        <v>0.438549432942163</v>
      </c>
      <c r="AD240" s="1">
        <f t="shared" si="658"/>
        <v>567528.988350823</v>
      </c>
      <c r="AE240" s="1">
        <f t="shared" si="659"/>
        <v>7.37127661021812</v>
      </c>
      <c r="AF240" s="1">
        <f t="shared" si="660"/>
        <v>4.04741015950281</v>
      </c>
      <c r="AG240" s="1">
        <f t="shared" si="661"/>
        <v>4.35967623380426</v>
      </c>
      <c r="AH240" s="1">
        <f t="shared" si="662"/>
        <v>0.97483274707128</v>
      </c>
      <c r="AI240" s="1">
        <f t="shared" si="663"/>
        <v>1.00000958692759</v>
      </c>
      <c r="AJ240" s="1">
        <f t="shared" si="664"/>
        <v>1.00795847190854</v>
      </c>
      <c r="AK240" s="1">
        <f t="shared" si="665"/>
        <v>1</v>
      </c>
      <c r="AL240" s="10">
        <f t="shared" si="666"/>
        <v>343223</v>
      </c>
      <c r="AM240" s="10">
        <f t="shared" si="667"/>
        <v>27412</v>
      </c>
      <c r="AN240" s="10">
        <f t="shared" si="668"/>
        <v>18746</v>
      </c>
      <c r="AO240" s="1">
        <f t="shared" si="669"/>
        <v>189956</v>
      </c>
      <c r="AP240" s="1">
        <f t="shared" si="670"/>
        <v>27412</v>
      </c>
      <c r="AR240" s="1">
        <f t="shared" ref="AR240:AX240" si="782">ROUNDUP(AR$10*$AO240,0)</f>
        <v>189956</v>
      </c>
      <c r="AS240" s="1">
        <f t="shared" si="782"/>
        <v>569868</v>
      </c>
      <c r="AT240" s="1">
        <f t="shared" si="782"/>
        <v>341921</v>
      </c>
      <c r="AU240" s="1">
        <f t="shared" si="782"/>
        <v>94978</v>
      </c>
      <c r="AV240" s="1">
        <f t="shared" si="782"/>
        <v>28494</v>
      </c>
      <c r="AW240" s="1">
        <f t="shared" si="782"/>
        <v>759824</v>
      </c>
      <c r="AX240" s="1">
        <f t="shared" si="782"/>
        <v>1709604</v>
      </c>
      <c r="AY240" s="1">
        <f t="shared" si="672"/>
        <v>20593577</v>
      </c>
      <c r="AZ240" s="1">
        <f t="shared" si="673"/>
        <v>10296789</v>
      </c>
      <c r="BB240" s="1">
        <f t="shared" si="674"/>
        <v>229</v>
      </c>
    </row>
    <row r="241" spans="2:54">
      <c r="B241" s="4">
        <v>230</v>
      </c>
      <c r="C241" s="1">
        <f t="shared" ref="C241:I241" si="783">C$5+(C$6-C$5)*(POWER(C$7,$B241-1)-1)/(POWER(C$7,$B$3-1)-1)</f>
        <v>18172.4423028998</v>
      </c>
      <c r="D241" s="1">
        <f t="shared" si="783"/>
        <v>5451.73269086995</v>
      </c>
      <c r="E241" s="1">
        <f t="shared" si="783"/>
        <v>3634.48846057997</v>
      </c>
      <c r="F241" s="1">
        <f t="shared" si="783"/>
        <v>46006.183045316</v>
      </c>
      <c r="G241" s="1">
        <f t="shared" si="783"/>
        <v>13801.8549135948</v>
      </c>
      <c r="H241" s="1">
        <f t="shared" si="783"/>
        <v>9201.2366090632</v>
      </c>
      <c r="I241" s="1">
        <f t="shared" si="783"/>
        <v>0</v>
      </c>
      <c r="J241" s="1">
        <f>标准模型!$I$65/1*$B241/$B$3</f>
        <v>1.656</v>
      </c>
      <c r="K241" s="1">
        <f>J241*标准模型!$J$63</f>
        <v>1.656</v>
      </c>
      <c r="L241" s="1">
        <f t="shared" si="649"/>
        <v>64178.6253482158</v>
      </c>
      <c r="M241" s="1">
        <f t="shared" si="650"/>
        <v>28281.6569405454</v>
      </c>
      <c r="N241" s="1">
        <f t="shared" si="651"/>
        <v>18854.4379603636</v>
      </c>
      <c r="O241" s="1">
        <f t="shared" ref="O241:W241" si="784">O$5+(O$6-O$5)*(POWER(O$7,$B241-1)-1)/(POWER(O$7,$B$3-1)-1)</f>
        <v>0.729489895016613</v>
      </c>
      <c r="P241" s="1">
        <f t="shared" si="784"/>
        <v>0.147221046757885</v>
      </c>
      <c r="Q241" s="1">
        <f t="shared" si="784"/>
        <v>0.401219442259137</v>
      </c>
      <c r="R241" s="1">
        <f t="shared" si="784"/>
        <v>1.09179595800665</v>
      </c>
      <c r="S241" s="1">
        <f t="shared" si="784"/>
        <v>0.348336863521597</v>
      </c>
      <c r="T241" s="1">
        <f t="shared" si="784"/>
        <v>2.89501059056479</v>
      </c>
      <c r="U241" s="1">
        <f t="shared" si="784"/>
        <v>1</v>
      </c>
      <c r="V241" s="1">
        <f t="shared" si="784"/>
        <v>1.2502812872147</v>
      </c>
      <c r="W241" s="1">
        <f t="shared" si="784"/>
        <v>1.73436766405316</v>
      </c>
      <c r="X241" s="1">
        <f t="shared" si="653"/>
        <v>2.75596603828724</v>
      </c>
      <c r="Y241" s="1">
        <f t="shared" si="654"/>
        <v>5.0226435954507</v>
      </c>
      <c r="Z241" s="1">
        <f t="shared" si="655"/>
        <v>322346.361570046</v>
      </c>
      <c r="AA241" s="1">
        <f t="shared" si="656"/>
        <v>28281.6569405454</v>
      </c>
      <c r="AB241" s="1">
        <f t="shared" si="657"/>
        <v>18854.4379603636</v>
      </c>
      <c r="AC241" s="1">
        <f>AB241/(AB241+战斗公式!$M$27)</f>
        <v>0.439964653784567</v>
      </c>
      <c r="AD241" s="1">
        <f t="shared" si="658"/>
        <v>575582.173068853</v>
      </c>
      <c r="AE241" s="1">
        <f t="shared" si="659"/>
        <v>7.3846280077683</v>
      </c>
      <c r="AF241" s="1">
        <f t="shared" si="660"/>
        <v>4.05200640022079</v>
      </c>
      <c r="AG241" s="1">
        <f t="shared" si="661"/>
        <v>4.36519631628178</v>
      </c>
      <c r="AH241" s="1">
        <f t="shared" si="662"/>
        <v>0.978521391107392</v>
      </c>
      <c r="AI241" s="1">
        <f t="shared" si="663"/>
        <v>1.00000910758077</v>
      </c>
      <c r="AJ241" s="1">
        <f t="shared" si="664"/>
        <v>1.00779863266298</v>
      </c>
      <c r="AK241" s="1">
        <f t="shared" si="665"/>
        <v>1</v>
      </c>
      <c r="AL241" s="10">
        <f t="shared" si="666"/>
        <v>347261</v>
      </c>
      <c r="AM241" s="10">
        <f t="shared" si="667"/>
        <v>27674</v>
      </c>
      <c r="AN241" s="10">
        <f t="shared" si="668"/>
        <v>18854</v>
      </c>
      <c r="AO241" s="1">
        <f t="shared" si="669"/>
        <v>192031</v>
      </c>
      <c r="AP241" s="1">
        <f t="shared" si="670"/>
        <v>27674</v>
      </c>
      <c r="AR241" s="1">
        <f t="shared" ref="AR241:AX241" si="785">ROUNDUP(AR$10*$AO241,0)</f>
        <v>192031</v>
      </c>
      <c r="AS241" s="1">
        <f t="shared" si="785"/>
        <v>576093</v>
      </c>
      <c r="AT241" s="1">
        <f t="shared" si="785"/>
        <v>345656</v>
      </c>
      <c r="AU241" s="1">
        <f t="shared" si="785"/>
        <v>96016</v>
      </c>
      <c r="AV241" s="1">
        <f t="shared" si="785"/>
        <v>28805</v>
      </c>
      <c r="AW241" s="1">
        <f t="shared" si="785"/>
        <v>768124</v>
      </c>
      <c r="AX241" s="1">
        <f t="shared" si="785"/>
        <v>1728279</v>
      </c>
      <c r="AY241" s="1">
        <f t="shared" si="672"/>
        <v>20835850</v>
      </c>
      <c r="AZ241" s="1">
        <f t="shared" si="673"/>
        <v>10417925</v>
      </c>
      <c r="BB241" s="1">
        <f t="shared" si="674"/>
        <v>230</v>
      </c>
    </row>
    <row r="242" spans="2:54">
      <c r="B242" s="4">
        <v>231</v>
      </c>
      <c r="C242" s="1">
        <f t="shared" ref="C242:I242" si="786">C$5+(C$6-C$5)*(POWER(C$7,$B242-1)-1)/(POWER(C$7,$B$3-1)-1)</f>
        <v>18251.4438820924</v>
      </c>
      <c r="D242" s="1">
        <f t="shared" si="786"/>
        <v>5475.43316462773</v>
      </c>
      <c r="E242" s="1">
        <f t="shared" si="786"/>
        <v>3650.28877641849</v>
      </c>
      <c r="F242" s="1">
        <f t="shared" si="786"/>
        <v>46206.187043272</v>
      </c>
      <c r="G242" s="1">
        <f t="shared" si="786"/>
        <v>13861.8561129816</v>
      </c>
      <c r="H242" s="1">
        <f t="shared" si="786"/>
        <v>9241.2374086544</v>
      </c>
      <c r="I242" s="1">
        <f t="shared" si="786"/>
        <v>0</v>
      </c>
      <c r="J242" s="1">
        <f>标准模型!$I$65/1*$B242/$B$3</f>
        <v>1.6632</v>
      </c>
      <c r="K242" s="1">
        <f>J242*标准模型!$J$63</f>
        <v>1.6632</v>
      </c>
      <c r="L242" s="1">
        <f t="shared" si="649"/>
        <v>64457.6309253644</v>
      </c>
      <c r="M242" s="1">
        <f t="shared" si="650"/>
        <v>28444.0297170182</v>
      </c>
      <c r="N242" s="1">
        <f t="shared" si="651"/>
        <v>18962.6864780121</v>
      </c>
      <c r="O242" s="1">
        <f t="shared" ref="O242:W242" si="787">O$5+(O$6-O$5)*(POWER(O$7,$B242-1)-1)/(POWER(O$7,$B$3-1)-1)</f>
        <v>0.730491919054469</v>
      </c>
      <c r="P242" s="1">
        <f t="shared" si="787"/>
        <v>0.147981135453552</v>
      </c>
      <c r="Q242" s="1">
        <f t="shared" si="787"/>
        <v>0.401770555479958</v>
      </c>
      <c r="R242" s="1">
        <f t="shared" si="787"/>
        <v>1.09219676762179</v>
      </c>
      <c r="S242" s="1">
        <f t="shared" si="787"/>
        <v>0.349639494770809</v>
      </c>
      <c r="T242" s="1">
        <f t="shared" si="787"/>
        <v>2.89891848431243</v>
      </c>
      <c r="U242" s="1">
        <f t="shared" si="787"/>
        <v>1</v>
      </c>
      <c r="V242" s="1">
        <f t="shared" si="787"/>
        <v>1.25137409291752</v>
      </c>
      <c r="W242" s="1">
        <f t="shared" si="787"/>
        <v>1.7375741409743</v>
      </c>
      <c r="X242" s="1">
        <f t="shared" si="653"/>
        <v>2.7740196251198</v>
      </c>
      <c r="Y242" s="1">
        <f t="shared" si="654"/>
        <v>5.05895551753094</v>
      </c>
      <c r="Z242" s="1">
        <f t="shared" si="655"/>
        <v>326088.287616845</v>
      </c>
      <c r="AA242" s="1">
        <f t="shared" si="656"/>
        <v>28444.0297170182</v>
      </c>
      <c r="AB242" s="1">
        <f t="shared" si="657"/>
        <v>18962.6864780121</v>
      </c>
      <c r="AC242" s="1">
        <f>AB242/(AB242+战斗公式!$M$27)</f>
        <v>0.441375715359816</v>
      </c>
      <c r="AD242" s="1">
        <f t="shared" si="658"/>
        <v>583734.536043098</v>
      </c>
      <c r="AE242" s="1">
        <f t="shared" si="659"/>
        <v>7.39800696296566</v>
      </c>
      <c r="AF242" s="1">
        <f t="shared" si="660"/>
        <v>4.0566113757916</v>
      </c>
      <c r="AG242" s="1">
        <f t="shared" si="661"/>
        <v>4.37067499814072</v>
      </c>
      <c r="AH242" s="1">
        <f t="shared" si="662"/>
        <v>0.982217412431577</v>
      </c>
      <c r="AI242" s="1">
        <f t="shared" si="663"/>
        <v>1.00000865220129</v>
      </c>
      <c r="AJ242" s="1">
        <f t="shared" si="664"/>
        <v>1.00764199020233</v>
      </c>
      <c r="AK242" s="1">
        <f t="shared" si="665"/>
        <v>1</v>
      </c>
      <c r="AL242" s="10">
        <f t="shared" si="666"/>
        <v>351334</v>
      </c>
      <c r="AM242" s="10">
        <f t="shared" si="667"/>
        <v>27938</v>
      </c>
      <c r="AN242" s="10">
        <f t="shared" si="668"/>
        <v>18963</v>
      </c>
      <c r="AO242" s="1">
        <f t="shared" si="669"/>
        <v>194122</v>
      </c>
      <c r="AP242" s="1">
        <f t="shared" si="670"/>
        <v>27938</v>
      </c>
      <c r="AR242" s="1">
        <f t="shared" ref="AR242:AX242" si="788">ROUNDUP(AR$10*$AO242,0)</f>
        <v>194122</v>
      </c>
      <c r="AS242" s="1">
        <f t="shared" si="788"/>
        <v>582366</v>
      </c>
      <c r="AT242" s="1">
        <f t="shared" si="788"/>
        <v>349420</v>
      </c>
      <c r="AU242" s="1">
        <f t="shared" si="788"/>
        <v>97061</v>
      </c>
      <c r="AV242" s="1">
        <f t="shared" si="788"/>
        <v>29119</v>
      </c>
      <c r="AW242" s="1">
        <f t="shared" si="788"/>
        <v>776488</v>
      </c>
      <c r="AX242" s="1">
        <f t="shared" si="788"/>
        <v>1747098</v>
      </c>
      <c r="AY242" s="1">
        <f t="shared" si="672"/>
        <v>21080222</v>
      </c>
      <c r="AZ242" s="1">
        <f t="shared" si="673"/>
        <v>10540111</v>
      </c>
      <c r="BB242" s="1">
        <f t="shared" si="674"/>
        <v>231</v>
      </c>
    </row>
    <row r="243" spans="2:54">
      <c r="B243" s="4">
        <v>232</v>
      </c>
      <c r="C243" s="1">
        <f t="shared" ref="C243:I243" si="789">C$5+(C$6-C$5)*(POWER(C$7,$B243-1)-1)/(POWER(C$7,$B$3-1)-1)</f>
        <v>18330.4453822847</v>
      </c>
      <c r="D243" s="1">
        <f t="shared" si="789"/>
        <v>5499.1336146854</v>
      </c>
      <c r="E243" s="1">
        <f t="shared" si="789"/>
        <v>3666.08907645693</v>
      </c>
      <c r="F243" s="1">
        <f t="shared" si="789"/>
        <v>46406.190841227</v>
      </c>
      <c r="G243" s="1">
        <f t="shared" si="789"/>
        <v>13921.8572523681</v>
      </c>
      <c r="H243" s="1">
        <f t="shared" si="789"/>
        <v>9281.2381682454</v>
      </c>
      <c r="I243" s="1">
        <f t="shared" si="789"/>
        <v>0</v>
      </c>
      <c r="J243" s="1">
        <f>标准模型!$I$65/1*$B243/$B$3</f>
        <v>1.6704</v>
      </c>
      <c r="K243" s="1">
        <f>J243*标准模型!$J$63</f>
        <v>1.6704</v>
      </c>
      <c r="L243" s="1">
        <f t="shared" si="649"/>
        <v>64736.6362235117</v>
      </c>
      <c r="M243" s="1">
        <f t="shared" si="650"/>
        <v>28606.743657024</v>
      </c>
      <c r="N243" s="1">
        <f t="shared" si="651"/>
        <v>19071.162438016</v>
      </c>
      <c r="O243" s="1">
        <f t="shared" ref="O243:W243" si="790">O$5+(O$6-O$5)*(POWER(O$7,$B243-1)-1)/(POWER(O$7,$B$3-1)-1)</f>
        <v>0.731493942090315</v>
      </c>
      <c r="P243" s="1">
        <f t="shared" si="790"/>
        <v>0.148742364282262</v>
      </c>
      <c r="Q243" s="1">
        <f t="shared" si="790"/>
        <v>0.402321668149674</v>
      </c>
      <c r="R243" s="1">
        <f t="shared" si="790"/>
        <v>1.09259757683613</v>
      </c>
      <c r="S243" s="1">
        <f t="shared" si="790"/>
        <v>0.35094212471741</v>
      </c>
      <c r="T243" s="1">
        <f t="shared" si="790"/>
        <v>2.90282637415223</v>
      </c>
      <c r="U243" s="1">
        <f t="shared" si="790"/>
        <v>1</v>
      </c>
      <c r="V243" s="1">
        <f t="shared" si="790"/>
        <v>1.25246689752756</v>
      </c>
      <c r="W243" s="1">
        <f t="shared" si="790"/>
        <v>1.74078061468901</v>
      </c>
      <c r="X243" s="1">
        <f t="shared" si="653"/>
        <v>2.79217617197302</v>
      </c>
      <c r="Y243" s="1">
        <f t="shared" si="654"/>
        <v>5.09549993839898</v>
      </c>
      <c r="Z243" s="1">
        <f t="shared" si="655"/>
        <v>329865.525889061</v>
      </c>
      <c r="AA243" s="1">
        <f t="shared" si="656"/>
        <v>28606.743657024</v>
      </c>
      <c r="AB243" s="1">
        <f t="shared" si="657"/>
        <v>19071.162438016</v>
      </c>
      <c r="AC243" s="1">
        <f>AB243/(AB243+战斗公式!$M$27)</f>
        <v>0.442782626669559</v>
      </c>
      <c r="AD243" s="1">
        <f t="shared" si="658"/>
        <v>591987.152011221</v>
      </c>
      <c r="AE243" s="1">
        <f t="shared" si="659"/>
        <v>7.41141343421861</v>
      </c>
      <c r="AF243" s="1">
        <f t="shared" si="660"/>
        <v>4.06122504991492</v>
      </c>
      <c r="AG243" s="1">
        <f t="shared" si="661"/>
        <v>4.37611258988572</v>
      </c>
      <c r="AH243" s="1">
        <f t="shared" si="662"/>
        <v>0.985920825798411</v>
      </c>
      <c r="AI243" s="1">
        <f t="shared" si="663"/>
        <v>1.00000821959079</v>
      </c>
      <c r="AJ243" s="1">
        <f t="shared" si="664"/>
        <v>1.0074884805909</v>
      </c>
      <c r="AK243" s="1">
        <f t="shared" si="665"/>
        <v>1</v>
      </c>
      <c r="AL243" s="10">
        <f t="shared" si="666"/>
        <v>355442</v>
      </c>
      <c r="AM243" s="10">
        <f t="shared" si="667"/>
        <v>28204</v>
      </c>
      <c r="AN243" s="10">
        <f t="shared" si="668"/>
        <v>19071</v>
      </c>
      <c r="AO243" s="1">
        <f t="shared" si="669"/>
        <v>196230</v>
      </c>
      <c r="AP243" s="1">
        <f t="shared" si="670"/>
        <v>28204</v>
      </c>
      <c r="AR243" s="1">
        <f t="shared" ref="AR243:AX243" si="791">ROUNDUP(AR$10*$AO243,0)</f>
        <v>196230</v>
      </c>
      <c r="AS243" s="1">
        <f t="shared" si="791"/>
        <v>588690</v>
      </c>
      <c r="AT243" s="1">
        <f t="shared" si="791"/>
        <v>353214</v>
      </c>
      <c r="AU243" s="1">
        <f t="shared" si="791"/>
        <v>98115</v>
      </c>
      <c r="AV243" s="1">
        <f t="shared" si="791"/>
        <v>29435</v>
      </c>
      <c r="AW243" s="1">
        <f t="shared" si="791"/>
        <v>784920</v>
      </c>
      <c r="AX243" s="1">
        <f t="shared" si="791"/>
        <v>1766070</v>
      </c>
      <c r="AY243" s="1">
        <f t="shared" si="672"/>
        <v>21326695</v>
      </c>
      <c r="AZ243" s="1">
        <f t="shared" si="673"/>
        <v>10663348</v>
      </c>
      <c r="BB243" s="1">
        <f t="shared" si="674"/>
        <v>232</v>
      </c>
    </row>
    <row r="244" spans="2:54">
      <c r="B244" s="4">
        <v>233</v>
      </c>
      <c r="C244" s="1">
        <f t="shared" ref="C244:I244" si="792">C$5+(C$6-C$5)*(POWER(C$7,$B244-1)-1)/(POWER(C$7,$B$3-1)-1)</f>
        <v>18409.4468034853</v>
      </c>
      <c r="D244" s="1">
        <f t="shared" si="792"/>
        <v>5522.83404104558</v>
      </c>
      <c r="E244" s="1">
        <f t="shared" si="792"/>
        <v>3681.88936069706</v>
      </c>
      <c r="F244" s="1">
        <f t="shared" si="792"/>
        <v>46606.1944392032</v>
      </c>
      <c r="G244" s="1">
        <f t="shared" si="792"/>
        <v>13981.858331761</v>
      </c>
      <c r="H244" s="1">
        <f t="shared" si="792"/>
        <v>9321.23888784065</v>
      </c>
      <c r="I244" s="1">
        <f t="shared" si="792"/>
        <v>0</v>
      </c>
      <c r="J244" s="1">
        <f>标准模型!$I$65/1*$B244/$B$3</f>
        <v>1.6776</v>
      </c>
      <c r="K244" s="1">
        <f>J244*标准模型!$J$63</f>
        <v>1.6776</v>
      </c>
      <c r="L244" s="1">
        <f t="shared" si="649"/>
        <v>65015.6412426885</v>
      </c>
      <c r="M244" s="1">
        <f t="shared" si="650"/>
        <v>28769.7987600646</v>
      </c>
      <c r="N244" s="1">
        <f t="shared" si="651"/>
        <v>19179.8658400431</v>
      </c>
      <c r="O244" s="1">
        <f t="shared" ref="O244:W244" si="793">O$5+(O$6-O$5)*(POWER(O$7,$B244-1)-1)/(POWER(O$7,$B$3-1)-1)</f>
        <v>0.732495964124265</v>
      </c>
      <c r="P244" s="1">
        <f t="shared" si="793"/>
        <v>0.149504734954215</v>
      </c>
      <c r="Q244" s="1">
        <f t="shared" si="793"/>
        <v>0.402872780268346</v>
      </c>
      <c r="R244" s="1">
        <f t="shared" si="793"/>
        <v>1.09299838564971</v>
      </c>
      <c r="S244" s="1">
        <f t="shared" si="793"/>
        <v>0.352244753361544</v>
      </c>
      <c r="T244" s="1">
        <f t="shared" si="793"/>
        <v>2.90673426008463</v>
      </c>
      <c r="U244" s="1">
        <f t="shared" si="793"/>
        <v>1</v>
      </c>
      <c r="V244" s="1">
        <f t="shared" si="793"/>
        <v>1.25355970104492</v>
      </c>
      <c r="W244" s="1">
        <f t="shared" si="793"/>
        <v>1.74398708519765</v>
      </c>
      <c r="X244" s="1">
        <f t="shared" si="653"/>
        <v>2.8104361676322</v>
      </c>
      <c r="Y244" s="1">
        <f t="shared" si="654"/>
        <v>5.13227812869647</v>
      </c>
      <c r="Z244" s="1">
        <f t="shared" si="655"/>
        <v>333678.353573026</v>
      </c>
      <c r="AA244" s="1">
        <f t="shared" si="656"/>
        <v>28769.7987600646</v>
      </c>
      <c r="AB244" s="1">
        <f t="shared" si="657"/>
        <v>19179.8658400431</v>
      </c>
      <c r="AC244" s="1">
        <f>AB244/(AB244+战斗公式!$M$27)</f>
        <v>0.444185396756294</v>
      </c>
      <c r="AD244" s="1">
        <f t="shared" si="658"/>
        <v>600341.105875406</v>
      </c>
      <c r="AE244" s="1">
        <f t="shared" si="659"/>
        <v>7.42484738014418</v>
      </c>
      <c r="AF244" s="1">
        <f t="shared" si="660"/>
        <v>4.06584738649118</v>
      </c>
      <c r="AG244" s="1">
        <f t="shared" si="661"/>
        <v>4.38150939969263</v>
      </c>
      <c r="AH244" s="1">
        <f t="shared" si="662"/>
        <v>0.989631645991978</v>
      </c>
      <c r="AI244" s="1">
        <f t="shared" si="663"/>
        <v>1.00000780861081</v>
      </c>
      <c r="AJ244" s="1">
        <f t="shared" si="664"/>
        <v>1.00733804117169</v>
      </c>
      <c r="AK244" s="1">
        <f t="shared" si="665"/>
        <v>1</v>
      </c>
      <c r="AL244" s="10">
        <f t="shared" si="666"/>
        <v>359584</v>
      </c>
      <c r="AM244" s="10">
        <f t="shared" si="667"/>
        <v>28472</v>
      </c>
      <c r="AN244" s="10">
        <f t="shared" si="668"/>
        <v>19180</v>
      </c>
      <c r="AO244" s="1">
        <f t="shared" si="669"/>
        <v>198353</v>
      </c>
      <c r="AP244" s="1">
        <f t="shared" si="670"/>
        <v>28472</v>
      </c>
      <c r="AR244" s="1">
        <f t="shared" ref="AR244:AX244" si="794">ROUNDUP(AR$10*$AO244,0)</f>
        <v>198353</v>
      </c>
      <c r="AS244" s="1">
        <f t="shared" si="794"/>
        <v>595059</v>
      </c>
      <c r="AT244" s="1">
        <f t="shared" si="794"/>
        <v>357036</v>
      </c>
      <c r="AU244" s="1">
        <f t="shared" si="794"/>
        <v>99177</v>
      </c>
      <c r="AV244" s="1">
        <f t="shared" si="794"/>
        <v>29753</v>
      </c>
      <c r="AW244" s="1">
        <f t="shared" si="794"/>
        <v>793412</v>
      </c>
      <c r="AX244" s="1">
        <f t="shared" si="794"/>
        <v>1785177</v>
      </c>
      <c r="AY244" s="1">
        <f t="shared" si="672"/>
        <v>21575208</v>
      </c>
      <c r="AZ244" s="1">
        <f t="shared" si="673"/>
        <v>10787604</v>
      </c>
      <c r="BB244" s="1">
        <f t="shared" si="674"/>
        <v>233</v>
      </c>
    </row>
    <row r="245" spans="2:54">
      <c r="B245" s="4">
        <v>234</v>
      </c>
      <c r="C245" s="1">
        <f t="shared" ref="C245:I245" si="795">C$5+(C$6-C$5)*(POWER(C$7,$B245-1)-1)/(POWER(C$7,$B$3-1)-1)</f>
        <v>18488.4481456767</v>
      </c>
      <c r="D245" s="1">
        <f t="shared" si="795"/>
        <v>5546.53444370302</v>
      </c>
      <c r="E245" s="1">
        <f t="shared" si="795"/>
        <v>3697.68962913535</v>
      </c>
      <c r="F245" s="1">
        <f t="shared" si="795"/>
        <v>46806.1978371563</v>
      </c>
      <c r="G245" s="1">
        <f t="shared" si="795"/>
        <v>14041.8593511469</v>
      </c>
      <c r="H245" s="1">
        <f t="shared" si="795"/>
        <v>9361.23956743126</v>
      </c>
      <c r="I245" s="1">
        <f t="shared" si="795"/>
        <v>0</v>
      </c>
      <c r="J245" s="1">
        <f>标准模型!$I$65/1*$B245/$B$3</f>
        <v>1.6848</v>
      </c>
      <c r="K245" s="1">
        <f>J245*标准模型!$J$63</f>
        <v>1.6848</v>
      </c>
      <c r="L245" s="1">
        <f t="shared" si="649"/>
        <v>65294.645982833</v>
      </c>
      <c r="M245" s="1">
        <f t="shared" si="650"/>
        <v>28933.1950256008</v>
      </c>
      <c r="N245" s="1">
        <f t="shared" si="651"/>
        <v>19288.7966837338</v>
      </c>
      <c r="O245" s="1">
        <f t="shared" ref="O245:W245" si="796">O$5+(O$6-O$5)*(POWER(O$7,$B245-1)-1)/(POWER(O$7,$B$3-1)-1)</f>
        <v>0.733497985156094</v>
      </c>
      <c r="P245" s="1">
        <f t="shared" si="796"/>
        <v>0.150268249182176</v>
      </c>
      <c r="Q245" s="1">
        <f t="shared" si="796"/>
        <v>0.403423891835852</v>
      </c>
      <c r="R245" s="1">
        <f t="shared" si="796"/>
        <v>1.09339919406244</v>
      </c>
      <c r="S245" s="1">
        <f t="shared" si="796"/>
        <v>0.353547380702922</v>
      </c>
      <c r="T245" s="1">
        <f t="shared" si="796"/>
        <v>2.91064214210877</v>
      </c>
      <c r="U245" s="1">
        <f t="shared" si="796"/>
        <v>1</v>
      </c>
      <c r="V245" s="1">
        <f t="shared" si="796"/>
        <v>1.25465250346938</v>
      </c>
      <c r="W245" s="1">
        <f t="shared" si="796"/>
        <v>1.7471935524995</v>
      </c>
      <c r="X245" s="1">
        <f t="shared" si="653"/>
        <v>2.82880010261779</v>
      </c>
      <c r="Y245" s="1">
        <f t="shared" si="654"/>
        <v>5.16929136456932</v>
      </c>
      <c r="Z245" s="1">
        <f t="shared" si="655"/>
        <v>337527.04963167</v>
      </c>
      <c r="AA245" s="1">
        <f t="shared" si="656"/>
        <v>28933.1950256008</v>
      </c>
      <c r="AB245" s="1">
        <f t="shared" si="657"/>
        <v>19288.7966837338</v>
      </c>
      <c r="AC245" s="1">
        <f>AB245/(AB245+战斗公式!$M$27)</f>
        <v>0.445584034702027</v>
      </c>
      <c r="AD245" s="1">
        <f t="shared" si="658"/>
        <v>608797.492781913</v>
      </c>
      <c r="AE245" s="1">
        <f t="shared" si="659"/>
        <v>7.43830875955927</v>
      </c>
      <c r="AF245" s="1">
        <f t="shared" si="660"/>
        <v>4.07047834961748</v>
      </c>
      <c r="AG245" s="1">
        <f t="shared" si="661"/>
        <v>4.38686573342599</v>
      </c>
      <c r="AH245" s="1">
        <f t="shared" si="662"/>
        <v>0.993349887825932</v>
      </c>
      <c r="AI245" s="1">
        <f t="shared" si="663"/>
        <v>1.00000741817983</v>
      </c>
      <c r="AJ245" s="1">
        <f t="shared" si="664"/>
        <v>1.00719061054087</v>
      </c>
      <c r="AK245" s="1">
        <f t="shared" si="665"/>
        <v>1</v>
      </c>
      <c r="AL245" s="10">
        <f t="shared" si="666"/>
        <v>363762</v>
      </c>
      <c r="AM245" s="10">
        <f t="shared" si="667"/>
        <v>28741</v>
      </c>
      <c r="AN245" s="10">
        <f t="shared" si="668"/>
        <v>19289</v>
      </c>
      <c r="AO245" s="1">
        <f t="shared" si="669"/>
        <v>200494</v>
      </c>
      <c r="AP245" s="1">
        <f t="shared" si="670"/>
        <v>28741</v>
      </c>
      <c r="AR245" s="1">
        <f t="shared" ref="AR245:AX245" si="797">ROUNDUP(AR$10*$AO245,0)</f>
        <v>200494</v>
      </c>
      <c r="AS245" s="1">
        <f t="shared" si="797"/>
        <v>601482</v>
      </c>
      <c r="AT245" s="1">
        <f t="shared" si="797"/>
        <v>360890</v>
      </c>
      <c r="AU245" s="1">
        <f t="shared" si="797"/>
        <v>100247</v>
      </c>
      <c r="AV245" s="1">
        <f t="shared" si="797"/>
        <v>30075</v>
      </c>
      <c r="AW245" s="1">
        <f t="shared" si="797"/>
        <v>801976</v>
      </c>
      <c r="AX245" s="1">
        <f t="shared" si="797"/>
        <v>1804446</v>
      </c>
      <c r="AY245" s="1">
        <f t="shared" si="672"/>
        <v>21825882</v>
      </c>
      <c r="AZ245" s="1">
        <f t="shared" si="673"/>
        <v>10912941</v>
      </c>
      <c r="BB245" s="1">
        <f t="shared" si="674"/>
        <v>234</v>
      </c>
    </row>
    <row r="246" spans="2:54">
      <c r="B246" s="4">
        <v>235</v>
      </c>
      <c r="C246" s="1">
        <f t="shared" ref="C246:I246" si="798">C$5+(C$6-C$5)*(POWER(C$7,$B246-1)-1)/(POWER(C$7,$B$3-1)-1)</f>
        <v>18567.4494088678</v>
      </c>
      <c r="D246" s="1">
        <f t="shared" si="798"/>
        <v>5570.23482266035</v>
      </c>
      <c r="E246" s="1">
        <f t="shared" si="798"/>
        <v>3713.48988177357</v>
      </c>
      <c r="F246" s="1">
        <f t="shared" si="798"/>
        <v>47006.2010351084</v>
      </c>
      <c r="G246" s="1">
        <f t="shared" si="798"/>
        <v>14101.8603105325</v>
      </c>
      <c r="H246" s="1">
        <f t="shared" si="798"/>
        <v>9401.24020702169</v>
      </c>
      <c r="I246" s="1">
        <f t="shared" si="798"/>
        <v>0</v>
      </c>
      <c r="J246" s="1">
        <f>标准模型!$I$65/1*$B246/$B$3</f>
        <v>1.692</v>
      </c>
      <c r="K246" s="1">
        <f>J246*标准模型!$J$63</f>
        <v>1.692</v>
      </c>
      <c r="L246" s="1">
        <f t="shared" si="649"/>
        <v>65573.6504439762</v>
      </c>
      <c r="M246" s="1">
        <f t="shared" si="650"/>
        <v>29096.9324531342</v>
      </c>
      <c r="N246" s="1">
        <f t="shared" si="651"/>
        <v>19397.9549687561</v>
      </c>
      <c r="O246" s="1">
        <f t="shared" ref="O246:W246" si="799">O$5+(O$6-O$5)*(POWER(O$7,$B246-1)-1)/(POWER(O$7,$B$3-1)-1)</f>
        <v>0.734500005185914</v>
      </c>
      <c r="P246" s="1">
        <f t="shared" si="799"/>
        <v>0.151032908681479</v>
      </c>
      <c r="Q246" s="1">
        <f t="shared" si="799"/>
        <v>0.403975002852253</v>
      </c>
      <c r="R246" s="1">
        <f t="shared" si="799"/>
        <v>1.09380000207437</v>
      </c>
      <c r="S246" s="1">
        <f t="shared" si="799"/>
        <v>0.354850006741688</v>
      </c>
      <c r="T246" s="1">
        <f t="shared" si="799"/>
        <v>2.91455002022506</v>
      </c>
      <c r="U246" s="1">
        <f t="shared" si="799"/>
        <v>1</v>
      </c>
      <c r="V246" s="1">
        <f t="shared" si="799"/>
        <v>1.25574530480105</v>
      </c>
      <c r="W246" s="1">
        <f t="shared" si="799"/>
        <v>1.75040001659492</v>
      </c>
      <c r="X246" s="1">
        <f t="shared" si="653"/>
        <v>2.84726846920022</v>
      </c>
      <c r="Y246" s="1">
        <f t="shared" si="654"/>
        <v>5.20654092770795</v>
      </c>
      <c r="Z246" s="1">
        <f t="shared" si="655"/>
        <v>341411.894815777</v>
      </c>
      <c r="AA246" s="1">
        <f t="shared" si="656"/>
        <v>29096.9324531342</v>
      </c>
      <c r="AB246" s="1">
        <f t="shared" si="657"/>
        <v>19397.9549687561</v>
      </c>
      <c r="AC246" s="1">
        <f>AB246/(AB246+战斗公式!$M$27)</f>
        <v>0.446978549628006</v>
      </c>
      <c r="AD246" s="1">
        <f t="shared" si="658"/>
        <v>617357.418208866</v>
      </c>
      <c r="AE246" s="1">
        <f t="shared" si="659"/>
        <v>7.45179753149317</v>
      </c>
      <c r="AF246" s="1">
        <f t="shared" si="660"/>
        <v>4.0751179035915</v>
      </c>
      <c r="AG246" s="1">
        <f t="shared" si="661"/>
        <v>4.39218189465634</v>
      </c>
      <c r="AH246" s="1">
        <f t="shared" si="662"/>
        <v>0.997075566143554</v>
      </c>
      <c r="AI246" s="1">
        <f t="shared" si="663"/>
        <v>1.0000070472704</v>
      </c>
      <c r="AJ246" s="1">
        <f t="shared" si="664"/>
        <v>1.00704612852266</v>
      </c>
      <c r="AK246" s="1">
        <f t="shared" si="665"/>
        <v>1</v>
      </c>
      <c r="AL246" s="10">
        <f t="shared" si="666"/>
        <v>367975</v>
      </c>
      <c r="AM246" s="10">
        <f t="shared" si="667"/>
        <v>29012</v>
      </c>
      <c r="AN246" s="10">
        <f t="shared" si="668"/>
        <v>19398</v>
      </c>
      <c r="AO246" s="1">
        <f t="shared" si="669"/>
        <v>202650</v>
      </c>
      <c r="AP246" s="1">
        <f t="shared" si="670"/>
        <v>29012</v>
      </c>
      <c r="AR246" s="1">
        <f t="shared" ref="AR246:AX246" si="800">ROUNDUP(AR$10*$AO246,0)</f>
        <v>202650</v>
      </c>
      <c r="AS246" s="1">
        <f t="shared" si="800"/>
        <v>607950</v>
      </c>
      <c r="AT246" s="1">
        <f t="shared" si="800"/>
        <v>364770</v>
      </c>
      <c r="AU246" s="1">
        <f t="shared" si="800"/>
        <v>101325</v>
      </c>
      <c r="AV246" s="1">
        <f t="shared" si="800"/>
        <v>30398</v>
      </c>
      <c r="AW246" s="1">
        <f t="shared" si="800"/>
        <v>810600</v>
      </c>
      <c r="AX246" s="1">
        <f t="shared" si="800"/>
        <v>1823850</v>
      </c>
      <c r="AY246" s="1">
        <f t="shared" si="672"/>
        <v>22078656</v>
      </c>
      <c r="AZ246" s="1">
        <f t="shared" si="673"/>
        <v>11039328</v>
      </c>
      <c r="BB246" s="1">
        <f t="shared" si="674"/>
        <v>235</v>
      </c>
    </row>
    <row r="247" spans="2:54">
      <c r="B247" s="4">
        <v>236</v>
      </c>
      <c r="C247" s="1">
        <f t="shared" ref="C247:I247" si="801">C$5+(C$6-C$5)*(POWER(C$7,$B247-1)-1)/(POWER(C$7,$B$3-1)-1)</f>
        <v>18646.4505930585</v>
      </c>
      <c r="D247" s="1">
        <f t="shared" si="801"/>
        <v>5593.93517791756</v>
      </c>
      <c r="E247" s="1">
        <f t="shared" si="801"/>
        <v>3729.29011861171</v>
      </c>
      <c r="F247" s="1">
        <f t="shared" si="801"/>
        <v>47206.2040330596</v>
      </c>
      <c r="G247" s="1">
        <f t="shared" si="801"/>
        <v>14161.8612099179</v>
      </c>
      <c r="H247" s="1">
        <f t="shared" si="801"/>
        <v>9441.24080661192</v>
      </c>
      <c r="I247" s="1">
        <f t="shared" si="801"/>
        <v>0</v>
      </c>
      <c r="J247" s="1">
        <f>标准模型!$I$65/1*$B247/$B$3</f>
        <v>1.6992</v>
      </c>
      <c r="K247" s="1">
        <f>J247*标准模型!$J$63</f>
        <v>1.6992</v>
      </c>
      <c r="L247" s="1">
        <f t="shared" si="649"/>
        <v>65852.6546261181</v>
      </c>
      <c r="M247" s="1">
        <f t="shared" si="650"/>
        <v>29261.011042153</v>
      </c>
      <c r="N247" s="1">
        <f t="shared" si="651"/>
        <v>19507.3406947686</v>
      </c>
      <c r="O247" s="1">
        <f t="shared" ref="O247:W247" si="802">O$5+(O$6-O$5)*(POWER(O$7,$B247-1)-1)/(POWER(O$7,$B$3-1)-1)</f>
        <v>0.735502024213725</v>
      </c>
      <c r="P247" s="1">
        <f t="shared" si="802"/>
        <v>0.151798715170031</v>
      </c>
      <c r="Q247" s="1">
        <f t="shared" si="802"/>
        <v>0.404526113317549</v>
      </c>
      <c r="R247" s="1">
        <f t="shared" si="802"/>
        <v>1.09420080968549</v>
      </c>
      <c r="S247" s="1">
        <f t="shared" si="802"/>
        <v>0.356152631477843</v>
      </c>
      <c r="T247" s="1">
        <f t="shared" si="802"/>
        <v>2.91845789443353</v>
      </c>
      <c r="U247" s="1">
        <f t="shared" si="802"/>
        <v>1</v>
      </c>
      <c r="V247" s="1">
        <f t="shared" si="802"/>
        <v>1.25683810503993</v>
      </c>
      <c r="W247" s="1">
        <f t="shared" si="802"/>
        <v>1.75360647748392</v>
      </c>
      <c r="X247" s="1">
        <f t="shared" si="653"/>
        <v>2.86584176139735</v>
      </c>
      <c r="Y247" s="1">
        <f t="shared" si="654"/>
        <v>5.24402810535015</v>
      </c>
      <c r="Z247" s="1">
        <f t="shared" si="655"/>
        <v>345333.17167128</v>
      </c>
      <c r="AA247" s="1">
        <f t="shared" si="656"/>
        <v>29261.011042153</v>
      </c>
      <c r="AB247" s="1">
        <f t="shared" si="657"/>
        <v>19507.3406947686</v>
      </c>
      <c r="AC247" s="1">
        <f>AB247/(AB247+战斗公式!$M$27)</f>
        <v>0.448368950693284</v>
      </c>
      <c r="AD247" s="1">
        <f t="shared" si="658"/>
        <v>626021.998046142</v>
      </c>
      <c r="AE247" s="1">
        <f t="shared" si="659"/>
        <v>7.46531365517643</v>
      </c>
      <c r="AF247" s="1">
        <f t="shared" si="660"/>
        <v>4.0797660129066</v>
      </c>
      <c r="AG247" s="1">
        <f t="shared" si="661"/>
        <v>4.39745818467747</v>
      </c>
      <c r="AH247" s="1">
        <f t="shared" si="662"/>
        <v>1.00080869581781</v>
      </c>
      <c r="AI247" s="1">
        <f t="shared" si="663"/>
        <v>1.00000669490644</v>
      </c>
      <c r="AJ247" s="1">
        <f t="shared" si="664"/>
        <v>1.00690453614482</v>
      </c>
      <c r="AK247" s="1">
        <f t="shared" si="665"/>
        <v>1</v>
      </c>
      <c r="AL247" s="10">
        <f t="shared" si="666"/>
        <v>372224</v>
      </c>
      <c r="AM247" s="10">
        <f t="shared" si="667"/>
        <v>29285</v>
      </c>
      <c r="AN247" s="10">
        <f t="shared" si="668"/>
        <v>19507</v>
      </c>
      <c r="AO247" s="1">
        <f t="shared" si="669"/>
        <v>204824</v>
      </c>
      <c r="AP247" s="1">
        <f t="shared" si="670"/>
        <v>29285</v>
      </c>
      <c r="AR247" s="1">
        <f t="shared" ref="AR247:AX247" si="803">ROUNDUP(AR$10*$AO247,0)</f>
        <v>204824</v>
      </c>
      <c r="AS247" s="1">
        <f t="shared" si="803"/>
        <v>614472</v>
      </c>
      <c r="AT247" s="1">
        <f t="shared" si="803"/>
        <v>368684</v>
      </c>
      <c r="AU247" s="1">
        <f t="shared" si="803"/>
        <v>102412</v>
      </c>
      <c r="AV247" s="1">
        <f t="shared" si="803"/>
        <v>30724</v>
      </c>
      <c r="AW247" s="1">
        <f t="shared" si="803"/>
        <v>819296</v>
      </c>
      <c r="AX247" s="1">
        <f t="shared" si="803"/>
        <v>1843416</v>
      </c>
      <c r="AY247" s="1">
        <f t="shared" si="672"/>
        <v>22333590</v>
      </c>
      <c r="AZ247" s="1">
        <f t="shared" si="673"/>
        <v>11166795</v>
      </c>
      <c r="BB247" s="1">
        <f t="shared" si="674"/>
        <v>236</v>
      </c>
    </row>
    <row r="248" spans="2:54">
      <c r="B248" s="4">
        <v>237</v>
      </c>
      <c r="C248" s="1">
        <f t="shared" ref="C248:I248" si="804">C$5+(C$6-C$5)*(POWER(C$7,$B248-1)-1)/(POWER(C$7,$B$3-1)-1)</f>
        <v>18725.4516982489</v>
      </c>
      <c r="D248" s="1">
        <f t="shared" si="804"/>
        <v>5617.63550947466</v>
      </c>
      <c r="E248" s="1">
        <f t="shared" si="804"/>
        <v>3745.09033964978</v>
      </c>
      <c r="F248" s="1">
        <f t="shared" si="804"/>
        <v>47406.2068310098</v>
      </c>
      <c r="G248" s="1">
        <f t="shared" si="804"/>
        <v>14221.8620493029</v>
      </c>
      <c r="H248" s="1">
        <f t="shared" si="804"/>
        <v>9481.24136620196</v>
      </c>
      <c r="I248" s="1">
        <f t="shared" si="804"/>
        <v>0</v>
      </c>
      <c r="J248" s="1">
        <f>标准模型!$I$65/1*$B248/$B$3</f>
        <v>1.7064</v>
      </c>
      <c r="K248" s="1">
        <f>J248*标准模型!$J$63</f>
        <v>1.7064</v>
      </c>
      <c r="L248" s="1">
        <f t="shared" si="649"/>
        <v>66131.6585292587</v>
      </c>
      <c r="M248" s="1">
        <f t="shared" si="650"/>
        <v>29425.4307921452</v>
      </c>
      <c r="N248" s="1">
        <f t="shared" si="651"/>
        <v>19616.9538614301</v>
      </c>
      <c r="O248" s="1">
        <f t="shared" ref="O248:W248" si="805">O$5+(O$6-O$5)*(POWER(O$7,$B248-1)-1)/(POWER(O$7,$B$3-1)-1)</f>
        <v>0.736504042239528</v>
      </c>
      <c r="P248" s="1">
        <f t="shared" si="805"/>
        <v>0.152565670368315</v>
      </c>
      <c r="Q248" s="1">
        <f t="shared" si="805"/>
        <v>0.405077223231741</v>
      </c>
      <c r="R248" s="1">
        <f t="shared" si="805"/>
        <v>1.09460161689581</v>
      </c>
      <c r="S248" s="1">
        <f t="shared" si="805"/>
        <v>0.357455254911387</v>
      </c>
      <c r="T248" s="1">
        <f t="shared" si="805"/>
        <v>2.92236576473416</v>
      </c>
      <c r="U248" s="1">
        <f t="shared" si="805"/>
        <v>1</v>
      </c>
      <c r="V248" s="1">
        <f t="shared" si="805"/>
        <v>1.25793090418602</v>
      </c>
      <c r="W248" s="1">
        <f t="shared" si="805"/>
        <v>1.75681293516649</v>
      </c>
      <c r="X248" s="1">
        <f t="shared" si="653"/>
        <v>2.88452047498041</v>
      </c>
      <c r="Y248" s="1">
        <f t="shared" si="654"/>
        <v>5.28175419030251</v>
      </c>
      <c r="Z248" s="1">
        <f t="shared" si="655"/>
        <v>349291.164548567</v>
      </c>
      <c r="AA248" s="1">
        <f t="shared" si="656"/>
        <v>29425.4307921452</v>
      </c>
      <c r="AB248" s="1">
        <f t="shared" si="657"/>
        <v>19616.9538614301</v>
      </c>
      <c r="AC248" s="1">
        <f>AB248/(AB248+战斗公式!$M$27)</f>
        <v>0.449755247093886</v>
      </c>
      <c r="AD248" s="1">
        <f t="shared" si="658"/>
        <v>634792.358680002</v>
      </c>
      <c r="AE248" s="1">
        <f t="shared" si="659"/>
        <v>7.4788570900417</v>
      </c>
      <c r="AF248" s="1">
        <f t="shared" si="660"/>
        <v>4.08442264225137</v>
      </c>
      <c r="AG248" s="1">
        <f t="shared" si="661"/>
        <v>4.40269490252344</v>
      </c>
      <c r="AH248" s="1">
        <f t="shared" si="662"/>
        <v>1.00454929175142</v>
      </c>
      <c r="AI248" s="1">
        <f t="shared" si="663"/>
        <v>1.00000636016067</v>
      </c>
      <c r="AJ248" s="1">
        <f t="shared" si="664"/>
        <v>1.00676577561454</v>
      </c>
      <c r="AK248" s="1">
        <f t="shared" si="665"/>
        <v>1</v>
      </c>
      <c r="AL248" s="10">
        <f t="shared" si="666"/>
        <v>376509</v>
      </c>
      <c r="AM248" s="10">
        <f t="shared" si="667"/>
        <v>29559</v>
      </c>
      <c r="AN248" s="10">
        <f t="shared" si="668"/>
        <v>19617</v>
      </c>
      <c r="AO248" s="1">
        <f t="shared" si="669"/>
        <v>207014</v>
      </c>
      <c r="AP248" s="1">
        <f t="shared" si="670"/>
        <v>29559</v>
      </c>
      <c r="AR248" s="1">
        <f t="shared" ref="AR248:AX248" si="806">ROUNDUP(AR$10*$AO248,0)</f>
        <v>207014</v>
      </c>
      <c r="AS248" s="1">
        <f t="shared" si="806"/>
        <v>621042</v>
      </c>
      <c r="AT248" s="1">
        <f t="shared" si="806"/>
        <v>372626</v>
      </c>
      <c r="AU248" s="1">
        <f t="shared" si="806"/>
        <v>103507</v>
      </c>
      <c r="AV248" s="1">
        <f t="shared" si="806"/>
        <v>31053</v>
      </c>
      <c r="AW248" s="1">
        <f t="shared" si="806"/>
        <v>828056</v>
      </c>
      <c r="AX248" s="1">
        <f t="shared" si="806"/>
        <v>1863126</v>
      </c>
      <c r="AY248" s="1">
        <f t="shared" si="672"/>
        <v>22590684</v>
      </c>
      <c r="AZ248" s="1">
        <f t="shared" si="673"/>
        <v>11295342</v>
      </c>
      <c r="BB248" s="1">
        <f t="shared" si="674"/>
        <v>237</v>
      </c>
    </row>
    <row r="249" spans="2:54">
      <c r="B249" s="4">
        <v>238</v>
      </c>
      <c r="C249" s="1">
        <f t="shared" ref="C249:I249" si="807">C$5+(C$6-C$5)*(POWER(C$7,$B249-1)-1)/(POWER(C$7,$B$3-1)-1)</f>
        <v>18804.4527244301</v>
      </c>
      <c r="D249" s="1">
        <f t="shared" si="807"/>
        <v>5641.33581732902</v>
      </c>
      <c r="E249" s="1">
        <f t="shared" si="807"/>
        <v>3760.89054488601</v>
      </c>
      <c r="F249" s="1">
        <f t="shared" si="807"/>
        <v>47606.2094289368</v>
      </c>
      <c r="G249" s="1">
        <f t="shared" si="807"/>
        <v>14281.8628286811</v>
      </c>
      <c r="H249" s="1">
        <f t="shared" si="807"/>
        <v>9521.24188578737</v>
      </c>
      <c r="I249" s="1">
        <f t="shared" si="807"/>
        <v>0</v>
      </c>
      <c r="J249" s="1">
        <f>标准模型!$I$65/1*$B249/$B$3</f>
        <v>1.7136</v>
      </c>
      <c r="K249" s="1">
        <f>J249*标准模型!$J$63</f>
        <v>1.7136</v>
      </c>
      <c r="L249" s="1">
        <f t="shared" si="649"/>
        <v>66410.6621533669</v>
      </c>
      <c r="M249" s="1">
        <f t="shared" si="650"/>
        <v>29590.1917025851</v>
      </c>
      <c r="N249" s="1">
        <f t="shared" si="651"/>
        <v>19726.7944683901</v>
      </c>
      <c r="O249" s="1">
        <f t="shared" ref="O249:W249" si="808">O$5+(O$6-O$5)*(POWER(O$7,$B249-1)-1)/(POWER(O$7,$B$3-1)-1)</f>
        <v>0.737506059263211</v>
      </c>
      <c r="P249" s="1">
        <f t="shared" si="808"/>
        <v>0.153333775999397</v>
      </c>
      <c r="Q249" s="1">
        <f t="shared" si="808"/>
        <v>0.405628332594766</v>
      </c>
      <c r="R249" s="1">
        <f t="shared" si="808"/>
        <v>1.09500242370528</v>
      </c>
      <c r="S249" s="1">
        <f t="shared" si="808"/>
        <v>0.358757877042174</v>
      </c>
      <c r="T249" s="1">
        <f t="shared" si="808"/>
        <v>2.92627363112652</v>
      </c>
      <c r="U249" s="1">
        <f t="shared" si="808"/>
        <v>1</v>
      </c>
      <c r="V249" s="1">
        <f t="shared" si="808"/>
        <v>1.25902370223919</v>
      </c>
      <c r="W249" s="1">
        <f t="shared" si="808"/>
        <v>1.76001938964227</v>
      </c>
      <c r="X249" s="1">
        <f t="shared" si="653"/>
        <v>2.90330510747664</v>
      </c>
      <c r="Y249" s="1">
        <f t="shared" si="654"/>
        <v>5.31972048095445</v>
      </c>
      <c r="Z249" s="1">
        <f t="shared" si="655"/>
        <v>353286.159611012</v>
      </c>
      <c r="AA249" s="1">
        <f t="shared" si="656"/>
        <v>29590.1917025851</v>
      </c>
      <c r="AB249" s="1">
        <f t="shared" si="657"/>
        <v>19726.7944683901</v>
      </c>
      <c r="AC249" s="1">
        <f>AB249/(AB249+战斗公式!$M$27)</f>
        <v>0.451137448061748</v>
      </c>
      <c r="AD249" s="1">
        <f t="shared" si="658"/>
        <v>643669.637076566</v>
      </c>
      <c r="AE249" s="1">
        <f t="shared" si="659"/>
        <v>7.49242779571961</v>
      </c>
      <c r="AF249" s="1">
        <f t="shared" si="660"/>
        <v>4.08908775650743</v>
      </c>
      <c r="AG249" s="1">
        <f t="shared" si="661"/>
        <v>4.40789234498557</v>
      </c>
      <c r="AH249" s="1">
        <f t="shared" si="662"/>
        <v>1.00829736887689</v>
      </c>
      <c r="AI249" s="1">
        <f t="shared" si="663"/>
        <v>1.0000060421522</v>
      </c>
      <c r="AJ249" s="1">
        <f t="shared" si="664"/>
        <v>1.00662979029486</v>
      </c>
      <c r="AK249" s="1">
        <f t="shared" si="665"/>
        <v>1</v>
      </c>
      <c r="AL249" s="10">
        <f t="shared" si="666"/>
        <v>380830</v>
      </c>
      <c r="AM249" s="10">
        <f t="shared" si="667"/>
        <v>29836</v>
      </c>
      <c r="AN249" s="10">
        <f t="shared" si="668"/>
        <v>19727</v>
      </c>
      <c r="AO249" s="1">
        <f t="shared" si="669"/>
        <v>209221</v>
      </c>
      <c r="AP249" s="1">
        <f t="shared" si="670"/>
        <v>29836</v>
      </c>
      <c r="AR249" s="1">
        <f t="shared" ref="AR249:AX249" si="809">ROUNDUP(AR$10*$AO249,0)</f>
        <v>209221</v>
      </c>
      <c r="AS249" s="1">
        <f t="shared" si="809"/>
        <v>627663</v>
      </c>
      <c r="AT249" s="1">
        <f t="shared" si="809"/>
        <v>376598</v>
      </c>
      <c r="AU249" s="1">
        <f t="shared" si="809"/>
        <v>104611</v>
      </c>
      <c r="AV249" s="1">
        <f t="shared" si="809"/>
        <v>31384</v>
      </c>
      <c r="AW249" s="1">
        <f t="shared" si="809"/>
        <v>836884</v>
      </c>
      <c r="AX249" s="1">
        <f t="shared" si="809"/>
        <v>1882989</v>
      </c>
      <c r="AY249" s="1">
        <f t="shared" si="672"/>
        <v>22849938</v>
      </c>
      <c r="AZ249" s="1">
        <f t="shared" si="673"/>
        <v>11424969</v>
      </c>
      <c r="BB249" s="1">
        <f t="shared" si="674"/>
        <v>238</v>
      </c>
    </row>
    <row r="250" spans="2:54">
      <c r="B250" s="4">
        <v>239</v>
      </c>
      <c r="C250" s="1">
        <f t="shared" ref="C250:I250" si="810">C$5+(C$6-C$5)*(POWER(C$7,$B250-1)-1)/(POWER(C$7,$B$3-1)-1)</f>
        <v>18883.4536716196</v>
      </c>
      <c r="D250" s="1">
        <f t="shared" si="810"/>
        <v>5665.03610148589</v>
      </c>
      <c r="E250" s="1">
        <f t="shared" si="810"/>
        <v>3776.69073432393</v>
      </c>
      <c r="F250" s="1">
        <f t="shared" si="810"/>
        <v>47806.2118268851</v>
      </c>
      <c r="G250" s="1">
        <f t="shared" si="810"/>
        <v>14341.8635480655</v>
      </c>
      <c r="H250" s="1">
        <f t="shared" si="810"/>
        <v>9561.24236537703</v>
      </c>
      <c r="I250" s="1">
        <f t="shared" si="810"/>
        <v>0</v>
      </c>
      <c r="J250" s="1">
        <f>标准模型!$I$65/1*$B250/$B$3</f>
        <v>1.7208</v>
      </c>
      <c r="K250" s="1">
        <f>J250*标准模型!$J$63</f>
        <v>1.7208</v>
      </c>
      <c r="L250" s="1">
        <f t="shared" si="649"/>
        <v>66689.6654985047</v>
      </c>
      <c r="M250" s="1">
        <f t="shared" si="650"/>
        <v>29755.2937729883</v>
      </c>
      <c r="N250" s="1">
        <f t="shared" si="651"/>
        <v>19836.8625153256</v>
      </c>
      <c r="O250" s="1">
        <f t="shared" ref="O250:W250" si="811">O$5+(O$6-O$5)*(POWER(O$7,$B250-1)-1)/(POWER(O$7,$B$3-1)-1)</f>
        <v>0.738508075284996</v>
      </c>
      <c r="P250" s="1">
        <f t="shared" si="811"/>
        <v>0.154103033788926</v>
      </c>
      <c r="Q250" s="1">
        <f t="shared" si="811"/>
        <v>0.406179441406748</v>
      </c>
      <c r="R250" s="1">
        <f t="shared" si="811"/>
        <v>1.095403230114</v>
      </c>
      <c r="S250" s="1">
        <f t="shared" si="811"/>
        <v>0.360060497870494</v>
      </c>
      <c r="T250" s="1">
        <f t="shared" si="811"/>
        <v>2.93018149361148</v>
      </c>
      <c r="U250" s="1">
        <f t="shared" si="811"/>
        <v>1</v>
      </c>
      <c r="V250" s="1">
        <f t="shared" si="811"/>
        <v>1.2601164991997</v>
      </c>
      <c r="W250" s="1">
        <f t="shared" si="811"/>
        <v>1.76322584091199</v>
      </c>
      <c r="X250" s="1">
        <f t="shared" si="653"/>
        <v>2.92219615818097</v>
      </c>
      <c r="Y250" s="1">
        <f t="shared" si="654"/>
        <v>5.35792828131175</v>
      </c>
      <c r="Z250" s="1">
        <f t="shared" si="655"/>
        <v>357318.444845659</v>
      </c>
      <c r="AA250" s="1">
        <f t="shared" si="656"/>
        <v>29755.2937729883</v>
      </c>
      <c r="AB250" s="1">
        <f t="shared" si="657"/>
        <v>19836.8625153256</v>
      </c>
      <c r="AC250" s="1">
        <f>AB250/(AB250+战斗公式!$M$27)</f>
        <v>0.452515562864256</v>
      </c>
      <c r="AD250" s="1">
        <f t="shared" si="658"/>
        <v>652654.980870379</v>
      </c>
      <c r="AE250" s="1">
        <f t="shared" si="659"/>
        <v>7.50602573204684</v>
      </c>
      <c r="AF250" s="1">
        <f t="shared" si="660"/>
        <v>4.09376132075153</v>
      </c>
      <c r="AG250" s="1">
        <f t="shared" si="661"/>
        <v>4.41305080662923</v>
      </c>
      <c r="AH250" s="1">
        <f t="shared" si="662"/>
        <v>1.01205294215661</v>
      </c>
      <c r="AI250" s="1">
        <f t="shared" si="663"/>
        <v>1.00000574004415</v>
      </c>
      <c r="AJ250" s="1">
        <f t="shared" si="664"/>
        <v>1.00649652468157</v>
      </c>
      <c r="AK250" s="1">
        <f t="shared" si="665"/>
        <v>1</v>
      </c>
      <c r="AL250" s="10">
        <f t="shared" si="666"/>
        <v>385187</v>
      </c>
      <c r="AM250" s="10">
        <f t="shared" si="667"/>
        <v>30114</v>
      </c>
      <c r="AN250" s="10">
        <f t="shared" si="668"/>
        <v>19837</v>
      </c>
      <c r="AO250" s="1">
        <f t="shared" si="669"/>
        <v>211445</v>
      </c>
      <c r="AP250" s="1">
        <f t="shared" si="670"/>
        <v>30114</v>
      </c>
      <c r="AR250" s="1">
        <f t="shared" ref="AR250:AX250" si="812">ROUNDUP(AR$10*$AO250,0)</f>
        <v>211445</v>
      </c>
      <c r="AS250" s="1">
        <f t="shared" si="812"/>
        <v>634335</v>
      </c>
      <c r="AT250" s="1">
        <f t="shared" si="812"/>
        <v>380601</v>
      </c>
      <c r="AU250" s="1">
        <f t="shared" si="812"/>
        <v>105723</v>
      </c>
      <c r="AV250" s="1">
        <f t="shared" si="812"/>
        <v>31717</v>
      </c>
      <c r="AW250" s="1">
        <f t="shared" si="812"/>
        <v>845780</v>
      </c>
      <c r="AX250" s="1">
        <f t="shared" si="812"/>
        <v>1903005</v>
      </c>
      <c r="AY250" s="1">
        <f t="shared" si="672"/>
        <v>23111353</v>
      </c>
      <c r="AZ250" s="1">
        <f t="shared" si="673"/>
        <v>11555676</v>
      </c>
      <c r="BB250" s="1">
        <f t="shared" si="674"/>
        <v>239</v>
      </c>
    </row>
    <row r="251" spans="2:54">
      <c r="B251" s="4">
        <v>240</v>
      </c>
      <c r="C251" s="1">
        <f t="shared" ref="C251:I251" si="813">C$5+(C$6-C$5)*(POWER(C$7,$B251-1)-1)/(POWER(C$7,$B$3-1)-1)</f>
        <v>18962.4545398088</v>
      </c>
      <c r="D251" s="1">
        <f t="shared" si="813"/>
        <v>5688.73636194265</v>
      </c>
      <c r="E251" s="1">
        <f t="shared" si="813"/>
        <v>3792.49090796177</v>
      </c>
      <c r="F251" s="1">
        <f t="shared" si="813"/>
        <v>48006.2140248325</v>
      </c>
      <c r="G251" s="1">
        <f t="shared" si="813"/>
        <v>14401.8642074497</v>
      </c>
      <c r="H251" s="1">
        <f t="shared" si="813"/>
        <v>9601.24280496649</v>
      </c>
      <c r="I251" s="1">
        <f t="shared" si="813"/>
        <v>0</v>
      </c>
      <c r="J251" s="1">
        <f>标准模型!$I$65/1*$B251/$B$3</f>
        <v>1.728</v>
      </c>
      <c r="K251" s="1">
        <f>J251*标准模型!$J$63</f>
        <v>1.728</v>
      </c>
      <c r="L251" s="1">
        <f t="shared" si="649"/>
        <v>66968.6685646413</v>
      </c>
      <c r="M251" s="1">
        <f t="shared" si="650"/>
        <v>29920.7370028293</v>
      </c>
      <c r="N251" s="1">
        <f t="shared" si="651"/>
        <v>19947.1580018862</v>
      </c>
      <c r="O251" s="1">
        <f t="shared" ref="O251:W251" si="814">O$5+(O$6-O$5)*(POWER(O$7,$B251-1)-1)/(POWER(O$7,$B$3-1)-1)</f>
        <v>0.739510090304772</v>
      </c>
      <c r="P251" s="1">
        <f t="shared" si="814"/>
        <v>0.154873445465139</v>
      </c>
      <c r="Q251" s="1">
        <f t="shared" si="814"/>
        <v>0.406730549667625</v>
      </c>
      <c r="R251" s="1">
        <f t="shared" si="814"/>
        <v>1.09580403612191</v>
      </c>
      <c r="S251" s="1">
        <f t="shared" si="814"/>
        <v>0.361363117396203</v>
      </c>
      <c r="T251" s="1">
        <f t="shared" si="814"/>
        <v>2.93408935218861</v>
      </c>
      <c r="U251" s="1">
        <f t="shared" si="814"/>
        <v>1</v>
      </c>
      <c r="V251" s="1">
        <f t="shared" si="814"/>
        <v>1.26120929506743</v>
      </c>
      <c r="W251" s="1">
        <f t="shared" si="814"/>
        <v>1.76643228897527</v>
      </c>
      <c r="X251" s="1">
        <f t="shared" si="653"/>
        <v>2.94119412814943</v>
      </c>
      <c r="Y251" s="1">
        <f t="shared" si="654"/>
        <v>5.39637890099104</v>
      </c>
      <c r="Z251" s="1">
        <f t="shared" si="655"/>
        <v>361388.310069693</v>
      </c>
      <c r="AA251" s="1">
        <f t="shared" si="656"/>
        <v>29920.7370028293</v>
      </c>
      <c r="AB251" s="1">
        <f t="shared" si="657"/>
        <v>19947.1580018862</v>
      </c>
      <c r="AC251" s="1">
        <f>AB251/(AB251+战斗公式!$M$27)</f>
        <v>0.453889600802629</v>
      </c>
      <c r="AD251" s="1">
        <f t="shared" si="658"/>
        <v>661749.548444476</v>
      </c>
      <c r="AE251" s="1">
        <f t="shared" si="659"/>
        <v>7.51965085905017</v>
      </c>
      <c r="AF251" s="1">
        <f t="shared" si="660"/>
        <v>4.09844330024906</v>
      </c>
      <c r="AG251" s="1">
        <f t="shared" si="661"/>
        <v>4.41817057981057</v>
      </c>
      <c r="AH251" s="1">
        <f t="shared" si="662"/>
        <v>1.0158160265829</v>
      </c>
      <c r="AI251" s="1">
        <f t="shared" si="663"/>
        <v>1.0000054530415</v>
      </c>
      <c r="AJ251" s="1">
        <f t="shared" si="664"/>
        <v>1.00636592438055</v>
      </c>
      <c r="AK251" s="1">
        <f t="shared" si="665"/>
        <v>1</v>
      </c>
      <c r="AL251" s="10">
        <f t="shared" si="666"/>
        <v>389581</v>
      </c>
      <c r="AM251" s="10">
        <f t="shared" si="667"/>
        <v>30394</v>
      </c>
      <c r="AN251" s="10">
        <f t="shared" si="668"/>
        <v>19947</v>
      </c>
      <c r="AO251" s="1">
        <f t="shared" si="669"/>
        <v>213685</v>
      </c>
      <c r="AP251" s="1">
        <f t="shared" si="670"/>
        <v>30394</v>
      </c>
      <c r="AR251" s="1">
        <f t="shared" ref="AR251:AX251" si="815">ROUNDUP(AR$10*$AO251,0)</f>
        <v>213685</v>
      </c>
      <c r="AS251" s="1">
        <f t="shared" si="815"/>
        <v>641055</v>
      </c>
      <c r="AT251" s="1">
        <f t="shared" si="815"/>
        <v>384633</v>
      </c>
      <c r="AU251" s="1">
        <f t="shared" si="815"/>
        <v>106843</v>
      </c>
      <c r="AV251" s="1">
        <f t="shared" si="815"/>
        <v>32053</v>
      </c>
      <c r="AW251" s="1">
        <f t="shared" si="815"/>
        <v>854740</v>
      </c>
      <c r="AX251" s="1">
        <f t="shared" si="815"/>
        <v>1923165</v>
      </c>
      <c r="AY251" s="1">
        <f t="shared" si="672"/>
        <v>23374987</v>
      </c>
      <c r="AZ251" s="1">
        <f t="shared" si="673"/>
        <v>11687494</v>
      </c>
      <c r="BB251" s="1">
        <f t="shared" si="674"/>
        <v>240</v>
      </c>
    </row>
    <row r="252" spans="2:54">
      <c r="B252" s="4">
        <v>241</v>
      </c>
      <c r="C252" s="1">
        <f t="shared" ref="C252:I252" si="816">C$5+(C$6-C$5)*(POWER(C$7,$B252-1)-1)/(POWER(C$7,$B$3-1)-1)</f>
        <v>19041.4553289889</v>
      </c>
      <c r="D252" s="1">
        <f t="shared" si="816"/>
        <v>5712.43659869666</v>
      </c>
      <c r="E252" s="1">
        <f t="shared" si="816"/>
        <v>3808.29106579777</v>
      </c>
      <c r="F252" s="1">
        <f t="shared" si="816"/>
        <v>48206.2160227566</v>
      </c>
      <c r="G252" s="1">
        <f t="shared" si="816"/>
        <v>14461.864806827</v>
      </c>
      <c r="H252" s="1">
        <f t="shared" si="816"/>
        <v>9641.24320455133</v>
      </c>
      <c r="I252" s="1">
        <f t="shared" si="816"/>
        <v>0</v>
      </c>
      <c r="J252" s="1">
        <f>标准模型!$I$65/1*$B252/$B$3</f>
        <v>1.7352</v>
      </c>
      <c r="K252" s="1">
        <f>J252*标准模型!$J$63</f>
        <v>1.7352</v>
      </c>
      <c r="L252" s="1">
        <f t="shared" si="649"/>
        <v>67247.6713517455</v>
      </c>
      <c r="M252" s="1">
        <f t="shared" si="650"/>
        <v>30086.5213915821</v>
      </c>
      <c r="N252" s="1">
        <f t="shared" si="651"/>
        <v>20057.6809277214</v>
      </c>
      <c r="O252" s="1">
        <f t="shared" ref="O252:W252" si="817">O$5+(O$6-O$5)*(POWER(O$7,$B252-1)-1)/(POWER(O$7,$B$3-1)-1)</f>
        <v>0.740512104322428</v>
      </c>
      <c r="P252" s="1">
        <f t="shared" si="817"/>
        <v>0.155645012758866</v>
      </c>
      <c r="Q252" s="1">
        <f t="shared" si="817"/>
        <v>0.407281657377335</v>
      </c>
      <c r="R252" s="1">
        <f t="shared" si="817"/>
        <v>1.09620484172897</v>
      </c>
      <c r="S252" s="1">
        <f t="shared" si="817"/>
        <v>0.362665735619156</v>
      </c>
      <c r="T252" s="1">
        <f t="shared" si="817"/>
        <v>2.93799720685747</v>
      </c>
      <c r="U252" s="1">
        <f t="shared" si="817"/>
        <v>1</v>
      </c>
      <c r="V252" s="1">
        <f t="shared" si="817"/>
        <v>1.26230208984224</v>
      </c>
      <c r="W252" s="1">
        <f t="shared" si="817"/>
        <v>1.76963873383177</v>
      </c>
      <c r="X252" s="1">
        <f t="shared" si="653"/>
        <v>2.96029952020903</v>
      </c>
      <c r="Y252" s="1">
        <f t="shared" si="654"/>
        <v>5.43507365524954</v>
      </c>
      <c r="Z252" s="1">
        <f t="shared" si="655"/>
        <v>365496.046940751</v>
      </c>
      <c r="AA252" s="1">
        <f t="shared" si="656"/>
        <v>30086.5213915821</v>
      </c>
      <c r="AB252" s="1">
        <f t="shared" si="657"/>
        <v>20057.6809277214</v>
      </c>
      <c r="AC252" s="1">
        <f>AB252/(AB252+战斗公式!$M$27)</f>
        <v>0.455259571211361</v>
      </c>
      <c r="AD252" s="1">
        <f t="shared" si="658"/>
        <v>670954.509019129</v>
      </c>
      <c r="AE252" s="1">
        <f t="shared" si="659"/>
        <v>7.53330313695216</v>
      </c>
      <c r="AF252" s="1">
        <f t="shared" si="660"/>
        <v>4.10313366045538</v>
      </c>
      <c r="AG252" s="1">
        <f t="shared" si="661"/>
        <v>4.42325195469304</v>
      </c>
      <c r="AH252" s="1">
        <f t="shared" si="662"/>
        <v>1.01958663717803</v>
      </c>
      <c r="AI252" s="1">
        <f t="shared" si="663"/>
        <v>1.00000518038899</v>
      </c>
      <c r="AJ252" s="1">
        <f t="shared" si="664"/>
        <v>1.00623793608555</v>
      </c>
      <c r="AK252" s="1">
        <f t="shared" si="665"/>
        <v>1</v>
      </c>
      <c r="AL252" s="10">
        <f t="shared" si="666"/>
        <v>394011</v>
      </c>
      <c r="AM252" s="10">
        <f t="shared" si="667"/>
        <v>30676</v>
      </c>
      <c r="AN252" s="10">
        <f t="shared" si="668"/>
        <v>20058</v>
      </c>
      <c r="AO252" s="1">
        <f t="shared" si="669"/>
        <v>215943</v>
      </c>
      <c r="AP252" s="1">
        <f t="shared" si="670"/>
        <v>30676</v>
      </c>
      <c r="AR252" s="1">
        <f t="shared" ref="AR252:AX252" si="818">ROUNDUP(AR$10*$AO252,0)</f>
        <v>215943</v>
      </c>
      <c r="AS252" s="1">
        <f t="shared" si="818"/>
        <v>647829</v>
      </c>
      <c r="AT252" s="1">
        <f t="shared" si="818"/>
        <v>388698</v>
      </c>
      <c r="AU252" s="1">
        <f t="shared" si="818"/>
        <v>107972</v>
      </c>
      <c r="AV252" s="1">
        <f t="shared" si="818"/>
        <v>32392</v>
      </c>
      <c r="AW252" s="1">
        <f t="shared" si="818"/>
        <v>863772</v>
      </c>
      <c r="AX252" s="1">
        <f t="shared" si="818"/>
        <v>1943487</v>
      </c>
      <c r="AY252" s="1">
        <f t="shared" si="672"/>
        <v>23640782</v>
      </c>
      <c r="AZ252" s="1">
        <f t="shared" si="673"/>
        <v>11820391</v>
      </c>
      <c r="BB252" s="1">
        <f t="shared" si="674"/>
        <v>241</v>
      </c>
    </row>
    <row r="253" spans="2:54">
      <c r="B253" s="4">
        <v>242</v>
      </c>
      <c r="C253" s="1">
        <f t="shared" ref="C253:I253" si="819">C$5+(C$6-C$5)*(POWER(C$7,$B253-1)-1)/(POWER(C$7,$B$3-1)-1)</f>
        <v>19120.4560391773</v>
      </c>
      <c r="D253" s="1">
        <f t="shared" si="819"/>
        <v>5736.13681175319</v>
      </c>
      <c r="E253" s="1">
        <f t="shared" si="819"/>
        <v>3824.09120783546</v>
      </c>
      <c r="F253" s="1">
        <f t="shared" si="819"/>
        <v>48406.217820702</v>
      </c>
      <c r="G253" s="1">
        <f t="shared" si="819"/>
        <v>14521.8653462106</v>
      </c>
      <c r="H253" s="1">
        <f t="shared" si="819"/>
        <v>9681.24356414041</v>
      </c>
      <c r="I253" s="1">
        <f t="shared" si="819"/>
        <v>0</v>
      </c>
      <c r="J253" s="1">
        <f>标准模型!$I$65/1*$B253/$B$3</f>
        <v>1.7424</v>
      </c>
      <c r="K253" s="1">
        <f>J253*标准模型!$J$63</f>
        <v>1.7424</v>
      </c>
      <c r="L253" s="1">
        <f t="shared" si="649"/>
        <v>67526.6738598793</v>
      </c>
      <c r="M253" s="1">
        <f t="shared" si="650"/>
        <v>30252.6469387626</v>
      </c>
      <c r="N253" s="1">
        <f t="shared" si="651"/>
        <v>20168.4312925084</v>
      </c>
      <c r="O253" s="1">
        <f t="shared" ref="O253:W253" si="820">O$5+(O$6-O$5)*(POWER(O$7,$B253-1)-1)/(POWER(O$7,$B$3-1)-1)</f>
        <v>0.741514117338187</v>
      </c>
      <c r="P253" s="1">
        <f t="shared" si="820"/>
        <v>0.156417737403534</v>
      </c>
      <c r="Q253" s="1">
        <f t="shared" si="820"/>
        <v>0.407832764536003</v>
      </c>
      <c r="R253" s="1">
        <f t="shared" si="820"/>
        <v>1.09660564693527</v>
      </c>
      <c r="S253" s="1">
        <f t="shared" si="820"/>
        <v>0.363968352539643</v>
      </c>
      <c r="T253" s="1">
        <f t="shared" si="820"/>
        <v>2.94190505761893</v>
      </c>
      <c r="U253" s="1">
        <f t="shared" si="820"/>
        <v>1</v>
      </c>
      <c r="V253" s="1">
        <f t="shared" si="820"/>
        <v>1.26339488352438</v>
      </c>
      <c r="W253" s="1">
        <f t="shared" si="820"/>
        <v>1.7728451754822</v>
      </c>
      <c r="X253" s="1">
        <f t="shared" si="653"/>
        <v>2.9795128389677</v>
      </c>
      <c r="Y253" s="1">
        <f t="shared" si="654"/>
        <v>5.47401386501491</v>
      </c>
      <c r="Z253" s="1">
        <f t="shared" si="655"/>
        <v>369641.948967319</v>
      </c>
      <c r="AA253" s="1">
        <f t="shared" si="656"/>
        <v>30252.6469387626</v>
      </c>
      <c r="AB253" s="1">
        <f t="shared" si="657"/>
        <v>20168.4312925084</v>
      </c>
      <c r="AC253" s="1">
        <f>AB253/(AB253+战斗公式!$M$27)</f>
        <v>0.456625483457667</v>
      </c>
      <c r="AD253" s="1">
        <f t="shared" si="658"/>
        <v>680271.042741331</v>
      </c>
      <c r="AE253" s="1">
        <f t="shared" si="659"/>
        <v>7.54698252617665</v>
      </c>
      <c r="AF253" s="1">
        <f t="shared" si="660"/>
        <v>4.10783236701703</v>
      </c>
      <c r="AG253" s="1">
        <f t="shared" si="661"/>
        <v>4.42829521926389</v>
      </c>
      <c r="AH253" s="1">
        <f t="shared" si="662"/>
        <v>1.02336478899436</v>
      </c>
      <c r="AI253" s="1">
        <f t="shared" si="663"/>
        <v>1.0000049213691</v>
      </c>
      <c r="AJ253" s="1">
        <f t="shared" si="664"/>
        <v>1.00611250755645</v>
      </c>
      <c r="AK253" s="1">
        <f t="shared" si="665"/>
        <v>1</v>
      </c>
      <c r="AL253" s="10">
        <f t="shared" si="666"/>
        <v>398479</v>
      </c>
      <c r="AM253" s="10">
        <f t="shared" si="667"/>
        <v>30959</v>
      </c>
      <c r="AN253" s="10">
        <f t="shared" si="668"/>
        <v>20168</v>
      </c>
      <c r="AO253" s="1">
        <f t="shared" si="669"/>
        <v>218218</v>
      </c>
      <c r="AP253" s="1">
        <f t="shared" si="670"/>
        <v>30959</v>
      </c>
      <c r="AR253" s="1">
        <f t="shared" ref="AR253:AX253" si="821">ROUNDUP(AR$10*$AO253,0)</f>
        <v>218218</v>
      </c>
      <c r="AS253" s="1">
        <f t="shared" si="821"/>
        <v>654654</v>
      </c>
      <c r="AT253" s="1">
        <f t="shared" si="821"/>
        <v>392793</v>
      </c>
      <c r="AU253" s="1">
        <f t="shared" si="821"/>
        <v>109109</v>
      </c>
      <c r="AV253" s="1">
        <f t="shared" si="821"/>
        <v>32733</v>
      </c>
      <c r="AW253" s="1">
        <f t="shared" si="821"/>
        <v>872872</v>
      </c>
      <c r="AX253" s="1">
        <f t="shared" si="821"/>
        <v>1963962</v>
      </c>
      <c r="AY253" s="1">
        <f t="shared" si="672"/>
        <v>23908858</v>
      </c>
      <c r="AZ253" s="1">
        <f t="shared" si="673"/>
        <v>11954429</v>
      </c>
      <c r="BB253" s="1">
        <f t="shared" si="674"/>
        <v>242</v>
      </c>
    </row>
    <row r="254" spans="2:54">
      <c r="B254" s="4">
        <v>243</v>
      </c>
      <c r="C254" s="1">
        <f t="shared" ref="C254:I254" si="822">C$5+(C$6-C$5)*(POWER(C$7,$B254-1)-1)/(POWER(C$7,$B$3-1)-1)</f>
        <v>19199.4566703566</v>
      </c>
      <c r="D254" s="1">
        <f t="shared" si="822"/>
        <v>5759.83700110698</v>
      </c>
      <c r="E254" s="1">
        <f t="shared" si="822"/>
        <v>3839.89133407132</v>
      </c>
      <c r="F254" s="1">
        <f t="shared" si="822"/>
        <v>48606.2194186243</v>
      </c>
      <c r="G254" s="1">
        <f t="shared" si="822"/>
        <v>14581.8658255873</v>
      </c>
      <c r="H254" s="1">
        <f t="shared" si="822"/>
        <v>9721.24388372486</v>
      </c>
      <c r="I254" s="1">
        <f t="shared" si="822"/>
        <v>0</v>
      </c>
      <c r="J254" s="1">
        <f>标准模型!$I$65/1*$B254/$B$3</f>
        <v>1.7496</v>
      </c>
      <c r="K254" s="1">
        <f>J254*标准模型!$J$63</f>
        <v>1.7496</v>
      </c>
      <c r="L254" s="1">
        <f t="shared" si="649"/>
        <v>67805.6760889809</v>
      </c>
      <c r="M254" s="1">
        <f t="shared" si="650"/>
        <v>30419.113643831</v>
      </c>
      <c r="N254" s="1">
        <f t="shared" si="651"/>
        <v>20279.4090958874</v>
      </c>
      <c r="O254" s="1">
        <f t="shared" ref="O254:W254" si="823">O$5+(O$6-O$5)*(POWER(O$7,$B254-1)-1)/(POWER(O$7,$B$3-1)-1)</f>
        <v>0.742516129351825</v>
      </c>
      <c r="P254" s="1">
        <f t="shared" si="823"/>
        <v>0.157191621135169</v>
      </c>
      <c r="Q254" s="1">
        <f t="shared" si="823"/>
        <v>0.408383871143504</v>
      </c>
      <c r="R254" s="1">
        <f t="shared" si="823"/>
        <v>1.09700645174073</v>
      </c>
      <c r="S254" s="1">
        <f t="shared" si="823"/>
        <v>0.365270968157373</v>
      </c>
      <c r="T254" s="1">
        <f t="shared" si="823"/>
        <v>2.94581290447212</v>
      </c>
      <c r="U254" s="1">
        <f t="shared" si="823"/>
        <v>1</v>
      </c>
      <c r="V254" s="1">
        <f t="shared" si="823"/>
        <v>1.26448767611361</v>
      </c>
      <c r="W254" s="1">
        <f t="shared" si="823"/>
        <v>1.77605161392584</v>
      </c>
      <c r="X254" s="1">
        <f t="shared" si="653"/>
        <v>2.99883459080578</v>
      </c>
      <c r="Y254" s="1">
        <f t="shared" si="654"/>
        <v>5.51320085687564</v>
      </c>
      <c r="Z254" s="1">
        <f t="shared" si="655"/>
        <v>373826.311514802</v>
      </c>
      <c r="AA254" s="1">
        <f t="shared" si="656"/>
        <v>30419.113643831</v>
      </c>
      <c r="AB254" s="1">
        <f t="shared" si="657"/>
        <v>20279.4090958874</v>
      </c>
      <c r="AC254" s="1">
        <f>AB254/(AB254+战斗公式!$M$27)</f>
        <v>0.457987346939797</v>
      </c>
      <c r="AD254" s="1">
        <f t="shared" si="658"/>
        <v>689700.340765439</v>
      </c>
      <c r="AE254" s="1">
        <f t="shared" si="659"/>
        <v>7.56068898733068</v>
      </c>
      <c r="AF254" s="1">
        <f t="shared" si="660"/>
        <v>4.11253938576448</v>
      </c>
      <c r="AG254" s="1">
        <f t="shared" si="661"/>
        <v>4.43330065935047</v>
      </c>
      <c r="AH254" s="1">
        <f t="shared" si="662"/>
        <v>1.02715049711432</v>
      </c>
      <c r="AI254" s="1">
        <f t="shared" si="663"/>
        <v>1.0000046753002</v>
      </c>
      <c r="AJ254" s="1">
        <f t="shared" si="664"/>
        <v>1.00598958759794</v>
      </c>
      <c r="AK254" s="1">
        <f t="shared" si="665"/>
        <v>1</v>
      </c>
      <c r="AL254" s="10">
        <f t="shared" si="666"/>
        <v>402983</v>
      </c>
      <c r="AM254" s="10">
        <f t="shared" si="667"/>
        <v>31245</v>
      </c>
      <c r="AN254" s="10">
        <f t="shared" si="668"/>
        <v>20279</v>
      </c>
      <c r="AO254" s="1">
        <f t="shared" si="669"/>
        <v>220510</v>
      </c>
      <c r="AP254" s="1">
        <f t="shared" si="670"/>
        <v>31245</v>
      </c>
      <c r="AR254" s="1">
        <f t="shared" ref="AR254:AX254" si="824">ROUNDUP(AR$10*$AO254,0)</f>
        <v>220510</v>
      </c>
      <c r="AS254" s="1">
        <f t="shared" si="824"/>
        <v>661530</v>
      </c>
      <c r="AT254" s="1">
        <f t="shared" si="824"/>
        <v>396918</v>
      </c>
      <c r="AU254" s="1">
        <f t="shared" si="824"/>
        <v>110255</v>
      </c>
      <c r="AV254" s="1">
        <f t="shared" si="824"/>
        <v>33077</v>
      </c>
      <c r="AW254" s="1">
        <f t="shared" si="824"/>
        <v>882040</v>
      </c>
      <c r="AX254" s="1">
        <f t="shared" si="824"/>
        <v>1984590</v>
      </c>
      <c r="AY254" s="1">
        <f t="shared" si="672"/>
        <v>24179093</v>
      </c>
      <c r="AZ254" s="1">
        <f t="shared" si="673"/>
        <v>12089547</v>
      </c>
      <c r="BB254" s="1">
        <f t="shared" si="674"/>
        <v>243</v>
      </c>
    </row>
    <row r="255" spans="2:54">
      <c r="B255" s="4">
        <v>244</v>
      </c>
      <c r="C255" s="1">
        <f t="shared" ref="C255:I255" si="825">C$5+(C$6-C$5)*(POWER(C$7,$B255-1)-1)/(POWER(C$7,$B$3-1)-1)</f>
        <v>19278.4572225355</v>
      </c>
      <c r="D255" s="1">
        <f t="shared" si="825"/>
        <v>5783.53716676065</v>
      </c>
      <c r="E255" s="1">
        <f t="shared" si="825"/>
        <v>3855.6914445071</v>
      </c>
      <c r="F255" s="1">
        <f t="shared" si="825"/>
        <v>48806.2208165456</v>
      </c>
      <c r="G255" s="1">
        <f t="shared" si="825"/>
        <v>14641.8662449637</v>
      </c>
      <c r="H255" s="1">
        <f t="shared" si="825"/>
        <v>9761.24416330912</v>
      </c>
      <c r="I255" s="1">
        <f t="shared" si="825"/>
        <v>0</v>
      </c>
      <c r="J255" s="1">
        <f>标准模型!$I$65/1*$B255/$B$3</f>
        <v>1.7568</v>
      </c>
      <c r="K255" s="1">
        <f>J255*标准模型!$J$63</f>
        <v>1.7568</v>
      </c>
      <c r="L255" s="1">
        <f t="shared" si="649"/>
        <v>68084.6780390811</v>
      </c>
      <c r="M255" s="1">
        <f t="shared" si="650"/>
        <v>30585.9215062894</v>
      </c>
      <c r="N255" s="1">
        <f t="shared" si="651"/>
        <v>20390.6143375263</v>
      </c>
      <c r="O255" s="1">
        <f t="shared" ref="O255:W255" si="826">O$5+(O$6-O$5)*(POWER(O$7,$B255-1)-1)/(POWER(O$7,$B$3-1)-1)</f>
        <v>0.743518140363455</v>
      </c>
      <c r="P255" s="1">
        <f t="shared" si="826"/>
        <v>0.157966665692402</v>
      </c>
      <c r="Q255" s="1">
        <f t="shared" si="826"/>
        <v>0.4089349771999</v>
      </c>
      <c r="R255" s="1">
        <f t="shared" si="826"/>
        <v>1.09740725614538</v>
      </c>
      <c r="S255" s="1">
        <f t="shared" si="826"/>
        <v>0.366573582472491</v>
      </c>
      <c r="T255" s="1">
        <f t="shared" si="826"/>
        <v>2.94972074741747</v>
      </c>
      <c r="U255" s="1">
        <f t="shared" si="826"/>
        <v>1</v>
      </c>
      <c r="V255" s="1">
        <f t="shared" si="826"/>
        <v>1.26558046761006</v>
      </c>
      <c r="W255" s="1">
        <f t="shared" si="826"/>
        <v>1.77925804916306</v>
      </c>
      <c r="X255" s="1">
        <f t="shared" si="653"/>
        <v>3.01826528389343</v>
      </c>
      <c r="Y255" s="1">
        <f t="shared" si="654"/>
        <v>5.55263596312705</v>
      </c>
      <c r="Z255" s="1">
        <f t="shared" si="655"/>
        <v>378049.431817728</v>
      </c>
      <c r="AA255" s="1">
        <f t="shared" si="656"/>
        <v>30585.9215062894</v>
      </c>
      <c r="AB255" s="1">
        <f t="shared" si="657"/>
        <v>20390.6143375263</v>
      </c>
      <c r="AC255" s="1">
        <f>AB255/(AB255+战斗公式!$M$27)</f>
        <v>0.45934517108696</v>
      </c>
      <c r="AD255" s="1">
        <f t="shared" si="658"/>
        <v>699243.605347571</v>
      </c>
      <c r="AE255" s="1">
        <f t="shared" si="659"/>
        <v>7.57442248121946</v>
      </c>
      <c r="AF255" s="1">
        <f t="shared" si="660"/>
        <v>4.11725468271681</v>
      </c>
      <c r="AG255" s="1">
        <f t="shared" si="661"/>
        <v>4.43826855863639</v>
      </c>
      <c r="AH255" s="1">
        <f t="shared" si="662"/>
        <v>1.03094377665052</v>
      </c>
      <c r="AI255" s="1">
        <f t="shared" si="663"/>
        <v>1.00000444153475</v>
      </c>
      <c r="AJ255" s="1">
        <f t="shared" si="664"/>
        <v>1.00586912603859</v>
      </c>
      <c r="AK255" s="1">
        <f t="shared" si="665"/>
        <v>1</v>
      </c>
      <c r="AL255" s="10">
        <f t="shared" si="666"/>
        <v>407525</v>
      </c>
      <c r="AM255" s="10">
        <f t="shared" si="667"/>
        <v>31532</v>
      </c>
      <c r="AN255" s="10">
        <f t="shared" si="668"/>
        <v>20391</v>
      </c>
      <c r="AO255" s="1">
        <f t="shared" si="669"/>
        <v>222820</v>
      </c>
      <c r="AP255" s="1">
        <f t="shared" si="670"/>
        <v>31532</v>
      </c>
      <c r="AR255" s="1">
        <f t="shared" ref="AR255:AX255" si="827">ROUNDUP(AR$10*$AO255,0)</f>
        <v>222820</v>
      </c>
      <c r="AS255" s="1">
        <f t="shared" si="827"/>
        <v>668460</v>
      </c>
      <c r="AT255" s="1">
        <f t="shared" si="827"/>
        <v>401076</v>
      </c>
      <c r="AU255" s="1">
        <f t="shared" si="827"/>
        <v>111410</v>
      </c>
      <c r="AV255" s="1">
        <f t="shared" si="827"/>
        <v>33423</v>
      </c>
      <c r="AW255" s="1">
        <f t="shared" si="827"/>
        <v>891280</v>
      </c>
      <c r="AX255" s="1">
        <f t="shared" si="827"/>
        <v>2005380</v>
      </c>
      <c r="AY255" s="1">
        <f t="shared" si="672"/>
        <v>24451609</v>
      </c>
      <c r="AZ255" s="1">
        <f t="shared" si="673"/>
        <v>12225804</v>
      </c>
      <c r="BB255" s="1">
        <f t="shared" si="674"/>
        <v>244</v>
      </c>
    </row>
    <row r="256" spans="2:54">
      <c r="B256" s="4">
        <v>245</v>
      </c>
      <c r="C256" s="1">
        <f t="shared" ref="C256:I256" si="828">C$5+(C$6-C$5)*(POWER(C$7,$B256-1)-1)/(POWER(C$7,$B$3-1)-1)</f>
        <v>19357.4576957228</v>
      </c>
      <c r="D256" s="1">
        <f t="shared" si="828"/>
        <v>5807.23730871684</v>
      </c>
      <c r="E256" s="1">
        <f t="shared" si="828"/>
        <v>3871.49153914456</v>
      </c>
      <c r="F256" s="1">
        <f t="shared" si="828"/>
        <v>49006.2220144881</v>
      </c>
      <c r="G256" s="1">
        <f t="shared" si="828"/>
        <v>14701.8666043464</v>
      </c>
      <c r="H256" s="1">
        <f t="shared" si="828"/>
        <v>9801.24440289762</v>
      </c>
      <c r="I256" s="1">
        <f t="shared" si="828"/>
        <v>0</v>
      </c>
      <c r="J256" s="1">
        <f>标准模型!$I$65/1*$B256/$B$3</f>
        <v>1.764</v>
      </c>
      <c r="K256" s="1">
        <f>J256*标准模型!$J$63</f>
        <v>1.764</v>
      </c>
      <c r="L256" s="1">
        <f t="shared" si="649"/>
        <v>68363.6797102109</v>
      </c>
      <c r="M256" s="1">
        <f t="shared" si="650"/>
        <v>30753.0705256398</v>
      </c>
      <c r="N256" s="1">
        <f t="shared" si="651"/>
        <v>20502.0470170932</v>
      </c>
      <c r="O256" s="1">
        <f t="shared" ref="O256:W256" si="829">O$5+(O$6-O$5)*(POWER(O$7,$B256-1)-1)/(POWER(O$7,$B$3-1)-1)</f>
        <v>0.744520150373187</v>
      </c>
      <c r="P256" s="1">
        <f t="shared" si="829"/>
        <v>0.15874287281647</v>
      </c>
      <c r="Q256" s="1">
        <f t="shared" si="829"/>
        <v>0.409486082705253</v>
      </c>
      <c r="R256" s="1">
        <f t="shared" si="829"/>
        <v>1.09780806014927</v>
      </c>
      <c r="S256" s="1">
        <f t="shared" si="829"/>
        <v>0.367876195485143</v>
      </c>
      <c r="T256" s="1">
        <f t="shared" si="829"/>
        <v>2.95362858645543</v>
      </c>
      <c r="U256" s="1">
        <f t="shared" si="829"/>
        <v>1</v>
      </c>
      <c r="V256" s="1">
        <f t="shared" si="829"/>
        <v>1.26667325801383</v>
      </c>
      <c r="W256" s="1">
        <f t="shared" si="829"/>
        <v>1.7824644811942</v>
      </c>
      <c r="X256" s="1">
        <f t="shared" si="653"/>
        <v>3.03780542818951</v>
      </c>
      <c r="Y256" s="1">
        <f t="shared" si="654"/>
        <v>5.59232052177749</v>
      </c>
      <c r="Z256" s="1">
        <f t="shared" si="655"/>
        <v>382311.608987636</v>
      </c>
      <c r="AA256" s="1">
        <f t="shared" si="656"/>
        <v>30753.0705256398</v>
      </c>
      <c r="AB256" s="1">
        <f t="shared" si="657"/>
        <v>20502.0470170932</v>
      </c>
      <c r="AC256" s="1">
        <f>AB256/(AB256+战斗公式!$M$27)</f>
        <v>0.460698965358119</v>
      </c>
      <c r="AD256" s="1">
        <f t="shared" si="658"/>
        <v>708902.04993118</v>
      </c>
      <c r="AE256" s="1">
        <f t="shared" si="659"/>
        <v>7.58818296883796</v>
      </c>
      <c r="AF256" s="1">
        <f t="shared" si="660"/>
        <v>4.12197822407796</v>
      </c>
      <c r="AG256" s="1">
        <f t="shared" si="661"/>
        <v>4.44319919867767</v>
      </c>
      <c r="AH256" s="1">
        <f t="shared" si="662"/>
        <v>1.03474464274579</v>
      </c>
      <c r="AI256" s="1">
        <f t="shared" si="663"/>
        <v>1.00000421945757</v>
      </c>
      <c r="AJ256" s="1">
        <f t="shared" si="664"/>
        <v>1.00575107371043</v>
      </c>
      <c r="AK256" s="1">
        <f t="shared" si="665"/>
        <v>1</v>
      </c>
      <c r="AL256" s="10">
        <f t="shared" si="666"/>
        <v>412105</v>
      </c>
      <c r="AM256" s="10">
        <f t="shared" si="667"/>
        <v>31822</v>
      </c>
      <c r="AN256" s="10">
        <f t="shared" si="668"/>
        <v>20502</v>
      </c>
      <c r="AO256" s="1">
        <f t="shared" si="669"/>
        <v>225147</v>
      </c>
      <c r="AP256" s="1">
        <f t="shared" si="670"/>
        <v>31822</v>
      </c>
      <c r="AR256" s="1">
        <f t="shared" ref="AR256:AX256" si="830">ROUNDUP(AR$10*$AO256,0)</f>
        <v>225147</v>
      </c>
      <c r="AS256" s="1">
        <f t="shared" si="830"/>
        <v>675441</v>
      </c>
      <c r="AT256" s="1">
        <f t="shared" si="830"/>
        <v>405265</v>
      </c>
      <c r="AU256" s="1">
        <f t="shared" si="830"/>
        <v>112574</v>
      </c>
      <c r="AV256" s="1">
        <f t="shared" si="830"/>
        <v>33773</v>
      </c>
      <c r="AW256" s="1">
        <f t="shared" si="830"/>
        <v>900588</v>
      </c>
      <c r="AX256" s="1">
        <f t="shared" si="830"/>
        <v>2026323</v>
      </c>
      <c r="AY256" s="1">
        <f t="shared" si="672"/>
        <v>24726404</v>
      </c>
      <c r="AZ256" s="1">
        <f t="shared" si="673"/>
        <v>12363202</v>
      </c>
      <c r="BB256" s="1">
        <f t="shared" si="674"/>
        <v>245</v>
      </c>
    </row>
    <row r="257" spans="2:54">
      <c r="B257" s="4">
        <v>246</v>
      </c>
      <c r="C257" s="1">
        <f t="shared" ref="C257:I257" si="831">C$5+(C$6-C$5)*(POWER(C$7,$B257-1)-1)/(POWER(C$7,$B$3-1)-1)</f>
        <v>19436.458089901</v>
      </c>
      <c r="D257" s="1">
        <f t="shared" si="831"/>
        <v>5830.93742697029</v>
      </c>
      <c r="E257" s="1">
        <f t="shared" si="831"/>
        <v>3887.29161798019</v>
      </c>
      <c r="F257" s="1">
        <f t="shared" si="831"/>
        <v>49206.2230124075</v>
      </c>
      <c r="G257" s="1">
        <f t="shared" si="831"/>
        <v>14761.8669037222</v>
      </c>
      <c r="H257" s="1">
        <f t="shared" si="831"/>
        <v>9841.2446024815</v>
      </c>
      <c r="I257" s="1">
        <f t="shared" si="831"/>
        <v>0</v>
      </c>
      <c r="J257" s="1">
        <f>标准模型!$I$65/1*$B257/$B$3</f>
        <v>1.7712</v>
      </c>
      <c r="K257" s="1">
        <f>J257*标准模型!$J$63</f>
        <v>1.7712</v>
      </c>
      <c r="L257" s="1">
        <f t="shared" si="649"/>
        <v>68642.6811023085</v>
      </c>
      <c r="M257" s="1">
        <f t="shared" si="650"/>
        <v>30920.5607013423</v>
      </c>
      <c r="N257" s="1">
        <f t="shared" si="651"/>
        <v>20613.7071342282</v>
      </c>
      <c r="O257" s="1">
        <f t="shared" ref="O257:W257" si="832">O$5+(O$6-O$5)*(POWER(O$7,$B257-1)-1)/(POWER(O$7,$B$3-1)-1)</f>
        <v>0.745522159380799</v>
      </c>
      <c r="P257" s="1">
        <f t="shared" si="832"/>
        <v>0.159520244251224</v>
      </c>
      <c r="Q257" s="1">
        <f t="shared" si="832"/>
        <v>0.41003718765944</v>
      </c>
      <c r="R257" s="1">
        <f t="shared" si="832"/>
        <v>1.09820886375232</v>
      </c>
      <c r="S257" s="1">
        <f t="shared" si="832"/>
        <v>0.369178807195039</v>
      </c>
      <c r="T257" s="1">
        <f t="shared" si="832"/>
        <v>2.95753642158512</v>
      </c>
      <c r="U257" s="1">
        <f t="shared" si="832"/>
        <v>1</v>
      </c>
      <c r="V257" s="1">
        <f t="shared" si="832"/>
        <v>1.2677660473247</v>
      </c>
      <c r="W257" s="1">
        <f t="shared" si="832"/>
        <v>1.78567091001856</v>
      </c>
      <c r="X257" s="1">
        <f t="shared" si="653"/>
        <v>3.05745553544041</v>
      </c>
      <c r="Y257" s="1">
        <f t="shared" si="654"/>
        <v>5.63225587655449</v>
      </c>
      <c r="Z257" s="1">
        <f t="shared" si="655"/>
        <v>386613.144020932</v>
      </c>
      <c r="AA257" s="1">
        <f t="shared" si="656"/>
        <v>30920.5607013423</v>
      </c>
      <c r="AB257" s="1">
        <f t="shared" si="657"/>
        <v>20613.7071342282</v>
      </c>
      <c r="AC257" s="1">
        <f>AB257/(AB257+战斗公式!$M$27)</f>
        <v>0.462048739240795</v>
      </c>
      <c r="AD257" s="1">
        <f t="shared" si="658"/>
        <v>718676.899233045</v>
      </c>
      <c r="AE257" s="1">
        <f t="shared" si="659"/>
        <v>7.60197041136213</v>
      </c>
      <c r="AF257" s="1">
        <f t="shared" si="660"/>
        <v>4.12670997623283</v>
      </c>
      <c r="AG257" s="1">
        <f t="shared" si="661"/>
        <v>4.44809285891864</v>
      </c>
      <c r="AH257" s="1">
        <f t="shared" si="662"/>
        <v>1.03855311057325</v>
      </c>
      <c r="AI257" s="1">
        <f t="shared" si="663"/>
        <v>1.00000400848425</v>
      </c>
      <c r="AJ257" s="1">
        <f t="shared" si="664"/>
        <v>1.00563538242883</v>
      </c>
      <c r="AK257" s="1">
        <f t="shared" si="665"/>
        <v>1</v>
      </c>
      <c r="AL257" s="10">
        <f t="shared" si="666"/>
        <v>416722</v>
      </c>
      <c r="AM257" s="10">
        <f t="shared" si="667"/>
        <v>32113</v>
      </c>
      <c r="AN257" s="10">
        <f t="shared" si="668"/>
        <v>20614</v>
      </c>
      <c r="AO257" s="1">
        <f t="shared" si="669"/>
        <v>227491</v>
      </c>
      <c r="AP257" s="1">
        <f t="shared" si="670"/>
        <v>32113</v>
      </c>
      <c r="AR257" s="1">
        <f t="shared" ref="AR257:AX257" si="833">ROUNDUP(AR$10*$AO257,0)</f>
        <v>227491</v>
      </c>
      <c r="AS257" s="1">
        <f t="shared" si="833"/>
        <v>682473</v>
      </c>
      <c r="AT257" s="1">
        <f t="shared" si="833"/>
        <v>409484</v>
      </c>
      <c r="AU257" s="1">
        <f t="shared" si="833"/>
        <v>113746</v>
      </c>
      <c r="AV257" s="1">
        <f t="shared" si="833"/>
        <v>34124</v>
      </c>
      <c r="AW257" s="1">
        <f t="shared" si="833"/>
        <v>909964</v>
      </c>
      <c r="AX257" s="1">
        <f t="shared" si="833"/>
        <v>2047419</v>
      </c>
      <c r="AY257" s="1">
        <f t="shared" si="672"/>
        <v>25003420</v>
      </c>
      <c r="AZ257" s="1">
        <f t="shared" si="673"/>
        <v>12501710</v>
      </c>
      <c r="BB257" s="1">
        <f t="shared" si="674"/>
        <v>246</v>
      </c>
    </row>
    <row r="258" spans="2:54">
      <c r="B258" s="4">
        <v>247</v>
      </c>
      <c r="C258" s="1">
        <f t="shared" ref="C258:I258" si="834">C$5+(C$6-C$5)*(POWER(C$7,$B258-1)-1)/(POWER(C$7,$B$3-1)-1)</f>
        <v>19515.4584050875</v>
      </c>
      <c r="D258" s="1">
        <f t="shared" si="834"/>
        <v>5854.63752152625</v>
      </c>
      <c r="E258" s="1">
        <f t="shared" si="834"/>
        <v>3903.0916810175</v>
      </c>
      <c r="F258" s="1">
        <f t="shared" si="834"/>
        <v>49406.2238103481</v>
      </c>
      <c r="G258" s="1">
        <f t="shared" si="834"/>
        <v>14821.8671431044</v>
      </c>
      <c r="H258" s="1">
        <f t="shared" si="834"/>
        <v>9881.24476206962</v>
      </c>
      <c r="I258" s="1">
        <f t="shared" si="834"/>
        <v>0</v>
      </c>
      <c r="J258" s="1">
        <f>标准模型!$I$65/1*$B258/$B$3</f>
        <v>1.7784</v>
      </c>
      <c r="K258" s="1">
        <f>J258*标准模型!$J$63</f>
        <v>1.7784</v>
      </c>
      <c r="L258" s="1">
        <f t="shared" si="649"/>
        <v>68921.6822154356</v>
      </c>
      <c r="M258" s="1">
        <f t="shared" si="650"/>
        <v>31088.392032913</v>
      </c>
      <c r="N258" s="1">
        <f t="shared" si="651"/>
        <v>20725.5946886086</v>
      </c>
      <c r="O258" s="1">
        <f t="shared" ref="O258:W258" si="835">O$5+(O$6-O$5)*(POWER(O$7,$B258-1)-1)/(POWER(O$7,$B$3-1)-1)</f>
        <v>0.746524167386514</v>
      </c>
      <c r="P258" s="1">
        <f t="shared" si="835"/>
        <v>0.160298781743131</v>
      </c>
      <c r="Q258" s="1">
        <f t="shared" si="835"/>
        <v>0.410588292062583</v>
      </c>
      <c r="R258" s="1">
        <f t="shared" si="835"/>
        <v>1.09860966695461</v>
      </c>
      <c r="S258" s="1">
        <f t="shared" si="835"/>
        <v>0.370481417602468</v>
      </c>
      <c r="T258" s="1">
        <f t="shared" si="835"/>
        <v>2.9614442528074</v>
      </c>
      <c r="U258" s="1">
        <f t="shared" si="835"/>
        <v>1</v>
      </c>
      <c r="V258" s="1">
        <f t="shared" si="835"/>
        <v>1.2688588355429</v>
      </c>
      <c r="W258" s="1">
        <f t="shared" si="835"/>
        <v>1.78887733563684</v>
      </c>
      <c r="X258" s="1">
        <f t="shared" si="653"/>
        <v>3.07721611919764</v>
      </c>
      <c r="Y258" s="1">
        <f t="shared" si="654"/>
        <v>5.67244337695122</v>
      </c>
      <c r="Z258" s="1">
        <f t="shared" si="655"/>
        <v>390954.339811285</v>
      </c>
      <c r="AA258" s="1">
        <f t="shared" si="656"/>
        <v>31088.392032913</v>
      </c>
      <c r="AB258" s="1">
        <f t="shared" si="657"/>
        <v>20725.5946886086</v>
      </c>
      <c r="AC258" s="1">
        <f>AB258/(AB258+战斗公式!$M$27)</f>
        <v>0.46339450225102</v>
      </c>
      <c r="AD258" s="1">
        <f t="shared" si="658"/>
        <v>728569.389339671</v>
      </c>
      <c r="AE258" s="1">
        <f t="shared" si="659"/>
        <v>7.61578477016412</v>
      </c>
      <c r="AF258" s="1">
        <f t="shared" si="660"/>
        <v>4.13144990575204</v>
      </c>
      <c r="AG258" s="1">
        <f t="shared" si="661"/>
        <v>4.4529498167078</v>
      </c>
      <c r="AH258" s="1">
        <f t="shared" si="662"/>
        <v>1.04236919533637</v>
      </c>
      <c r="AI258" s="1">
        <f t="shared" si="663"/>
        <v>1.0000038080596</v>
      </c>
      <c r="AJ258" s="1">
        <f t="shared" si="664"/>
        <v>1.00552200497287</v>
      </c>
      <c r="AK258" s="1">
        <f t="shared" si="665"/>
        <v>1</v>
      </c>
      <c r="AL258" s="10">
        <f t="shared" si="666"/>
        <v>421378</v>
      </c>
      <c r="AM258" s="10">
        <f t="shared" si="667"/>
        <v>32406</v>
      </c>
      <c r="AN258" s="10">
        <f t="shared" si="668"/>
        <v>20726</v>
      </c>
      <c r="AO258" s="1">
        <f t="shared" si="669"/>
        <v>229853</v>
      </c>
      <c r="AP258" s="1">
        <f t="shared" si="670"/>
        <v>32406</v>
      </c>
      <c r="AR258" s="1">
        <f t="shared" ref="AR258:AX258" si="836">ROUNDUP(AR$10*$AO258,0)</f>
        <v>229853</v>
      </c>
      <c r="AS258" s="1">
        <f t="shared" si="836"/>
        <v>689559</v>
      </c>
      <c r="AT258" s="1">
        <f t="shared" si="836"/>
        <v>413736</v>
      </c>
      <c r="AU258" s="1">
        <f t="shared" si="836"/>
        <v>114927</v>
      </c>
      <c r="AV258" s="1">
        <f t="shared" si="836"/>
        <v>34478</v>
      </c>
      <c r="AW258" s="1">
        <f t="shared" si="836"/>
        <v>919412</v>
      </c>
      <c r="AX258" s="1">
        <f t="shared" si="836"/>
        <v>2068677</v>
      </c>
      <c r="AY258" s="1">
        <f t="shared" si="672"/>
        <v>25282776</v>
      </c>
      <c r="AZ258" s="1">
        <f t="shared" si="673"/>
        <v>12641388</v>
      </c>
      <c r="BB258" s="1">
        <f t="shared" si="674"/>
        <v>247</v>
      </c>
    </row>
    <row r="259" spans="2:54">
      <c r="B259" s="4">
        <v>248</v>
      </c>
      <c r="C259" s="1">
        <f t="shared" ref="C259:I259" si="837">C$5+(C$6-C$5)*(POWER(C$7,$B259-1)-1)/(POWER(C$7,$B$3-1)-1)</f>
        <v>19594.4586412649</v>
      </c>
      <c r="D259" s="1">
        <f t="shared" si="837"/>
        <v>5878.33759237947</v>
      </c>
      <c r="E259" s="1">
        <f t="shared" si="837"/>
        <v>3918.89172825298</v>
      </c>
      <c r="F259" s="1">
        <f t="shared" si="837"/>
        <v>49606.2244082656</v>
      </c>
      <c r="G259" s="1">
        <f t="shared" si="837"/>
        <v>14881.8673224797</v>
      </c>
      <c r="H259" s="1">
        <f t="shared" si="837"/>
        <v>9921.24488165311</v>
      </c>
      <c r="I259" s="1">
        <f t="shared" si="837"/>
        <v>0</v>
      </c>
      <c r="J259" s="1">
        <f>标准模型!$I$65/1*$B259/$B$3</f>
        <v>1.7856</v>
      </c>
      <c r="K259" s="1">
        <f>J259*标准模型!$J$63</f>
        <v>1.7856</v>
      </c>
      <c r="L259" s="1">
        <f t="shared" si="649"/>
        <v>69200.6830495305</v>
      </c>
      <c r="M259" s="1">
        <f t="shared" si="650"/>
        <v>31256.5645198119</v>
      </c>
      <c r="N259" s="1">
        <f t="shared" si="651"/>
        <v>20837.7096798746</v>
      </c>
      <c r="O259" s="1">
        <f t="shared" ref="O259:W259" si="838">O$5+(O$6-O$5)*(POWER(O$7,$B259-1)-1)/(POWER(O$7,$B$3-1)-1)</f>
        <v>0.747526174390108</v>
      </c>
      <c r="P259" s="1">
        <f t="shared" si="838"/>
        <v>0.161078487041275</v>
      </c>
      <c r="Q259" s="1">
        <f t="shared" si="838"/>
        <v>0.411139395914559</v>
      </c>
      <c r="R259" s="1">
        <f t="shared" si="838"/>
        <v>1.09901046975604</v>
      </c>
      <c r="S259" s="1">
        <f t="shared" si="838"/>
        <v>0.37178402670714</v>
      </c>
      <c r="T259" s="1">
        <f t="shared" si="838"/>
        <v>2.96535208012142</v>
      </c>
      <c r="U259" s="1">
        <f t="shared" si="838"/>
        <v>1</v>
      </c>
      <c r="V259" s="1">
        <f t="shared" si="838"/>
        <v>1.26995162266819</v>
      </c>
      <c r="W259" s="1">
        <f t="shared" si="838"/>
        <v>1.79208375804835</v>
      </c>
      <c r="X259" s="1">
        <f t="shared" si="653"/>
        <v>3.09708769480724</v>
      </c>
      <c r="Y259" s="1">
        <f t="shared" si="654"/>
        <v>5.71288437821251</v>
      </c>
      <c r="Z259" s="1">
        <f t="shared" si="655"/>
        <v>395335.501155298</v>
      </c>
      <c r="AA259" s="1">
        <f t="shared" si="656"/>
        <v>31256.5645198119</v>
      </c>
      <c r="AB259" s="1">
        <f t="shared" si="657"/>
        <v>20837.7096798746</v>
      </c>
      <c r="AC259" s="1">
        <f>AB259/(AB259+战斗公式!$M$27)</f>
        <v>0.464736263931599</v>
      </c>
      <c r="AD259" s="1">
        <f t="shared" si="658"/>
        <v>738580.767789542</v>
      </c>
      <c r="AE259" s="1">
        <f t="shared" si="659"/>
        <v>7.62962600679184</v>
      </c>
      <c r="AF259" s="1">
        <f t="shared" si="660"/>
        <v>4.13619797938388</v>
      </c>
      <c r="AG259" s="1">
        <f t="shared" si="661"/>
        <v>4.45777034731355</v>
      </c>
      <c r="AH259" s="1">
        <f t="shared" si="662"/>
        <v>1.04619291226901</v>
      </c>
      <c r="AI259" s="1">
        <f t="shared" si="663"/>
        <v>1.00000361765618</v>
      </c>
      <c r="AJ259" s="1">
        <f t="shared" si="664"/>
        <v>1.00541089506602</v>
      </c>
      <c r="AK259" s="1">
        <f t="shared" si="665"/>
        <v>1</v>
      </c>
      <c r="AL259" s="10">
        <f t="shared" si="666"/>
        <v>426071</v>
      </c>
      <c r="AM259" s="10">
        <f t="shared" si="667"/>
        <v>32700</v>
      </c>
      <c r="AN259" s="10">
        <f t="shared" si="668"/>
        <v>20838</v>
      </c>
      <c r="AO259" s="1">
        <f t="shared" si="669"/>
        <v>232233</v>
      </c>
      <c r="AP259" s="1">
        <f t="shared" si="670"/>
        <v>32700</v>
      </c>
      <c r="AR259" s="1">
        <f t="shared" ref="AR259:AX259" si="839">ROUNDUP(AR$10*$AO259,0)</f>
        <v>232233</v>
      </c>
      <c r="AS259" s="1">
        <f t="shared" si="839"/>
        <v>696699</v>
      </c>
      <c r="AT259" s="1">
        <f t="shared" si="839"/>
        <v>418020</v>
      </c>
      <c r="AU259" s="1">
        <f t="shared" si="839"/>
        <v>116117</v>
      </c>
      <c r="AV259" s="1">
        <f t="shared" si="839"/>
        <v>34835</v>
      </c>
      <c r="AW259" s="1">
        <f t="shared" si="839"/>
        <v>928932</v>
      </c>
      <c r="AX259" s="1">
        <f t="shared" si="839"/>
        <v>2090097</v>
      </c>
      <c r="AY259" s="1">
        <f t="shared" si="672"/>
        <v>25564352</v>
      </c>
      <c r="AZ259" s="1">
        <f t="shared" si="673"/>
        <v>12782176</v>
      </c>
      <c r="BB259" s="1">
        <f t="shared" si="674"/>
        <v>248</v>
      </c>
    </row>
    <row r="260" spans="2:54">
      <c r="B260" s="4">
        <v>249</v>
      </c>
      <c r="C260" s="1">
        <f t="shared" ref="C260:I260" si="840">C$5+(C$6-C$5)*(POWER(C$7,$B260-1)-1)/(POWER(C$7,$B$3-1)-1)</f>
        <v>19673.4587984419</v>
      </c>
      <c r="D260" s="1">
        <f t="shared" si="840"/>
        <v>5902.03763953257</v>
      </c>
      <c r="E260" s="1">
        <f t="shared" si="840"/>
        <v>3934.69175968838</v>
      </c>
      <c r="F260" s="1">
        <f t="shared" si="840"/>
        <v>49806.2248061821</v>
      </c>
      <c r="G260" s="1">
        <f t="shared" si="840"/>
        <v>14941.8674418546</v>
      </c>
      <c r="H260" s="1">
        <f t="shared" si="840"/>
        <v>9961.24496123641</v>
      </c>
      <c r="I260" s="1">
        <f t="shared" si="840"/>
        <v>0</v>
      </c>
      <c r="J260" s="1">
        <f>标准模型!$I$65/1*$B260/$B$3</f>
        <v>1.7928</v>
      </c>
      <c r="K260" s="1">
        <f>J260*标准模型!$J$63</f>
        <v>1.7928</v>
      </c>
      <c r="L260" s="1">
        <f t="shared" si="649"/>
        <v>69479.683604624</v>
      </c>
      <c r="M260" s="1">
        <f t="shared" si="650"/>
        <v>31425.0781615412</v>
      </c>
      <c r="N260" s="1">
        <f t="shared" si="651"/>
        <v>20950.0521076941</v>
      </c>
      <c r="O260" s="1">
        <f t="shared" ref="O260:W260" si="841">O$5+(O$6-O$5)*(POWER(O$7,$B260-1)-1)/(POWER(O$7,$B$3-1)-1)</f>
        <v>0.748528180391694</v>
      </c>
      <c r="P260" s="1">
        <f t="shared" si="841"/>
        <v>0.161859361897366</v>
      </c>
      <c r="Q260" s="1">
        <f t="shared" si="841"/>
        <v>0.411690499215432</v>
      </c>
      <c r="R260" s="1">
        <f t="shared" si="841"/>
        <v>1.09941127215668</v>
      </c>
      <c r="S260" s="1">
        <f t="shared" si="841"/>
        <v>0.373086634509202</v>
      </c>
      <c r="T260" s="1">
        <f t="shared" si="841"/>
        <v>2.96925990352761</v>
      </c>
      <c r="U260" s="1">
        <f t="shared" si="841"/>
        <v>1</v>
      </c>
      <c r="V260" s="1">
        <f t="shared" si="841"/>
        <v>1.27104440870068</v>
      </c>
      <c r="W260" s="1">
        <f t="shared" si="841"/>
        <v>1.79529017725342</v>
      </c>
      <c r="X260" s="1">
        <f t="shared" si="653"/>
        <v>3.11707077942748</v>
      </c>
      <c r="Y260" s="1">
        <f t="shared" si="654"/>
        <v>5.75358024138149</v>
      </c>
      <c r="Z260" s="1">
        <f t="shared" si="655"/>
        <v>399756.934765002</v>
      </c>
      <c r="AA260" s="1">
        <f t="shared" si="656"/>
        <v>31425.0781615412</v>
      </c>
      <c r="AB260" s="1">
        <f t="shared" si="657"/>
        <v>20950.0521076941</v>
      </c>
      <c r="AC260" s="1">
        <f>AB260/(AB260+战斗公式!$M$27)</f>
        <v>0.466074033852078</v>
      </c>
      <c r="AD260" s="1">
        <f t="shared" si="658"/>
        <v>748712.293670788</v>
      </c>
      <c r="AE260" s="1">
        <f t="shared" si="659"/>
        <v>7.64349408298407</v>
      </c>
      <c r="AF260" s="1">
        <f t="shared" si="660"/>
        <v>4.14095416405903</v>
      </c>
      <c r="AG260" s="1">
        <f t="shared" si="661"/>
        <v>4.46255472393975</v>
      </c>
      <c r="AH260" s="1">
        <f t="shared" si="662"/>
        <v>1.05002427663552</v>
      </c>
      <c r="AI260" s="1">
        <f t="shared" si="663"/>
        <v>1.00000343677293</v>
      </c>
      <c r="AJ260" s="1">
        <f t="shared" si="664"/>
        <v>1.00530200735731</v>
      </c>
      <c r="AK260" s="1">
        <f t="shared" si="665"/>
        <v>1</v>
      </c>
      <c r="AL260" s="10">
        <f t="shared" si="666"/>
        <v>430803</v>
      </c>
      <c r="AM260" s="10">
        <f t="shared" si="667"/>
        <v>32997</v>
      </c>
      <c r="AN260" s="10">
        <f t="shared" si="668"/>
        <v>20950</v>
      </c>
      <c r="AO260" s="1">
        <f t="shared" si="669"/>
        <v>234630</v>
      </c>
      <c r="AP260" s="1">
        <f t="shared" si="670"/>
        <v>32997</v>
      </c>
      <c r="AR260" s="1">
        <f t="shared" ref="AR260:AX260" si="842">ROUNDUP(AR$10*$AO260,0)</f>
        <v>234630</v>
      </c>
      <c r="AS260" s="1">
        <f t="shared" si="842"/>
        <v>703890</v>
      </c>
      <c r="AT260" s="1">
        <f t="shared" si="842"/>
        <v>422334</v>
      </c>
      <c r="AU260" s="1">
        <f t="shared" si="842"/>
        <v>117315</v>
      </c>
      <c r="AV260" s="1">
        <f t="shared" si="842"/>
        <v>35195</v>
      </c>
      <c r="AW260" s="1">
        <f t="shared" si="842"/>
        <v>938520</v>
      </c>
      <c r="AX260" s="1">
        <f t="shared" si="842"/>
        <v>2111670</v>
      </c>
      <c r="AY260" s="1">
        <f t="shared" si="672"/>
        <v>25848269</v>
      </c>
      <c r="AZ260" s="1">
        <f t="shared" si="673"/>
        <v>12924134</v>
      </c>
      <c r="BB260" s="1">
        <f t="shared" si="674"/>
        <v>249</v>
      </c>
    </row>
    <row r="261" spans="2:54">
      <c r="B261" s="4">
        <v>250</v>
      </c>
      <c r="C261" s="1">
        <f t="shared" ref="C261:I261" si="843">C$5+(C$6-C$5)*(POWER(C$7,$B261-1)-1)/(POWER(C$7,$B$3-1)-1)</f>
        <v>19752.4588766273</v>
      </c>
      <c r="D261" s="1">
        <f t="shared" si="843"/>
        <v>5925.73766298819</v>
      </c>
      <c r="E261" s="1">
        <f t="shared" si="843"/>
        <v>3950.49177532546</v>
      </c>
      <c r="F261" s="1">
        <f t="shared" si="843"/>
        <v>50006.2250041198</v>
      </c>
      <c r="G261" s="1">
        <f t="shared" si="843"/>
        <v>15001.8675012359</v>
      </c>
      <c r="H261" s="1">
        <f t="shared" si="843"/>
        <v>10001.245000824</v>
      </c>
      <c r="I261" s="1">
        <f t="shared" si="843"/>
        <v>0</v>
      </c>
      <c r="J261" s="1">
        <f>标准模型!$I$65/1*$B261/$B$3</f>
        <v>1.8</v>
      </c>
      <c r="K261" s="1">
        <f>J261*标准模型!$J$63</f>
        <v>1.8</v>
      </c>
      <c r="L261" s="1">
        <f t="shared" si="649"/>
        <v>69758.6838807471</v>
      </c>
      <c r="M261" s="1">
        <f t="shared" si="650"/>
        <v>31593.9329576029</v>
      </c>
      <c r="N261" s="1">
        <f t="shared" si="651"/>
        <v>21062.6219717353</v>
      </c>
      <c r="O261" s="1">
        <f t="shared" ref="O261:W261" si="844">O$5+(O$6-O$5)*(POWER(O$7,$B261-1)-1)/(POWER(O$7,$B$3-1)-1)</f>
        <v>0.749530185391382</v>
      </c>
      <c r="P261" s="1">
        <f t="shared" si="844"/>
        <v>0.162641408065742</v>
      </c>
      <c r="Q261" s="1">
        <f t="shared" si="844"/>
        <v>0.41224160196526</v>
      </c>
      <c r="R261" s="1">
        <f t="shared" si="844"/>
        <v>1.09981207415655</v>
      </c>
      <c r="S261" s="1">
        <f t="shared" si="844"/>
        <v>0.374389241008796</v>
      </c>
      <c r="T261" s="1">
        <f t="shared" si="844"/>
        <v>2.97316772302639</v>
      </c>
      <c r="U261" s="1">
        <f t="shared" si="844"/>
        <v>1</v>
      </c>
      <c r="V261" s="1">
        <f t="shared" si="844"/>
        <v>1.27213719364052</v>
      </c>
      <c r="W261" s="1">
        <f t="shared" si="844"/>
        <v>1.79849659325242</v>
      </c>
      <c r="X261" s="1">
        <f t="shared" si="653"/>
        <v>3.13716589202774</v>
      </c>
      <c r="Y261" s="1">
        <f t="shared" si="654"/>
        <v>5.79453233330607</v>
      </c>
      <c r="Z261" s="1">
        <f t="shared" si="655"/>
        <v>404218.949275866</v>
      </c>
      <c r="AA261" s="1">
        <f t="shared" si="656"/>
        <v>31593.9329576029</v>
      </c>
      <c r="AB261" s="1">
        <f t="shared" si="657"/>
        <v>21062.6219717353</v>
      </c>
      <c r="AC261" s="1">
        <f>AB261/(AB261+战斗公式!$M$27)</f>
        <v>0.467407821607594</v>
      </c>
      <c r="AD261" s="1">
        <f t="shared" si="658"/>
        <v>758965.2377096</v>
      </c>
      <c r="AE261" s="1">
        <f t="shared" si="659"/>
        <v>7.65738896066202</v>
      </c>
      <c r="AF261" s="1">
        <f t="shared" si="660"/>
        <v>4.14571842688685</v>
      </c>
      <c r="AG261" s="1">
        <f t="shared" si="661"/>
        <v>4.46730321774125</v>
      </c>
      <c r="AH261" s="1">
        <f t="shared" si="662"/>
        <v>1.05386330373076</v>
      </c>
      <c r="AI261" s="1">
        <f t="shared" si="663"/>
        <v>1.00000326493385</v>
      </c>
      <c r="AJ261" s="1">
        <f t="shared" si="664"/>
        <v>1.00519529740278</v>
      </c>
      <c r="AK261" s="1">
        <f t="shared" si="665"/>
        <v>1</v>
      </c>
      <c r="AL261" s="10">
        <f t="shared" si="666"/>
        <v>435574</v>
      </c>
      <c r="AM261" s="10">
        <f t="shared" si="667"/>
        <v>33296</v>
      </c>
      <c r="AN261" s="10">
        <f t="shared" si="668"/>
        <v>21063</v>
      </c>
      <c r="AO261" s="1">
        <f t="shared" si="669"/>
        <v>237046</v>
      </c>
      <c r="AP261" s="1">
        <f t="shared" si="670"/>
        <v>33296</v>
      </c>
      <c r="AR261" s="1">
        <f t="shared" ref="AR261:AX261" si="845">ROUNDUP(AR$10*$AO261,0)</f>
        <v>237046</v>
      </c>
      <c r="AS261" s="1">
        <f t="shared" si="845"/>
        <v>711138</v>
      </c>
      <c r="AT261" s="1">
        <f t="shared" si="845"/>
        <v>426683</v>
      </c>
      <c r="AU261" s="1">
        <f t="shared" si="845"/>
        <v>118523</v>
      </c>
      <c r="AV261" s="1">
        <f t="shared" si="845"/>
        <v>35557</v>
      </c>
      <c r="AW261" s="1">
        <f t="shared" si="845"/>
        <v>948184</v>
      </c>
      <c r="AX261" s="1">
        <f t="shared" si="845"/>
        <v>2133414</v>
      </c>
      <c r="AY261" s="1">
        <f t="shared" si="672"/>
        <v>26134525</v>
      </c>
      <c r="AZ261" s="1">
        <f t="shared" si="673"/>
        <v>13067263</v>
      </c>
      <c r="BB261" s="1">
        <f t="shared" si="674"/>
        <v>250</v>
      </c>
    </row>
    <row r="262" spans="2:54">
      <c r="B262" s="4">
        <v>251</v>
      </c>
      <c r="C262" s="1">
        <f t="shared" ref="C262:I262" si="846">C$5+(C$6-C$5)*(POWER(C$7,$B262-1)-1)/(POWER(C$7,$B$3-1)-1)</f>
        <v>19831.4588758036</v>
      </c>
      <c r="D262" s="1">
        <f t="shared" si="846"/>
        <v>5949.43766274107</v>
      </c>
      <c r="E262" s="1">
        <f t="shared" si="846"/>
        <v>3966.29177516072</v>
      </c>
      <c r="F262" s="1">
        <f t="shared" si="846"/>
        <v>50206.2250020344</v>
      </c>
      <c r="G262" s="1">
        <f t="shared" si="846"/>
        <v>15061.8675006103</v>
      </c>
      <c r="H262" s="1">
        <f t="shared" si="846"/>
        <v>10041.2450004069</v>
      </c>
      <c r="I262" s="1">
        <f t="shared" si="846"/>
        <v>0</v>
      </c>
      <c r="J262" s="1">
        <f>标准模型!$I$65/1*$B262/$B$3</f>
        <v>1.8072</v>
      </c>
      <c r="K262" s="1">
        <f>J262*标准模型!$J$63</f>
        <v>1.8072</v>
      </c>
      <c r="L262" s="1">
        <f t="shared" si="649"/>
        <v>70037.683877838</v>
      </c>
      <c r="M262" s="1">
        <f t="shared" si="650"/>
        <v>31763.1289074571</v>
      </c>
      <c r="N262" s="1">
        <f t="shared" si="651"/>
        <v>21175.419271638</v>
      </c>
      <c r="O262" s="1">
        <f t="shared" ref="O262:W262" si="847">O$5+(O$6-O$5)*(POWER(O$7,$B262-1)-1)/(POWER(O$7,$B$3-1)-1)</f>
        <v>0.75053218938895</v>
      </c>
      <c r="P262" s="1">
        <f t="shared" si="847"/>
        <v>0.16342462730337</v>
      </c>
      <c r="Q262" s="1">
        <f t="shared" si="847"/>
        <v>0.412792704163922</v>
      </c>
      <c r="R262" s="1">
        <f t="shared" si="847"/>
        <v>1.10021287575558</v>
      </c>
      <c r="S262" s="1">
        <f t="shared" si="847"/>
        <v>0.375691846205635</v>
      </c>
      <c r="T262" s="1">
        <f t="shared" si="847"/>
        <v>2.9770755386169</v>
      </c>
      <c r="U262" s="1">
        <f t="shared" si="847"/>
        <v>1</v>
      </c>
      <c r="V262" s="1">
        <f t="shared" si="847"/>
        <v>1.27322997748744</v>
      </c>
      <c r="W262" s="1">
        <f t="shared" si="847"/>
        <v>1.80170300604464</v>
      </c>
      <c r="X262" s="1">
        <f t="shared" si="653"/>
        <v>3.15737355338721</v>
      </c>
      <c r="Y262" s="1">
        <f t="shared" si="654"/>
        <v>5.83574202664469</v>
      </c>
      <c r="Z262" s="1">
        <f t="shared" si="655"/>
        <v>408721.855254754</v>
      </c>
      <c r="AA262" s="1">
        <f t="shared" si="656"/>
        <v>31763.1289074571</v>
      </c>
      <c r="AB262" s="1">
        <f t="shared" si="657"/>
        <v>21175.419271638</v>
      </c>
      <c r="AC262" s="1">
        <f>AB262/(AB262+战斗公式!$M$27)</f>
        <v>0.468737636817736</v>
      </c>
      <c r="AD262" s="1">
        <f t="shared" si="658"/>
        <v>769340.88235897</v>
      </c>
      <c r="AE262" s="1">
        <f t="shared" si="659"/>
        <v>7.67131060192062</v>
      </c>
      <c r="AF262" s="1">
        <f t="shared" si="660"/>
        <v>4.15049073515151</v>
      </c>
      <c r="AG262" s="1">
        <f t="shared" si="661"/>
        <v>4.47201609783925</v>
      </c>
      <c r="AH262" s="1">
        <f t="shared" si="662"/>
        <v>1.05771000888019</v>
      </c>
      <c r="AI262" s="1">
        <f t="shared" si="663"/>
        <v>1.00000310168671</v>
      </c>
      <c r="AJ262" s="1">
        <f t="shared" si="664"/>
        <v>1.00509072164733</v>
      </c>
      <c r="AK262" s="1">
        <f t="shared" si="665"/>
        <v>1</v>
      </c>
      <c r="AL262" s="10">
        <f t="shared" si="666"/>
        <v>440384</v>
      </c>
      <c r="AM262" s="10">
        <f t="shared" si="667"/>
        <v>33596</v>
      </c>
      <c r="AN262" s="10">
        <f t="shared" si="668"/>
        <v>21175</v>
      </c>
      <c r="AO262" s="1">
        <f t="shared" si="669"/>
        <v>239479</v>
      </c>
      <c r="AP262" s="1">
        <f t="shared" si="670"/>
        <v>33596</v>
      </c>
      <c r="AR262" s="1">
        <f t="shared" ref="AR262:AX262" si="848">ROUNDUP(AR$10*$AO262,0)</f>
        <v>239479</v>
      </c>
      <c r="AS262" s="1">
        <f t="shared" si="848"/>
        <v>718437</v>
      </c>
      <c r="AT262" s="1">
        <f t="shared" si="848"/>
        <v>431063</v>
      </c>
      <c r="AU262" s="1">
        <f t="shared" si="848"/>
        <v>119740</v>
      </c>
      <c r="AV262" s="1">
        <f t="shared" si="848"/>
        <v>35922</v>
      </c>
      <c r="AW262" s="1">
        <f t="shared" si="848"/>
        <v>957916</v>
      </c>
      <c r="AX262" s="1">
        <f t="shared" si="848"/>
        <v>2155311</v>
      </c>
      <c r="AY262" s="1">
        <f t="shared" si="672"/>
        <v>26423122</v>
      </c>
      <c r="AZ262" s="1">
        <f t="shared" si="673"/>
        <v>13211561</v>
      </c>
      <c r="BB262" s="1">
        <f t="shared" si="674"/>
        <v>251</v>
      </c>
    </row>
    <row r="263" spans="2:54">
      <c r="B263" s="4">
        <v>252</v>
      </c>
      <c r="C263" s="1">
        <f t="shared" ref="C263:I263" si="849">C$5+(C$6-C$5)*(POWER(C$7,$B263-1)-1)/(POWER(C$7,$B$3-1)-1)</f>
        <v>19910.4587959882</v>
      </c>
      <c r="D263" s="1">
        <f t="shared" si="849"/>
        <v>5973.13763879647</v>
      </c>
      <c r="E263" s="1">
        <f t="shared" si="849"/>
        <v>3982.09175919765</v>
      </c>
      <c r="F263" s="1">
        <f t="shared" si="849"/>
        <v>50406.2247999702</v>
      </c>
      <c r="G263" s="1">
        <f t="shared" si="849"/>
        <v>15121.8674399911</v>
      </c>
      <c r="H263" s="1">
        <f t="shared" si="849"/>
        <v>10081.244959994</v>
      </c>
      <c r="I263" s="1">
        <f t="shared" si="849"/>
        <v>0</v>
      </c>
      <c r="J263" s="1">
        <f>标准模型!$I$65/1*$B263/$B$3</f>
        <v>1.8144</v>
      </c>
      <c r="K263" s="1">
        <f>J263*标准模型!$J$63</f>
        <v>1.8144</v>
      </c>
      <c r="L263" s="1">
        <f t="shared" si="649"/>
        <v>70316.6835959584</v>
      </c>
      <c r="M263" s="1">
        <f t="shared" si="650"/>
        <v>31932.6660106198</v>
      </c>
      <c r="N263" s="1">
        <f t="shared" si="651"/>
        <v>21288.4440070799</v>
      </c>
      <c r="O263" s="1">
        <f t="shared" ref="O263:W263" si="850">O$5+(O$6-O$5)*(POWER(O$7,$B263-1)-1)/(POWER(O$7,$B$3-1)-1)</f>
        <v>0.75153419238462</v>
      </c>
      <c r="P263" s="1">
        <f t="shared" si="850"/>
        <v>0.164209021369855</v>
      </c>
      <c r="Q263" s="1">
        <f t="shared" si="850"/>
        <v>0.413343805811541</v>
      </c>
      <c r="R263" s="1">
        <f t="shared" si="850"/>
        <v>1.10061367695385</v>
      </c>
      <c r="S263" s="1">
        <f t="shared" si="850"/>
        <v>0.376994450100006</v>
      </c>
      <c r="T263" s="1">
        <f t="shared" si="850"/>
        <v>2.98098335030002</v>
      </c>
      <c r="U263" s="1">
        <f t="shared" si="850"/>
        <v>1</v>
      </c>
      <c r="V263" s="1">
        <f t="shared" si="850"/>
        <v>1.27432276024169</v>
      </c>
      <c r="W263" s="1">
        <f t="shared" si="850"/>
        <v>1.80490941563078</v>
      </c>
      <c r="X263" s="1">
        <f t="shared" si="653"/>
        <v>3.17769428611287</v>
      </c>
      <c r="Y263" s="1">
        <f t="shared" si="654"/>
        <v>5.87721069991404</v>
      </c>
      <c r="Z263" s="1">
        <f t="shared" si="655"/>
        <v>413265.965212637</v>
      </c>
      <c r="AA263" s="1">
        <f t="shared" si="656"/>
        <v>31932.6660106198</v>
      </c>
      <c r="AB263" s="1">
        <f t="shared" si="657"/>
        <v>21288.4440070799</v>
      </c>
      <c r="AC263" s="1">
        <f>AB263/(AB263+战斗公式!$M$27)</f>
        <v>0.47006348912654</v>
      </c>
      <c r="AD263" s="1">
        <f t="shared" si="658"/>
        <v>779840.521898515</v>
      </c>
      <c r="AE263" s="1">
        <f t="shared" si="659"/>
        <v>7.68525896904402</v>
      </c>
      <c r="AF263" s="1">
        <f t="shared" si="660"/>
        <v>4.15527105631691</v>
      </c>
      <c r="AG263" s="1">
        <f t="shared" si="661"/>
        <v>4.4766936313365</v>
      </c>
      <c r="AH263" s="1">
        <f t="shared" si="662"/>
        <v>1.06156440743992</v>
      </c>
      <c r="AI263" s="1">
        <f t="shared" si="663"/>
        <v>1.00000294660194</v>
      </c>
      <c r="AJ263" s="1">
        <f t="shared" si="664"/>
        <v>1.004988237407</v>
      </c>
      <c r="AK263" s="1">
        <f t="shared" si="665"/>
        <v>1</v>
      </c>
      <c r="AL263" s="10">
        <f t="shared" si="666"/>
        <v>445233</v>
      </c>
      <c r="AM263" s="10">
        <f t="shared" si="667"/>
        <v>33899</v>
      </c>
      <c r="AN263" s="10">
        <f t="shared" si="668"/>
        <v>21288</v>
      </c>
      <c r="AO263" s="1">
        <f t="shared" si="669"/>
        <v>241930</v>
      </c>
      <c r="AP263" s="1">
        <f t="shared" si="670"/>
        <v>33899</v>
      </c>
      <c r="AR263" s="1">
        <f t="shared" ref="AR263:AX263" si="851">ROUNDUP(AR$10*$AO263,0)</f>
        <v>241930</v>
      </c>
      <c r="AS263" s="1">
        <f t="shared" si="851"/>
        <v>725790</v>
      </c>
      <c r="AT263" s="1">
        <f t="shared" si="851"/>
        <v>435474</v>
      </c>
      <c r="AU263" s="1">
        <f t="shared" si="851"/>
        <v>120965</v>
      </c>
      <c r="AV263" s="1">
        <f t="shared" si="851"/>
        <v>36290</v>
      </c>
      <c r="AW263" s="1">
        <f t="shared" si="851"/>
        <v>967720</v>
      </c>
      <c r="AX263" s="1">
        <f t="shared" si="851"/>
        <v>2177370</v>
      </c>
      <c r="AY263" s="1">
        <f t="shared" si="672"/>
        <v>26714059</v>
      </c>
      <c r="AZ263" s="1">
        <f t="shared" si="673"/>
        <v>13357029</v>
      </c>
      <c r="BB263" s="1">
        <f t="shared" si="674"/>
        <v>252</v>
      </c>
    </row>
    <row r="264" spans="2:54">
      <c r="B264" s="4">
        <v>253</v>
      </c>
      <c r="C264" s="1">
        <f t="shared" ref="C264:I264" si="852">C$5+(C$6-C$5)*(POWER(C$7,$B264-1)-1)/(POWER(C$7,$B$3-1)-1)</f>
        <v>19989.4586371637</v>
      </c>
      <c r="D264" s="1">
        <f t="shared" si="852"/>
        <v>5996.83759114912</v>
      </c>
      <c r="E264" s="1">
        <f t="shared" si="852"/>
        <v>3997.89172743275</v>
      </c>
      <c r="F264" s="1">
        <f t="shared" si="852"/>
        <v>50606.2243978829</v>
      </c>
      <c r="G264" s="1">
        <f t="shared" si="852"/>
        <v>15181.8673193649</v>
      </c>
      <c r="H264" s="1">
        <f t="shared" si="852"/>
        <v>10121.2448795766</v>
      </c>
      <c r="I264" s="1">
        <f t="shared" si="852"/>
        <v>0</v>
      </c>
      <c r="J264" s="1">
        <f>标准模型!$I$65/1*$B264/$B$3</f>
        <v>1.8216</v>
      </c>
      <c r="K264" s="1">
        <f>J264*标准模型!$J$63</f>
        <v>1.8216</v>
      </c>
      <c r="L264" s="1">
        <f t="shared" si="649"/>
        <v>70595.6830350466</v>
      </c>
      <c r="M264" s="1">
        <f t="shared" si="650"/>
        <v>32102.5442665512</v>
      </c>
      <c r="N264" s="1">
        <f t="shared" si="651"/>
        <v>21401.6961777008</v>
      </c>
      <c r="O264" s="1">
        <f t="shared" ref="O264:W264" si="853">O$5+(O$6-O$5)*(POWER(O$7,$B264-1)-1)/(POWER(O$7,$B$3-1)-1)</f>
        <v>0.752536194378171</v>
      </c>
      <c r="P264" s="1">
        <f t="shared" si="853"/>
        <v>0.164994592027439</v>
      </c>
      <c r="Q264" s="1">
        <f t="shared" si="853"/>
        <v>0.413894906907994</v>
      </c>
      <c r="R264" s="1">
        <f t="shared" si="853"/>
        <v>1.10101447775127</v>
      </c>
      <c r="S264" s="1">
        <f t="shared" si="853"/>
        <v>0.378297052691622</v>
      </c>
      <c r="T264" s="1">
        <f t="shared" si="853"/>
        <v>2.98489115807487</v>
      </c>
      <c r="U264" s="1">
        <f t="shared" si="853"/>
        <v>1</v>
      </c>
      <c r="V264" s="1">
        <f t="shared" si="853"/>
        <v>1.27541554190303</v>
      </c>
      <c r="W264" s="1">
        <f t="shared" si="853"/>
        <v>1.80811582201015</v>
      </c>
      <c r="X264" s="1">
        <f t="shared" si="653"/>
        <v>3.19812861462859</v>
      </c>
      <c r="Y264" s="1">
        <f t="shared" si="654"/>
        <v>5.91893973747417</v>
      </c>
      <c r="Z264" s="1">
        <f t="shared" si="655"/>
        <v>417851.593610269</v>
      </c>
      <c r="AA264" s="1">
        <f t="shared" si="656"/>
        <v>32102.5442665512</v>
      </c>
      <c r="AB264" s="1">
        <f t="shared" si="657"/>
        <v>21401.6961777008</v>
      </c>
      <c r="AC264" s="1">
        <f>AB264/(AB264+战斗公式!$M$27)</f>
        <v>0.471385388200812</v>
      </c>
      <c r="AD264" s="1">
        <f t="shared" si="658"/>
        <v>790465.46251923</v>
      </c>
      <c r="AE264" s="1">
        <f t="shared" si="659"/>
        <v>7.6992340244848</v>
      </c>
      <c r="AF264" s="1">
        <f t="shared" si="660"/>
        <v>4.16005935801848</v>
      </c>
      <c r="AG264" s="1">
        <f t="shared" si="661"/>
        <v>4.48133608333253</v>
      </c>
      <c r="AH264" s="1">
        <f t="shared" si="662"/>
        <v>1.06542651479677</v>
      </c>
      <c r="AI264" s="1">
        <f t="shared" si="663"/>
        <v>1.0000027992714</v>
      </c>
      <c r="AJ264" s="1">
        <f t="shared" si="664"/>
        <v>1.00488780285147</v>
      </c>
      <c r="AK264" s="1">
        <f t="shared" si="665"/>
        <v>1</v>
      </c>
      <c r="AL264" s="10">
        <f t="shared" si="666"/>
        <v>450122</v>
      </c>
      <c r="AM264" s="10">
        <f t="shared" si="667"/>
        <v>34203</v>
      </c>
      <c r="AN264" s="10">
        <f t="shared" si="668"/>
        <v>21402</v>
      </c>
      <c r="AO264" s="1">
        <f t="shared" si="669"/>
        <v>244399</v>
      </c>
      <c r="AP264" s="1">
        <f t="shared" si="670"/>
        <v>34203</v>
      </c>
      <c r="AR264" s="1">
        <f t="shared" ref="AR264:AX264" si="854">ROUNDUP(AR$10*$AO264,0)</f>
        <v>244399</v>
      </c>
      <c r="AS264" s="1">
        <f t="shared" si="854"/>
        <v>733197</v>
      </c>
      <c r="AT264" s="1">
        <f t="shared" si="854"/>
        <v>439919</v>
      </c>
      <c r="AU264" s="1">
        <f t="shared" si="854"/>
        <v>122200</v>
      </c>
      <c r="AV264" s="1">
        <f t="shared" si="854"/>
        <v>36660</v>
      </c>
      <c r="AW264" s="1">
        <f t="shared" si="854"/>
        <v>977596</v>
      </c>
      <c r="AX264" s="1">
        <f t="shared" si="854"/>
        <v>2199591</v>
      </c>
      <c r="AY264" s="1">
        <f t="shared" si="672"/>
        <v>27007396</v>
      </c>
      <c r="AZ264" s="1">
        <f t="shared" si="673"/>
        <v>13503698</v>
      </c>
      <c r="BB264" s="1">
        <f t="shared" si="674"/>
        <v>253</v>
      </c>
    </row>
    <row r="265" spans="2:54">
      <c r="B265" s="4">
        <v>254</v>
      </c>
      <c r="C265" s="1">
        <f t="shared" ref="C265:I265" si="855">C$5+(C$6-C$5)*(POWER(C$7,$B265-1)-1)/(POWER(C$7,$B$3-1)-1)</f>
        <v>20068.4583993476</v>
      </c>
      <c r="D265" s="1">
        <f t="shared" si="855"/>
        <v>6020.53751980429</v>
      </c>
      <c r="E265" s="1">
        <f t="shared" si="855"/>
        <v>4013.69167986952</v>
      </c>
      <c r="F265" s="1">
        <f t="shared" si="855"/>
        <v>50806.2237958168</v>
      </c>
      <c r="G265" s="1">
        <f t="shared" si="855"/>
        <v>15241.867138745</v>
      </c>
      <c r="H265" s="1">
        <f t="shared" si="855"/>
        <v>10161.2447591634</v>
      </c>
      <c r="I265" s="1">
        <f t="shared" si="855"/>
        <v>0</v>
      </c>
      <c r="J265" s="1">
        <f>标准模型!$I$65/1*$B265/$B$3</f>
        <v>1.8288</v>
      </c>
      <c r="K265" s="1">
        <f>J265*标准模型!$J$63</f>
        <v>1.8288</v>
      </c>
      <c r="L265" s="1">
        <f t="shared" si="649"/>
        <v>70874.6821951644</v>
      </c>
      <c r="M265" s="1">
        <f t="shared" si="650"/>
        <v>32272.7636747674</v>
      </c>
      <c r="N265" s="1">
        <f t="shared" si="651"/>
        <v>21515.1757831783</v>
      </c>
      <c r="O265" s="1">
        <f t="shared" ref="O265:W265" si="856">O$5+(O$6-O$5)*(POWER(O$7,$B265-1)-1)/(POWER(O$7,$B$3-1)-1)</f>
        <v>0.753538195369823</v>
      </c>
      <c r="P265" s="1">
        <f t="shared" si="856"/>
        <v>0.16578134104101</v>
      </c>
      <c r="Q265" s="1">
        <f t="shared" si="856"/>
        <v>0.414446007453403</v>
      </c>
      <c r="R265" s="1">
        <f t="shared" si="856"/>
        <v>1.10141527814793</v>
      </c>
      <c r="S265" s="1">
        <f t="shared" si="856"/>
        <v>0.37959965398077</v>
      </c>
      <c r="T265" s="1">
        <f t="shared" si="856"/>
        <v>2.98879896194231</v>
      </c>
      <c r="U265" s="1">
        <f t="shared" si="856"/>
        <v>1</v>
      </c>
      <c r="V265" s="1">
        <f t="shared" si="856"/>
        <v>1.2765083224717</v>
      </c>
      <c r="W265" s="1">
        <f t="shared" si="856"/>
        <v>1.81132222518344</v>
      </c>
      <c r="X265" s="1">
        <f t="shared" si="653"/>
        <v>3.21867706519516</v>
      </c>
      <c r="Y265" s="1">
        <f t="shared" si="654"/>
        <v>5.96093052958058</v>
      </c>
      <c r="Z265" s="1">
        <f t="shared" si="655"/>
        <v>422479.056871477</v>
      </c>
      <c r="AA265" s="1">
        <f t="shared" si="656"/>
        <v>32272.7636747674</v>
      </c>
      <c r="AB265" s="1">
        <f t="shared" si="657"/>
        <v>21515.1757831783</v>
      </c>
      <c r="AC265" s="1">
        <f>AB265/(AB265+战斗公式!$M$27)</f>
        <v>0.472703343730246</v>
      </c>
      <c r="AD265" s="1">
        <f t="shared" si="658"/>
        <v>801217.022425694</v>
      </c>
      <c r="AE265" s="1">
        <f t="shared" si="659"/>
        <v>7.71323573088199</v>
      </c>
      <c r="AF265" s="1">
        <f t="shared" si="660"/>
        <v>4.16485560806904</v>
      </c>
      <c r="AG265" s="1">
        <f t="shared" si="661"/>
        <v>4.48594371693859</v>
      </c>
      <c r="AH265" s="1">
        <f t="shared" si="662"/>
        <v>1.06929634636834</v>
      </c>
      <c r="AI265" s="1">
        <f t="shared" si="663"/>
        <v>1.00000265930739</v>
      </c>
      <c r="AJ265" s="1">
        <f t="shared" si="664"/>
        <v>1.00478937698705</v>
      </c>
      <c r="AK265" s="1">
        <f t="shared" si="665"/>
        <v>1</v>
      </c>
      <c r="AL265" s="10">
        <f t="shared" si="666"/>
        <v>455050</v>
      </c>
      <c r="AM265" s="10">
        <f t="shared" si="667"/>
        <v>34509</v>
      </c>
      <c r="AN265" s="10">
        <f t="shared" si="668"/>
        <v>21515</v>
      </c>
      <c r="AO265" s="1">
        <f t="shared" si="669"/>
        <v>246887</v>
      </c>
      <c r="AP265" s="1">
        <f t="shared" si="670"/>
        <v>34509</v>
      </c>
      <c r="AR265" s="1">
        <f t="shared" ref="AR265:AX265" si="857">ROUNDUP(AR$10*$AO265,0)</f>
        <v>246887</v>
      </c>
      <c r="AS265" s="1">
        <f t="shared" si="857"/>
        <v>740661</v>
      </c>
      <c r="AT265" s="1">
        <f t="shared" si="857"/>
        <v>444397</v>
      </c>
      <c r="AU265" s="1">
        <f t="shared" si="857"/>
        <v>123444</v>
      </c>
      <c r="AV265" s="1">
        <f t="shared" si="857"/>
        <v>37034</v>
      </c>
      <c r="AW265" s="1">
        <f t="shared" si="857"/>
        <v>987548</v>
      </c>
      <c r="AX265" s="1">
        <f t="shared" si="857"/>
        <v>2221983</v>
      </c>
      <c r="AY265" s="1">
        <f t="shared" si="672"/>
        <v>27303073</v>
      </c>
      <c r="AZ265" s="1">
        <f t="shared" si="673"/>
        <v>13651536</v>
      </c>
      <c r="BB265" s="1">
        <f t="shared" si="674"/>
        <v>254</v>
      </c>
    </row>
    <row r="266" spans="2:54">
      <c r="B266" s="4">
        <v>255</v>
      </c>
      <c r="C266" s="1">
        <f t="shared" ref="C266:I266" si="858">C$5+(C$6-C$5)*(POWER(C$7,$B266-1)-1)/(POWER(C$7,$B$3-1)-1)</f>
        <v>20147.4580825311</v>
      </c>
      <c r="D266" s="1">
        <f t="shared" si="858"/>
        <v>6044.23742475934</v>
      </c>
      <c r="E266" s="1">
        <f t="shared" si="858"/>
        <v>4029.49161650623</v>
      </c>
      <c r="F266" s="1">
        <f t="shared" si="858"/>
        <v>51006.2229937497</v>
      </c>
      <c r="G266" s="1">
        <f t="shared" si="858"/>
        <v>15301.8668981249</v>
      </c>
      <c r="H266" s="1">
        <f t="shared" si="858"/>
        <v>10201.2445987499</v>
      </c>
      <c r="I266" s="1">
        <f t="shared" si="858"/>
        <v>0</v>
      </c>
      <c r="J266" s="1">
        <f>标准模型!$I$65/1*$B266/$B$3</f>
        <v>1.836</v>
      </c>
      <c r="K266" s="1">
        <f>J266*标准模型!$J$63</f>
        <v>1.836</v>
      </c>
      <c r="L266" s="1">
        <f t="shared" si="649"/>
        <v>71153.6810762808</v>
      </c>
      <c r="M266" s="1">
        <f t="shared" si="650"/>
        <v>32443.3242347424</v>
      </c>
      <c r="N266" s="1">
        <f t="shared" si="651"/>
        <v>21628.8828231616</v>
      </c>
      <c r="O266" s="1">
        <f t="shared" ref="O266:W266" si="859">O$5+(O$6-O$5)*(POWER(O$7,$B266-1)-1)/(POWER(O$7,$B$3-1)-1)</f>
        <v>0.754540195359467</v>
      </c>
      <c r="P266" s="1">
        <f t="shared" si="859"/>
        <v>0.166569270178101</v>
      </c>
      <c r="Q266" s="1">
        <f t="shared" si="859"/>
        <v>0.414997107447707</v>
      </c>
      <c r="R266" s="1">
        <f t="shared" si="859"/>
        <v>1.10181607814379</v>
      </c>
      <c r="S266" s="1">
        <f t="shared" si="859"/>
        <v>0.380902253967308</v>
      </c>
      <c r="T266" s="1">
        <f t="shared" si="859"/>
        <v>2.99270676190192</v>
      </c>
      <c r="U266" s="1">
        <f t="shared" si="859"/>
        <v>1</v>
      </c>
      <c r="V266" s="1">
        <f t="shared" si="859"/>
        <v>1.27760110194759</v>
      </c>
      <c r="W266" s="1">
        <f t="shared" si="859"/>
        <v>1.8145286251503</v>
      </c>
      <c r="X266" s="1">
        <f t="shared" si="653"/>
        <v>3.23934016590125</v>
      </c>
      <c r="Y266" s="1">
        <f t="shared" si="654"/>
        <v>6.00318447237356</v>
      </c>
      <c r="Z266" s="1">
        <f t="shared" si="655"/>
        <v>427148.673389349</v>
      </c>
      <c r="AA266" s="1">
        <f t="shared" si="656"/>
        <v>32443.3242347424</v>
      </c>
      <c r="AB266" s="1">
        <f t="shared" si="657"/>
        <v>21628.8828231616</v>
      </c>
      <c r="AC266" s="1">
        <f>AB266/(AB266+战斗公式!$M$27)</f>
        <v>0.474017365425888</v>
      </c>
      <c r="AD266" s="1">
        <f t="shared" si="658"/>
        <v>812096.531922982</v>
      </c>
      <c r="AE266" s="1">
        <f t="shared" si="659"/>
        <v>7.72726405104284</v>
      </c>
      <c r="AF266" s="1">
        <f t="shared" si="660"/>
        <v>4.1696597744515</v>
      </c>
      <c r="AG266" s="1">
        <f t="shared" si="661"/>
        <v>4.4905167932926</v>
      </c>
      <c r="AH266" s="1">
        <f t="shared" si="662"/>
        <v>1.07317391760304</v>
      </c>
      <c r="AI266" s="1">
        <f t="shared" si="663"/>
        <v>1.00000252634158</v>
      </c>
      <c r="AJ266" s="1">
        <f t="shared" si="664"/>
        <v>1.00469291963992</v>
      </c>
      <c r="AK266" s="1">
        <f t="shared" si="665"/>
        <v>1</v>
      </c>
      <c r="AL266" s="10">
        <f t="shared" si="666"/>
        <v>460018</v>
      </c>
      <c r="AM266" s="10">
        <f t="shared" si="667"/>
        <v>34817</v>
      </c>
      <c r="AN266" s="10">
        <f t="shared" si="668"/>
        <v>21629</v>
      </c>
      <c r="AO266" s="1">
        <f t="shared" si="669"/>
        <v>249392</v>
      </c>
      <c r="AP266" s="1">
        <f t="shared" si="670"/>
        <v>34817</v>
      </c>
      <c r="AR266" s="1">
        <f t="shared" ref="AR266:AX266" si="860">ROUNDUP(AR$10*$AO266,0)</f>
        <v>249392</v>
      </c>
      <c r="AS266" s="1">
        <f t="shared" si="860"/>
        <v>748176</v>
      </c>
      <c r="AT266" s="1">
        <f t="shared" si="860"/>
        <v>448906</v>
      </c>
      <c r="AU266" s="1">
        <f t="shared" si="860"/>
        <v>124696</v>
      </c>
      <c r="AV266" s="1">
        <f t="shared" si="860"/>
        <v>37409</v>
      </c>
      <c r="AW266" s="1">
        <f t="shared" si="860"/>
        <v>997568</v>
      </c>
      <c r="AX266" s="1">
        <f t="shared" si="860"/>
        <v>2244528</v>
      </c>
      <c r="AY266" s="1">
        <f t="shared" si="672"/>
        <v>27601150</v>
      </c>
      <c r="AZ266" s="1">
        <f t="shared" si="673"/>
        <v>13800575</v>
      </c>
      <c r="BB266" s="1">
        <f t="shared" si="674"/>
        <v>255</v>
      </c>
    </row>
    <row r="267" spans="2:54">
      <c r="B267" s="4">
        <v>256</v>
      </c>
      <c r="C267" s="1">
        <f t="shared" ref="C267:I267" si="861">C$5+(C$6-C$5)*(POWER(C$7,$B267-1)-1)/(POWER(C$7,$B$3-1)-1)</f>
        <v>20226.4576867055</v>
      </c>
      <c r="D267" s="1">
        <f t="shared" si="861"/>
        <v>6067.93730601165</v>
      </c>
      <c r="E267" s="1">
        <f t="shared" si="861"/>
        <v>4045.2915373411</v>
      </c>
      <c r="F267" s="1">
        <f t="shared" si="861"/>
        <v>51206.2219916595</v>
      </c>
      <c r="G267" s="1">
        <f t="shared" si="861"/>
        <v>15361.8665974979</v>
      </c>
      <c r="H267" s="1">
        <f t="shared" si="861"/>
        <v>10241.2443983319</v>
      </c>
      <c r="I267" s="1">
        <f t="shared" si="861"/>
        <v>0</v>
      </c>
      <c r="J267" s="1">
        <f>标准模型!$I$65/1*$B267/$B$3</f>
        <v>1.8432</v>
      </c>
      <c r="K267" s="1">
        <f>J267*标准模型!$J$63</f>
        <v>1.8432</v>
      </c>
      <c r="L267" s="1">
        <f t="shared" si="649"/>
        <v>71432.679678365</v>
      </c>
      <c r="M267" s="1">
        <f t="shared" si="650"/>
        <v>32614.2259459502</v>
      </c>
      <c r="N267" s="1">
        <f t="shared" si="651"/>
        <v>21742.8172973001</v>
      </c>
      <c r="O267" s="1">
        <f t="shared" ref="O267:W267" si="862">O$5+(O$6-O$5)*(POWER(O$7,$B267-1)-1)/(POWER(O$7,$B$3-1)-1)</f>
        <v>0.755542194346992</v>
      </c>
      <c r="P267" s="1">
        <f t="shared" si="862"/>
        <v>0.167358381208898</v>
      </c>
      <c r="Q267" s="1">
        <f t="shared" si="862"/>
        <v>0.415548206890845</v>
      </c>
      <c r="R267" s="1">
        <f t="shared" si="862"/>
        <v>1.1022168777388</v>
      </c>
      <c r="S267" s="1">
        <f t="shared" si="862"/>
        <v>0.382204852651089</v>
      </c>
      <c r="T267" s="1">
        <f t="shared" si="862"/>
        <v>2.99661455795327</v>
      </c>
      <c r="U267" s="1">
        <f t="shared" si="862"/>
        <v>1</v>
      </c>
      <c r="V267" s="1">
        <f t="shared" si="862"/>
        <v>1.27869388033056</v>
      </c>
      <c r="W267" s="1">
        <f t="shared" si="862"/>
        <v>1.81773502191037</v>
      </c>
      <c r="X267" s="1">
        <f t="shared" si="653"/>
        <v>3.26011844667376</v>
      </c>
      <c r="Y267" s="1">
        <f t="shared" si="654"/>
        <v>6.04570296790921</v>
      </c>
      <c r="Z267" s="1">
        <f t="shared" si="655"/>
        <v>431860.763537199</v>
      </c>
      <c r="AA267" s="1">
        <f t="shared" si="656"/>
        <v>32614.2259459502</v>
      </c>
      <c r="AB267" s="1">
        <f t="shared" si="657"/>
        <v>21742.8172973001</v>
      </c>
      <c r="AC267" s="1">
        <f>AB267/(AB267+战斗公式!$M$27)</f>
        <v>0.475327463019718</v>
      </c>
      <c r="AD267" s="1">
        <f t="shared" si="658"/>
        <v>823105.333514777</v>
      </c>
      <c r="AE267" s="1">
        <f t="shared" si="659"/>
        <v>7.74131894794866</v>
      </c>
      <c r="AF267" s="1">
        <f t="shared" si="660"/>
        <v>4.17447182532034</v>
      </c>
      <c r="AG267" s="1">
        <f t="shared" si="661"/>
        <v>4.49505557157396</v>
      </c>
      <c r="AH267" s="1">
        <f t="shared" si="662"/>
        <v>1.07705924398022</v>
      </c>
      <c r="AI267" s="1">
        <f t="shared" si="663"/>
        <v>1.00000240002406</v>
      </c>
      <c r="AJ267" s="1">
        <f t="shared" si="664"/>
        <v>1.00459839143974</v>
      </c>
      <c r="AK267" s="1">
        <f t="shared" si="665"/>
        <v>1</v>
      </c>
      <c r="AL267" s="10">
        <f t="shared" si="666"/>
        <v>465026</v>
      </c>
      <c r="AM267" s="10">
        <f t="shared" si="667"/>
        <v>35127</v>
      </c>
      <c r="AN267" s="10">
        <f t="shared" si="668"/>
        <v>21743</v>
      </c>
      <c r="AO267" s="1">
        <f t="shared" si="669"/>
        <v>251916</v>
      </c>
      <c r="AP267" s="1">
        <f t="shared" si="670"/>
        <v>35127</v>
      </c>
      <c r="AR267" s="1">
        <f t="shared" ref="AR267:AX267" si="863">ROUNDUP(AR$10*$AO267,0)</f>
        <v>251916</v>
      </c>
      <c r="AS267" s="1">
        <f t="shared" si="863"/>
        <v>755748</v>
      </c>
      <c r="AT267" s="1">
        <f t="shared" si="863"/>
        <v>453449</v>
      </c>
      <c r="AU267" s="1">
        <f t="shared" si="863"/>
        <v>125958</v>
      </c>
      <c r="AV267" s="1">
        <f t="shared" si="863"/>
        <v>37788</v>
      </c>
      <c r="AW267" s="1">
        <f t="shared" si="863"/>
        <v>1007664</v>
      </c>
      <c r="AX267" s="1">
        <f t="shared" si="863"/>
        <v>2267244</v>
      </c>
      <c r="AY267" s="1">
        <f t="shared" si="672"/>
        <v>27901627</v>
      </c>
      <c r="AZ267" s="1">
        <f t="shared" si="673"/>
        <v>13950813</v>
      </c>
      <c r="BB267" s="1">
        <f t="shared" si="674"/>
        <v>256</v>
      </c>
    </row>
    <row r="268" spans="2:54">
      <c r="B268" s="4">
        <v>257</v>
      </c>
      <c r="C268" s="1">
        <f t="shared" ref="C268:I268" si="864">C$5+(C$6-C$5)*(POWER(C$7,$B268-1)-1)/(POWER(C$7,$B$3-1)-1)</f>
        <v>20305.4572118883</v>
      </c>
      <c r="D268" s="1">
        <f t="shared" si="864"/>
        <v>6091.63716356648</v>
      </c>
      <c r="E268" s="1">
        <f t="shared" si="864"/>
        <v>4061.09144237765</v>
      </c>
      <c r="F268" s="1">
        <f t="shared" si="864"/>
        <v>51406.2207895905</v>
      </c>
      <c r="G268" s="1">
        <f t="shared" si="864"/>
        <v>15421.8662368772</v>
      </c>
      <c r="H268" s="1">
        <f t="shared" si="864"/>
        <v>10281.2441579181</v>
      </c>
      <c r="I268" s="1">
        <f t="shared" si="864"/>
        <v>0</v>
      </c>
      <c r="J268" s="1">
        <f>标准模型!$I$65/1*$B268/$B$3</f>
        <v>1.8504</v>
      </c>
      <c r="K268" s="1">
        <f>J268*标准模型!$J$63</f>
        <v>1.8504</v>
      </c>
      <c r="L268" s="1">
        <f t="shared" ref="L268:L331" si="865">C268*(1+I268)+F268</f>
        <v>71711.6780014788</v>
      </c>
      <c r="M268" s="1">
        <f t="shared" ref="M268:M331" si="866">D268*(1+J268)+G268</f>
        <v>32785.468807907</v>
      </c>
      <c r="N268" s="1">
        <f t="shared" ref="N268:N331" si="867">E268*(1+K268)+H268</f>
        <v>21856.9792052714</v>
      </c>
      <c r="O268" s="1">
        <f t="shared" ref="O268:W268" si="868">O$5+(O$6-O$5)*(POWER(O$7,$B268-1)-1)/(POWER(O$7,$B$3-1)-1)</f>
        <v>0.756544192332618</v>
      </c>
      <c r="P268" s="1">
        <f t="shared" si="868"/>
        <v>0.168148675906241</v>
      </c>
      <c r="Q268" s="1">
        <f t="shared" si="868"/>
        <v>0.41609930578294</v>
      </c>
      <c r="R268" s="1">
        <f t="shared" si="868"/>
        <v>1.10261767693305</v>
      </c>
      <c r="S268" s="1">
        <f t="shared" si="868"/>
        <v>0.383507450032403</v>
      </c>
      <c r="T268" s="1">
        <f t="shared" si="868"/>
        <v>3.00052235009721</v>
      </c>
      <c r="U268" s="1">
        <f t="shared" si="868"/>
        <v>1</v>
      </c>
      <c r="V268" s="1">
        <f t="shared" si="868"/>
        <v>1.27978665762087</v>
      </c>
      <c r="W268" s="1">
        <f t="shared" si="868"/>
        <v>1.82094141546438</v>
      </c>
      <c r="X268" s="1">
        <f t="shared" ref="X268:X331" si="869">(1+S268*(T268-1))*U268*W268*(O268+P268)*R268</f>
        <v>3.28101243928845</v>
      </c>
      <c r="Y268" s="1">
        <f t="shared" ref="Y268:Y331" si="870">(1+S268*(T268-1))*(O268+P268+Q268)*U268*V268*W268*R268</f>
        <v>6.08848742419144</v>
      </c>
      <c r="Z268" s="1">
        <f t="shared" ref="Z268:Z331" si="871">Y268*L268</f>
        <v>436615.64967967</v>
      </c>
      <c r="AA268" s="1">
        <f t="shared" ref="AA268:AA331" si="872">M268</f>
        <v>32785.468807907</v>
      </c>
      <c r="AB268" s="1">
        <f t="shared" ref="AB268:AB331" si="873">N268</f>
        <v>21856.9792052714</v>
      </c>
      <c r="AC268" s="1">
        <f>AB268/(AB268+战斗公式!$M$27)</f>
        <v>0.476633646264228</v>
      </c>
      <c r="AD268" s="1">
        <f t="shared" ref="AD268:AD331" si="874">Z268/(1-AC268)</f>
        <v>834244.782002361</v>
      </c>
      <c r="AE268" s="1">
        <f t="shared" ref="AE268:AE331" si="875">AD268/AA268/X268</f>
        <v>7.75540038476066</v>
      </c>
      <c r="AF268" s="1">
        <f t="shared" ref="AF268:AF331" si="876">AD268/AA268/Y268</f>
        <v>4.17929172900301</v>
      </c>
      <c r="AG268" s="1">
        <f t="shared" ref="AG268:AG331" si="877">AG$5+(AG$6-AG$5)*(POWER(AG$7,$B268-1)-1)/(POWER(AG$7,$B$3-1)-1)</f>
        <v>4.49956030901821</v>
      </c>
      <c r="AH268" s="1">
        <f t="shared" ref="AH268:AH331" si="878">$AH$5+($AH$6-$AH$5)*(POWER($AH$7,$B268-1)-1)/(POWER($AH$7,$B$3-1)-1)</f>
        <v>1.08095234101015</v>
      </c>
      <c r="AI268" s="1">
        <f t="shared" ref="AI268:AI331" si="879">$AI$5+($AI$6-$AI$5)*(POWER($AI$7,$B268-1)-1)/(POWER($AI$7,$B$3-1)-1)</f>
        <v>1.00000228002242</v>
      </c>
      <c r="AJ268" s="1">
        <f t="shared" ref="AJ268:AJ331" si="880">$AJ$5+($AJ$6-$AJ$5)*(POWER($AJ$7,$B268-1)-1)/(POWER($AJ$7,$B$3-1)-1)</f>
        <v>1.00450575380355</v>
      </c>
      <c r="AK268" s="1">
        <f t="shared" ref="AK268:AK331" si="881">$AK$5+($AK$6-$AK$5)*(POWER($AK$7,$B268-1)-1)/(POWER($AK$7,$B$3-1)-1)</f>
        <v>1</v>
      </c>
      <c r="AL268" s="10">
        <f t="shared" ref="AL268:AL331" si="882">ROUND(Z268/AF268*AG268,0)</f>
        <v>470074</v>
      </c>
      <c r="AM268" s="10">
        <f t="shared" ref="AM268:AM331" si="883">ROUND(AA268*AH268,0)</f>
        <v>35440</v>
      </c>
      <c r="AN268" s="10">
        <f t="shared" ref="AN268:AN331" si="884">ROUND(AB268,0)</f>
        <v>21857</v>
      </c>
      <c r="AO268" s="1">
        <f t="shared" ref="AO268:AO331" si="885">ROUND(Z268/$AE268*AG268*AJ268,0)</f>
        <v>254459</v>
      </c>
      <c r="AP268" s="1">
        <f t="shared" ref="AP268:AP331" si="886">ROUND(AM268*AK268,0)</f>
        <v>35440</v>
      </c>
      <c r="AR268" s="1">
        <f t="shared" ref="AR268:AX268" si="887">ROUNDUP(AR$10*$AO268,0)</f>
        <v>254459</v>
      </c>
      <c r="AS268" s="1">
        <f t="shared" si="887"/>
        <v>763377</v>
      </c>
      <c r="AT268" s="1">
        <f t="shared" si="887"/>
        <v>458027</v>
      </c>
      <c r="AU268" s="1">
        <f t="shared" si="887"/>
        <v>127230</v>
      </c>
      <c r="AV268" s="1">
        <f t="shared" si="887"/>
        <v>38169</v>
      </c>
      <c r="AW268" s="1">
        <f t="shared" si="887"/>
        <v>1017836</v>
      </c>
      <c r="AX268" s="1">
        <f t="shared" si="887"/>
        <v>2290131</v>
      </c>
      <c r="AY268" s="1">
        <f t="shared" ref="AY268:AY331" si="888">ROUND(AL268*$AY$10*AI268,0)</f>
        <v>28204504</v>
      </c>
      <c r="AZ268" s="1">
        <f t="shared" ref="AZ268:AZ331" si="889">ROUND(AL268*$AZ$10*AI268,0)</f>
        <v>14102252</v>
      </c>
      <c r="BB268" s="1">
        <f t="shared" ref="BB268:BB331" si="890">B268</f>
        <v>257</v>
      </c>
    </row>
    <row r="269" spans="2:54">
      <c r="B269" s="4">
        <v>258</v>
      </c>
      <c r="C269" s="1">
        <f t="shared" ref="C269:I269" si="891">C$5+(C$6-C$5)*(POWER(C$7,$B269-1)-1)/(POWER(C$7,$B$3-1)-1)</f>
        <v>20384.4566580706</v>
      </c>
      <c r="D269" s="1">
        <f t="shared" si="891"/>
        <v>6115.33699742119</v>
      </c>
      <c r="E269" s="1">
        <f t="shared" si="891"/>
        <v>4076.89133161413</v>
      </c>
      <c r="F269" s="1">
        <f t="shared" si="891"/>
        <v>51606.2193875206</v>
      </c>
      <c r="G269" s="1">
        <f t="shared" si="891"/>
        <v>15481.8658162562</v>
      </c>
      <c r="H269" s="1">
        <f t="shared" si="891"/>
        <v>10321.2438775041</v>
      </c>
      <c r="I269" s="1">
        <f t="shared" si="891"/>
        <v>0</v>
      </c>
      <c r="J269" s="1">
        <f>标准模型!$I$65/1*$B269/$B$3</f>
        <v>1.8576</v>
      </c>
      <c r="K269" s="1">
        <f>J269*标准模型!$J$63</f>
        <v>1.8576</v>
      </c>
      <c r="L269" s="1">
        <f t="shared" si="865"/>
        <v>71990.6760455912</v>
      </c>
      <c r="M269" s="1">
        <f t="shared" si="866"/>
        <v>32957.052820087</v>
      </c>
      <c r="N269" s="1">
        <f t="shared" si="867"/>
        <v>21971.3685467247</v>
      </c>
      <c r="O269" s="1">
        <f t="shared" ref="O269:W269" si="892">O$5+(O$6-O$5)*(POWER(O$7,$B269-1)-1)/(POWER(O$7,$B$3-1)-1)</f>
        <v>0.757546189316236</v>
      </c>
      <c r="P269" s="1">
        <f t="shared" si="892"/>
        <v>0.16894015604563</v>
      </c>
      <c r="Q269" s="1">
        <f t="shared" si="892"/>
        <v>0.41665040412393</v>
      </c>
      <c r="R269" s="1">
        <f t="shared" si="892"/>
        <v>1.10301847572649</v>
      </c>
      <c r="S269" s="1">
        <f t="shared" si="892"/>
        <v>0.384810046111106</v>
      </c>
      <c r="T269" s="1">
        <f t="shared" si="892"/>
        <v>3.00443013833332</v>
      </c>
      <c r="U269" s="1">
        <f t="shared" si="892"/>
        <v>1</v>
      </c>
      <c r="V269" s="1">
        <f t="shared" si="892"/>
        <v>1.28087943381839</v>
      </c>
      <c r="W269" s="1">
        <f t="shared" si="892"/>
        <v>1.82414780581195</v>
      </c>
      <c r="X269" s="1">
        <f t="shared" si="869"/>
        <v>3.30202267736249</v>
      </c>
      <c r="Y269" s="1">
        <f t="shared" si="870"/>
        <v>6.13153925516466</v>
      </c>
      <c r="Z269" s="1">
        <f t="shared" si="871"/>
        <v>441413.656179385</v>
      </c>
      <c r="AA269" s="1">
        <f t="shared" si="872"/>
        <v>32957.052820087</v>
      </c>
      <c r="AB269" s="1">
        <f t="shared" si="873"/>
        <v>21971.3685467247</v>
      </c>
      <c r="AC269" s="1">
        <f>AB269/(AB269+战斗公式!$M$27)</f>
        <v>0.477935924931042</v>
      </c>
      <c r="AD269" s="1">
        <f t="shared" si="874"/>
        <v>845516.244574155</v>
      </c>
      <c r="AE269" s="1">
        <f t="shared" si="875"/>
        <v>7.76950832480422</v>
      </c>
      <c r="AF269" s="1">
        <f t="shared" si="876"/>
        <v>4.18411945399365</v>
      </c>
      <c r="AG269" s="1">
        <f t="shared" si="877"/>
        <v>4.50403126093163</v>
      </c>
      <c r="AH269" s="1">
        <f t="shared" si="878"/>
        <v>1.08485322423414</v>
      </c>
      <c r="AI269" s="1">
        <f t="shared" si="879"/>
        <v>1.00000216602086</v>
      </c>
      <c r="AJ269" s="1">
        <f t="shared" si="880"/>
        <v>1.0044149689201</v>
      </c>
      <c r="AK269" s="1">
        <f t="shared" si="881"/>
        <v>1</v>
      </c>
      <c r="AL269" s="10">
        <f t="shared" si="882"/>
        <v>475164</v>
      </c>
      <c r="AM269" s="10">
        <f t="shared" si="883"/>
        <v>35754</v>
      </c>
      <c r="AN269" s="10">
        <f t="shared" si="884"/>
        <v>21971</v>
      </c>
      <c r="AO269" s="1">
        <f t="shared" si="885"/>
        <v>257020</v>
      </c>
      <c r="AP269" s="1">
        <f t="shared" si="886"/>
        <v>35754</v>
      </c>
      <c r="AR269" s="1">
        <f t="shared" ref="AR269:AX269" si="893">ROUNDUP(AR$10*$AO269,0)</f>
        <v>257020</v>
      </c>
      <c r="AS269" s="1">
        <f t="shared" si="893"/>
        <v>771060</v>
      </c>
      <c r="AT269" s="1">
        <f t="shared" si="893"/>
        <v>462636</v>
      </c>
      <c r="AU269" s="1">
        <f t="shared" si="893"/>
        <v>128510</v>
      </c>
      <c r="AV269" s="1">
        <f t="shared" si="893"/>
        <v>38553</v>
      </c>
      <c r="AW269" s="1">
        <f t="shared" si="893"/>
        <v>1028080</v>
      </c>
      <c r="AX269" s="1">
        <f t="shared" si="893"/>
        <v>2313180</v>
      </c>
      <c r="AY269" s="1">
        <f t="shared" si="888"/>
        <v>28509902</v>
      </c>
      <c r="AZ269" s="1">
        <f t="shared" si="889"/>
        <v>14254951</v>
      </c>
      <c r="BB269" s="1">
        <f t="shared" si="890"/>
        <v>258</v>
      </c>
    </row>
    <row r="270" spans="2:54">
      <c r="B270" s="4">
        <v>259</v>
      </c>
      <c r="C270" s="1">
        <f t="shared" ref="C270:I270" si="894">C$5+(C$6-C$5)*(POWER(C$7,$B270-1)-1)/(POWER(C$7,$B$3-1)-1)</f>
        <v>20463.4560252526</v>
      </c>
      <c r="D270" s="1">
        <f t="shared" si="894"/>
        <v>6139.03680757579</v>
      </c>
      <c r="E270" s="1">
        <f t="shared" si="894"/>
        <v>4092.69120505053</v>
      </c>
      <c r="F270" s="1">
        <f t="shared" si="894"/>
        <v>51806.2177854497</v>
      </c>
      <c r="G270" s="1">
        <f t="shared" si="894"/>
        <v>15541.8653356349</v>
      </c>
      <c r="H270" s="1">
        <f t="shared" si="894"/>
        <v>10361.2435570899</v>
      </c>
      <c r="I270" s="1">
        <f t="shared" si="894"/>
        <v>0</v>
      </c>
      <c r="J270" s="1">
        <f>标准模型!$I$65/1*$B270/$B$3</f>
        <v>1.8648</v>
      </c>
      <c r="K270" s="1">
        <f>J270*标准模型!$J$63</f>
        <v>1.8648</v>
      </c>
      <c r="L270" s="1">
        <f t="shared" si="865"/>
        <v>72269.6738107023</v>
      </c>
      <c r="M270" s="1">
        <f t="shared" si="866"/>
        <v>33128.977981978</v>
      </c>
      <c r="N270" s="1">
        <f t="shared" si="867"/>
        <v>22085.9853213187</v>
      </c>
      <c r="O270" s="1">
        <f t="shared" ref="O270:W270" si="895">O$5+(O$6-O$5)*(POWER(O$7,$B270-1)-1)/(POWER(O$7,$B$3-1)-1)</f>
        <v>0.758548185297844</v>
      </c>
      <c r="P270" s="1">
        <f t="shared" si="895"/>
        <v>0.169732823405228</v>
      </c>
      <c r="Q270" s="1">
        <f t="shared" si="895"/>
        <v>0.417201501913814</v>
      </c>
      <c r="R270" s="1">
        <f t="shared" si="895"/>
        <v>1.10341927411914</v>
      </c>
      <c r="S270" s="1">
        <f t="shared" si="895"/>
        <v>0.386112640887197</v>
      </c>
      <c r="T270" s="1">
        <f t="shared" si="895"/>
        <v>3.00833792266159</v>
      </c>
      <c r="U270" s="1">
        <f t="shared" si="895"/>
        <v>1</v>
      </c>
      <c r="V270" s="1">
        <f t="shared" si="895"/>
        <v>1.28197220892312</v>
      </c>
      <c r="W270" s="1">
        <f t="shared" si="895"/>
        <v>1.8273541929531</v>
      </c>
      <c r="X270" s="1">
        <f t="shared" si="869"/>
        <v>3.32314969636714</v>
      </c>
      <c r="Y270" s="1">
        <f t="shared" si="870"/>
        <v>6.17485988075003</v>
      </c>
      <c r="Z270" s="1">
        <f t="shared" si="871"/>
        <v>446255.109408597</v>
      </c>
      <c r="AA270" s="1">
        <f t="shared" si="872"/>
        <v>33128.977981978</v>
      </c>
      <c r="AB270" s="1">
        <f t="shared" si="873"/>
        <v>22085.9853213187</v>
      </c>
      <c r="AC270" s="1">
        <f>AB270/(AB270+战斗公式!$M$27)</f>
        <v>0.479234308810623</v>
      </c>
      <c r="AD270" s="1">
        <f t="shared" si="874"/>
        <v>856921.100907002</v>
      </c>
      <c r="AE270" s="1">
        <f t="shared" si="875"/>
        <v>7.78364273157728</v>
      </c>
      <c r="AF270" s="1">
        <f t="shared" si="876"/>
        <v>4.18895496895542</v>
      </c>
      <c r="AG270" s="1">
        <f t="shared" si="877"/>
        <v>4.50846868070569</v>
      </c>
      <c r="AH270" s="1">
        <f t="shared" si="878"/>
        <v>1.08876190922458</v>
      </c>
      <c r="AI270" s="1">
        <f t="shared" si="879"/>
        <v>1.00000205771937</v>
      </c>
      <c r="AJ270" s="1">
        <f t="shared" si="880"/>
        <v>1.00432599973431</v>
      </c>
      <c r="AK270" s="1">
        <f t="shared" si="881"/>
        <v>1</v>
      </c>
      <c r="AL270" s="10">
        <f t="shared" si="882"/>
        <v>480293</v>
      </c>
      <c r="AM270" s="10">
        <f t="shared" si="883"/>
        <v>36070</v>
      </c>
      <c r="AN270" s="10">
        <f t="shared" si="884"/>
        <v>22086</v>
      </c>
      <c r="AO270" s="1">
        <f t="shared" si="885"/>
        <v>259600</v>
      </c>
      <c r="AP270" s="1">
        <f t="shared" si="886"/>
        <v>36070</v>
      </c>
      <c r="AR270" s="1">
        <f t="shared" ref="AR270:AX270" si="896">ROUNDUP(AR$10*$AO270,0)</f>
        <v>259600</v>
      </c>
      <c r="AS270" s="1">
        <f t="shared" si="896"/>
        <v>778800</v>
      </c>
      <c r="AT270" s="1">
        <f t="shared" si="896"/>
        <v>467280</v>
      </c>
      <c r="AU270" s="1">
        <f t="shared" si="896"/>
        <v>129800</v>
      </c>
      <c r="AV270" s="1">
        <f t="shared" si="896"/>
        <v>38940</v>
      </c>
      <c r="AW270" s="1">
        <f t="shared" si="896"/>
        <v>1038400</v>
      </c>
      <c r="AX270" s="1">
        <f t="shared" si="896"/>
        <v>2336400</v>
      </c>
      <c r="AY270" s="1">
        <f t="shared" si="888"/>
        <v>28817639</v>
      </c>
      <c r="AZ270" s="1">
        <f t="shared" si="889"/>
        <v>14408820</v>
      </c>
      <c r="BB270" s="1">
        <f t="shared" si="890"/>
        <v>259</v>
      </c>
    </row>
    <row r="271" spans="2:54">
      <c r="B271" s="4">
        <v>260</v>
      </c>
      <c r="C271" s="1">
        <f t="shared" ref="C271:I271" si="897">C$5+(C$6-C$5)*(POWER(C$7,$B271-1)-1)/(POWER(C$7,$B$3-1)-1)</f>
        <v>20542.455313443</v>
      </c>
      <c r="D271" s="1">
        <f t="shared" si="897"/>
        <v>6162.73659403291</v>
      </c>
      <c r="E271" s="1">
        <f t="shared" si="897"/>
        <v>4108.49106268861</v>
      </c>
      <c r="F271" s="1">
        <f t="shared" si="897"/>
        <v>52006.2159834001</v>
      </c>
      <c r="G271" s="1">
        <f t="shared" si="897"/>
        <v>15601.86479502</v>
      </c>
      <c r="H271" s="1">
        <f t="shared" si="897"/>
        <v>10401.24319668</v>
      </c>
      <c r="I271" s="1">
        <f t="shared" si="897"/>
        <v>0</v>
      </c>
      <c r="J271" s="1">
        <f>标准模型!$I$65/1*$B271/$B$3</f>
        <v>1.872</v>
      </c>
      <c r="K271" s="1">
        <f>J271*标准模型!$J$63</f>
        <v>1.872</v>
      </c>
      <c r="L271" s="1">
        <f t="shared" si="865"/>
        <v>72548.6712968431</v>
      </c>
      <c r="M271" s="1">
        <f t="shared" si="866"/>
        <v>33301.2442930825</v>
      </c>
      <c r="N271" s="1">
        <f t="shared" si="867"/>
        <v>22200.8295287217</v>
      </c>
      <c r="O271" s="1">
        <f t="shared" ref="O271:W271" si="898">O$5+(O$6-O$5)*(POWER(O$7,$B271-1)-1)/(POWER(O$7,$B$3-1)-1)</f>
        <v>0.759550180277555</v>
      </c>
      <c r="P271" s="1">
        <f t="shared" si="898"/>
        <v>0.170526679765866</v>
      </c>
      <c r="Q271" s="1">
        <f t="shared" si="898"/>
        <v>0.417752599152656</v>
      </c>
      <c r="R271" s="1">
        <f t="shared" si="898"/>
        <v>1.10382007211102</v>
      </c>
      <c r="S271" s="1">
        <f t="shared" si="898"/>
        <v>0.387415234360822</v>
      </c>
      <c r="T271" s="1">
        <f t="shared" si="898"/>
        <v>3.01224570308247</v>
      </c>
      <c r="U271" s="1">
        <f t="shared" si="898"/>
        <v>1</v>
      </c>
      <c r="V271" s="1">
        <f t="shared" si="898"/>
        <v>1.28306498293518</v>
      </c>
      <c r="W271" s="1">
        <f t="shared" si="898"/>
        <v>1.83056057688818</v>
      </c>
      <c r="X271" s="1">
        <f t="shared" si="869"/>
        <v>3.34439403363232</v>
      </c>
      <c r="Y271" s="1">
        <f t="shared" si="870"/>
        <v>6.2184507268644</v>
      </c>
      <c r="Z271" s="1">
        <f t="shared" si="871"/>
        <v>451140.337758901</v>
      </c>
      <c r="AA271" s="1">
        <f t="shared" si="872"/>
        <v>33301.2442930825</v>
      </c>
      <c r="AB271" s="1">
        <f t="shared" si="873"/>
        <v>22200.8295287217</v>
      </c>
      <c r="AC271" s="1">
        <f>AB271/(AB271+战斗公式!$M$27)</f>
        <v>0.480528807711561</v>
      </c>
      <c r="AD271" s="1">
        <f t="shared" si="874"/>
        <v>868460.743263705</v>
      </c>
      <c r="AE271" s="1">
        <f t="shared" si="875"/>
        <v>7.79780356874892</v>
      </c>
      <c r="AF271" s="1">
        <f t="shared" si="876"/>
        <v>4.19379824271933</v>
      </c>
      <c r="AG271" s="1">
        <f t="shared" si="877"/>
        <v>4.51287281983145</v>
      </c>
      <c r="AH271" s="1">
        <f t="shared" si="878"/>
        <v>1.092678411585</v>
      </c>
      <c r="AI271" s="1">
        <f t="shared" si="879"/>
        <v>1.00000195483296</v>
      </c>
      <c r="AJ271" s="1">
        <f t="shared" si="880"/>
        <v>1.00423880993223</v>
      </c>
      <c r="AK271" s="1">
        <f t="shared" si="881"/>
        <v>1</v>
      </c>
      <c r="AL271" s="10">
        <f t="shared" si="882"/>
        <v>485464</v>
      </c>
      <c r="AM271" s="10">
        <f t="shared" si="883"/>
        <v>36388</v>
      </c>
      <c r="AN271" s="10">
        <f t="shared" si="884"/>
        <v>22201</v>
      </c>
      <c r="AO271" s="1">
        <f t="shared" si="885"/>
        <v>262198</v>
      </c>
      <c r="AP271" s="1">
        <f t="shared" si="886"/>
        <v>36388</v>
      </c>
      <c r="AR271" s="1">
        <f t="shared" ref="AR271:AX271" si="899">ROUNDUP(AR$10*$AO271,0)</f>
        <v>262198</v>
      </c>
      <c r="AS271" s="1">
        <f t="shared" si="899"/>
        <v>786594</v>
      </c>
      <c r="AT271" s="1">
        <f t="shared" si="899"/>
        <v>471957</v>
      </c>
      <c r="AU271" s="1">
        <f t="shared" si="899"/>
        <v>131099</v>
      </c>
      <c r="AV271" s="1">
        <f t="shared" si="899"/>
        <v>39330</v>
      </c>
      <c r="AW271" s="1">
        <f t="shared" si="899"/>
        <v>1048792</v>
      </c>
      <c r="AX271" s="1">
        <f t="shared" si="899"/>
        <v>2359782</v>
      </c>
      <c r="AY271" s="1">
        <f t="shared" si="888"/>
        <v>29127897</v>
      </c>
      <c r="AZ271" s="1">
        <f t="shared" si="889"/>
        <v>14563948</v>
      </c>
      <c r="BB271" s="1">
        <f t="shared" si="890"/>
        <v>260</v>
      </c>
    </row>
    <row r="272" spans="2:54">
      <c r="B272" s="4">
        <v>261</v>
      </c>
      <c r="C272" s="1">
        <f t="shared" ref="C272:I272" si="900">C$5+(C$6-C$5)*(POWER(C$7,$B272-1)-1)/(POWER(C$7,$B$3-1)-1)</f>
        <v>20621.4545226243</v>
      </c>
      <c r="D272" s="1">
        <f t="shared" si="900"/>
        <v>6186.43635678728</v>
      </c>
      <c r="E272" s="1">
        <f t="shared" si="900"/>
        <v>4124.29090452486</v>
      </c>
      <c r="F272" s="1">
        <f t="shared" si="900"/>
        <v>52206.2139813273</v>
      </c>
      <c r="G272" s="1">
        <f t="shared" si="900"/>
        <v>15661.8641943982</v>
      </c>
      <c r="H272" s="1">
        <f t="shared" si="900"/>
        <v>10441.2427962655</v>
      </c>
      <c r="I272" s="1">
        <f t="shared" si="900"/>
        <v>0</v>
      </c>
      <c r="J272" s="1">
        <f>标准模型!$I$65/1*$B272/$B$3</f>
        <v>1.8792</v>
      </c>
      <c r="K272" s="1">
        <f>J272*标准模型!$J$63</f>
        <v>1.8792</v>
      </c>
      <c r="L272" s="1">
        <f t="shared" si="865"/>
        <v>72827.6685039516</v>
      </c>
      <c r="M272" s="1">
        <f t="shared" si="866"/>
        <v>33473.8517528601</v>
      </c>
      <c r="N272" s="1">
        <f t="shared" si="867"/>
        <v>22315.9011685734</v>
      </c>
      <c r="O272" s="1">
        <f t="shared" ref="O272:W272" si="901">O$5+(O$6-O$5)*(POWER(O$7,$B272-1)-1)/(POWER(O$7,$B$3-1)-1)</f>
        <v>0.760552174255147</v>
      </c>
      <c r="P272" s="1">
        <f t="shared" si="901"/>
        <v>0.171321726911044</v>
      </c>
      <c r="Q272" s="1">
        <f t="shared" si="901"/>
        <v>0.418303695840331</v>
      </c>
      <c r="R272" s="1">
        <f t="shared" si="901"/>
        <v>1.10422086970206</v>
      </c>
      <c r="S272" s="1">
        <f t="shared" si="901"/>
        <v>0.388717826531691</v>
      </c>
      <c r="T272" s="1">
        <f t="shared" si="901"/>
        <v>3.01615347959507</v>
      </c>
      <c r="U272" s="1">
        <f t="shared" si="901"/>
        <v>1</v>
      </c>
      <c r="V272" s="1">
        <f t="shared" si="901"/>
        <v>1.28415775585433</v>
      </c>
      <c r="W272" s="1">
        <f t="shared" si="901"/>
        <v>1.83376695761647</v>
      </c>
      <c r="X272" s="1">
        <f t="shared" si="869"/>
        <v>3.36575622834305</v>
      </c>
      <c r="Y272" s="1">
        <f t="shared" si="870"/>
        <v>6.26231322542137</v>
      </c>
      <c r="Z272" s="1">
        <f t="shared" si="871"/>
        <v>456069.671648899</v>
      </c>
      <c r="AA272" s="1">
        <f t="shared" si="872"/>
        <v>33473.8517528601</v>
      </c>
      <c r="AB272" s="1">
        <f t="shared" si="873"/>
        <v>22315.9011685734</v>
      </c>
      <c r="AC272" s="1">
        <f>AB272/(AB272+战斗公式!$M$27)</f>
        <v>0.481819431459435</v>
      </c>
      <c r="AD272" s="1">
        <f t="shared" si="874"/>
        <v>880136.576586423</v>
      </c>
      <c r="AE272" s="1">
        <f t="shared" si="875"/>
        <v>7.81199080014845</v>
      </c>
      <c r="AF272" s="1">
        <f t="shared" si="876"/>
        <v>4.19864924427971</v>
      </c>
      <c r="AG272" s="1">
        <f t="shared" si="877"/>
        <v>4.51724392791377</v>
      </c>
      <c r="AH272" s="1">
        <f t="shared" si="878"/>
        <v>1.09660274695014</v>
      </c>
      <c r="AI272" s="1">
        <f t="shared" si="879"/>
        <v>1.00000185709088</v>
      </c>
      <c r="AJ272" s="1">
        <f t="shared" si="880"/>
        <v>1.0041533639262</v>
      </c>
      <c r="AK272" s="1">
        <f t="shared" si="881"/>
        <v>1</v>
      </c>
      <c r="AL272" s="10">
        <f t="shared" si="882"/>
        <v>490676</v>
      </c>
      <c r="AM272" s="10">
        <f t="shared" si="883"/>
        <v>36708</v>
      </c>
      <c r="AN272" s="10">
        <f t="shared" si="884"/>
        <v>22316</v>
      </c>
      <c r="AO272" s="1">
        <f t="shared" si="885"/>
        <v>264815</v>
      </c>
      <c r="AP272" s="1">
        <f t="shared" si="886"/>
        <v>36708</v>
      </c>
      <c r="AR272" s="1">
        <f t="shared" ref="AR272:AX272" si="902">ROUNDUP(AR$10*$AO272,0)</f>
        <v>264815</v>
      </c>
      <c r="AS272" s="1">
        <f t="shared" si="902"/>
        <v>794445</v>
      </c>
      <c r="AT272" s="1">
        <f t="shared" si="902"/>
        <v>476667</v>
      </c>
      <c r="AU272" s="1">
        <f t="shared" si="902"/>
        <v>132408</v>
      </c>
      <c r="AV272" s="1">
        <f t="shared" si="902"/>
        <v>39723</v>
      </c>
      <c r="AW272" s="1">
        <f t="shared" si="902"/>
        <v>1059260</v>
      </c>
      <c r="AX272" s="1">
        <f t="shared" si="902"/>
        <v>2383335</v>
      </c>
      <c r="AY272" s="1">
        <f t="shared" si="888"/>
        <v>29440615</v>
      </c>
      <c r="AZ272" s="1">
        <f t="shared" si="889"/>
        <v>14720307</v>
      </c>
      <c r="BB272" s="1">
        <f t="shared" si="890"/>
        <v>261</v>
      </c>
    </row>
    <row r="273" spans="2:54">
      <c r="B273" s="4">
        <v>262</v>
      </c>
      <c r="C273" s="1">
        <f t="shared" ref="C273:I273" si="903">C$5+(C$6-C$5)*(POWER(C$7,$B273-1)-1)/(POWER(C$7,$B$3-1)-1)</f>
        <v>20700.4536528051</v>
      </c>
      <c r="D273" s="1">
        <f t="shared" si="903"/>
        <v>6210.13609584154</v>
      </c>
      <c r="E273" s="1">
        <f t="shared" si="903"/>
        <v>4140.09073056103</v>
      </c>
      <c r="F273" s="1">
        <f t="shared" si="903"/>
        <v>52406.2117792535</v>
      </c>
      <c r="G273" s="1">
        <f t="shared" si="903"/>
        <v>15721.8635337761</v>
      </c>
      <c r="H273" s="1">
        <f t="shared" si="903"/>
        <v>10481.2423558507</v>
      </c>
      <c r="I273" s="1">
        <f t="shared" si="903"/>
        <v>0</v>
      </c>
      <c r="J273" s="1">
        <f>标准模型!$I$65/1*$B273/$B$3</f>
        <v>1.8864</v>
      </c>
      <c r="K273" s="1">
        <f>J273*标准模型!$J$63</f>
        <v>1.8864</v>
      </c>
      <c r="L273" s="1">
        <f t="shared" si="865"/>
        <v>73106.6654320586</v>
      </c>
      <c r="M273" s="1">
        <f t="shared" si="866"/>
        <v>33646.8003608131</v>
      </c>
      <c r="N273" s="1">
        <f t="shared" si="867"/>
        <v>22431.2002405421</v>
      </c>
      <c r="O273" s="1">
        <f t="shared" ref="O273:W273" si="904">O$5+(O$6-O$5)*(POWER(O$7,$B273-1)-1)/(POWER(O$7,$B$3-1)-1)</f>
        <v>0.761554167230729</v>
      </c>
      <c r="P273" s="1">
        <f t="shared" si="904"/>
        <v>0.17211796662694</v>
      </c>
      <c r="Q273" s="1">
        <f t="shared" si="904"/>
        <v>0.418854791976901</v>
      </c>
      <c r="R273" s="1">
        <f t="shared" si="904"/>
        <v>1.10462166689229</v>
      </c>
      <c r="S273" s="1">
        <f t="shared" si="904"/>
        <v>0.390020417399948</v>
      </c>
      <c r="T273" s="1">
        <f t="shared" si="904"/>
        <v>3.02006125219984</v>
      </c>
      <c r="U273" s="1">
        <f t="shared" si="904"/>
        <v>1</v>
      </c>
      <c r="V273" s="1">
        <f t="shared" si="904"/>
        <v>1.28525052768069</v>
      </c>
      <c r="W273" s="1">
        <f t="shared" si="904"/>
        <v>1.83697333513833</v>
      </c>
      <c r="X273" s="1">
        <f t="shared" si="869"/>
        <v>3.38723682155643</v>
      </c>
      <c r="Y273" s="1">
        <f t="shared" si="870"/>
        <v>6.30644881437706</v>
      </c>
      <c r="Z273" s="1">
        <f t="shared" si="871"/>
        <v>461043.443537066</v>
      </c>
      <c r="AA273" s="1">
        <f t="shared" si="872"/>
        <v>33646.8003608131</v>
      </c>
      <c r="AB273" s="1">
        <f t="shared" si="873"/>
        <v>22431.2002405421</v>
      </c>
      <c r="AC273" s="1">
        <f>AB273/(AB273+战斗公式!$M$27)</f>
        <v>0.483106189896766</v>
      </c>
      <c r="AD273" s="1">
        <f t="shared" si="874"/>
        <v>891950.018602441</v>
      </c>
      <c r="AE273" s="1">
        <f t="shared" si="875"/>
        <v>7.82620438977865</v>
      </c>
      <c r="AF273" s="1">
        <f t="shared" si="876"/>
        <v>4.20350794279829</v>
      </c>
      <c r="AG273" s="1">
        <f t="shared" si="877"/>
        <v>4.52158225268547</v>
      </c>
      <c r="AH273" s="1">
        <f t="shared" si="878"/>
        <v>1.10053493098601</v>
      </c>
      <c r="AI273" s="1">
        <f t="shared" si="879"/>
        <v>1.00000176423589</v>
      </c>
      <c r="AJ273" s="1">
        <f t="shared" si="880"/>
        <v>1.00406962684029</v>
      </c>
      <c r="AK273" s="1">
        <f t="shared" si="881"/>
        <v>1</v>
      </c>
      <c r="AL273" s="10">
        <f t="shared" si="882"/>
        <v>495930</v>
      </c>
      <c r="AM273" s="10">
        <f t="shared" si="883"/>
        <v>37029</v>
      </c>
      <c r="AN273" s="10">
        <f t="shared" si="884"/>
        <v>22431</v>
      </c>
      <c r="AO273" s="1">
        <f t="shared" si="885"/>
        <v>267451</v>
      </c>
      <c r="AP273" s="1">
        <f t="shared" si="886"/>
        <v>37029</v>
      </c>
      <c r="AR273" s="1">
        <f t="shared" ref="AR273:AX273" si="905">ROUNDUP(AR$10*$AO273,0)</f>
        <v>267451</v>
      </c>
      <c r="AS273" s="1">
        <f t="shared" si="905"/>
        <v>802353</v>
      </c>
      <c r="AT273" s="1">
        <f t="shared" si="905"/>
        <v>481412</v>
      </c>
      <c r="AU273" s="1">
        <f t="shared" si="905"/>
        <v>133726</v>
      </c>
      <c r="AV273" s="1">
        <f t="shared" si="905"/>
        <v>40118</v>
      </c>
      <c r="AW273" s="1">
        <f t="shared" si="905"/>
        <v>1069804</v>
      </c>
      <c r="AX273" s="1">
        <f t="shared" si="905"/>
        <v>2407059</v>
      </c>
      <c r="AY273" s="1">
        <f t="shared" si="888"/>
        <v>29755852</v>
      </c>
      <c r="AZ273" s="1">
        <f t="shared" si="889"/>
        <v>14877926</v>
      </c>
      <c r="BB273" s="1">
        <f t="shared" si="890"/>
        <v>262</v>
      </c>
    </row>
    <row r="274" spans="2:54">
      <c r="B274" s="4">
        <v>263</v>
      </c>
      <c r="C274" s="1">
        <f t="shared" ref="C274:I274" si="906">C$5+(C$6-C$5)*(POWER(C$7,$B274-1)-1)/(POWER(C$7,$B$3-1)-1)</f>
        <v>20779.4527039944</v>
      </c>
      <c r="D274" s="1">
        <f t="shared" si="906"/>
        <v>6233.83581119832</v>
      </c>
      <c r="E274" s="1">
        <f t="shared" si="906"/>
        <v>4155.89054079888</v>
      </c>
      <c r="F274" s="1">
        <f t="shared" si="906"/>
        <v>52606.209377201</v>
      </c>
      <c r="G274" s="1">
        <f t="shared" si="906"/>
        <v>15781.8628131603</v>
      </c>
      <c r="H274" s="1">
        <f t="shared" si="906"/>
        <v>10521.2418754402</v>
      </c>
      <c r="I274" s="1">
        <f t="shared" si="906"/>
        <v>0</v>
      </c>
      <c r="J274" s="1">
        <f>标准模型!$I$65/1*$B274/$B$3</f>
        <v>1.8936</v>
      </c>
      <c r="K274" s="1">
        <f>J274*标准模型!$J$63</f>
        <v>1.8936</v>
      </c>
      <c r="L274" s="1">
        <f t="shared" si="865"/>
        <v>73385.6620811954</v>
      </c>
      <c r="M274" s="1">
        <f t="shared" si="866"/>
        <v>33820.0901164438</v>
      </c>
      <c r="N274" s="1">
        <f t="shared" si="867"/>
        <v>22546.7267442958</v>
      </c>
      <c r="O274" s="1">
        <f t="shared" ref="O274:W274" si="907">O$5+(O$6-O$5)*(POWER(O$7,$B274-1)-1)/(POWER(O$7,$B$3-1)-1)</f>
        <v>0.762556159204414</v>
      </c>
      <c r="P274" s="1">
        <f t="shared" si="907"/>
        <v>0.17291540070241</v>
      </c>
      <c r="Q274" s="1">
        <f t="shared" si="907"/>
        <v>0.419405887562428</v>
      </c>
      <c r="R274" s="1">
        <f t="shared" si="907"/>
        <v>1.10502246368177</v>
      </c>
      <c r="S274" s="1">
        <f t="shared" si="907"/>
        <v>0.391323006965738</v>
      </c>
      <c r="T274" s="1">
        <f t="shared" si="907"/>
        <v>3.02396902089721</v>
      </c>
      <c r="U274" s="1">
        <f t="shared" si="907"/>
        <v>1</v>
      </c>
      <c r="V274" s="1">
        <f t="shared" si="907"/>
        <v>1.28634329841439</v>
      </c>
      <c r="W274" s="1">
        <f t="shared" si="907"/>
        <v>1.84017970945412</v>
      </c>
      <c r="X274" s="1">
        <f t="shared" si="869"/>
        <v>3.40883635620013</v>
      </c>
      <c r="Y274" s="1">
        <f t="shared" si="870"/>
        <v>6.35085893773585</v>
      </c>
      <c r="Z274" s="1">
        <f t="shared" si="871"/>
        <v>466061.987930023</v>
      </c>
      <c r="AA274" s="1">
        <f t="shared" si="872"/>
        <v>33820.0901164438</v>
      </c>
      <c r="AB274" s="1">
        <f t="shared" si="873"/>
        <v>22546.7267442958</v>
      </c>
      <c r="AC274" s="1">
        <f>AB274/(AB274+战斗公式!$M$27)</f>
        <v>0.484389092882001</v>
      </c>
      <c r="AD274" s="1">
        <f t="shared" si="874"/>
        <v>903902.499920086</v>
      </c>
      <c r="AE274" s="1">
        <f t="shared" si="875"/>
        <v>7.84044430180726</v>
      </c>
      <c r="AF274" s="1">
        <f t="shared" si="876"/>
        <v>4.20837430760052</v>
      </c>
      <c r="AG274" s="1">
        <f t="shared" si="877"/>
        <v>4.52588804002138</v>
      </c>
      <c r="AH274" s="1">
        <f t="shared" si="878"/>
        <v>1.10447497938995</v>
      </c>
      <c r="AI274" s="1">
        <f t="shared" si="879"/>
        <v>1.00000167602366</v>
      </c>
      <c r="AJ274" s="1">
        <f t="shared" si="880"/>
        <v>1.00398756449609</v>
      </c>
      <c r="AK274" s="1">
        <f t="shared" si="881"/>
        <v>1</v>
      </c>
      <c r="AL274" s="10">
        <f t="shared" si="882"/>
        <v>501225</v>
      </c>
      <c r="AM274" s="10">
        <f t="shared" si="883"/>
        <v>37353</v>
      </c>
      <c r="AN274" s="10">
        <f t="shared" si="884"/>
        <v>22547</v>
      </c>
      <c r="AO274" s="1">
        <f t="shared" si="885"/>
        <v>270107</v>
      </c>
      <c r="AP274" s="1">
        <f t="shared" si="886"/>
        <v>37353</v>
      </c>
      <c r="AR274" s="1">
        <f t="shared" ref="AR274:AX274" si="908">ROUNDUP(AR$10*$AO274,0)</f>
        <v>270107</v>
      </c>
      <c r="AS274" s="1">
        <f t="shared" si="908"/>
        <v>810321</v>
      </c>
      <c r="AT274" s="1">
        <f t="shared" si="908"/>
        <v>486193</v>
      </c>
      <c r="AU274" s="1">
        <f t="shared" si="908"/>
        <v>135054</v>
      </c>
      <c r="AV274" s="1">
        <f t="shared" si="908"/>
        <v>40517</v>
      </c>
      <c r="AW274" s="1">
        <f t="shared" si="908"/>
        <v>1080428</v>
      </c>
      <c r="AX274" s="1">
        <f t="shared" si="908"/>
        <v>2430963</v>
      </c>
      <c r="AY274" s="1">
        <f t="shared" si="888"/>
        <v>30073550</v>
      </c>
      <c r="AZ274" s="1">
        <f t="shared" si="889"/>
        <v>15036775</v>
      </c>
      <c r="BB274" s="1">
        <f t="shared" si="890"/>
        <v>263</v>
      </c>
    </row>
    <row r="275" spans="2:54">
      <c r="B275" s="4">
        <v>264</v>
      </c>
      <c r="C275" s="1">
        <f t="shared" ref="C275:I275" si="909">C$5+(C$6-C$5)*(POWER(C$7,$B275-1)-1)/(POWER(C$7,$B$3-1)-1)</f>
        <v>20858.4516761833</v>
      </c>
      <c r="D275" s="1">
        <f t="shared" si="909"/>
        <v>6257.53550285498</v>
      </c>
      <c r="E275" s="1">
        <f t="shared" si="909"/>
        <v>4171.69033523666</v>
      </c>
      <c r="F275" s="1">
        <f t="shared" si="909"/>
        <v>52806.2067751475</v>
      </c>
      <c r="G275" s="1">
        <f t="shared" si="909"/>
        <v>15841.8620325443</v>
      </c>
      <c r="H275" s="1">
        <f t="shared" si="909"/>
        <v>10561.2413550295</v>
      </c>
      <c r="I275" s="1">
        <f t="shared" si="909"/>
        <v>0</v>
      </c>
      <c r="J275" s="1">
        <f>标准模型!$I$65/1*$B275/$B$3</f>
        <v>1.9008</v>
      </c>
      <c r="K275" s="1">
        <f>J275*标准模型!$J$63</f>
        <v>1.9008</v>
      </c>
      <c r="L275" s="1">
        <f t="shared" si="865"/>
        <v>73664.6584513308</v>
      </c>
      <c r="M275" s="1">
        <f t="shared" si="866"/>
        <v>33993.721019226</v>
      </c>
      <c r="N275" s="1">
        <f t="shared" si="867"/>
        <v>22662.480679484</v>
      </c>
      <c r="O275" s="1">
        <f t="shared" ref="O275:W275" si="910">O$5+(O$6-O$5)*(POWER(O$7,$B275-1)-1)/(POWER(O$7,$B$3-1)-1)</f>
        <v>0.76355815017609</v>
      </c>
      <c r="P275" s="1">
        <f t="shared" si="910"/>
        <v>0.173714030928993</v>
      </c>
      <c r="Q275" s="1">
        <f t="shared" si="910"/>
        <v>0.419956982596849</v>
      </c>
      <c r="R275" s="1">
        <f t="shared" si="910"/>
        <v>1.10542326007044</v>
      </c>
      <c r="S275" s="1">
        <f t="shared" si="910"/>
        <v>0.392625595228917</v>
      </c>
      <c r="T275" s="1">
        <f t="shared" si="910"/>
        <v>3.02787678568675</v>
      </c>
      <c r="U275" s="1">
        <f t="shared" si="910"/>
        <v>1</v>
      </c>
      <c r="V275" s="1">
        <f t="shared" si="910"/>
        <v>1.28743606805529</v>
      </c>
      <c r="W275" s="1">
        <f t="shared" si="910"/>
        <v>1.84338608056349</v>
      </c>
      <c r="X275" s="1">
        <f t="shared" si="869"/>
        <v>3.43055537707286</v>
      </c>
      <c r="Y275" s="1">
        <f t="shared" si="870"/>
        <v>6.39554504556034</v>
      </c>
      <c r="Z275" s="1">
        <f t="shared" si="871"/>
        <v>471125.641391303</v>
      </c>
      <c r="AA275" s="1">
        <f t="shared" si="872"/>
        <v>33993.721019226</v>
      </c>
      <c r="AB275" s="1">
        <f t="shared" si="873"/>
        <v>22662.480679484</v>
      </c>
      <c r="AC275" s="1">
        <f>AB275/(AB275+战斗公式!$M$27)</f>
        <v>0.485668150288632</v>
      </c>
      <c r="AD275" s="1">
        <f t="shared" si="874"/>
        <v>915995.4641263</v>
      </c>
      <c r="AE275" s="1">
        <f t="shared" si="875"/>
        <v>7.85471050056087</v>
      </c>
      <c r="AF275" s="1">
        <f t="shared" si="876"/>
        <v>4.21324830817275</v>
      </c>
      <c r="AG275" s="1">
        <f t="shared" si="877"/>
        <v>4.53016153395227</v>
      </c>
      <c r="AH275" s="1">
        <f t="shared" si="878"/>
        <v>1.1084229078907</v>
      </c>
      <c r="AI275" s="1">
        <f t="shared" si="879"/>
        <v>1.00000159222203</v>
      </c>
      <c r="AJ275" s="1">
        <f t="shared" si="880"/>
        <v>1.00390714339878</v>
      </c>
      <c r="AK275" s="1">
        <f t="shared" si="881"/>
        <v>1</v>
      </c>
      <c r="AL275" s="10">
        <f t="shared" si="882"/>
        <v>506563</v>
      </c>
      <c r="AM275" s="10">
        <f t="shared" si="883"/>
        <v>37679</v>
      </c>
      <c r="AN275" s="10">
        <f t="shared" si="884"/>
        <v>22662</v>
      </c>
      <c r="AO275" s="1">
        <f t="shared" si="885"/>
        <v>272781</v>
      </c>
      <c r="AP275" s="1">
        <f t="shared" si="886"/>
        <v>37679</v>
      </c>
      <c r="AR275" s="1">
        <f t="shared" ref="AR275:AX275" si="911">ROUNDUP(AR$10*$AO275,0)</f>
        <v>272781</v>
      </c>
      <c r="AS275" s="1">
        <f t="shared" si="911"/>
        <v>818343</v>
      </c>
      <c r="AT275" s="1">
        <f t="shared" si="911"/>
        <v>491006</v>
      </c>
      <c r="AU275" s="1">
        <f t="shared" si="911"/>
        <v>136391</v>
      </c>
      <c r="AV275" s="1">
        <f t="shared" si="911"/>
        <v>40918</v>
      </c>
      <c r="AW275" s="1">
        <f t="shared" si="911"/>
        <v>1091124</v>
      </c>
      <c r="AX275" s="1">
        <f t="shared" si="911"/>
        <v>2455029</v>
      </c>
      <c r="AY275" s="1">
        <f t="shared" si="888"/>
        <v>30393828</v>
      </c>
      <c r="AZ275" s="1">
        <f t="shared" si="889"/>
        <v>15196914</v>
      </c>
      <c r="BB275" s="1">
        <f t="shared" si="890"/>
        <v>264</v>
      </c>
    </row>
    <row r="276" spans="2:54">
      <c r="B276" s="4">
        <v>265</v>
      </c>
      <c r="C276" s="1">
        <f t="shared" ref="C276:I276" si="912">C$5+(C$6-C$5)*(POWER(C$7,$B276-1)-1)/(POWER(C$7,$B$3-1)-1)</f>
        <v>20937.450569363</v>
      </c>
      <c r="D276" s="1">
        <f t="shared" si="912"/>
        <v>6281.2351708089</v>
      </c>
      <c r="E276" s="1">
        <f t="shared" si="912"/>
        <v>4187.4901138726</v>
      </c>
      <c r="F276" s="1">
        <f t="shared" si="912"/>
        <v>53006.2039730709</v>
      </c>
      <c r="G276" s="1">
        <f t="shared" si="912"/>
        <v>15901.8611919213</v>
      </c>
      <c r="H276" s="1">
        <f t="shared" si="912"/>
        <v>10601.2407946142</v>
      </c>
      <c r="I276" s="1">
        <f t="shared" si="912"/>
        <v>0</v>
      </c>
      <c r="J276" s="1">
        <f>标准模型!$I$65/1*$B276/$B$3</f>
        <v>1.908</v>
      </c>
      <c r="K276" s="1">
        <f>J276*标准模型!$J$63</f>
        <v>1.908</v>
      </c>
      <c r="L276" s="1">
        <f t="shared" si="865"/>
        <v>73943.6545424339</v>
      </c>
      <c r="M276" s="1">
        <f t="shared" si="866"/>
        <v>34167.6930686336</v>
      </c>
      <c r="N276" s="1">
        <f t="shared" si="867"/>
        <v>22778.4620457557</v>
      </c>
      <c r="O276" s="1">
        <f t="shared" ref="O276:W276" si="913">O$5+(O$6-O$5)*(POWER(O$7,$B276-1)-1)/(POWER(O$7,$B$3-1)-1)</f>
        <v>0.764560140145646</v>
      </c>
      <c r="P276" s="1">
        <f t="shared" si="913"/>
        <v>0.174513859100917</v>
      </c>
      <c r="Q276" s="1">
        <f t="shared" si="913"/>
        <v>0.420508077080105</v>
      </c>
      <c r="R276" s="1">
        <f t="shared" si="913"/>
        <v>1.10582405605826</v>
      </c>
      <c r="S276" s="1">
        <f t="shared" si="913"/>
        <v>0.39392818218934</v>
      </c>
      <c r="T276" s="1">
        <f t="shared" si="913"/>
        <v>3.03178454656802</v>
      </c>
      <c r="U276" s="1">
        <f t="shared" si="913"/>
        <v>1</v>
      </c>
      <c r="V276" s="1">
        <f t="shared" si="913"/>
        <v>1.28852883660329</v>
      </c>
      <c r="W276" s="1">
        <f t="shared" si="913"/>
        <v>1.84659244846607</v>
      </c>
      <c r="X276" s="1">
        <f t="shared" si="869"/>
        <v>3.45239443085313</v>
      </c>
      <c r="Y276" s="1">
        <f t="shared" si="870"/>
        <v>6.4405085939993</v>
      </c>
      <c r="Z276" s="1">
        <f t="shared" si="871"/>
        <v>476234.742552261</v>
      </c>
      <c r="AA276" s="1">
        <f t="shared" si="872"/>
        <v>34167.6930686336</v>
      </c>
      <c r="AB276" s="1">
        <f t="shared" si="873"/>
        <v>22778.4620457557</v>
      </c>
      <c r="AC276" s="1">
        <f>AB276/(AB276+战斗公式!$M$27)</f>
        <v>0.486943372004733</v>
      </c>
      <c r="AD276" s="1">
        <f t="shared" si="874"/>
        <v>928230.367889632</v>
      </c>
      <c r="AE276" s="1">
        <f t="shared" si="875"/>
        <v>7.86900295052848</v>
      </c>
      <c r="AF276" s="1">
        <f t="shared" si="876"/>
        <v>4.21812991416285</v>
      </c>
      <c r="AG276" s="1">
        <f t="shared" si="877"/>
        <v>4.53440297667868</v>
      </c>
      <c r="AH276" s="1">
        <f t="shared" si="878"/>
        <v>1.11237873224845</v>
      </c>
      <c r="AI276" s="1">
        <f t="shared" si="879"/>
        <v>1.00000151261049</v>
      </c>
      <c r="AJ276" s="1">
        <f t="shared" si="880"/>
        <v>1.00382833072342</v>
      </c>
      <c r="AK276" s="1">
        <f t="shared" si="881"/>
        <v>1</v>
      </c>
      <c r="AL276" s="10">
        <f t="shared" si="882"/>
        <v>511943</v>
      </c>
      <c r="AM276" s="10">
        <f t="shared" si="883"/>
        <v>38007</v>
      </c>
      <c r="AN276" s="10">
        <f t="shared" si="884"/>
        <v>22778</v>
      </c>
      <c r="AO276" s="1">
        <f t="shared" si="885"/>
        <v>275474</v>
      </c>
      <c r="AP276" s="1">
        <f t="shared" si="886"/>
        <v>38007</v>
      </c>
      <c r="AR276" s="1">
        <f t="shared" ref="AR276:AX276" si="914">ROUNDUP(AR$10*$AO276,0)</f>
        <v>275474</v>
      </c>
      <c r="AS276" s="1">
        <f t="shared" si="914"/>
        <v>826422</v>
      </c>
      <c r="AT276" s="1">
        <f t="shared" si="914"/>
        <v>495854</v>
      </c>
      <c r="AU276" s="1">
        <f t="shared" si="914"/>
        <v>137737</v>
      </c>
      <c r="AV276" s="1">
        <f t="shared" si="914"/>
        <v>41322</v>
      </c>
      <c r="AW276" s="1">
        <f t="shared" si="914"/>
        <v>1101896</v>
      </c>
      <c r="AX276" s="1">
        <f t="shared" si="914"/>
        <v>2479266</v>
      </c>
      <c r="AY276" s="1">
        <f t="shared" si="888"/>
        <v>30716626</v>
      </c>
      <c r="AZ276" s="1">
        <f t="shared" si="889"/>
        <v>15358313</v>
      </c>
      <c r="BB276" s="1">
        <f t="shared" si="890"/>
        <v>265</v>
      </c>
    </row>
    <row r="277" spans="2:54">
      <c r="B277" s="4">
        <v>266</v>
      </c>
      <c r="C277" s="1">
        <f t="shared" ref="C277:I277" si="915">C$5+(C$6-C$5)*(POWER(C$7,$B277-1)-1)/(POWER(C$7,$B$3-1)-1)</f>
        <v>21016.4493835599</v>
      </c>
      <c r="D277" s="1">
        <f t="shared" si="915"/>
        <v>6304.93481506797</v>
      </c>
      <c r="E277" s="1">
        <f t="shared" si="915"/>
        <v>4203.28987671198</v>
      </c>
      <c r="F277" s="1">
        <f t="shared" si="915"/>
        <v>53206.2009710377</v>
      </c>
      <c r="G277" s="1">
        <f t="shared" si="915"/>
        <v>15961.8602913113</v>
      </c>
      <c r="H277" s="1">
        <f t="shared" si="915"/>
        <v>10641.2401942075</v>
      </c>
      <c r="I277" s="1">
        <f t="shared" si="915"/>
        <v>0</v>
      </c>
      <c r="J277" s="1">
        <f>标准模型!$I$65/1*$B277/$B$3</f>
        <v>1.9152</v>
      </c>
      <c r="K277" s="1">
        <f>J277*标准模型!$J$63</f>
        <v>1.9152</v>
      </c>
      <c r="L277" s="1">
        <f t="shared" si="865"/>
        <v>74222.6503545976</v>
      </c>
      <c r="M277" s="1">
        <f t="shared" si="866"/>
        <v>34342.0062641975</v>
      </c>
      <c r="N277" s="1">
        <f t="shared" si="867"/>
        <v>22894.6708427983</v>
      </c>
      <c r="O277" s="1">
        <f t="shared" ref="O277:W277" si="916">O$5+(O$6-O$5)*(POWER(O$7,$B277-1)-1)/(POWER(O$7,$B$3-1)-1)</f>
        <v>0.765562129113416</v>
      </c>
      <c r="P277" s="1">
        <f t="shared" si="916"/>
        <v>0.175314887015098</v>
      </c>
      <c r="Q277" s="1">
        <f t="shared" si="916"/>
        <v>0.421059171012379</v>
      </c>
      <c r="R277" s="1">
        <f t="shared" si="916"/>
        <v>1.10622485164537</v>
      </c>
      <c r="S277" s="1">
        <f t="shared" si="916"/>
        <v>0.39523076784744</v>
      </c>
      <c r="T277" s="1">
        <f t="shared" si="916"/>
        <v>3.03569230354232</v>
      </c>
      <c r="U277" s="1">
        <f t="shared" si="916"/>
        <v>1</v>
      </c>
      <c r="V277" s="1">
        <f t="shared" si="916"/>
        <v>1.28962160405873</v>
      </c>
      <c r="W277" s="1">
        <f t="shared" si="916"/>
        <v>1.84979881316293</v>
      </c>
      <c r="X277" s="1">
        <f t="shared" si="869"/>
        <v>3.47435406611242</v>
      </c>
      <c r="Y277" s="1">
        <f t="shared" si="870"/>
        <v>6.48575104532537</v>
      </c>
      <c r="Z277" s="1">
        <f t="shared" si="871"/>
        <v>481389.632124151</v>
      </c>
      <c r="AA277" s="1">
        <f t="shared" si="872"/>
        <v>34342.0062641975</v>
      </c>
      <c r="AB277" s="1">
        <f t="shared" si="873"/>
        <v>22894.6708427983</v>
      </c>
      <c r="AC277" s="1">
        <f>AB277/(AB277+战斗公式!$M$27)</f>
        <v>0.488214767932725</v>
      </c>
      <c r="AD277" s="1">
        <f t="shared" si="874"/>
        <v>940608.681066575</v>
      </c>
      <c r="AE277" s="1">
        <f t="shared" si="875"/>
        <v>7.88332161637</v>
      </c>
      <c r="AF277" s="1">
        <f t="shared" si="876"/>
        <v>4.22301909538265</v>
      </c>
      <c r="AG277" s="1">
        <f t="shared" si="877"/>
        <v>4.53861260858464</v>
      </c>
      <c r="AH277" s="1">
        <f t="shared" si="878"/>
        <v>1.11634246825492</v>
      </c>
      <c r="AI277" s="1">
        <f t="shared" si="879"/>
        <v>1.00000143697953</v>
      </c>
      <c r="AJ277" s="1">
        <f t="shared" si="880"/>
        <v>1.00375109430156</v>
      </c>
      <c r="AK277" s="1">
        <f t="shared" si="881"/>
        <v>1</v>
      </c>
      <c r="AL277" s="10">
        <f t="shared" si="882"/>
        <v>517365</v>
      </c>
      <c r="AM277" s="10">
        <f t="shared" si="883"/>
        <v>38337</v>
      </c>
      <c r="AN277" s="10">
        <f t="shared" si="884"/>
        <v>22895</v>
      </c>
      <c r="AO277" s="1">
        <f t="shared" si="885"/>
        <v>278187</v>
      </c>
      <c r="AP277" s="1">
        <f t="shared" si="886"/>
        <v>38337</v>
      </c>
      <c r="AR277" s="1">
        <f t="shared" ref="AR277:AX277" si="917">ROUNDUP(AR$10*$AO277,0)</f>
        <v>278187</v>
      </c>
      <c r="AS277" s="1">
        <f t="shared" si="917"/>
        <v>834561</v>
      </c>
      <c r="AT277" s="1">
        <f t="shared" si="917"/>
        <v>500737</v>
      </c>
      <c r="AU277" s="1">
        <f t="shared" si="917"/>
        <v>139094</v>
      </c>
      <c r="AV277" s="1">
        <f t="shared" si="917"/>
        <v>41729</v>
      </c>
      <c r="AW277" s="1">
        <f t="shared" si="917"/>
        <v>1112748</v>
      </c>
      <c r="AX277" s="1">
        <f t="shared" si="917"/>
        <v>2503683</v>
      </c>
      <c r="AY277" s="1">
        <f t="shared" si="888"/>
        <v>31041945</v>
      </c>
      <c r="AZ277" s="1">
        <f t="shared" si="889"/>
        <v>15520972</v>
      </c>
      <c r="BB277" s="1">
        <f t="shared" si="890"/>
        <v>266</v>
      </c>
    </row>
    <row r="278" spans="2:54">
      <c r="B278" s="4">
        <v>267</v>
      </c>
      <c r="C278" s="1">
        <f t="shared" ref="C278:I278" si="918">C$5+(C$6-C$5)*(POWER(C$7,$B278-1)-1)/(POWER(C$7,$B$3-1)-1)</f>
        <v>21095.4481187476</v>
      </c>
      <c r="D278" s="1">
        <f t="shared" si="918"/>
        <v>6328.63443562429</v>
      </c>
      <c r="E278" s="1">
        <f t="shared" si="918"/>
        <v>4219.08962374953</v>
      </c>
      <c r="F278" s="1">
        <f t="shared" si="918"/>
        <v>53406.1977689814</v>
      </c>
      <c r="G278" s="1">
        <f t="shared" si="918"/>
        <v>16021.8593306944</v>
      </c>
      <c r="H278" s="1">
        <f t="shared" si="918"/>
        <v>10681.2395537963</v>
      </c>
      <c r="I278" s="1">
        <f t="shared" si="918"/>
        <v>0</v>
      </c>
      <c r="J278" s="1">
        <f>标准模型!$I$65/1*$B278/$B$3</f>
        <v>1.9224</v>
      </c>
      <c r="K278" s="1">
        <f>J278*标准模型!$J$63</f>
        <v>1.9224</v>
      </c>
      <c r="L278" s="1">
        <f t="shared" si="865"/>
        <v>74501.645887729</v>
      </c>
      <c r="M278" s="1">
        <f t="shared" si="866"/>
        <v>34516.6606053629</v>
      </c>
      <c r="N278" s="1">
        <f t="shared" si="867"/>
        <v>23011.1070702419</v>
      </c>
      <c r="O278" s="1">
        <f t="shared" ref="O278:W278" si="919">O$5+(O$6-O$5)*(POWER(O$7,$B278-1)-1)/(POWER(O$7,$B$3-1)-1)</f>
        <v>0.766564117079065</v>
      </c>
      <c r="P278" s="1">
        <f t="shared" si="919"/>
        <v>0.17611711647115</v>
      </c>
      <c r="Q278" s="1">
        <f t="shared" si="919"/>
        <v>0.421610264393486</v>
      </c>
      <c r="R278" s="1">
        <f t="shared" si="919"/>
        <v>1.10662564683163</v>
      </c>
      <c r="S278" s="1">
        <f t="shared" si="919"/>
        <v>0.396533352202785</v>
      </c>
      <c r="T278" s="1">
        <f t="shared" si="919"/>
        <v>3.03960005660835</v>
      </c>
      <c r="U278" s="1">
        <f t="shared" si="919"/>
        <v>1</v>
      </c>
      <c r="V278" s="1">
        <f t="shared" si="919"/>
        <v>1.29071437042127</v>
      </c>
      <c r="W278" s="1">
        <f t="shared" si="919"/>
        <v>1.85300517465301</v>
      </c>
      <c r="X278" s="1">
        <f t="shared" si="869"/>
        <v>3.49643483329882</v>
      </c>
      <c r="Y278" s="1">
        <f t="shared" si="870"/>
        <v>6.53127386790842</v>
      </c>
      <c r="Z278" s="1">
        <f t="shared" si="871"/>
        <v>486590.652902692</v>
      </c>
      <c r="AA278" s="1">
        <f t="shared" si="872"/>
        <v>34516.6606053629</v>
      </c>
      <c r="AB278" s="1">
        <f t="shared" si="873"/>
        <v>23011.1070702419</v>
      </c>
      <c r="AC278" s="1">
        <f>AB278/(AB278+战斗公式!$M$27)</f>
        <v>0.489482347987673</v>
      </c>
      <c r="AD278" s="1">
        <f t="shared" si="874"/>
        <v>953131.88679114</v>
      </c>
      <c r="AE278" s="1">
        <f t="shared" si="875"/>
        <v>7.89766646289081</v>
      </c>
      <c r="AF278" s="1">
        <f t="shared" si="876"/>
        <v>4.22791582179822</v>
      </c>
      <c r="AG278" s="1">
        <f t="shared" si="877"/>
        <v>4.54279066825131</v>
      </c>
      <c r="AH278" s="1">
        <f t="shared" si="878"/>
        <v>1.1203141317334</v>
      </c>
      <c r="AI278" s="1">
        <f t="shared" si="879"/>
        <v>1.00000136513011</v>
      </c>
      <c r="AJ278" s="1">
        <f t="shared" si="880"/>
        <v>1.00367540260814</v>
      </c>
      <c r="AK278" s="1">
        <f t="shared" si="881"/>
        <v>1</v>
      </c>
      <c r="AL278" s="10">
        <f t="shared" si="882"/>
        <v>522830</v>
      </c>
      <c r="AM278" s="10">
        <f t="shared" si="883"/>
        <v>38670</v>
      </c>
      <c r="AN278" s="10">
        <f t="shared" si="884"/>
        <v>23011</v>
      </c>
      <c r="AO278" s="1">
        <f t="shared" si="885"/>
        <v>280919</v>
      </c>
      <c r="AP278" s="1">
        <f t="shared" si="886"/>
        <v>38670</v>
      </c>
      <c r="AR278" s="1">
        <f t="shared" ref="AR278:AX278" si="920">ROUNDUP(AR$10*$AO278,0)</f>
        <v>280919</v>
      </c>
      <c r="AS278" s="1">
        <f t="shared" si="920"/>
        <v>842757</v>
      </c>
      <c r="AT278" s="1">
        <f t="shared" si="920"/>
        <v>505655</v>
      </c>
      <c r="AU278" s="1">
        <f t="shared" si="920"/>
        <v>140460</v>
      </c>
      <c r="AV278" s="1">
        <f t="shared" si="920"/>
        <v>42138</v>
      </c>
      <c r="AW278" s="1">
        <f t="shared" si="920"/>
        <v>1123676</v>
      </c>
      <c r="AX278" s="1">
        <f t="shared" si="920"/>
        <v>2528271</v>
      </c>
      <c r="AY278" s="1">
        <f t="shared" si="888"/>
        <v>31369843</v>
      </c>
      <c r="AZ278" s="1">
        <f t="shared" si="889"/>
        <v>15684921</v>
      </c>
      <c r="BB278" s="1">
        <f t="shared" si="890"/>
        <v>267</v>
      </c>
    </row>
    <row r="279" spans="2:54">
      <c r="B279" s="4">
        <v>268</v>
      </c>
      <c r="C279" s="1">
        <f t="shared" ref="C279:I279" si="921">C$5+(C$6-C$5)*(POWER(C$7,$B279-1)-1)/(POWER(C$7,$B$3-1)-1)</f>
        <v>21174.446774935</v>
      </c>
      <c r="D279" s="1">
        <f t="shared" si="921"/>
        <v>6352.3340324805</v>
      </c>
      <c r="E279" s="1">
        <f t="shared" si="921"/>
        <v>4234.889354987</v>
      </c>
      <c r="F279" s="1">
        <f t="shared" si="921"/>
        <v>53606.1943669241</v>
      </c>
      <c r="G279" s="1">
        <f t="shared" si="921"/>
        <v>16081.8583100772</v>
      </c>
      <c r="H279" s="1">
        <f t="shared" si="921"/>
        <v>10721.2388733848</v>
      </c>
      <c r="I279" s="1">
        <f t="shared" si="921"/>
        <v>0</v>
      </c>
      <c r="J279" s="1">
        <f>标准模型!$I$65/1*$B279/$B$3</f>
        <v>1.9296</v>
      </c>
      <c r="K279" s="1">
        <f>J279*标准模型!$J$63</f>
        <v>1.9296</v>
      </c>
      <c r="L279" s="1">
        <f t="shared" si="865"/>
        <v>74780.6411418591</v>
      </c>
      <c r="M279" s="1">
        <f t="shared" si="866"/>
        <v>34691.6560916321</v>
      </c>
      <c r="N279" s="1">
        <f t="shared" si="867"/>
        <v>23127.7707277547</v>
      </c>
      <c r="O279" s="1">
        <f t="shared" ref="O279:W279" si="922">O$5+(O$6-O$5)*(POWER(O$7,$B279-1)-1)/(POWER(O$7,$B$3-1)-1)</f>
        <v>0.767566104042706</v>
      </c>
      <c r="P279" s="1">
        <f t="shared" si="922"/>
        <v>0.176920549271386</v>
      </c>
      <c r="Q279" s="1">
        <f t="shared" si="922"/>
        <v>0.422161357223488</v>
      </c>
      <c r="R279" s="1">
        <f t="shared" si="922"/>
        <v>1.10702644161708</v>
      </c>
      <c r="S279" s="1">
        <f t="shared" si="922"/>
        <v>0.397835935255518</v>
      </c>
      <c r="T279" s="1">
        <f t="shared" si="922"/>
        <v>3.04350780576655</v>
      </c>
      <c r="U279" s="1">
        <f t="shared" si="922"/>
        <v>1</v>
      </c>
      <c r="V279" s="1">
        <f t="shared" si="922"/>
        <v>1.29180713569102</v>
      </c>
      <c r="W279" s="1">
        <f t="shared" si="922"/>
        <v>1.85621153293666</v>
      </c>
      <c r="X279" s="1">
        <f t="shared" si="869"/>
        <v>3.51863728476275</v>
      </c>
      <c r="Y279" s="1">
        <f t="shared" si="870"/>
        <v>6.57707853628062</v>
      </c>
      <c r="Z279" s="1">
        <f t="shared" si="871"/>
        <v>491838.149783425</v>
      </c>
      <c r="AA279" s="1">
        <f t="shared" si="872"/>
        <v>34691.6560916321</v>
      </c>
      <c r="AB279" s="1">
        <f t="shared" si="873"/>
        <v>23127.7707277547</v>
      </c>
      <c r="AC279" s="1">
        <f>AB279/(AB279+战斗公式!$M$27)</f>
        <v>0.490746122097691</v>
      </c>
      <c r="AD279" s="1">
        <f t="shared" si="874"/>
        <v>965801.481589847</v>
      </c>
      <c r="AE279" s="1">
        <f t="shared" si="875"/>
        <v>7.91203745506474</v>
      </c>
      <c r="AF279" s="1">
        <f t="shared" si="876"/>
        <v>4.23282006353745</v>
      </c>
      <c r="AG279" s="1">
        <f t="shared" si="877"/>
        <v>4.54693739247048</v>
      </c>
      <c r="AH279" s="1">
        <f t="shared" si="878"/>
        <v>1.12429373853884</v>
      </c>
      <c r="AI279" s="1">
        <f t="shared" si="879"/>
        <v>1.00000129687316</v>
      </c>
      <c r="AJ279" s="1">
        <f t="shared" si="880"/>
        <v>1.00360122474859</v>
      </c>
      <c r="AK279" s="1">
        <f t="shared" si="881"/>
        <v>1</v>
      </c>
      <c r="AL279" s="10">
        <f t="shared" si="882"/>
        <v>528337</v>
      </c>
      <c r="AM279" s="10">
        <f t="shared" si="883"/>
        <v>39004</v>
      </c>
      <c r="AN279" s="10">
        <f t="shared" si="884"/>
        <v>23128</v>
      </c>
      <c r="AO279" s="1">
        <f t="shared" si="885"/>
        <v>283670</v>
      </c>
      <c r="AP279" s="1">
        <f t="shared" si="886"/>
        <v>39004</v>
      </c>
      <c r="AR279" s="1">
        <f t="shared" ref="AR279:AX279" si="923">ROUNDUP(AR$10*$AO279,0)</f>
        <v>283670</v>
      </c>
      <c r="AS279" s="1">
        <f t="shared" si="923"/>
        <v>851010</v>
      </c>
      <c r="AT279" s="1">
        <f t="shared" si="923"/>
        <v>510606</v>
      </c>
      <c r="AU279" s="1">
        <f t="shared" si="923"/>
        <v>141835</v>
      </c>
      <c r="AV279" s="1">
        <f t="shared" si="923"/>
        <v>42551</v>
      </c>
      <c r="AW279" s="1">
        <f t="shared" si="923"/>
        <v>1134680</v>
      </c>
      <c r="AX279" s="1">
        <f t="shared" si="923"/>
        <v>2553030</v>
      </c>
      <c r="AY279" s="1">
        <f t="shared" si="888"/>
        <v>31700261</v>
      </c>
      <c r="AZ279" s="1">
        <f t="shared" si="889"/>
        <v>15850131</v>
      </c>
      <c r="BB279" s="1">
        <f t="shared" si="890"/>
        <v>268</v>
      </c>
    </row>
    <row r="280" spans="2:54">
      <c r="B280" s="4">
        <v>269</v>
      </c>
      <c r="C280" s="1">
        <f t="shared" ref="C280:I280" si="924">C$5+(C$6-C$5)*(POWER(C$7,$B280-1)-1)/(POWER(C$7,$B$3-1)-1)</f>
        <v>21253.4453521308</v>
      </c>
      <c r="D280" s="1">
        <f t="shared" si="924"/>
        <v>6376.03360563923</v>
      </c>
      <c r="E280" s="1">
        <f t="shared" si="924"/>
        <v>4250.68907042616</v>
      </c>
      <c r="F280" s="1">
        <f t="shared" si="924"/>
        <v>53806.190764888</v>
      </c>
      <c r="G280" s="1">
        <f t="shared" si="924"/>
        <v>16141.8572294664</v>
      </c>
      <c r="H280" s="1">
        <f t="shared" si="924"/>
        <v>10761.2381529776</v>
      </c>
      <c r="I280" s="1">
        <f t="shared" si="924"/>
        <v>0</v>
      </c>
      <c r="J280" s="1">
        <f>标准模型!$I$65/1*$B280/$B$3</f>
        <v>1.9368</v>
      </c>
      <c r="K280" s="1">
        <f>J280*标准模型!$J$63</f>
        <v>1.9368</v>
      </c>
      <c r="L280" s="1">
        <f t="shared" si="865"/>
        <v>75059.6361170188</v>
      </c>
      <c r="M280" s="1">
        <f t="shared" si="866"/>
        <v>34866.9927225077</v>
      </c>
      <c r="N280" s="1">
        <f t="shared" si="867"/>
        <v>23244.6618150051</v>
      </c>
      <c r="O280" s="1">
        <f t="shared" ref="O280:W280" si="925">O$5+(O$6-O$5)*(POWER(O$7,$B280-1)-1)/(POWER(O$7,$B$3-1)-1)</f>
        <v>0.768568090004449</v>
      </c>
      <c r="P280" s="1">
        <f t="shared" si="925"/>
        <v>0.177725187220823</v>
      </c>
      <c r="Q280" s="1">
        <f t="shared" si="925"/>
        <v>0.422712449502447</v>
      </c>
      <c r="R280" s="1">
        <f t="shared" si="925"/>
        <v>1.10742723600178</v>
      </c>
      <c r="S280" s="1">
        <f t="shared" si="925"/>
        <v>0.399138517005784</v>
      </c>
      <c r="T280" s="1">
        <f t="shared" si="925"/>
        <v>3.04741555101735</v>
      </c>
      <c r="U280" s="1">
        <f t="shared" si="925"/>
        <v>1</v>
      </c>
      <c r="V280" s="1">
        <f t="shared" si="925"/>
        <v>1.2928998998681</v>
      </c>
      <c r="W280" s="1">
        <f t="shared" si="925"/>
        <v>1.85941788801424</v>
      </c>
      <c r="X280" s="1">
        <f t="shared" si="869"/>
        <v>3.54096197475331</v>
      </c>
      <c r="Y280" s="1">
        <f t="shared" si="870"/>
        <v>6.62316653113754</v>
      </c>
      <c r="Z280" s="1">
        <f t="shared" si="871"/>
        <v>497132.469769601</v>
      </c>
      <c r="AA280" s="1">
        <f t="shared" si="872"/>
        <v>34866.9927225077</v>
      </c>
      <c r="AB280" s="1">
        <f t="shared" si="873"/>
        <v>23244.6618150051</v>
      </c>
      <c r="AC280" s="1">
        <f>AB280/(AB280+战斗公式!$M$27)</f>
        <v>0.492006100202891</v>
      </c>
      <c r="AD280" s="1">
        <f t="shared" si="874"/>
        <v>978618.975480128</v>
      </c>
      <c r="AE280" s="1">
        <f t="shared" si="875"/>
        <v>7.92643455802317</v>
      </c>
      <c r="AF280" s="1">
        <f t="shared" si="876"/>
        <v>4.23773179088554</v>
      </c>
      <c r="AG280" s="1">
        <f t="shared" si="877"/>
        <v>4.551053016258</v>
      </c>
      <c r="AH280" s="1">
        <f t="shared" si="878"/>
        <v>1.12828130455788</v>
      </c>
      <c r="AI280" s="1">
        <f t="shared" si="879"/>
        <v>1.00000123202907</v>
      </c>
      <c r="AJ280" s="1">
        <f t="shared" si="880"/>
        <v>1.00352853044623</v>
      </c>
      <c r="AK280" s="1">
        <f t="shared" si="881"/>
        <v>1</v>
      </c>
      <c r="AL280" s="10">
        <f t="shared" si="882"/>
        <v>533888</v>
      </c>
      <c r="AM280" s="10">
        <f t="shared" si="883"/>
        <v>39340</v>
      </c>
      <c r="AN280" s="10">
        <f t="shared" si="884"/>
        <v>23245</v>
      </c>
      <c r="AO280" s="1">
        <f t="shared" si="885"/>
        <v>286441</v>
      </c>
      <c r="AP280" s="1">
        <f t="shared" si="886"/>
        <v>39340</v>
      </c>
      <c r="AR280" s="1">
        <f t="shared" ref="AR280:AX280" si="926">ROUNDUP(AR$10*$AO280,0)</f>
        <v>286441</v>
      </c>
      <c r="AS280" s="1">
        <f t="shared" si="926"/>
        <v>859323</v>
      </c>
      <c r="AT280" s="1">
        <f t="shared" si="926"/>
        <v>515594</v>
      </c>
      <c r="AU280" s="1">
        <f t="shared" si="926"/>
        <v>143221</v>
      </c>
      <c r="AV280" s="1">
        <f t="shared" si="926"/>
        <v>42967</v>
      </c>
      <c r="AW280" s="1">
        <f t="shared" si="926"/>
        <v>1145764</v>
      </c>
      <c r="AX280" s="1">
        <f t="shared" si="926"/>
        <v>2577969</v>
      </c>
      <c r="AY280" s="1">
        <f t="shared" si="888"/>
        <v>32033319</v>
      </c>
      <c r="AZ280" s="1">
        <f t="shared" si="889"/>
        <v>16016660</v>
      </c>
      <c r="BB280" s="1">
        <f t="shared" si="890"/>
        <v>269</v>
      </c>
    </row>
    <row r="281" spans="2:54">
      <c r="B281" s="4">
        <v>270</v>
      </c>
      <c r="C281" s="1">
        <f t="shared" ref="C281:I281" si="927">C$5+(C$6-C$5)*(POWER(C$7,$B281-1)-1)/(POWER(C$7,$B$3-1)-1)</f>
        <v>21332.4438503262</v>
      </c>
      <c r="D281" s="1">
        <f t="shared" si="927"/>
        <v>6399.73315509785</v>
      </c>
      <c r="E281" s="1">
        <f t="shared" si="927"/>
        <v>4266.48877006523</v>
      </c>
      <c r="F281" s="1">
        <f t="shared" si="927"/>
        <v>54006.186962851</v>
      </c>
      <c r="G281" s="1">
        <f t="shared" si="927"/>
        <v>16201.8560888553</v>
      </c>
      <c r="H281" s="1">
        <f t="shared" si="927"/>
        <v>10801.2373925702</v>
      </c>
      <c r="I281" s="1">
        <f t="shared" si="927"/>
        <v>0</v>
      </c>
      <c r="J281" s="1">
        <f>标准模型!$I$65/1*$B281/$B$3</f>
        <v>1.944</v>
      </c>
      <c r="K281" s="1">
        <f>J281*标准模型!$J$63</f>
        <v>1.944</v>
      </c>
      <c r="L281" s="1">
        <f t="shared" si="865"/>
        <v>75338.6308131772</v>
      </c>
      <c r="M281" s="1">
        <f t="shared" si="866"/>
        <v>35042.6704974634</v>
      </c>
      <c r="N281" s="1">
        <f t="shared" si="867"/>
        <v>23361.7803316422</v>
      </c>
      <c r="O281" s="1">
        <f t="shared" ref="O281:W281" si="928">O$5+(O$6-O$5)*(POWER(O$7,$B281-1)-1)/(POWER(O$7,$B$3-1)-1)</f>
        <v>0.769570074964184</v>
      </c>
      <c r="P281" s="1">
        <f t="shared" si="928"/>
        <v>0.178531032127184</v>
      </c>
      <c r="Q281" s="1">
        <f t="shared" si="928"/>
        <v>0.423263541230301</v>
      </c>
      <c r="R281" s="1">
        <f t="shared" si="928"/>
        <v>1.10782802998567</v>
      </c>
      <c r="S281" s="1">
        <f t="shared" si="928"/>
        <v>0.400441097453438</v>
      </c>
      <c r="T281" s="1">
        <f t="shared" si="928"/>
        <v>3.05132329236032</v>
      </c>
      <c r="U281" s="1">
        <f t="shared" si="928"/>
        <v>1</v>
      </c>
      <c r="V281" s="1">
        <f t="shared" si="928"/>
        <v>1.29399266295239</v>
      </c>
      <c r="W281" s="1">
        <f t="shared" si="928"/>
        <v>1.86262423988539</v>
      </c>
      <c r="X281" s="1">
        <f t="shared" si="869"/>
        <v>3.5634094594187</v>
      </c>
      <c r="Y281" s="1">
        <f t="shared" si="870"/>
        <v>6.66953933934802</v>
      </c>
      <c r="Z281" s="1">
        <f t="shared" si="871"/>
        <v>502473.961981102</v>
      </c>
      <c r="AA281" s="1">
        <f t="shared" si="872"/>
        <v>35042.6704974634</v>
      </c>
      <c r="AB281" s="1">
        <f t="shared" si="873"/>
        <v>23361.7803316422</v>
      </c>
      <c r="AC281" s="1">
        <f>AB281/(AB281+战斗公式!$M$27)</f>
        <v>0.493262292254548</v>
      </c>
      <c r="AD281" s="1">
        <f t="shared" si="874"/>
        <v>991585.892071621</v>
      </c>
      <c r="AE281" s="1">
        <f t="shared" si="875"/>
        <v>7.94085773704908</v>
      </c>
      <c r="AF281" s="1">
        <f t="shared" si="876"/>
        <v>4.24265097428228</v>
      </c>
      <c r="AG281" s="1">
        <f t="shared" si="877"/>
        <v>4.55513777286712</v>
      </c>
      <c r="AH281" s="1">
        <f t="shared" si="878"/>
        <v>1.13227684570897</v>
      </c>
      <c r="AI281" s="1">
        <f t="shared" si="879"/>
        <v>1.00000117042717</v>
      </c>
      <c r="AJ281" s="1">
        <f t="shared" si="880"/>
        <v>1.00345729002992</v>
      </c>
      <c r="AK281" s="1">
        <f t="shared" si="881"/>
        <v>1</v>
      </c>
      <c r="AL281" s="10">
        <f t="shared" si="882"/>
        <v>539483</v>
      </c>
      <c r="AM281" s="10">
        <f t="shared" si="883"/>
        <v>39678</v>
      </c>
      <c r="AN281" s="10">
        <f t="shared" si="884"/>
        <v>23362</v>
      </c>
      <c r="AO281" s="1">
        <f t="shared" si="885"/>
        <v>289232</v>
      </c>
      <c r="AP281" s="1">
        <f t="shared" si="886"/>
        <v>39678</v>
      </c>
      <c r="AR281" s="1">
        <f t="shared" ref="AR281:AX281" si="929">ROUNDUP(AR$10*$AO281,0)</f>
        <v>289232</v>
      </c>
      <c r="AS281" s="1">
        <f t="shared" si="929"/>
        <v>867696</v>
      </c>
      <c r="AT281" s="1">
        <f t="shared" si="929"/>
        <v>520618</v>
      </c>
      <c r="AU281" s="1">
        <f t="shared" si="929"/>
        <v>144616</v>
      </c>
      <c r="AV281" s="1">
        <f t="shared" si="929"/>
        <v>43385</v>
      </c>
      <c r="AW281" s="1">
        <f t="shared" si="929"/>
        <v>1156928</v>
      </c>
      <c r="AX281" s="1">
        <f t="shared" si="929"/>
        <v>2603088</v>
      </c>
      <c r="AY281" s="1">
        <f t="shared" si="888"/>
        <v>32369018</v>
      </c>
      <c r="AZ281" s="1">
        <f t="shared" si="889"/>
        <v>16184509</v>
      </c>
      <c r="BB281" s="1">
        <f t="shared" si="890"/>
        <v>270</v>
      </c>
    </row>
    <row r="282" spans="2:54">
      <c r="B282" s="4">
        <v>271</v>
      </c>
      <c r="C282" s="1">
        <f t="shared" ref="C282:I282" si="930">C$5+(C$6-C$5)*(POWER(C$7,$B282-1)-1)/(POWER(C$7,$B$3-1)-1)</f>
        <v>21411.4422695212</v>
      </c>
      <c r="D282" s="1">
        <f t="shared" si="930"/>
        <v>6423.43268085635</v>
      </c>
      <c r="E282" s="1">
        <f t="shared" si="930"/>
        <v>4282.28845390423</v>
      </c>
      <c r="F282" s="1">
        <f t="shared" si="930"/>
        <v>54206.1829608131</v>
      </c>
      <c r="G282" s="1">
        <f t="shared" si="930"/>
        <v>16261.8548882439</v>
      </c>
      <c r="H282" s="1">
        <f t="shared" si="930"/>
        <v>10841.2365921626</v>
      </c>
      <c r="I282" s="1">
        <f t="shared" si="930"/>
        <v>0</v>
      </c>
      <c r="J282" s="1">
        <f>标准模型!$I$65/1*$B282/$B$3</f>
        <v>1.9512</v>
      </c>
      <c r="K282" s="1">
        <f>J282*标准模型!$J$63</f>
        <v>1.9512</v>
      </c>
      <c r="L282" s="1">
        <f t="shared" si="865"/>
        <v>75617.6252303343</v>
      </c>
      <c r="M282" s="1">
        <f t="shared" si="866"/>
        <v>35218.6894159872</v>
      </c>
      <c r="N282" s="1">
        <f t="shared" si="867"/>
        <v>23479.1262773248</v>
      </c>
      <c r="O282" s="1">
        <f t="shared" ref="O282:W282" si="931">O$5+(O$6-O$5)*(POWER(O$7,$B282-1)-1)/(POWER(O$7,$B$3-1)-1)</f>
        <v>0.770572058921909</v>
      </c>
      <c r="P282" s="1">
        <f t="shared" si="931"/>
        <v>0.179338085800904</v>
      </c>
      <c r="Q282" s="1">
        <f t="shared" si="931"/>
        <v>0.42381463240705</v>
      </c>
      <c r="R282" s="1">
        <f t="shared" si="931"/>
        <v>1.10822882356876</v>
      </c>
      <c r="S282" s="1">
        <f t="shared" si="931"/>
        <v>0.401743676598482</v>
      </c>
      <c r="T282" s="1">
        <f t="shared" si="931"/>
        <v>3.05523102979545</v>
      </c>
      <c r="U282" s="1">
        <f t="shared" si="931"/>
        <v>1</v>
      </c>
      <c r="V282" s="1">
        <f t="shared" si="931"/>
        <v>1.29508542494389</v>
      </c>
      <c r="W282" s="1">
        <f t="shared" si="931"/>
        <v>1.86583058855011</v>
      </c>
      <c r="X282" s="1">
        <f t="shared" si="869"/>
        <v>3.58598029681732</v>
      </c>
      <c r="Y282" s="1">
        <f t="shared" si="870"/>
        <v>6.71619845398761</v>
      </c>
      <c r="Z282" s="1">
        <f t="shared" si="871"/>
        <v>507862.977666185</v>
      </c>
      <c r="AA282" s="1">
        <f t="shared" si="872"/>
        <v>35218.6894159872</v>
      </c>
      <c r="AB282" s="1">
        <f t="shared" si="873"/>
        <v>23479.1262773248</v>
      </c>
      <c r="AC282" s="1">
        <f>AB282/(AB282+战斗公式!$M$27)</f>
        <v>0.494514708214797</v>
      </c>
      <c r="AD282" s="1">
        <f t="shared" si="874"/>
        <v>1004703.76867462</v>
      </c>
      <c r="AE282" s="1">
        <f t="shared" si="875"/>
        <v>7.95530695758308</v>
      </c>
      <c r="AF282" s="1">
        <f t="shared" si="876"/>
        <v>4.24757758432361</v>
      </c>
      <c r="AG282" s="1">
        <f t="shared" si="877"/>
        <v>4.55919189380167</v>
      </c>
      <c r="AH282" s="1">
        <f t="shared" si="878"/>
        <v>1.13628037794236</v>
      </c>
      <c r="AI282" s="1">
        <f t="shared" si="879"/>
        <v>1.00000111190537</v>
      </c>
      <c r="AJ282" s="1">
        <f t="shared" si="880"/>
        <v>1.00338747442193</v>
      </c>
      <c r="AK282" s="1">
        <f t="shared" si="881"/>
        <v>1</v>
      </c>
      <c r="AL282" s="10">
        <f t="shared" si="882"/>
        <v>545121</v>
      </c>
      <c r="AM282" s="10">
        <f t="shared" si="883"/>
        <v>40018</v>
      </c>
      <c r="AN282" s="10">
        <f t="shared" si="884"/>
        <v>23479</v>
      </c>
      <c r="AO282" s="1">
        <f t="shared" si="885"/>
        <v>292043</v>
      </c>
      <c r="AP282" s="1">
        <f t="shared" si="886"/>
        <v>40018</v>
      </c>
      <c r="AR282" s="1">
        <f t="shared" ref="AR282:AX282" si="932">ROUNDUP(AR$10*$AO282,0)</f>
        <v>292043</v>
      </c>
      <c r="AS282" s="1">
        <f t="shared" si="932"/>
        <v>876129</v>
      </c>
      <c r="AT282" s="1">
        <f t="shared" si="932"/>
        <v>525678</v>
      </c>
      <c r="AU282" s="1">
        <f t="shared" si="932"/>
        <v>146022</v>
      </c>
      <c r="AV282" s="1">
        <f t="shared" si="932"/>
        <v>43807</v>
      </c>
      <c r="AW282" s="1">
        <f t="shared" si="932"/>
        <v>1168172</v>
      </c>
      <c r="AX282" s="1">
        <f t="shared" si="932"/>
        <v>2628387</v>
      </c>
      <c r="AY282" s="1">
        <f t="shared" si="888"/>
        <v>32707296</v>
      </c>
      <c r="AZ282" s="1">
        <f t="shared" si="889"/>
        <v>16353648</v>
      </c>
      <c r="BB282" s="1">
        <f t="shared" si="890"/>
        <v>271</v>
      </c>
    </row>
    <row r="283" spans="2:54">
      <c r="B283" s="4">
        <v>272</v>
      </c>
      <c r="C283" s="1">
        <f t="shared" ref="C283:I283" si="933">C$5+(C$6-C$5)*(POWER(C$7,$B283-1)-1)/(POWER(C$7,$B$3-1)-1)</f>
        <v>21490.4406097158</v>
      </c>
      <c r="D283" s="1">
        <f t="shared" si="933"/>
        <v>6447.13218291473</v>
      </c>
      <c r="E283" s="1">
        <f t="shared" si="933"/>
        <v>4298.08812194316</v>
      </c>
      <c r="F283" s="1">
        <f t="shared" si="933"/>
        <v>54406.1787587741</v>
      </c>
      <c r="G283" s="1">
        <f t="shared" si="933"/>
        <v>16321.8536276322</v>
      </c>
      <c r="H283" s="1">
        <f t="shared" si="933"/>
        <v>10881.2357517548</v>
      </c>
      <c r="I283" s="1">
        <f t="shared" si="933"/>
        <v>0</v>
      </c>
      <c r="J283" s="1">
        <f>标准模型!$I$65/1*$B283/$B$3</f>
        <v>1.9584</v>
      </c>
      <c r="K283" s="1">
        <f>J283*标准模型!$J$63</f>
        <v>1.9584</v>
      </c>
      <c r="L283" s="1">
        <f t="shared" si="865"/>
        <v>75896.6193684899</v>
      </c>
      <c r="M283" s="1">
        <f t="shared" si="866"/>
        <v>35395.0494775672</v>
      </c>
      <c r="N283" s="1">
        <f t="shared" si="867"/>
        <v>23596.6996517115</v>
      </c>
      <c r="O283" s="1">
        <f t="shared" ref="O283:W283" si="934">O$5+(O$6-O$5)*(POWER(O$7,$B283-1)-1)/(POWER(O$7,$B$3-1)-1)</f>
        <v>0.771574041877626</v>
      </c>
      <c r="P283" s="1">
        <f t="shared" si="934"/>
        <v>0.180146350055135</v>
      </c>
      <c r="Q283" s="1">
        <f t="shared" si="934"/>
        <v>0.424365723032694</v>
      </c>
      <c r="R283" s="1">
        <f t="shared" si="934"/>
        <v>1.10862961675105</v>
      </c>
      <c r="S283" s="1">
        <f t="shared" si="934"/>
        <v>0.403046254440914</v>
      </c>
      <c r="T283" s="1">
        <f t="shared" si="934"/>
        <v>3.05913876332274</v>
      </c>
      <c r="U283" s="1">
        <f t="shared" si="934"/>
        <v>1</v>
      </c>
      <c r="V283" s="1">
        <f t="shared" si="934"/>
        <v>1.29617818584261</v>
      </c>
      <c r="W283" s="1">
        <f t="shared" si="934"/>
        <v>1.8690369340084</v>
      </c>
      <c r="X283" s="1">
        <f t="shared" si="869"/>
        <v>3.60867504692041</v>
      </c>
      <c r="Y283" s="1">
        <f t="shared" si="870"/>
        <v>6.76314537435332</v>
      </c>
      <c r="Z283" s="1">
        <f t="shared" si="871"/>
        <v>513299.870211057</v>
      </c>
      <c r="AA283" s="1">
        <f t="shared" si="872"/>
        <v>35395.0494775672</v>
      </c>
      <c r="AB283" s="1">
        <f t="shared" si="873"/>
        <v>23596.6996517115</v>
      </c>
      <c r="AC283" s="1">
        <f>AB283/(AB283+战斗公式!$M$27)</f>
        <v>0.495763358055919</v>
      </c>
      <c r="AD283" s="1">
        <f t="shared" si="874"/>
        <v>1017974.15640409</v>
      </c>
      <c r="AE283" s="1">
        <f t="shared" si="875"/>
        <v>7.96978218521975</v>
      </c>
      <c r="AF283" s="1">
        <f t="shared" si="876"/>
        <v>4.25251159175967</v>
      </c>
      <c r="AG283" s="1">
        <f t="shared" si="877"/>
        <v>4.56321560882921</v>
      </c>
      <c r="AH283" s="1">
        <f t="shared" si="878"/>
        <v>1.14029191724021</v>
      </c>
      <c r="AI283" s="1">
        <f t="shared" si="879"/>
        <v>1.00000105630966</v>
      </c>
      <c r="AJ283" s="1">
        <f t="shared" si="880"/>
        <v>1.0033190551261</v>
      </c>
      <c r="AK283" s="1">
        <f t="shared" si="881"/>
        <v>1</v>
      </c>
      <c r="AL283" s="10">
        <f t="shared" si="882"/>
        <v>550803</v>
      </c>
      <c r="AM283" s="10">
        <f t="shared" si="883"/>
        <v>40361</v>
      </c>
      <c r="AN283" s="10">
        <f t="shared" si="884"/>
        <v>23597</v>
      </c>
      <c r="AO283" s="1">
        <f t="shared" si="885"/>
        <v>294873</v>
      </c>
      <c r="AP283" s="1">
        <f t="shared" si="886"/>
        <v>40361</v>
      </c>
      <c r="AR283" s="1">
        <f t="shared" ref="AR283:AX283" si="935">ROUNDUP(AR$10*$AO283,0)</f>
        <v>294873</v>
      </c>
      <c r="AS283" s="1">
        <f t="shared" si="935"/>
        <v>884619</v>
      </c>
      <c r="AT283" s="1">
        <f t="shared" si="935"/>
        <v>530772</v>
      </c>
      <c r="AU283" s="1">
        <f t="shared" si="935"/>
        <v>147437</v>
      </c>
      <c r="AV283" s="1">
        <f t="shared" si="935"/>
        <v>44231</v>
      </c>
      <c r="AW283" s="1">
        <f t="shared" si="935"/>
        <v>1179492</v>
      </c>
      <c r="AX283" s="1">
        <f t="shared" si="935"/>
        <v>2653857</v>
      </c>
      <c r="AY283" s="1">
        <f t="shared" si="888"/>
        <v>33048215</v>
      </c>
      <c r="AZ283" s="1">
        <f t="shared" si="889"/>
        <v>16524107</v>
      </c>
      <c r="BB283" s="1">
        <f t="shared" si="890"/>
        <v>272</v>
      </c>
    </row>
    <row r="284" spans="2:54">
      <c r="B284" s="4">
        <v>273</v>
      </c>
      <c r="C284" s="1">
        <f t="shared" ref="C284:I284" si="936">C$5+(C$6-C$5)*(POWER(C$7,$B284-1)-1)/(POWER(C$7,$B$3-1)-1)</f>
        <v>21569.43887091</v>
      </c>
      <c r="D284" s="1">
        <f t="shared" si="936"/>
        <v>6470.83166127301</v>
      </c>
      <c r="E284" s="1">
        <f t="shared" si="936"/>
        <v>4313.88777418201</v>
      </c>
      <c r="F284" s="1">
        <f t="shared" si="936"/>
        <v>54606.1743567342</v>
      </c>
      <c r="G284" s="1">
        <f t="shared" si="936"/>
        <v>16381.8523070203</v>
      </c>
      <c r="H284" s="1">
        <f t="shared" si="936"/>
        <v>10921.2348713468</v>
      </c>
      <c r="I284" s="1">
        <f t="shared" si="936"/>
        <v>0</v>
      </c>
      <c r="J284" s="1">
        <f>标准模型!$I$65/1*$B284/$B$3</f>
        <v>1.9656</v>
      </c>
      <c r="K284" s="1">
        <f>J284*标准模型!$J$63</f>
        <v>1.9656</v>
      </c>
      <c r="L284" s="1">
        <f t="shared" si="865"/>
        <v>76175.6132276442</v>
      </c>
      <c r="M284" s="1">
        <f t="shared" si="866"/>
        <v>35571.7506816915</v>
      </c>
      <c r="N284" s="1">
        <f t="shared" si="867"/>
        <v>23714.500454461</v>
      </c>
      <c r="O284" s="1">
        <f t="shared" ref="O284:W284" si="937">O$5+(O$6-O$5)*(POWER(O$7,$B284-1)-1)/(POWER(O$7,$B$3-1)-1)</f>
        <v>0.772576023831334</v>
      </c>
      <c r="P284" s="1">
        <f t="shared" si="937"/>
        <v>0.180955826705747</v>
      </c>
      <c r="Q284" s="1">
        <f t="shared" si="937"/>
        <v>0.424916813107234</v>
      </c>
      <c r="R284" s="1">
        <f t="shared" si="937"/>
        <v>1.10903040953253</v>
      </c>
      <c r="S284" s="1">
        <f t="shared" si="937"/>
        <v>0.404348830980734</v>
      </c>
      <c r="T284" s="1">
        <f t="shared" si="937"/>
        <v>3.0630464929422</v>
      </c>
      <c r="U284" s="1">
        <f t="shared" si="937"/>
        <v>1</v>
      </c>
      <c r="V284" s="1">
        <f t="shared" si="937"/>
        <v>1.29727094564853</v>
      </c>
      <c r="W284" s="1">
        <f t="shared" si="937"/>
        <v>1.87224327626027</v>
      </c>
      <c r="X284" s="1">
        <f t="shared" si="869"/>
        <v>3.63149427161685</v>
      </c>
      <c r="Y284" s="1">
        <f t="shared" si="870"/>
        <v>6.81038160598327</v>
      </c>
      <c r="Z284" s="1">
        <f t="shared" si="871"/>
        <v>518784.995150044</v>
      </c>
      <c r="AA284" s="1">
        <f t="shared" si="872"/>
        <v>35571.7506816915</v>
      </c>
      <c r="AB284" s="1">
        <f t="shared" si="873"/>
        <v>23714.500454461</v>
      </c>
      <c r="AC284" s="1">
        <f>AB284/(AB284+战斗公式!$M$27)</f>
        <v>0.49700825175974</v>
      </c>
      <c r="AD284" s="1">
        <f t="shared" si="874"/>
        <v>1031398.6202856</v>
      </c>
      <c r="AE284" s="1">
        <f t="shared" si="875"/>
        <v>7.98428338570662</v>
      </c>
      <c r="AF284" s="1">
        <f t="shared" si="876"/>
        <v>4.25745296749387</v>
      </c>
      <c r="AG284" s="1">
        <f t="shared" si="877"/>
        <v>4.56720914599404</v>
      </c>
      <c r="AH284" s="1">
        <f t="shared" si="878"/>
        <v>1.14431147961666</v>
      </c>
      <c r="AI284" s="1">
        <f t="shared" si="879"/>
        <v>1.00000100349374</v>
      </c>
      <c r="AJ284" s="1">
        <f t="shared" si="880"/>
        <v>1.00325200421619</v>
      </c>
      <c r="AK284" s="1">
        <f t="shared" si="881"/>
        <v>1</v>
      </c>
      <c r="AL284" s="10">
        <f t="shared" si="882"/>
        <v>556530</v>
      </c>
      <c r="AM284" s="10">
        <f t="shared" si="883"/>
        <v>40705</v>
      </c>
      <c r="AN284" s="10">
        <f t="shared" si="884"/>
        <v>23715</v>
      </c>
      <c r="AO284" s="1">
        <f t="shared" si="885"/>
        <v>297723</v>
      </c>
      <c r="AP284" s="1">
        <f t="shared" si="886"/>
        <v>40705</v>
      </c>
      <c r="AR284" s="1">
        <f t="shared" ref="AR284:AX284" si="938">ROUNDUP(AR$10*$AO284,0)</f>
        <v>297723</v>
      </c>
      <c r="AS284" s="1">
        <f t="shared" si="938"/>
        <v>893169</v>
      </c>
      <c r="AT284" s="1">
        <f t="shared" si="938"/>
        <v>535902</v>
      </c>
      <c r="AU284" s="1">
        <f t="shared" si="938"/>
        <v>148862</v>
      </c>
      <c r="AV284" s="1">
        <f t="shared" si="938"/>
        <v>44659</v>
      </c>
      <c r="AW284" s="1">
        <f t="shared" si="938"/>
        <v>1190892</v>
      </c>
      <c r="AX284" s="1">
        <f t="shared" si="938"/>
        <v>2679507</v>
      </c>
      <c r="AY284" s="1">
        <f t="shared" si="888"/>
        <v>33391834</v>
      </c>
      <c r="AZ284" s="1">
        <f t="shared" si="889"/>
        <v>16695917</v>
      </c>
      <c r="BB284" s="1">
        <f t="shared" si="890"/>
        <v>273</v>
      </c>
    </row>
    <row r="285" spans="2:54">
      <c r="B285" s="4">
        <v>274</v>
      </c>
      <c r="C285" s="1">
        <f t="shared" ref="C285:I285" si="939">C$5+(C$6-C$5)*(POWER(C$7,$B285-1)-1)/(POWER(C$7,$B$3-1)-1)</f>
        <v>21648.4370531127</v>
      </c>
      <c r="D285" s="1">
        <f t="shared" si="939"/>
        <v>6494.5311159338</v>
      </c>
      <c r="E285" s="1">
        <f t="shared" si="939"/>
        <v>4329.68741062253</v>
      </c>
      <c r="F285" s="1">
        <f t="shared" si="939"/>
        <v>54806.1697547156</v>
      </c>
      <c r="G285" s="1">
        <f t="shared" si="939"/>
        <v>16441.8509264147</v>
      </c>
      <c r="H285" s="1">
        <f t="shared" si="939"/>
        <v>10961.2339509431</v>
      </c>
      <c r="I285" s="1">
        <f t="shared" si="939"/>
        <v>0</v>
      </c>
      <c r="J285" s="1">
        <f>标准模型!$I$65/1*$B285/$B$3</f>
        <v>1.9728</v>
      </c>
      <c r="K285" s="1">
        <f>J285*标准模型!$J$63</f>
        <v>1.9728</v>
      </c>
      <c r="L285" s="1">
        <f t="shared" si="865"/>
        <v>76454.6068078283</v>
      </c>
      <c r="M285" s="1">
        <f t="shared" si="866"/>
        <v>35748.7930278627</v>
      </c>
      <c r="N285" s="1">
        <f t="shared" si="867"/>
        <v>23832.5286852418</v>
      </c>
      <c r="O285" s="1">
        <f t="shared" ref="O285:W285" si="940">O$5+(O$6-O$5)*(POWER(O$7,$B285-1)-1)/(POWER(O$7,$B$3-1)-1)</f>
        <v>0.773578004783144</v>
      </c>
      <c r="P285" s="1">
        <f t="shared" si="940"/>
        <v>0.181766517571336</v>
      </c>
      <c r="Q285" s="1">
        <f t="shared" si="940"/>
        <v>0.425467902630729</v>
      </c>
      <c r="R285" s="1">
        <f t="shared" si="940"/>
        <v>1.10943120191326</v>
      </c>
      <c r="S285" s="1">
        <f t="shared" si="940"/>
        <v>0.405651406218088</v>
      </c>
      <c r="T285" s="1">
        <f t="shared" si="940"/>
        <v>3.06695421865426</v>
      </c>
      <c r="U285" s="1">
        <f t="shared" si="940"/>
        <v>1</v>
      </c>
      <c r="V285" s="1">
        <f t="shared" si="940"/>
        <v>1.29836370436179</v>
      </c>
      <c r="W285" s="1">
        <f t="shared" si="940"/>
        <v>1.87544961530606</v>
      </c>
      <c r="X285" s="1">
        <f t="shared" si="869"/>
        <v>3.65443853472005</v>
      </c>
      <c r="Y285" s="1">
        <f t="shared" si="870"/>
        <v>6.85790866068084</v>
      </c>
      <c r="Z285" s="1">
        <f t="shared" si="871"/>
        <v>524318.710176354</v>
      </c>
      <c r="AA285" s="1">
        <f t="shared" si="872"/>
        <v>35748.7930278627</v>
      </c>
      <c r="AB285" s="1">
        <f t="shared" si="873"/>
        <v>23832.5286852418</v>
      </c>
      <c r="AC285" s="1">
        <f>AB285/(AB285+战斗公式!$M$27)</f>
        <v>0.498249399317144</v>
      </c>
      <c r="AD285" s="1">
        <f t="shared" si="874"/>
        <v>1044978.73936331</v>
      </c>
      <c r="AE285" s="1">
        <f t="shared" si="875"/>
        <v>7.99881052494537</v>
      </c>
      <c r="AF285" s="1">
        <f t="shared" si="876"/>
        <v>4.26240168258273</v>
      </c>
      <c r="AG285" s="1">
        <f t="shared" si="877"/>
        <v>4.57117273163014</v>
      </c>
      <c r="AH285" s="1">
        <f t="shared" si="878"/>
        <v>1.14833908111787</v>
      </c>
      <c r="AI285" s="1">
        <f t="shared" si="879"/>
        <v>1.00000095331861</v>
      </c>
      <c r="AJ285" s="1">
        <f t="shared" si="880"/>
        <v>1.00318629432448</v>
      </c>
      <c r="AK285" s="1">
        <f t="shared" si="881"/>
        <v>1</v>
      </c>
      <c r="AL285" s="10">
        <f t="shared" si="882"/>
        <v>562301</v>
      </c>
      <c r="AM285" s="10">
        <f t="shared" si="883"/>
        <v>41052</v>
      </c>
      <c r="AN285" s="10">
        <f t="shared" si="884"/>
        <v>23833</v>
      </c>
      <c r="AO285" s="1">
        <f t="shared" si="885"/>
        <v>300593</v>
      </c>
      <c r="AP285" s="1">
        <f t="shared" si="886"/>
        <v>41052</v>
      </c>
      <c r="AR285" s="1">
        <f t="shared" ref="AR285:AX285" si="941">ROUNDUP(AR$10*$AO285,0)</f>
        <v>300593</v>
      </c>
      <c r="AS285" s="1">
        <f t="shared" si="941"/>
        <v>901779</v>
      </c>
      <c r="AT285" s="1">
        <f t="shared" si="941"/>
        <v>541068</v>
      </c>
      <c r="AU285" s="1">
        <f t="shared" si="941"/>
        <v>150297</v>
      </c>
      <c r="AV285" s="1">
        <f t="shared" si="941"/>
        <v>45089</v>
      </c>
      <c r="AW285" s="1">
        <f t="shared" si="941"/>
        <v>1202372</v>
      </c>
      <c r="AX285" s="1">
        <f t="shared" si="941"/>
        <v>2705337</v>
      </c>
      <c r="AY285" s="1">
        <f t="shared" si="888"/>
        <v>33738092</v>
      </c>
      <c r="AZ285" s="1">
        <f t="shared" si="889"/>
        <v>16869046</v>
      </c>
      <c r="BB285" s="1">
        <f t="shared" si="890"/>
        <v>274</v>
      </c>
    </row>
    <row r="286" spans="2:54">
      <c r="B286" s="4">
        <v>275</v>
      </c>
      <c r="C286" s="1">
        <f t="shared" ref="C286:I286" si="942">C$5+(C$6-C$5)*(POWER(C$7,$B286-1)-1)/(POWER(C$7,$B$3-1)-1)</f>
        <v>21727.4351563149</v>
      </c>
      <c r="D286" s="1">
        <f t="shared" si="942"/>
        <v>6518.23054689448</v>
      </c>
      <c r="E286" s="1">
        <f t="shared" si="942"/>
        <v>4345.48703126298</v>
      </c>
      <c r="F286" s="1">
        <f t="shared" si="942"/>
        <v>55006.164952696</v>
      </c>
      <c r="G286" s="1">
        <f t="shared" si="942"/>
        <v>16501.8494858088</v>
      </c>
      <c r="H286" s="1">
        <f t="shared" si="942"/>
        <v>11001.2329905392</v>
      </c>
      <c r="I286" s="1">
        <f t="shared" si="942"/>
        <v>0</v>
      </c>
      <c r="J286" s="1">
        <f>标准模型!$I$65/1*$B286/$B$3</f>
        <v>1.98</v>
      </c>
      <c r="K286" s="1">
        <f>J286*标准模型!$J$63</f>
        <v>1.98</v>
      </c>
      <c r="L286" s="1">
        <f t="shared" si="865"/>
        <v>76733.6001090109</v>
      </c>
      <c r="M286" s="1">
        <f t="shared" si="866"/>
        <v>35926.1765155543</v>
      </c>
      <c r="N286" s="1">
        <f t="shared" si="867"/>
        <v>23950.7843437029</v>
      </c>
      <c r="O286" s="1">
        <f t="shared" ref="O286:W286" si="943">O$5+(O$6-O$5)*(POWER(O$7,$B286-1)-1)/(POWER(O$7,$B$3-1)-1)</f>
        <v>0.774579984732946</v>
      </c>
      <c r="P286" s="1">
        <f t="shared" si="943"/>
        <v>0.182578424473222</v>
      </c>
      <c r="Q286" s="1">
        <f t="shared" si="943"/>
        <v>0.42601899160312</v>
      </c>
      <c r="R286" s="1">
        <f t="shared" si="943"/>
        <v>1.10983199389318</v>
      </c>
      <c r="S286" s="1">
        <f t="shared" si="943"/>
        <v>0.40695398015283</v>
      </c>
      <c r="T286" s="1">
        <f t="shared" si="943"/>
        <v>3.07086194045849</v>
      </c>
      <c r="U286" s="1">
        <f t="shared" si="943"/>
        <v>1</v>
      </c>
      <c r="V286" s="1">
        <f t="shared" si="943"/>
        <v>1.29945646198226</v>
      </c>
      <c r="W286" s="1">
        <f t="shared" si="943"/>
        <v>1.87865595114543</v>
      </c>
      <c r="X286" s="1">
        <f t="shared" si="869"/>
        <v>3.67750840196621</v>
      </c>
      <c r="Y286" s="1">
        <f t="shared" si="870"/>
        <v>6.90572805652006</v>
      </c>
      <c r="Z286" s="1">
        <f t="shared" si="871"/>
        <v>529901.375150588</v>
      </c>
      <c r="AA286" s="1">
        <f t="shared" si="872"/>
        <v>35926.1765155543</v>
      </c>
      <c r="AB286" s="1">
        <f t="shared" si="873"/>
        <v>23950.7843437029</v>
      </c>
      <c r="AC286" s="1">
        <f>AB286/(AB286+战斗公式!$M$27)</f>
        <v>0.499486810727179</v>
      </c>
      <c r="AD286" s="1">
        <f t="shared" si="874"/>
        <v>1058716.10680323</v>
      </c>
      <c r="AE286" s="1">
        <f t="shared" si="875"/>
        <v>8.01336356898348</v>
      </c>
      <c r="AF286" s="1">
        <f t="shared" si="876"/>
        <v>4.26735770823226</v>
      </c>
      <c r="AG286" s="1">
        <f t="shared" si="877"/>
        <v>4.57510659037397</v>
      </c>
      <c r="AH286" s="1">
        <f t="shared" si="878"/>
        <v>1.15237473782207</v>
      </c>
      <c r="AI286" s="1">
        <f t="shared" si="879"/>
        <v>1.00000090565224</v>
      </c>
      <c r="AJ286" s="1">
        <f t="shared" si="880"/>
        <v>1.0031218986306</v>
      </c>
      <c r="AK286" s="1">
        <f t="shared" si="881"/>
        <v>1</v>
      </c>
      <c r="AL286" s="10">
        <f t="shared" si="882"/>
        <v>568116</v>
      </c>
      <c r="AM286" s="10">
        <f t="shared" si="883"/>
        <v>41400</v>
      </c>
      <c r="AN286" s="10">
        <f t="shared" si="884"/>
        <v>23951</v>
      </c>
      <c r="AO286" s="1">
        <f t="shared" si="885"/>
        <v>303484</v>
      </c>
      <c r="AP286" s="1">
        <f t="shared" si="886"/>
        <v>41400</v>
      </c>
      <c r="AR286" s="1">
        <f t="shared" ref="AR286:AX286" si="944">ROUNDUP(AR$10*$AO286,0)</f>
        <v>303484</v>
      </c>
      <c r="AS286" s="1">
        <f t="shared" si="944"/>
        <v>910452</v>
      </c>
      <c r="AT286" s="1">
        <f t="shared" si="944"/>
        <v>546272</v>
      </c>
      <c r="AU286" s="1">
        <f t="shared" si="944"/>
        <v>151742</v>
      </c>
      <c r="AV286" s="1">
        <f t="shared" si="944"/>
        <v>45523</v>
      </c>
      <c r="AW286" s="1">
        <f t="shared" si="944"/>
        <v>1213936</v>
      </c>
      <c r="AX286" s="1">
        <f t="shared" si="944"/>
        <v>2731356</v>
      </c>
      <c r="AY286" s="1">
        <f t="shared" si="888"/>
        <v>34086991</v>
      </c>
      <c r="AZ286" s="1">
        <f t="shared" si="889"/>
        <v>17043495</v>
      </c>
      <c r="BB286" s="1">
        <f t="shared" si="890"/>
        <v>275</v>
      </c>
    </row>
    <row r="287" spans="2:54">
      <c r="B287" s="4">
        <v>276</v>
      </c>
      <c r="C287" s="1">
        <f t="shared" ref="C287:I287" si="945">C$5+(C$6-C$5)*(POWER(C$7,$B287-1)-1)/(POWER(C$7,$B$3-1)-1)</f>
        <v>21806.4331805168</v>
      </c>
      <c r="D287" s="1">
        <f t="shared" si="945"/>
        <v>6541.92995415504</v>
      </c>
      <c r="E287" s="1">
        <f t="shared" si="945"/>
        <v>4361.28663610336</v>
      </c>
      <c r="F287" s="1">
        <f t="shared" si="945"/>
        <v>55206.1599506755</v>
      </c>
      <c r="G287" s="1">
        <f t="shared" si="945"/>
        <v>16561.8479852026</v>
      </c>
      <c r="H287" s="1">
        <f t="shared" si="945"/>
        <v>11041.2319901351</v>
      </c>
      <c r="I287" s="1">
        <f t="shared" si="945"/>
        <v>0</v>
      </c>
      <c r="J287" s="1">
        <f>标准模型!$I$65/1*$B287/$B$3</f>
        <v>1.9872</v>
      </c>
      <c r="K287" s="1">
        <f>J287*标准模型!$J$63</f>
        <v>1.9872</v>
      </c>
      <c r="L287" s="1">
        <f t="shared" si="865"/>
        <v>77012.5931311923</v>
      </c>
      <c r="M287" s="1">
        <f t="shared" si="866"/>
        <v>36103.9011442546</v>
      </c>
      <c r="N287" s="1">
        <f t="shared" si="867"/>
        <v>24069.2674295031</v>
      </c>
      <c r="O287" s="1">
        <f t="shared" ref="O287:W287" si="946">O$5+(O$6-O$5)*(POWER(O$7,$B287-1)-1)/(POWER(O$7,$B$3-1)-1)</f>
        <v>0.775581963680739</v>
      </c>
      <c r="P287" s="1">
        <f t="shared" si="946"/>
        <v>0.183391549235462</v>
      </c>
      <c r="Q287" s="1">
        <f t="shared" si="946"/>
        <v>0.426570080024406</v>
      </c>
      <c r="R287" s="1">
        <f t="shared" si="946"/>
        <v>1.1102327854723</v>
      </c>
      <c r="S287" s="1">
        <f t="shared" si="946"/>
        <v>0.40825655278496</v>
      </c>
      <c r="T287" s="1">
        <f t="shared" si="946"/>
        <v>3.07476965835488</v>
      </c>
      <c r="U287" s="1">
        <f t="shared" si="946"/>
        <v>1</v>
      </c>
      <c r="V287" s="1">
        <f t="shared" si="946"/>
        <v>1.30054921850993</v>
      </c>
      <c r="W287" s="1">
        <f t="shared" si="946"/>
        <v>1.88186228377836</v>
      </c>
      <c r="X287" s="1">
        <f t="shared" si="869"/>
        <v>3.70070444102562</v>
      </c>
      <c r="Y287" s="1">
        <f t="shared" si="870"/>
        <v>6.95384131787943</v>
      </c>
      <c r="Z287" s="1">
        <f t="shared" si="871"/>
        <v>535533.352112722</v>
      </c>
      <c r="AA287" s="1">
        <f t="shared" si="872"/>
        <v>36103.9011442546</v>
      </c>
      <c r="AB287" s="1">
        <f t="shared" si="873"/>
        <v>24069.2674295031</v>
      </c>
      <c r="AC287" s="1">
        <f>AB287/(AB287+战斗公式!$M$27)</f>
        <v>0.500720495996789</v>
      </c>
      <c r="AD287" s="1">
        <f t="shared" si="874"/>
        <v>1072612.3300052</v>
      </c>
      <c r="AE287" s="1">
        <f t="shared" si="875"/>
        <v>8.02794248402019</v>
      </c>
      <c r="AF287" s="1">
        <f t="shared" si="876"/>
        <v>4.27232101579959</v>
      </c>
      <c r="AG287" s="1">
        <f t="shared" si="877"/>
        <v>4.57901094517721</v>
      </c>
      <c r="AH287" s="1">
        <f t="shared" si="878"/>
        <v>1.15641846583969</v>
      </c>
      <c r="AI287" s="1">
        <f t="shared" si="879"/>
        <v>1.00000086036919</v>
      </c>
      <c r="AJ287" s="1">
        <f t="shared" si="880"/>
        <v>1.0030587908506</v>
      </c>
      <c r="AK287" s="1">
        <f t="shared" si="881"/>
        <v>1</v>
      </c>
      <c r="AL287" s="10">
        <f t="shared" si="882"/>
        <v>573977</v>
      </c>
      <c r="AM287" s="10">
        <f t="shared" si="883"/>
        <v>41751</v>
      </c>
      <c r="AN287" s="10">
        <f t="shared" si="884"/>
        <v>24069</v>
      </c>
      <c r="AO287" s="1">
        <f t="shared" si="885"/>
        <v>306394</v>
      </c>
      <c r="AP287" s="1">
        <f t="shared" si="886"/>
        <v>41751</v>
      </c>
      <c r="AR287" s="1">
        <f t="shared" ref="AR287:AX287" si="947">ROUNDUP(AR$10*$AO287,0)</f>
        <v>306394</v>
      </c>
      <c r="AS287" s="1">
        <f t="shared" si="947"/>
        <v>919182</v>
      </c>
      <c r="AT287" s="1">
        <f t="shared" si="947"/>
        <v>551510</v>
      </c>
      <c r="AU287" s="1">
        <f t="shared" si="947"/>
        <v>153197</v>
      </c>
      <c r="AV287" s="1">
        <f t="shared" si="947"/>
        <v>45960</v>
      </c>
      <c r="AW287" s="1">
        <f t="shared" si="947"/>
        <v>1225576</v>
      </c>
      <c r="AX287" s="1">
        <f t="shared" si="947"/>
        <v>2757546</v>
      </c>
      <c r="AY287" s="1">
        <f t="shared" si="888"/>
        <v>34438650</v>
      </c>
      <c r="AZ287" s="1">
        <f t="shared" si="889"/>
        <v>17219325</v>
      </c>
      <c r="BB287" s="1">
        <f t="shared" si="890"/>
        <v>276</v>
      </c>
    </row>
    <row r="288" spans="2:54">
      <c r="B288" s="4">
        <v>277</v>
      </c>
      <c r="C288" s="1">
        <f t="shared" ref="C288:I288" si="948">C$5+(C$6-C$5)*(POWER(C$7,$B288-1)-1)/(POWER(C$7,$B$3-1)-1)</f>
        <v>21885.4311257271</v>
      </c>
      <c r="D288" s="1">
        <f t="shared" si="948"/>
        <v>6565.62933771812</v>
      </c>
      <c r="E288" s="1">
        <f t="shared" si="948"/>
        <v>4377.08622514542</v>
      </c>
      <c r="F288" s="1">
        <f t="shared" si="948"/>
        <v>55406.1547486762</v>
      </c>
      <c r="G288" s="1">
        <f t="shared" si="948"/>
        <v>16621.8464246028</v>
      </c>
      <c r="H288" s="1">
        <f t="shared" si="948"/>
        <v>11081.2309497352</v>
      </c>
      <c r="I288" s="1">
        <f t="shared" si="948"/>
        <v>0</v>
      </c>
      <c r="J288" s="1">
        <f>标准模型!$I$65/1*$B288/$B$3</f>
        <v>1.9944</v>
      </c>
      <c r="K288" s="1">
        <f>J288*标准模型!$J$63</f>
        <v>1.9944</v>
      </c>
      <c r="L288" s="1">
        <f t="shared" si="865"/>
        <v>77291.5858744033</v>
      </c>
      <c r="M288" s="1">
        <f t="shared" si="866"/>
        <v>36281.966913466</v>
      </c>
      <c r="N288" s="1">
        <f t="shared" si="867"/>
        <v>24187.9779423107</v>
      </c>
      <c r="O288" s="1">
        <f t="shared" ref="O288:W288" si="949">O$5+(O$6-O$5)*(POWER(O$7,$B288-1)-1)/(POWER(O$7,$B$3-1)-1)</f>
        <v>0.776583941626634</v>
      </c>
      <c r="P288" s="1">
        <f t="shared" si="949"/>
        <v>0.184205893684845</v>
      </c>
      <c r="Q288" s="1">
        <f t="shared" si="949"/>
        <v>0.427121167894649</v>
      </c>
      <c r="R288" s="1">
        <f t="shared" si="949"/>
        <v>1.11063357665065</v>
      </c>
      <c r="S288" s="1">
        <f t="shared" si="949"/>
        <v>0.409559124114624</v>
      </c>
      <c r="T288" s="1">
        <f t="shared" si="949"/>
        <v>3.07867737234387</v>
      </c>
      <c r="U288" s="1">
        <f t="shared" si="949"/>
        <v>1</v>
      </c>
      <c r="V288" s="1">
        <f t="shared" si="949"/>
        <v>1.30164197394494</v>
      </c>
      <c r="W288" s="1">
        <f t="shared" si="949"/>
        <v>1.88506861320523</v>
      </c>
      <c r="X288" s="1">
        <f t="shared" si="869"/>
        <v>3.72402722150765</v>
      </c>
      <c r="Y288" s="1">
        <f t="shared" si="870"/>
        <v>7.00224997546205</v>
      </c>
      <c r="Z288" s="1">
        <f t="shared" si="871"/>
        <v>541215.005292464</v>
      </c>
      <c r="AA288" s="1">
        <f t="shared" si="872"/>
        <v>36281.966913466</v>
      </c>
      <c r="AB288" s="1">
        <f t="shared" si="873"/>
        <v>24187.9779423107</v>
      </c>
      <c r="AC288" s="1">
        <f>AB288/(AB288+战斗公式!$M$27)</f>
        <v>0.501950465140244</v>
      </c>
      <c r="AD288" s="1">
        <f t="shared" si="874"/>
        <v>1086669.0307117</v>
      </c>
      <c r="AE288" s="1">
        <f t="shared" si="875"/>
        <v>8.04254723640571</v>
      </c>
      <c r="AF288" s="1">
        <f t="shared" si="876"/>
        <v>4.27729157679202</v>
      </c>
      <c r="AG288" s="1">
        <f t="shared" si="877"/>
        <v>4.58288601731944</v>
      </c>
      <c r="AH288" s="1">
        <f t="shared" si="878"/>
        <v>1.16047028131334</v>
      </c>
      <c r="AI288" s="1">
        <f t="shared" si="879"/>
        <v>1.00000081735029</v>
      </c>
      <c r="AJ288" s="1">
        <f t="shared" si="880"/>
        <v>1.0029969452262</v>
      </c>
      <c r="AK288" s="1">
        <f t="shared" si="881"/>
        <v>1</v>
      </c>
      <c r="AL288" s="10">
        <f t="shared" si="882"/>
        <v>579883</v>
      </c>
      <c r="AM288" s="10">
        <f t="shared" si="883"/>
        <v>42104</v>
      </c>
      <c r="AN288" s="10">
        <f t="shared" si="884"/>
        <v>24188</v>
      </c>
      <c r="AO288" s="1">
        <f t="shared" si="885"/>
        <v>309325</v>
      </c>
      <c r="AP288" s="1">
        <f t="shared" si="886"/>
        <v>42104</v>
      </c>
      <c r="AR288" s="1">
        <f t="shared" ref="AR288:AX288" si="950">ROUNDUP(AR$10*$AO288,0)</f>
        <v>309325</v>
      </c>
      <c r="AS288" s="1">
        <f t="shared" si="950"/>
        <v>927975</v>
      </c>
      <c r="AT288" s="1">
        <f t="shared" si="950"/>
        <v>556785</v>
      </c>
      <c r="AU288" s="1">
        <f t="shared" si="950"/>
        <v>154663</v>
      </c>
      <c r="AV288" s="1">
        <f t="shared" si="950"/>
        <v>46399</v>
      </c>
      <c r="AW288" s="1">
        <f t="shared" si="950"/>
        <v>1237300</v>
      </c>
      <c r="AX288" s="1">
        <f t="shared" si="950"/>
        <v>2783925</v>
      </c>
      <c r="AY288" s="1">
        <f t="shared" si="888"/>
        <v>34793008</v>
      </c>
      <c r="AZ288" s="1">
        <f t="shared" si="889"/>
        <v>17396504</v>
      </c>
      <c r="BB288" s="1">
        <f t="shared" si="890"/>
        <v>277</v>
      </c>
    </row>
    <row r="289" spans="2:54">
      <c r="B289" s="4">
        <v>278</v>
      </c>
      <c r="C289" s="1">
        <f t="shared" ref="C289:I289" si="951">C$5+(C$6-C$5)*(POWER(C$7,$B289-1)-1)/(POWER(C$7,$B$3-1)-1)</f>
        <v>21964.428991937</v>
      </c>
      <c r="D289" s="1">
        <f t="shared" si="951"/>
        <v>6589.32869758109</v>
      </c>
      <c r="E289" s="1">
        <f t="shared" si="951"/>
        <v>4392.8857983874</v>
      </c>
      <c r="F289" s="1">
        <f t="shared" si="951"/>
        <v>55606.1493466759</v>
      </c>
      <c r="G289" s="1">
        <f t="shared" si="951"/>
        <v>16681.8448040028</v>
      </c>
      <c r="H289" s="1">
        <f t="shared" si="951"/>
        <v>11121.2298693352</v>
      </c>
      <c r="I289" s="1">
        <f t="shared" si="951"/>
        <v>0</v>
      </c>
      <c r="J289" s="1">
        <f>标准模型!$I$65/1*$B289/$B$3</f>
        <v>2.0016</v>
      </c>
      <c r="K289" s="1">
        <f>J289*标准模型!$J$63</f>
        <v>2.0016</v>
      </c>
      <c r="L289" s="1">
        <f t="shared" si="865"/>
        <v>77570.5783386129</v>
      </c>
      <c r="M289" s="1">
        <f t="shared" si="866"/>
        <v>36460.3738226622</v>
      </c>
      <c r="N289" s="1">
        <f t="shared" si="867"/>
        <v>24306.9158817748</v>
      </c>
      <c r="O289" s="1">
        <f t="shared" ref="O289:W289" si="952">O$5+(O$6-O$5)*(POWER(O$7,$B289-1)-1)/(POWER(O$7,$B$3-1)-1)</f>
        <v>0.777585918570521</v>
      </c>
      <c r="P289" s="1">
        <f t="shared" si="952"/>
        <v>0.185021459650901</v>
      </c>
      <c r="Q289" s="1">
        <f t="shared" si="952"/>
        <v>0.427672255213786</v>
      </c>
      <c r="R289" s="1">
        <f t="shared" si="952"/>
        <v>1.11103436742821</v>
      </c>
      <c r="S289" s="1">
        <f t="shared" si="952"/>
        <v>0.410861694141677</v>
      </c>
      <c r="T289" s="1">
        <f t="shared" si="952"/>
        <v>3.08258508242503</v>
      </c>
      <c r="U289" s="1">
        <f t="shared" si="952"/>
        <v>1</v>
      </c>
      <c r="V289" s="1">
        <f t="shared" si="952"/>
        <v>1.30273472828717</v>
      </c>
      <c r="W289" s="1">
        <f t="shared" si="952"/>
        <v>1.88827493942567</v>
      </c>
      <c r="X289" s="1">
        <f t="shared" si="869"/>
        <v>3.74747731495867</v>
      </c>
      <c r="Y289" s="1">
        <f t="shared" si="870"/>
        <v>7.05095556630036</v>
      </c>
      <c r="Z289" s="1">
        <f t="shared" si="871"/>
        <v>546946.701117781</v>
      </c>
      <c r="AA289" s="1">
        <f t="shared" si="872"/>
        <v>36460.3738226622</v>
      </c>
      <c r="AB289" s="1">
        <f t="shared" si="873"/>
        <v>24306.9158817748</v>
      </c>
      <c r="AC289" s="1">
        <f>AB289/(AB289+战斗公式!$M$27)</f>
        <v>0.503176728178279</v>
      </c>
      <c r="AD289" s="1">
        <f t="shared" si="874"/>
        <v>1100887.84511295</v>
      </c>
      <c r="AE289" s="1">
        <f t="shared" si="875"/>
        <v>8.05717779263252</v>
      </c>
      <c r="AF289" s="1">
        <f t="shared" si="876"/>
        <v>4.2822693628634</v>
      </c>
      <c r="AG289" s="1">
        <f t="shared" si="877"/>
        <v>4.5867320264206</v>
      </c>
      <c r="AH289" s="1">
        <f t="shared" si="878"/>
        <v>1.16453020041793</v>
      </c>
      <c r="AI289" s="1">
        <f t="shared" si="879"/>
        <v>1.00000077648234</v>
      </c>
      <c r="AJ289" s="1">
        <f t="shared" si="880"/>
        <v>1.00293633651429</v>
      </c>
      <c r="AK289" s="1">
        <f t="shared" si="881"/>
        <v>1</v>
      </c>
      <c r="AL289" s="10">
        <f t="shared" si="882"/>
        <v>585834</v>
      </c>
      <c r="AM289" s="10">
        <f t="shared" si="883"/>
        <v>42459</v>
      </c>
      <c r="AN289" s="10">
        <f t="shared" si="884"/>
        <v>24307</v>
      </c>
      <c r="AO289" s="1">
        <f t="shared" si="885"/>
        <v>312276</v>
      </c>
      <c r="AP289" s="1">
        <f t="shared" si="886"/>
        <v>42459</v>
      </c>
      <c r="AR289" s="1">
        <f t="shared" ref="AR289:AX289" si="953">ROUNDUP(AR$10*$AO289,0)</f>
        <v>312276</v>
      </c>
      <c r="AS289" s="1">
        <f t="shared" si="953"/>
        <v>936828</v>
      </c>
      <c r="AT289" s="1">
        <f t="shared" si="953"/>
        <v>562097</v>
      </c>
      <c r="AU289" s="1">
        <f t="shared" si="953"/>
        <v>156138</v>
      </c>
      <c r="AV289" s="1">
        <f t="shared" si="953"/>
        <v>46842</v>
      </c>
      <c r="AW289" s="1">
        <f t="shared" si="953"/>
        <v>1249104</v>
      </c>
      <c r="AX289" s="1">
        <f t="shared" si="953"/>
        <v>2810484</v>
      </c>
      <c r="AY289" s="1">
        <f t="shared" si="888"/>
        <v>35150067</v>
      </c>
      <c r="AZ289" s="1">
        <f t="shared" si="889"/>
        <v>17575034</v>
      </c>
      <c r="BB289" s="1">
        <f t="shared" si="890"/>
        <v>278</v>
      </c>
    </row>
    <row r="290" spans="2:54">
      <c r="B290" s="4">
        <v>279</v>
      </c>
      <c r="C290" s="1">
        <f t="shared" ref="C290:I290" si="954">C$5+(C$6-C$5)*(POWER(C$7,$B290-1)-1)/(POWER(C$7,$B$3-1)-1)</f>
        <v>22043.4267791465</v>
      </c>
      <c r="D290" s="1">
        <f t="shared" si="954"/>
        <v>6613.02803374395</v>
      </c>
      <c r="E290" s="1">
        <f t="shared" si="954"/>
        <v>4408.6853558293</v>
      </c>
      <c r="F290" s="1">
        <f t="shared" si="954"/>
        <v>55806.1437446747</v>
      </c>
      <c r="G290" s="1">
        <f t="shared" si="954"/>
        <v>16741.8431234024</v>
      </c>
      <c r="H290" s="1">
        <f t="shared" si="954"/>
        <v>11161.2287489349</v>
      </c>
      <c r="I290" s="1">
        <f t="shared" si="954"/>
        <v>0</v>
      </c>
      <c r="J290" s="1">
        <f>标准模型!$I$65/1*$B290/$B$3</f>
        <v>2.0088</v>
      </c>
      <c r="K290" s="1">
        <f>J290*标准模型!$J$63</f>
        <v>2.0088</v>
      </c>
      <c r="L290" s="1">
        <f t="shared" si="865"/>
        <v>77849.5705238212</v>
      </c>
      <c r="M290" s="1">
        <f t="shared" si="866"/>
        <v>36639.1218713312</v>
      </c>
      <c r="N290" s="1">
        <f t="shared" si="867"/>
        <v>24426.0812475541</v>
      </c>
      <c r="O290" s="1">
        <f t="shared" ref="O290:W290" si="955">O$5+(O$6-O$5)*(POWER(O$7,$B290-1)-1)/(POWER(O$7,$B$3-1)-1)</f>
        <v>0.778587894512398</v>
      </c>
      <c r="P290" s="1">
        <f t="shared" si="955"/>
        <v>0.185838248965907</v>
      </c>
      <c r="Q290" s="1">
        <f t="shared" si="955"/>
        <v>0.428223341981819</v>
      </c>
      <c r="R290" s="1">
        <f t="shared" si="955"/>
        <v>1.11143515780496</v>
      </c>
      <c r="S290" s="1">
        <f t="shared" si="955"/>
        <v>0.412164262866118</v>
      </c>
      <c r="T290" s="1">
        <f t="shared" si="955"/>
        <v>3.08649278859835</v>
      </c>
      <c r="U290" s="1">
        <f t="shared" si="955"/>
        <v>1</v>
      </c>
      <c r="V290" s="1">
        <f t="shared" si="955"/>
        <v>1.3038274815366</v>
      </c>
      <c r="W290" s="1">
        <f t="shared" si="955"/>
        <v>1.89148126243967</v>
      </c>
      <c r="X290" s="1">
        <f t="shared" si="869"/>
        <v>3.77105529487371</v>
      </c>
      <c r="Y290" s="1">
        <f t="shared" si="870"/>
        <v>7.09995963379071</v>
      </c>
      <c r="Z290" s="1">
        <f t="shared" si="871"/>
        <v>552728.808227074</v>
      </c>
      <c r="AA290" s="1">
        <f t="shared" si="872"/>
        <v>36639.1218713312</v>
      </c>
      <c r="AB290" s="1">
        <f t="shared" si="873"/>
        <v>24426.0812475541</v>
      </c>
      <c r="AC290" s="1">
        <f>AB290/(AB290+战斗公式!$M$27)</f>
        <v>0.504399295137841</v>
      </c>
      <c r="AD290" s="1">
        <f t="shared" si="874"/>
        <v>1115270.42396117</v>
      </c>
      <c r="AE290" s="1">
        <f t="shared" si="875"/>
        <v>8.07183411934178</v>
      </c>
      <c r="AF290" s="1">
        <f t="shared" si="876"/>
        <v>4.28725434581581</v>
      </c>
      <c r="AG290" s="1">
        <f t="shared" si="877"/>
        <v>4.59054919045349</v>
      </c>
      <c r="AH290" s="1">
        <f t="shared" si="878"/>
        <v>1.16859823936074</v>
      </c>
      <c r="AI290" s="1">
        <f t="shared" si="879"/>
        <v>1.00000073765778</v>
      </c>
      <c r="AJ290" s="1">
        <f t="shared" si="880"/>
        <v>1.00287693997662</v>
      </c>
      <c r="AK290" s="1">
        <f t="shared" si="881"/>
        <v>1</v>
      </c>
      <c r="AL290" s="10">
        <f t="shared" si="882"/>
        <v>591831</v>
      </c>
      <c r="AM290" s="10">
        <f t="shared" si="883"/>
        <v>42816</v>
      </c>
      <c r="AN290" s="10">
        <f t="shared" si="884"/>
        <v>24426</v>
      </c>
      <c r="AO290" s="1">
        <f t="shared" si="885"/>
        <v>315248</v>
      </c>
      <c r="AP290" s="1">
        <f t="shared" si="886"/>
        <v>42816</v>
      </c>
      <c r="AR290" s="1">
        <f t="shared" ref="AR290:AX290" si="956">ROUNDUP(AR$10*$AO290,0)</f>
        <v>315248</v>
      </c>
      <c r="AS290" s="1">
        <f t="shared" si="956"/>
        <v>945744</v>
      </c>
      <c r="AT290" s="1">
        <f t="shared" si="956"/>
        <v>567447</v>
      </c>
      <c r="AU290" s="1">
        <f t="shared" si="956"/>
        <v>157624</v>
      </c>
      <c r="AV290" s="1">
        <f t="shared" si="956"/>
        <v>47288</v>
      </c>
      <c r="AW290" s="1">
        <f t="shared" si="956"/>
        <v>1260992</v>
      </c>
      <c r="AX290" s="1">
        <f t="shared" si="956"/>
        <v>2837232</v>
      </c>
      <c r="AY290" s="1">
        <f t="shared" si="888"/>
        <v>35509886</v>
      </c>
      <c r="AZ290" s="1">
        <f t="shared" si="889"/>
        <v>17754943</v>
      </c>
      <c r="BB290" s="1">
        <f t="shared" si="890"/>
        <v>279</v>
      </c>
    </row>
    <row r="291" spans="2:54">
      <c r="B291" s="4">
        <v>280</v>
      </c>
      <c r="C291" s="1">
        <f t="shared" ref="C291:I291" si="957">C$5+(C$6-C$5)*(POWER(C$7,$B291-1)-1)/(POWER(C$7,$B$3-1)-1)</f>
        <v>22122.4244873556</v>
      </c>
      <c r="D291" s="1">
        <f t="shared" si="957"/>
        <v>6636.72734620669</v>
      </c>
      <c r="E291" s="1">
        <f t="shared" si="957"/>
        <v>4424.48489747113</v>
      </c>
      <c r="F291" s="1">
        <f t="shared" si="957"/>
        <v>56006.1379426725</v>
      </c>
      <c r="G291" s="1">
        <f t="shared" si="957"/>
        <v>16801.8413828018</v>
      </c>
      <c r="H291" s="1">
        <f t="shared" si="957"/>
        <v>11201.2275885345</v>
      </c>
      <c r="I291" s="1">
        <f t="shared" si="957"/>
        <v>0</v>
      </c>
      <c r="J291" s="1">
        <f>标准模型!$I$65/1*$B291/$B$3</f>
        <v>2.016</v>
      </c>
      <c r="K291" s="1">
        <f>J291*标准模型!$J$63</f>
        <v>2.016</v>
      </c>
      <c r="L291" s="1">
        <f t="shared" si="865"/>
        <v>78128.5624300281</v>
      </c>
      <c r="M291" s="1">
        <f t="shared" si="866"/>
        <v>36818.2110589611</v>
      </c>
      <c r="N291" s="1">
        <f t="shared" si="867"/>
        <v>24545.4740393074</v>
      </c>
      <c r="O291" s="1">
        <f t="shared" ref="O291:W291" si="958">O$5+(O$6-O$5)*(POWER(O$7,$B291-1)-1)/(POWER(O$7,$B$3-1)-1)</f>
        <v>0.779589869452267</v>
      </c>
      <c r="P291" s="1">
        <f t="shared" si="958"/>
        <v>0.186656263464886</v>
      </c>
      <c r="Q291" s="1">
        <f t="shared" si="958"/>
        <v>0.428774428198747</v>
      </c>
      <c r="R291" s="1">
        <f t="shared" si="958"/>
        <v>1.11183594778091</v>
      </c>
      <c r="S291" s="1">
        <f t="shared" si="958"/>
        <v>0.413466830287947</v>
      </c>
      <c r="T291" s="1">
        <f t="shared" si="958"/>
        <v>3.09040049086384</v>
      </c>
      <c r="U291" s="1">
        <f t="shared" si="958"/>
        <v>1</v>
      </c>
      <c r="V291" s="1">
        <f t="shared" si="958"/>
        <v>1.30492023369324</v>
      </c>
      <c r="W291" s="1">
        <f t="shared" si="958"/>
        <v>1.89468758224725</v>
      </c>
      <c r="X291" s="1">
        <f t="shared" si="869"/>
        <v>3.79476173669908</v>
      </c>
      <c r="Y291" s="1">
        <f t="shared" si="870"/>
        <v>7.14926372770851</v>
      </c>
      <c r="Z291" s="1">
        <f t="shared" si="871"/>
        <v>558561.69747901</v>
      </c>
      <c r="AA291" s="1">
        <f t="shared" si="872"/>
        <v>36818.2110589611</v>
      </c>
      <c r="AB291" s="1">
        <f t="shared" si="873"/>
        <v>24545.4740393074</v>
      </c>
      <c r="AC291" s="1">
        <f>AB291/(AB291+战斗公式!$M$27)</f>
        <v>0.505618176051446</v>
      </c>
      <c r="AD291" s="1">
        <f t="shared" si="874"/>
        <v>1129818.43267995</v>
      </c>
      <c r="AE291" s="1">
        <f t="shared" si="875"/>
        <v>8.08651618331965</v>
      </c>
      <c r="AF291" s="1">
        <f t="shared" si="876"/>
        <v>4.29224649759772</v>
      </c>
      <c r="AG291" s="1">
        <f t="shared" si="877"/>
        <v>4.59433772575614</v>
      </c>
      <c r="AH291" s="1">
        <f t="shared" si="878"/>
        <v>1.17267441438143</v>
      </c>
      <c r="AI291" s="1">
        <f t="shared" si="879"/>
        <v>1.00000070077445</v>
      </c>
      <c r="AJ291" s="1">
        <f t="shared" si="880"/>
        <v>1.0028187313697</v>
      </c>
      <c r="AK291" s="1">
        <f t="shared" si="881"/>
        <v>1</v>
      </c>
      <c r="AL291" s="10">
        <f t="shared" si="882"/>
        <v>597874</v>
      </c>
      <c r="AM291" s="10">
        <f t="shared" si="883"/>
        <v>43176</v>
      </c>
      <c r="AN291" s="10">
        <f t="shared" si="884"/>
        <v>24545</v>
      </c>
      <c r="AO291" s="1">
        <f t="shared" si="885"/>
        <v>318240</v>
      </c>
      <c r="AP291" s="1">
        <f t="shared" si="886"/>
        <v>43176</v>
      </c>
      <c r="AR291" s="1">
        <f t="shared" ref="AR291:AX291" si="959">ROUNDUP(AR$10*$AO291,0)</f>
        <v>318240</v>
      </c>
      <c r="AS291" s="1">
        <f t="shared" si="959"/>
        <v>954720</v>
      </c>
      <c r="AT291" s="1">
        <f t="shared" si="959"/>
        <v>572832</v>
      </c>
      <c r="AU291" s="1">
        <f t="shared" si="959"/>
        <v>159120</v>
      </c>
      <c r="AV291" s="1">
        <f t="shared" si="959"/>
        <v>47736</v>
      </c>
      <c r="AW291" s="1">
        <f t="shared" si="959"/>
        <v>1272960</v>
      </c>
      <c r="AX291" s="1">
        <f t="shared" si="959"/>
        <v>2864160</v>
      </c>
      <c r="AY291" s="1">
        <f t="shared" si="888"/>
        <v>35872465</v>
      </c>
      <c r="AZ291" s="1">
        <f t="shared" si="889"/>
        <v>17936233</v>
      </c>
      <c r="BB291" s="1">
        <f t="shared" si="890"/>
        <v>280</v>
      </c>
    </row>
    <row r="292" spans="2:54">
      <c r="B292" s="4">
        <v>281</v>
      </c>
      <c r="C292" s="1">
        <f t="shared" ref="C292:I292" si="960">C$5+(C$6-C$5)*(POWER(C$7,$B292-1)-1)/(POWER(C$7,$B$3-1)-1)</f>
        <v>22201.4221165732</v>
      </c>
      <c r="D292" s="1">
        <f t="shared" si="960"/>
        <v>6660.42663497195</v>
      </c>
      <c r="E292" s="1">
        <f t="shared" si="960"/>
        <v>4440.28442331464</v>
      </c>
      <c r="F292" s="1">
        <f t="shared" si="960"/>
        <v>56206.1319406916</v>
      </c>
      <c r="G292" s="1">
        <f t="shared" si="960"/>
        <v>16861.8395822075</v>
      </c>
      <c r="H292" s="1">
        <f t="shared" si="960"/>
        <v>11241.2263881383</v>
      </c>
      <c r="I292" s="1">
        <f t="shared" si="960"/>
        <v>0</v>
      </c>
      <c r="J292" s="1">
        <f>标准模型!$I$65/1*$B292/$B$3</f>
        <v>2.0232</v>
      </c>
      <c r="K292" s="1">
        <f>J292*标准模型!$J$63</f>
        <v>2.0232</v>
      </c>
      <c r="L292" s="1">
        <f t="shared" si="865"/>
        <v>78407.5540572648</v>
      </c>
      <c r="M292" s="1">
        <f t="shared" si="866"/>
        <v>36997.6413850547</v>
      </c>
      <c r="N292" s="1">
        <f t="shared" si="867"/>
        <v>24665.0942567031</v>
      </c>
      <c r="O292" s="1">
        <f t="shared" ref="O292:W292" si="961">O$5+(O$6-O$5)*(POWER(O$7,$B292-1)-1)/(POWER(O$7,$B$3-1)-1)</f>
        <v>0.780591843390238</v>
      </c>
      <c r="P292" s="1">
        <f t="shared" si="961"/>
        <v>0.187475504985613</v>
      </c>
      <c r="Q292" s="1">
        <f t="shared" si="961"/>
        <v>0.429325513864631</v>
      </c>
      <c r="R292" s="1">
        <f t="shared" si="961"/>
        <v>1.1122367373561</v>
      </c>
      <c r="S292" s="1">
        <f t="shared" si="961"/>
        <v>0.41476939640731</v>
      </c>
      <c r="T292" s="1">
        <f t="shared" si="961"/>
        <v>3.09430818922193</v>
      </c>
      <c r="U292" s="1">
        <f t="shared" si="961"/>
        <v>1</v>
      </c>
      <c r="V292" s="1">
        <f t="shared" si="961"/>
        <v>1.30601298475722</v>
      </c>
      <c r="W292" s="1">
        <f t="shared" si="961"/>
        <v>1.89789389884876</v>
      </c>
      <c r="X292" s="1">
        <f t="shared" si="869"/>
        <v>3.81859721783942</v>
      </c>
      <c r="Y292" s="1">
        <f t="shared" si="870"/>
        <v>7.19886940423295</v>
      </c>
      <c r="Z292" s="1">
        <f t="shared" si="871"/>
        <v>564445.741963584</v>
      </c>
      <c r="AA292" s="1">
        <f t="shared" si="872"/>
        <v>36997.6413850547</v>
      </c>
      <c r="AB292" s="1">
        <f t="shared" si="873"/>
        <v>24665.0942567031</v>
      </c>
      <c r="AC292" s="1">
        <f>AB292/(AB292+战斗公式!$M$27)</f>
        <v>0.506833380956737</v>
      </c>
      <c r="AD292" s="1">
        <f t="shared" si="874"/>
        <v>1144533.55147719</v>
      </c>
      <c r="AE292" s="1">
        <f t="shared" si="875"/>
        <v>8.10122395149873</v>
      </c>
      <c r="AF292" s="1">
        <f t="shared" si="876"/>
        <v>4.29724579030384</v>
      </c>
      <c r="AG292" s="1">
        <f t="shared" si="877"/>
        <v>4.59809784704403</v>
      </c>
      <c r="AH292" s="1">
        <f t="shared" si="878"/>
        <v>1.17675874175216</v>
      </c>
      <c r="AI292" s="1">
        <f t="shared" si="879"/>
        <v>1.00000066573529</v>
      </c>
      <c r="AJ292" s="1">
        <f t="shared" si="880"/>
        <v>1.00276168693491</v>
      </c>
      <c r="AK292" s="1">
        <f t="shared" si="881"/>
        <v>1</v>
      </c>
      <c r="AL292" s="10">
        <f t="shared" si="882"/>
        <v>603963</v>
      </c>
      <c r="AM292" s="10">
        <f t="shared" si="883"/>
        <v>43537</v>
      </c>
      <c r="AN292" s="10">
        <f t="shared" si="884"/>
        <v>24665</v>
      </c>
      <c r="AO292" s="1">
        <f t="shared" si="885"/>
        <v>321253</v>
      </c>
      <c r="AP292" s="1">
        <f t="shared" si="886"/>
        <v>43537</v>
      </c>
      <c r="AR292" s="1">
        <f t="shared" ref="AR292:AX292" si="962">ROUNDUP(AR$10*$AO292,0)</f>
        <v>321253</v>
      </c>
      <c r="AS292" s="1">
        <f t="shared" si="962"/>
        <v>963759</v>
      </c>
      <c r="AT292" s="1">
        <f t="shared" si="962"/>
        <v>578256</v>
      </c>
      <c r="AU292" s="1">
        <f t="shared" si="962"/>
        <v>160627</v>
      </c>
      <c r="AV292" s="1">
        <f t="shared" si="962"/>
        <v>48188</v>
      </c>
      <c r="AW292" s="1">
        <f t="shared" si="962"/>
        <v>1285012</v>
      </c>
      <c r="AX292" s="1">
        <f t="shared" si="962"/>
        <v>2891277</v>
      </c>
      <c r="AY292" s="1">
        <f t="shared" si="888"/>
        <v>36237804</v>
      </c>
      <c r="AZ292" s="1">
        <f t="shared" si="889"/>
        <v>18118902</v>
      </c>
      <c r="BB292" s="1">
        <f t="shared" si="890"/>
        <v>281</v>
      </c>
    </row>
    <row r="293" spans="2:54">
      <c r="B293" s="4">
        <v>282</v>
      </c>
      <c r="C293" s="1">
        <f t="shared" ref="C293:I293" si="963">C$5+(C$6-C$5)*(POWER(C$7,$B293-1)-1)/(POWER(C$7,$B$3-1)-1)</f>
        <v>22280.4196667903</v>
      </c>
      <c r="D293" s="1">
        <f t="shared" si="963"/>
        <v>6684.1259000371</v>
      </c>
      <c r="E293" s="1">
        <f t="shared" si="963"/>
        <v>4456.08393335807</v>
      </c>
      <c r="F293" s="1">
        <f t="shared" si="963"/>
        <v>56406.1257387097</v>
      </c>
      <c r="G293" s="1">
        <f t="shared" si="963"/>
        <v>16921.8377216129</v>
      </c>
      <c r="H293" s="1">
        <f t="shared" si="963"/>
        <v>11281.2251477419</v>
      </c>
      <c r="I293" s="1">
        <f t="shared" si="963"/>
        <v>0</v>
      </c>
      <c r="J293" s="1">
        <f>标准模型!$I$65/1*$B293/$B$3</f>
        <v>2.0304</v>
      </c>
      <c r="K293" s="1">
        <f>J293*标准模型!$J$63</f>
        <v>2.0304</v>
      </c>
      <c r="L293" s="1">
        <f t="shared" si="865"/>
        <v>78686.5454055</v>
      </c>
      <c r="M293" s="1">
        <f t="shared" si="866"/>
        <v>37177.4128490853</v>
      </c>
      <c r="N293" s="1">
        <f t="shared" si="867"/>
        <v>24784.9418993902</v>
      </c>
      <c r="O293" s="1">
        <f t="shared" ref="O293:W293" si="964">O$5+(O$6-O$5)*(POWER(O$7,$B293-1)-1)/(POWER(O$7,$B$3-1)-1)</f>
        <v>0.781593816326201</v>
      </c>
      <c r="P293" s="1">
        <f t="shared" si="964"/>
        <v>0.188295975368621</v>
      </c>
      <c r="Q293" s="1">
        <f t="shared" si="964"/>
        <v>0.429876598979411</v>
      </c>
      <c r="R293" s="1">
        <f t="shared" si="964"/>
        <v>1.11263752653048</v>
      </c>
      <c r="S293" s="1">
        <f t="shared" si="964"/>
        <v>0.416071961224061</v>
      </c>
      <c r="T293" s="1">
        <f t="shared" si="964"/>
        <v>3.09821588367218</v>
      </c>
      <c r="U293" s="1">
        <f t="shared" si="964"/>
        <v>1</v>
      </c>
      <c r="V293" s="1">
        <f t="shared" si="964"/>
        <v>1.3071057347284</v>
      </c>
      <c r="W293" s="1">
        <f t="shared" si="964"/>
        <v>1.90110021224384</v>
      </c>
      <c r="X293" s="1">
        <f t="shared" si="869"/>
        <v>3.84256231765577</v>
      </c>
      <c r="Y293" s="1">
        <f t="shared" si="870"/>
        <v>7.2487782259519</v>
      </c>
      <c r="Z293" s="1">
        <f t="shared" si="871"/>
        <v>570381.317010764</v>
      </c>
      <c r="AA293" s="1">
        <f t="shared" si="872"/>
        <v>37177.4128490853</v>
      </c>
      <c r="AB293" s="1">
        <f t="shared" si="873"/>
        <v>24784.9418993902</v>
      </c>
      <c r="AC293" s="1">
        <f>AB293/(AB293+战斗公式!$M$27)</f>
        <v>0.508044919895662</v>
      </c>
      <c r="AD293" s="1">
        <f t="shared" si="874"/>
        <v>1159417.47545283</v>
      </c>
      <c r="AE293" s="1">
        <f t="shared" si="875"/>
        <v>8.11595739094976</v>
      </c>
      <c r="AF293" s="1">
        <f t="shared" si="876"/>
        <v>4.30225219617173</v>
      </c>
      <c r="AG293" s="1">
        <f t="shared" si="877"/>
        <v>4.60182976742225</v>
      </c>
      <c r="AH293" s="1">
        <f t="shared" si="878"/>
        <v>1.18085123777764</v>
      </c>
      <c r="AI293" s="1">
        <f t="shared" si="879"/>
        <v>1.00000063244808</v>
      </c>
      <c r="AJ293" s="1">
        <f t="shared" si="880"/>
        <v>1.00270578338883</v>
      </c>
      <c r="AK293" s="1">
        <f t="shared" si="881"/>
        <v>1</v>
      </c>
      <c r="AL293" s="10">
        <f t="shared" si="882"/>
        <v>610099</v>
      </c>
      <c r="AM293" s="10">
        <f t="shared" si="883"/>
        <v>43901</v>
      </c>
      <c r="AN293" s="10">
        <f t="shared" si="884"/>
        <v>24785</v>
      </c>
      <c r="AO293" s="1">
        <f t="shared" si="885"/>
        <v>324287</v>
      </c>
      <c r="AP293" s="1">
        <f t="shared" si="886"/>
        <v>43901</v>
      </c>
      <c r="AR293" s="1">
        <f t="shared" ref="AR293:AX293" si="965">ROUNDUP(AR$10*$AO293,0)</f>
        <v>324287</v>
      </c>
      <c r="AS293" s="1">
        <f t="shared" si="965"/>
        <v>972861</v>
      </c>
      <c r="AT293" s="1">
        <f t="shared" si="965"/>
        <v>583717</v>
      </c>
      <c r="AU293" s="1">
        <f t="shared" si="965"/>
        <v>162144</v>
      </c>
      <c r="AV293" s="1">
        <f t="shared" si="965"/>
        <v>48644</v>
      </c>
      <c r="AW293" s="1">
        <f t="shared" si="965"/>
        <v>1297148</v>
      </c>
      <c r="AX293" s="1">
        <f t="shared" si="965"/>
        <v>2918583</v>
      </c>
      <c r="AY293" s="1">
        <f t="shared" si="888"/>
        <v>36605963</v>
      </c>
      <c r="AZ293" s="1">
        <f t="shared" si="889"/>
        <v>18302982</v>
      </c>
      <c r="BB293" s="1">
        <f t="shared" si="890"/>
        <v>282</v>
      </c>
    </row>
    <row r="294" spans="2:54">
      <c r="B294" s="4">
        <v>283</v>
      </c>
      <c r="C294" s="1">
        <f t="shared" ref="C294:I294" si="966">C$5+(C$6-C$5)*(POWER(C$7,$B294-1)-1)/(POWER(C$7,$B$3-1)-1)</f>
        <v>22359.4171380071</v>
      </c>
      <c r="D294" s="1">
        <f t="shared" si="966"/>
        <v>6707.82514140213</v>
      </c>
      <c r="E294" s="1">
        <f t="shared" si="966"/>
        <v>4471.88342760142</v>
      </c>
      <c r="F294" s="1">
        <f t="shared" si="966"/>
        <v>56606.1193367268</v>
      </c>
      <c r="G294" s="1">
        <f t="shared" si="966"/>
        <v>16981.8358010181</v>
      </c>
      <c r="H294" s="1">
        <f t="shared" si="966"/>
        <v>11321.2238673454</v>
      </c>
      <c r="I294" s="1">
        <f t="shared" si="966"/>
        <v>0</v>
      </c>
      <c r="J294" s="1">
        <f>标准模型!$I$65/1*$B294/$B$3</f>
        <v>2.0376</v>
      </c>
      <c r="K294" s="1">
        <f>J294*标准模型!$J$63</f>
        <v>2.0376</v>
      </c>
      <c r="L294" s="1">
        <f t="shared" si="865"/>
        <v>78965.5364747339</v>
      </c>
      <c r="M294" s="1">
        <f t="shared" si="866"/>
        <v>37357.5254505412</v>
      </c>
      <c r="N294" s="1">
        <f t="shared" si="867"/>
        <v>24905.0169670274</v>
      </c>
      <c r="O294" s="1">
        <f t="shared" ref="O294:W294" si="967">O$5+(O$6-O$5)*(POWER(O$7,$B294-1)-1)/(POWER(O$7,$B$3-1)-1)</f>
        <v>0.782595788260155</v>
      </c>
      <c r="P294" s="1">
        <f t="shared" si="967"/>
        <v>0.189117676457203</v>
      </c>
      <c r="Q294" s="1">
        <f t="shared" si="967"/>
        <v>0.430427683543085</v>
      </c>
      <c r="R294" s="1">
        <f t="shared" si="967"/>
        <v>1.11303831530406</v>
      </c>
      <c r="S294" s="1">
        <f t="shared" si="967"/>
        <v>0.417374524738201</v>
      </c>
      <c r="T294" s="1">
        <f t="shared" si="967"/>
        <v>3.1021235742146</v>
      </c>
      <c r="U294" s="1">
        <f t="shared" si="967"/>
        <v>1</v>
      </c>
      <c r="V294" s="1">
        <f t="shared" si="967"/>
        <v>1.3081984836068</v>
      </c>
      <c r="W294" s="1">
        <f t="shared" si="967"/>
        <v>1.90430652243249</v>
      </c>
      <c r="X294" s="1">
        <f t="shared" si="869"/>
        <v>3.8666576174773</v>
      </c>
      <c r="Y294" s="1">
        <f t="shared" si="870"/>
        <v>7.29899176189706</v>
      </c>
      <c r="Z294" s="1">
        <f t="shared" si="871"/>
        <v>576368.800202864</v>
      </c>
      <c r="AA294" s="1">
        <f t="shared" si="872"/>
        <v>37357.5254505412</v>
      </c>
      <c r="AB294" s="1">
        <f t="shared" si="873"/>
        <v>24905.0169670274</v>
      </c>
      <c r="AC294" s="1">
        <f>AB294/(AB294+战斗公式!$M$27)</f>
        <v>0.509252802914245</v>
      </c>
      <c r="AD294" s="1">
        <f t="shared" si="874"/>
        <v>1174471.9147161</v>
      </c>
      <c r="AE294" s="1">
        <f t="shared" si="875"/>
        <v>8.13071646888764</v>
      </c>
      <c r="AF294" s="1">
        <f t="shared" si="876"/>
        <v>4.30726568758332</v>
      </c>
      <c r="AG294" s="1">
        <f t="shared" si="877"/>
        <v>4.60553369839763</v>
      </c>
      <c r="AH294" s="1">
        <f t="shared" si="878"/>
        <v>1.18495191879516</v>
      </c>
      <c r="AI294" s="1">
        <f t="shared" si="879"/>
        <v>1.00000060082524</v>
      </c>
      <c r="AJ294" s="1">
        <f t="shared" si="880"/>
        <v>1.00265099791366</v>
      </c>
      <c r="AK294" s="1">
        <f t="shared" si="881"/>
        <v>1</v>
      </c>
      <c r="AL294" s="10">
        <f t="shared" si="882"/>
        <v>616281</v>
      </c>
      <c r="AM294" s="10">
        <f t="shared" si="883"/>
        <v>44267</v>
      </c>
      <c r="AN294" s="10">
        <f t="shared" si="884"/>
        <v>24905</v>
      </c>
      <c r="AO294" s="1">
        <f t="shared" si="885"/>
        <v>327342</v>
      </c>
      <c r="AP294" s="1">
        <f t="shared" si="886"/>
        <v>44267</v>
      </c>
      <c r="AR294" s="1">
        <f t="shared" ref="AR294:AX294" si="968">ROUNDUP(AR$10*$AO294,0)</f>
        <v>327342</v>
      </c>
      <c r="AS294" s="1">
        <f t="shared" si="968"/>
        <v>982026</v>
      </c>
      <c r="AT294" s="1">
        <f t="shared" si="968"/>
        <v>589216</v>
      </c>
      <c r="AU294" s="1">
        <f t="shared" si="968"/>
        <v>163671</v>
      </c>
      <c r="AV294" s="1">
        <f t="shared" si="968"/>
        <v>49102</v>
      </c>
      <c r="AW294" s="1">
        <f t="shared" si="968"/>
        <v>1309368</v>
      </c>
      <c r="AX294" s="1">
        <f t="shared" si="968"/>
        <v>2946078</v>
      </c>
      <c r="AY294" s="1">
        <f t="shared" si="888"/>
        <v>36976882</v>
      </c>
      <c r="AZ294" s="1">
        <f t="shared" si="889"/>
        <v>18488441</v>
      </c>
      <c r="BB294" s="1">
        <f t="shared" si="890"/>
        <v>283</v>
      </c>
    </row>
    <row r="295" spans="2:54">
      <c r="B295" s="4">
        <v>284</v>
      </c>
      <c r="C295" s="1">
        <f t="shared" ref="C295:I295" si="969">C$5+(C$6-C$5)*(POWER(C$7,$B295-1)-1)/(POWER(C$7,$B$3-1)-1)</f>
        <v>22438.4145302323</v>
      </c>
      <c r="D295" s="1">
        <f t="shared" si="969"/>
        <v>6731.52435906968</v>
      </c>
      <c r="E295" s="1">
        <f t="shared" si="969"/>
        <v>4487.68290604646</v>
      </c>
      <c r="F295" s="1">
        <f t="shared" si="969"/>
        <v>56806.1127347653</v>
      </c>
      <c r="G295" s="1">
        <f t="shared" si="969"/>
        <v>17041.8338204296</v>
      </c>
      <c r="H295" s="1">
        <f t="shared" si="969"/>
        <v>11361.2225469531</v>
      </c>
      <c r="I295" s="1">
        <f t="shared" si="969"/>
        <v>0</v>
      </c>
      <c r="J295" s="1">
        <f>标准模型!$I$65/1*$B295/$B$3</f>
        <v>2.0448</v>
      </c>
      <c r="K295" s="1">
        <f>J295*标准模型!$J$63</f>
        <v>2.0448</v>
      </c>
      <c r="L295" s="1">
        <f t="shared" si="865"/>
        <v>79244.5272649976</v>
      </c>
      <c r="M295" s="1">
        <f t="shared" si="866"/>
        <v>37537.9791889249</v>
      </c>
      <c r="N295" s="1">
        <f t="shared" si="867"/>
        <v>25025.3194592833</v>
      </c>
      <c r="O295" s="1">
        <f t="shared" ref="O295:W295" si="970">O$5+(O$6-O$5)*(POWER(O$7,$B295-1)-1)/(POWER(O$7,$B$3-1)-1)</f>
        <v>0.783597759192211</v>
      </c>
      <c r="P295" s="1">
        <f t="shared" si="970"/>
        <v>0.189940610097419</v>
      </c>
      <c r="Q295" s="1">
        <f t="shared" si="970"/>
        <v>0.430978767555716</v>
      </c>
      <c r="R295" s="1">
        <f t="shared" si="970"/>
        <v>1.11343910367688</v>
      </c>
      <c r="S295" s="1">
        <f t="shared" si="970"/>
        <v>0.418677086949874</v>
      </c>
      <c r="T295" s="1">
        <f t="shared" si="970"/>
        <v>3.10603126084962</v>
      </c>
      <c r="U295" s="1">
        <f t="shared" si="970"/>
        <v>1</v>
      </c>
      <c r="V295" s="1">
        <f t="shared" si="970"/>
        <v>1.30929123139253</v>
      </c>
      <c r="W295" s="1">
        <f t="shared" si="970"/>
        <v>1.90751282941507</v>
      </c>
      <c r="X295" s="1">
        <f t="shared" si="869"/>
        <v>3.89088370060622</v>
      </c>
      <c r="Y295" s="1">
        <f t="shared" si="870"/>
        <v>7.3495115875641</v>
      </c>
      <c r="Z295" s="1">
        <f t="shared" si="871"/>
        <v>582408.571385139</v>
      </c>
      <c r="AA295" s="1">
        <f t="shared" si="872"/>
        <v>37537.9791889249</v>
      </c>
      <c r="AB295" s="1">
        <f t="shared" si="873"/>
        <v>25025.3194592833</v>
      </c>
      <c r="AC295" s="1">
        <f>AB295/(AB295+战斗公式!$M$27)</f>
        <v>0.510457040062073</v>
      </c>
      <c r="AD295" s="1">
        <f t="shared" si="874"/>
        <v>1189698.59449922</v>
      </c>
      <c r="AE295" s="1">
        <f t="shared" si="875"/>
        <v>8.14550115267075</v>
      </c>
      <c r="AF295" s="1">
        <f t="shared" si="876"/>
        <v>4.31228623706411</v>
      </c>
      <c r="AG295" s="1">
        <f t="shared" si="877"/>
        <v>4.60920984989071</v>
      </c>
      <c r="AH295" s="1">
        <f t="shared" si="878"/>
        <v>1.18906080117473</v>
      </c>
      <c r="AI295" s="1">
        <f t="shared" si="879"/>
        <v>1.00000057078354</v>
      </c>
      <c r="AJ295" s="1">
        <f t="shared" si="880"/>
        <v>1.002597308148</v>
      </c>
      <c r="AK295" s="1">
        <f t="shared" si="881"/>
        <v>1</v>
      </c>
      <c r="AL295" s="10">
        <f t="shared" si="882"/>
        <v>622510</v>
      </c>
      <c r="AM295" s="10">
        <f t="shared" si="883"/>
        <v>44635</v>
      </c>
      <c r="AN295" s="10">
        <f t="shared" si="884"/>
        <v>25025</v>
      </c>
      <c r="AO295" s="1">
        <f t="shared" si="885"/>
        <v>330417</v>
      </c>
      <c r="AP295" s="1">
        <f t="shared" si="886"/>
        <v>44635</v>
      </c>
      <c r="AR295" s="1">
        <f t="shared" ref="AR295:AX295" si="971">ROUNDUP(AR$10*$AO295,0)</f>
        <v>330417</v>
      </c>
      <c r="AS295" s="1">
        <f t="shared" si="971"/>
        <v>991251</v>
      </c>
      <c r="AT295" s="1">
        <f t="shared" si="971"/>
        <v>594751</v>
      </c>
      <c r="AU295" s="1">
        <f t="shared" si="971"/>
        <v>165209</v>
      </c>
      <c r="AV295" s="1">
        <f t="shared" si="971"/>
        <v>49563</v>
      </c>
      <c r="AW295" s="1">
        <f t="shared" si="971"/>
        <v>1321668</v>
      </c>
      <c r="AX295" s="1">
        <f t="shared" si="971"/>
        <v>2973753</v>
      </c>
      <c r="AY295" s="1">
        <f t="shared" si="888"/>
        <v>37350621</v>
      </c>
      <c r="AZ295" s="1">
        <f t="shared" si="889"/>
        <v>18675311</v>
      </c>
      <c r="BB295" s="1">
        <f t="shared" si="890"/>
        <v>284</v>
      </c>
    </row>
    <row r="296" spans="2:54">
      <c r="B296" s="4">
        <v>285</v>
      </c>
      <c r="C296" s="1">
        <f t="shared" ref="C296:I296" si="972">C$5+(C$6-C$5)*(POWER(C$7,$B296-1)-1)/(POWER(C$7,$B$3-1)-1)</f>
        <v>22517.4118434571</v>
      </c>
      <c r="D296" s="1">
        <f t="shared" si="972"/>
        <v>6755.22355303712</v>
      </c>
      <c r="E296" s="1">
        <f t="shared" si="972"/>
        <v>4503.48236869141</v>
      </c>
      <c r="F296" s="1">
        <f t="shared" si="972"/>
        <v>57006.1059328027</v>
      </c>
      <c r="G296" s="1">
        <f t="shared" si="972"/>
        <v>17101.8317798408</v>
      </c>
      <c r="H296" s="1">
        <f t="shared" si="972"/>
        <v>11401.2211865605</v>
      </c>
      <c r="I296" s="1">
        <f t="shared" si="972"/>
        <v>0</v>
      </c>
      <c r="J296" s="1">
        <f>标准模型!$I$65/1*$B296/$B$3</f>
        <v>2.052</v>
      </c>
      <c r="K296" s="1">
        <f>J296*标准模型!$J$63</f>
        <v>2.052</v>
      </c>
      <c r="L296" s="1">
        <f t="shared" si="865"/>
        <v>79523.5177762598</v>
      </c>
      <c r="M296" s="1">
        <f t="shared" si="866"/>
        <v>37718.7740637101</v>
      </c>
      <c r="N296" s="1">
        <f t="shared" si="867"/>
        <v>25145.8493758067</v>
      </c>
      <c r="O296" s="1">
        <f t="shared" ref="O296:W296" si="973">O$5+(O$6-O$5)*(POWER(O$7,$B296-1)-1)/(POWER(O$7,$B$3-1)-1)</f>
        <v>0.784599729122258</v>
      </c>
      <c r="P296" s="1">
        <f t="shared" si="973"/>
        <v>0.190764778138095</v>
      </c>
      <c r="Q296" s="1">
        <f t="shared" si="973"/>
        <v>0.431529851017242</v>
      </c>
      <c r="R296" s="1">
        <f t="shared" si="973"/>
        <v>1.1138398916489</v>
      </c>
      <c r="S296" s="1">
        <f t="shared" si="973"/>
        <v>0.419979647858935</v>
      </c>
      <c r="T296" s="1">
        <f t="shared" si="973"/>
        <v>3.10993894357681</v>
      </c>
      <c r="U296" s="1">
        <f t="shared" si="973"/>
        <v>1</v>
      </c>
      <c r="V296" s="1">
        <f t="shared" si="973"/>
        <v>1.31038397808547</v>
      </c>
      <c r="W296" s="1">
        <f t="shared" si="973"/>
        <v>1.91071913319123</v>
      </c>
      <c r="X296" s="1">
        <f t="shared" si="869"/>
        <v>3.91524115231574</v>
      </c>
      <c r="Y296" s="1">
        <f t="shared" si="870"/>
        <v>7.40033928491737</v>
      </c>
      <c r="Z296" s="1">
        <f t="shared" si="871"/>
        <v>588501.01267448</v>
      </c>
      <c r="AA296" s="1">
        <f t="shared" si="872"/>
        <v>37718.7740637101</v>
      </c>
      <c r="AB296" s="1">
        <f t="shared" si="873"/>
        <v>25145.8493758067</v>
      </c>
      <c r="AC296" s="1">
        <f>AB296/(AB296+战斗公式!$M$27)</f>
        <v>0.511657641391491</v>
      </c>
      <c r="AD296" s="1">
        <f t="shared" si="874"/>
        <v>1205099.25526707</v>
      </c>
      <c r="AE296" s="1">
        <f t="shared" si="875"/>
        <v>8.16031140979214</v>
      </c>
      <c r="AF296" s="1">
        <f t="shared" si="876"/>
        <v>4.31731381727947</v>
      </c>
      <c r="AG296" s="1">
        <f t="shared" si="877"/>
        <v>4.61285843024758</v>
      </c>
      <c r="AH296" s="1">
        <f t="shared" si="878"/>
        <v>1.19317790131905</v>
      </c>
      <c r="AI296" s="1">
        <f t="shared" si="879"/>
        <v>1.00000054224392</v>
      </c>
      <c r="AJ296" s="1">
        <f t="shared" si="880"/>
        <v>1.00254469217765</v>
      </c>
      <c r="AK296" s="1">
        <f t="shared" si="881"/>
        <v>1</v>
      </c>
      <c r="AL296" s="10">
        <f t="shared" si="882"/>
        <v>628787</v>
      </c>
      <c r="AM296" s="10">
        <f t="shared" si="883"/>
        <v>45005</v>
      </c>
      <c r="AN296" s="10">
        <f t="shared" si="884"/>
        <v>25146</v>
      </c>
      <c r="AO296" s="1">
        <f t="shared" si="885"/>
        <v>333514</v>
      </c>
      <c r="AP296" s="1">
        <f t="shared" si="886"/>
        <v>45005</v>
      </c>
      <c r="AR296" s="1">
        <f t="shared" ref="AR296:AX296" si="974">ROUNDUP(AR$10*$AO296,0)</f>
        <v>333514</v>
      </c>
      <c r="AS296" s="1">
        <f t="shared" si="974"/>
        <v>1000542</v>
      </c>
      <c r="AT296" s="1">
        <f t="shared" si="974"/>
        <v>600326</v>
      </c>
      <c r="AU296" s="1">
        <f t="shared" si="974"/>
        <v>166757</v>
      </c>
      <c r="AV296" s="1">
        <f t="shared" si="974"/>
        <v>50028</v>
      </c>
      <c r="AW296" s="1">
        <f t="shared" si="974"/>
        <v>1334056</v>
      </c>
      <c r="AX296" s="1">
        <f t="shared" si="974"/>
        <v>3001626</v>
      </c>
      <c r="AY296" s="1">
        <f t="shared" si="888"/>
        <v>37727240</v>
      </c>
      <c r="AZ296" s="1">
        <f t="shared" si="889"/>
        <v>18863620</v>
      </c>
      <c r="BB296" s="1">
        <f t="shared" si="890"/>
        <v>285</v>
      </c>
    </row>
    <row r="297" spans="2:54">
      <c r="B297" s="4">
        <v>286</v>
      </c>
      <c r="C297" s="1">
        <f t="shared" ref="C297:I297" si="975">C$5+(C$6-C$5)*(POWER(C$7,$B297-1)-1)/(POWER(C$7,$B$3-1)-1)</f>
        <v>22596.4090776815</v>
      </c>
      <c r="D297" s="1">
        <f t="shared" si="975"/>
        <v>6778.92272330444</v>
      </c>
      <c r="E297" s="1">
        <f t="shared" si="975"/>
        <v>4519.2818155363</v>
      </c>
      <c r="F297" s="1">
        <f t="shared" si="975"/>
        <v>57206.0989308392</v>
      </c>
      <c r="G297" s="1">
        <f t="shared" si="975"/>
        <v>17161.8296792518</v>
      </c>
      <c r="H297" s="1">
        <f t="shared" si="975"/>
        <v>11441.2197861678</v>
      </c>
      <c r="I297" s="1">
        <f t="shared" si="975"/>
        <v>0</v>
      </c>
      <c r="J297" s="1">
        <f>标准模型!$I$65/1*$B297/$B$3</f>
        <v>2.0592</v>
      </c>
      <c r="K297" s="1">
        <f>J297*标准模型!$J$63</f>
        <v>2.0592</v>
      </c>
      <c r="L297" s="1">
        <f t="shared" si="865"/>
        <v>79802.5080085207</v>
      </c>
      <c r="M297" s="1">
        <f t="shared" si="866"/>
        <v>37899.9100743847</v>
      </c>
      <c r="N297" s="1">
        <f t="shared" si="867"/>
        <v>25266.6067162565</v>
      </c>
      <c r="O297" s="1">
        <f t="shared" ref="O297:W297" si="976">O$5+(O$6-O$5)*(POWER(O$7,$B297-1)-1)/(POWER(O$7,$B$3-1)-1)</f>
        <v>0.785601698050297</v>
      </c>
      <c r="P297" s="1">
        <f t="shared" si="976"/>
        <v>0.191590182430831</v>
      </c>
      <c r="Q297" s="1">
        <f t="shared" si="976"/>
        <v>0.432080933927663</v>
      </c>
      <c r="R297" s="1">
        <f t="shared" si="976"/>
        <v>1.11424067922012</v>
      </c>
      <c r="S297" s="1">
        <f t="shared" si="976"/>
        <v>0.421282207465385</v>
      </c>
      <c r="T297" s="1">
        <f t="shared" si="976"/>
        <v>3.11384662239616</v>
      </c>
      <c r="U297" s="1">
        <f t="shared" si="976"/>
        <v>1</v>
      </c>
      <c r="V297" s="1">
        <f t="shared" si="976"/>
        <v>1.31147672368562</v>
      </c>
      <c r="W297" s="1">
        <f t="shared" si="976"/>
        <v>1.91392543376095</v>
      </c>
      <c r="X297" s="1">
        <f t="shared" si="869"/>
        <v>3.93973055986184</v>
      </c>
      <c r="Y297" s="1">
        <f t="shared" si="870"/>
        <v>7.4514764424253</v>
      </c>
      <c r="Z297" s="1">
        <f t="shared" si="871"/>
        <v>594646.508471948</v>
      </c>
      <c r="AA297" s="1">
        <f t="shared" si="872"/>
        <v>37899.9100743847</v>
      </c>
      <c r="AB297" s="1">
        <f t="shared" si="873"/>
        <v>25266.6067162565</v>
      </c>
      <c r="AC297" s="1">
        <f>AB297/(AB297+战斗公式!$M$27)</f>
        <v>0.512854616957398</v>
      </c>
      <c r="AD297" s="1">
        <f t="shared" si="874"/>
        <v>1220675.65283677</v>
      </c>
      <c r="AE297" s="1">
        <f t="shared" si="875"/>
        <v>8.17514720788622</v>
      </c>
      <c r="AF297" s="1">
        <f t="shared" si="876"/>
        <v>4.32234840103655</v>
      </c>
      <c r="AG297" s="1">
        <f t="shared" si="877"/>
        <v>4.61647964625177</v>
      </c>
      <c r="AH297" s="1">
        <f t="shared" si="878"/>
        <v>1.19730323566365</v>
      </c>
      <c r="AI297" s="1">
        <f t="shared" si="879"/>
        <v>1.00000051513128</v>
      </c>
      <c r="AJ297" s="1">
        <f t="shared" si="880"/>
        <v>1.00249312852671</v>
      </c>
      <c r="AK297" s="1">
        <f t="shared" si="881"/>
        <v>1</v>
      </c>
      <c r="AL297" s="10">
        <f t="shared" si="882"/>
        <v>635112</v>
      </c>
      <c r="AM297" s="10">
        <f t="shared" si="883"/>
        <v>45378</v>
      </c>
      <c r="AN297" s="10">
        <f t="shared" si="884"/>
        <v>25267</v>
      </c>
      <c r="AO297" s="1">
        <f t="shared" si="885"/>
        <v>336632</v>
      </c>
      <c r="AP297" s="1">
        <f t="shared" si="886"/>
        <v>45378</v>
      </c>
      <c r="AR297" s="1">
        <f t="shared" ref="AR297:AX297" si="977">ROUNDUP(AR$10*$AO297,0)</f>
        <v>336632</v>
      </c>
      <c r="AS297" s="1">
        <f t="shared" si="977"/>
        <v>1009896</v>
      </c>
      <c r="AT297" s="1">
        <f t="shared" si="977"/>
        <v>605938</v>
      </c>
      <c r="AU297" s="1">
        <f t="shared" si="977"/>
        <v>168316</v>
      </c>
      <c r="AV297" s="1">
        <f t="shared" si="977"/>
        <v>50495</v>
      </c>
      <c r="AW297" s="1">
        <f t="shared" si="977"/>
        <v>1346528</v>
      </c>
      <c r="AX297" s="1">
        <f t="shared" si="977"/>
        <v>3029688</v>
      </c>
      <c r="AY297" s="1">
        <f t="shared" si="888"/>
        <v>38106740</v>
      </c>
      <c r="AZ297" s="1">
        <f t="shared" si="889"/>
        <v>19053370</v>
      </c>
      <c r="BB297" s="1">
        <f t="shared" si="890"/>
        <v>286</v>
      </c>
    </row>
    <row r="298" spans="2:54">
      <c r="B298" s="4">
        <v>287</v>
      </c>
      <c r="C298" s="1">
        <f t="shared" ref="C298:I298" si="978">C$5+(C$6-C$5)*(POWER(C$7,$B298-1)-1)/(POWER(C$7,$B$3-1)-1)</f>
        <v>22675.4062329143</v>
      </c>
      <c r="D298" s="1">
        <f t="shared" si="978"/>
        <v>6802.62186987429</v>
      </c>
      <c r="E298" s="1">
        <f t="shared" si="978"/>
        <v>4535.08124658286</v>
      </c>
      <c r="F298" s="1">
        <f t="shared" si="978"/>
        <v>57406.0917288969</v>
      </c>
      <c r="G298" s="1">
        <f t="shared" si="978"/>
        <v>17221.8275186691</v>
      </c>
      <c r="H298" s="1">
        <f t="shared" si="978"/>
        <v>11481.2183457794</v>
      </c>
      <c r="I298" s="1">
        <f t="shared" si="978"/>
        <v>0</v>
      </c>
      <c r="J298" s="1">
        <f>标准模型!$I$65/1*$B298/$B$3</f>
        <v>2.0664</v>
      </c>
      <c r="K298" s="1">
        <f>J298*标准模型!$J$63</f>
        <v>2.0664</v>
      </c>
      <c r="L298" s="1">
        <f t="shared" si="865"/>
        <v>80081.4979618112</v>
      </c>
      <c r="M298" s="1">
        <f t="shared" si="866"/>
        <v>38081.3872204516</v>
      </c>
      <c r="N298" s="1">
        <f t="shared" si="867"/>
        <v>25387.5914803011</v>
      </c>
      <c r="O298" s="1">
        <f t="shared" ref="O298:W298" si="979">O$5+(O$6-O$5)*(POWER(O$7,$B298-1)-1)/(POWER(O$7,$B$3-1)-1)</f>
        <v>0.786603665976437</v>
      </c>
      <c r="P298" s="1">
        <f t="shared" si="979"/>
        <v>0.192416824830007</v>
      </c>
      <c r="Q298" s="1">
        <f t="shared" si="979"/>
        <v>0.432632016287041</v>
      </c>
      <c r="R298" s="1">
        <f t="shared" si="979"/>
        <v>1.11464146639058</v>
      </c>
      <c r="S298" s="1">
        <f t="shared" si="979"/>
        <v>0.422584765769369</v>
      </c>
      <c r="T298" s="1">
        <f t="shared" si="979"/>
        <v>3.11775429730811</v>
      </c>
      <c r="U298" s="1">
        <f t="shared" si="979"/>
        <v>1</v>
      </c>
      <c r="V298" s="1">
        <f t="shared" si="979"/>
        <v>1.31256946819311</v>
      </c>
      <c r="W298" s="1">
        <f t="shared" si="979"/>
        <v>1.9171317311246</v>
      </c>
      <c r="X298" s="1">
        <f t="shared" si="869"/>
        <v>3.96435251248843</v>
      </c>
      <c r="Y298" s="1">
        <f t="shared" si="870"/>
        <v>7.50292465508098</v>
      </c>
      <c r="Z298" s="1">
        <f t="shared" si="871"/>
        <v>600845.44547349</v>
      </c>
      <c r="AA298" s="1">
        <f t="shared" si="872"/>
        <v>38081.3872204516</v>
      </c>
      <c r="AB298" s="1">
        <f t="shared" si="873"/>
        <v>25387.5914803011</v>
      </c>
      <c r="AC298" s="1">
        <f>AB298/(AB298+战斗公式!$M$27)</f>
        <v>0.514047976816753</v>
      </c>
      <c r="AD298" s="1">
        <f t="shared" si="874"/>
        <v>1236429.55849351</v>
      </c>
      <c r="AE298" s="1">
        <f t="shared" si="875"/>
        <v>8.19000851472752</v>
      </c>
      <c r="AF298" s="1">
        <f t="shared" si="876"/>
        <v>4.3273899612832</v>
      </c>
      <c r="AG298" s="1">
        <f t="shared" si="877"/>
        <v>4.62007370313594</v>
      </c>
      <c r="AH298" s="1">
        <f t="shared" si="878"/>
        <v>1.20143682067695</v>
      </c>
      <c r="AI298" s="1">
        <f t="shared" si="879"/>
        <v>1.00000048937428</v>
      </c>
      <c r="AJ298" s="1">
        <f t="shared" si="880"/>
        <v>1.00244259614879</v>
      </c>
      <c r="AK298" s="1">
        <f t="shared" si="881"/>
        <v>1</v>
      </c>
      <c r="AL298" s="10">
        <f t="shared" si="882"/>
        <v>641484</v>
      </c>
      <c r="AM298" s="10">
        <f t="shared" si="883"/>
        <v>45752</v>
      </c>
      <c r="AN298" s="10">
        <f t="shared" si="884"/>
        <v>25388</v>
      </c>
      <c r="AO298" s="1">
        <f t="shared" si="885"/>
        <v>339771</v>
      </c>
      <c r="AP298" s="1">
        <f t="shared" si="886"/>
        <v>45752</v>
      </c>
      <c r="AR298" s="1">
        <f t="shared" ref="AR298:AX298" si="980">ROUNDUP(AR$10*$AO298,0)</f>
        <v>339771</v>
      </c>
      <c r="AS298" s="1">
        <f t="shared" si="980"/>
        <v>1019313</v>
      </c>
      <c r="AT298" s="1">
        <f t="shared" si="980"/>
        <v>611588</v>
      </c>
      <c r="AU298" s="1">
        <f t="shared" si="980"/>
        <v>169886</v>
      </c>
      <c r="AV298" s="1">
        <f t="shared" si="980"/>
        <v>50966</v>
      </c>
      <c r="AW298" s="1">
        <f t="shared" si="980"/>
        <v>1359084</v>
      </c>
      <c r="AX298" s="1">
        <f t="shared" si="980"/>
        <v>3057939</v>
      </c>
      <c r="AY298" s="1">
        <f t="shared" si="888"/>
        <v>38489059</v>
      </c>
      <c r="AZ298" s="1">
        <f t="shared" si="889"/>
        <v>19244529</v>
      </c>
      <c r="BB298" s="1">
        <f t="shared" si="890"/>
        <v>287</v>
      </c>
    </row>
    <row r="299" spans="2:54">
      <c r="B299" s="4">
        <v>288</v>
      </c>
      <c r="C299" s="1">
        <f t="shared" ref="C299:I299" si="981">C$5+(C$6-C$5)*(POWER(C$7,$B299-1)-1)/(POWER(C$7,$B$3-1)-1)</f>
        <v>22754.4033091467</v>
      </c>
      <c r="D299" s="1">
        <f t="shared" si="981"/>
        <v>6826.32099274401</v>
      </c>
      <c r="E299" s="1">
        <f t="shared" si="981"/>
        <v>4550.88066182934</v>
      </c>
      <c r="F299" s="1">
        <f t="shared" si="981"/>
        <v>57606.0843269537</v>
      </c>
      <c r="G299" s="1">
        <f t="shared" si="981"/>
        <v>17281.8252980861</v>
      </c>
      <c r="H299" s="1">
        <f t="shared" si="981"/>
        <v>11521.2168653907</v>
      </c>
      <c r="I299" s="1">
        <f t="shared" si="981"/>
        <v>0</v>
      </c>
      <c r="J299" s="1">
        <f>标准模型!$I$65/1*$B299/$B$3</f>
        <v>2.0736</v>
      </c>
      <c r="K299" s="1">
        <f>J299*标准模型!$J$63</f>
        <v>2.0736</v>
      </c>
      <c r="L299" s="1">
        <f t="shared" si="865"/>
        <v>80360.4876361004</v>
      </c>
      <c r="M299" s="1">
        <f t="shared" si="866"/>
        <v>38263.2055013841</v>
      </c>
      <c r="N299" s="1">
        <f t="shared" si="867"/>
        <v>25508.8036675894</v>
      </c>
      <c r="O299" s="1">
        <f t="shared" ref="O299:W299" si="982">O$5+(O$6-O$5)*(POWER(O$7,$B299-1)-1)/(POWER(O$7,$B$3-1)-1)</f>
        <v>0.78760563290057</v>
      </c>
      <c r="P299" s="1">
        <f t="shared" si="982"/>
        <v>0.193244707192782</v>
      </c>
      <c r="Q299" s="1">
        <f t="shared" si="982"/>
        <v>0.433183098095313</v>
      </c>
      <c r="R299" s="1">
        <f t="shared" si="982"/>
        <v>1.11504225316023</v>
      </c>
      <c r="S299" s="1">
        <f t="shared" si="982"/>
        <v>0.423887322770741</v>
      </c>
      <c r="T299" s="1">
        <f t="shared" si="982"/>
        <v>3.12166196831222</v>
      </c>
      <c r="U299" s="1">
        <f t="shared" si="982"/>
        <v>1</v>
      </c>
      <c r="V299" s="1">
        <f t="shared" si="982"/>
        <v>1.3136622116078</v>
      </c>
      <c r="W299" s="1">
        <f t="shared" si="982"/>
        <v>1.92033802528182</v>
      </c>
      <c r="X299" s="1">
        <f t="shared" si="869"/>
        <v>3.98910760142505</v>
      </c>
      <c r="Y299" s="1">
        <f t="shared" si="870"/>
        <v>7.55468552440653</v>
      </c>
      <c r="Z299" s="1">
        <f t="shared" si="871"/>
        <v>607098.212678697</v>
      </c>
      <c r="AA299" s="1">
        <f t="shared" si="872"/>
        <v>38263.2055013841</v>
      </c>
      <c r="AB299" s="1">
        <f t="shared" si="873"/>
        <v>25508.8036675894</v>
      </c>
      <c r="AC299" s="1">
        <f>AB299/(AB299+战斗公式!$M$27)</f>
        <v>0.515237731027796</v>
      </c>
      <c r="AD299" s="1">
        <f t="shared" si="874"/>
        <v>1252362.75910225</v>
      </c>
      <c r="AE299" s="1">
        <f t="shared" si="875"/>
        <v>8.2048952982224</v>
      </c>
      <c r="AF299" s="1">
        <f t="shared" si="876"/>
        <v>4.33243847110457</v>
      </c>
      <c r="AG299" s="1">
        <f t="shared" si="877"/>
        <v>4.62364080459347</v>
      </c>
      <c r="AH299" s="1">
        <f t="shared" si="878"/>
        <v>1.20557867286028</v>
      </c>
      <c r="AI299" s="1">
        <f t="shared" si="879"/>
        <v>1.00000046490512</v>
      </c>
      <c r="AJ299" s="1">
        <f t="shared" si="880"/>
        <v>1.00239307441842</v>
      </c>
      <c r="AK299" s="1">
        <f t="shared" si="881"/>
        <v>1</v>
      </c>
      <c r="AL299" s="10">
        <f t="shared" si="882"/>
        <v>647904</v>
      </c>
      <c r="AM299" s="10">
        <f t="shared" si="883"/>
        <v>46129</v>
      </c>
      <c r="AN299" s="10">
        <f t="shared" si="884"/>
        <v>25509</v>
      </c>
      <c r="AO299" s="1">
        <f t="shared" si="885"/>
        <v>342932</v>
      </c>
      <c r="AP299" s="1">
        <f t="shared" si="886"/>
        <v>46129</v>
      </c>
      <c r="AR299" s="1">
        <f t="shared" ref="AR299:AX299" si="983">ROUNDUP(AR$10*$AO299,0)</f>
        <v>342932</v>
      </c>
      <c r="AS299" s="1">
        <f t="shared" si="983"/>
        <v>1028796</v>
      </c>
      <c r="AT299" s="1">
        <f t="shared" si="983"/>
        <v>617278</v>
      </c>
      <c r="AU299" s="1">
        <f t="shared" si="983"/>
        <v>171466</v>
      </c>
      <c r="AV299" s="1">
        <f t="shared" si="983"/>
        <v>51440</v>
      </c>
      <c r="AW299" s="1">
        <f t="shared" si="983"/>
        <v>1371728</v>
      </c>
      <c r="AX299" s="1">
        <f t="shared" si="983"/>
        <v>3086388</v>
      </c>
      <c r="AY299" s="1">
        <f t="shared" si="888"/>
        <v>38874258</v>
      </c>
      <c r="AZ299" s="1">
        <f t="shared" si="889"/>
        <v>19437129</v>
      </c>
      <c r="BB299" s="1">
        <f t="shared" si="890"/>
        <v>288</v>
      </c>
    </row>
    <row r="300" spans="2:54">
      <c r="B300" s="4">
        <v>289</v>
      </c>
      <c r="C300" s="1">
        <f t="shared" ref="C300:I300" si="984">C$5+(C$6-C$5)*(POWER(C$7,$B300-1)-1)/(POWER(C$7,$B$3-1)-1)</f>
        <v>22833.4003063788</v>
      </c>
      <c r="D300" s="1">
        <f t="shared" si="984"/>
        <v>6850.02009191363</v>
      </c>
      <c r="E300" s="1">
        <f t="shared" si="984"/>
        <v>4566.68006127575</v>
      </c>
      <c r="F300" s="1">
        <f t="shared" si="984"/>
        <v>57806.0767250095</v>
      </c>
      <c r="G300" s="1">
        <f t="shared" si="984"/>
        <v>17341.8230175029</v>
      </c>
      <c r="H300" s="1">
        <f t="shared" si="984"/>
        <v>11561.2153450019</v>
      </c>
      <c r="I300" s="1">
        <f t="shared" si="984"/>
        <v>0</v>
      </c>
      <c r="J300" s="1">
        <f>标准模型!$I$65/1*$B300/$B$3</f>
        <v>2.0808</v>
      </c>
      <c r="K300" s="1">
        <f>J300*标准模型!$J$63</f>
        <v>2.0808</v>
      </c>
      <c r="L300" s="1">
        <f t="shared" si="865"/>
        <v>80639.4770313883</v>
      </c>
      <c r="M300" s="1">
        <f t="shared" si="866"/>
        <v>38445.3649166704</v>
      </c>
      <c r="N300" s="1">
        <f t="shared" si="867"/>
        <v>25630.2432777803</v>
      </c>
      <c r="O300" s="1">
        <f t="shared" ref="O300:W300" si="985">O$5+(O$6-O$5)*(POWER(O$7,$B300-1)-1)/(POWER(O$7,$B$3-1)-1)</f>
        <v>0.788607598822693</v>
      </c>
      <c r="P300" s="1">
        <f t="shared" si="985"/>
        <v>0.194073831379101</v>
      </c>
      <c r="Q300" s="1">
        <f t="shared" si="985"/>
        <v>0.433734179352481</v>
      </c>
      <c r="R300" s="1">
        <f t="shared" si="985"/>
        <v>1.11544303952908</v>
      </c>
      <c r="S300" s="1">
        <f t="shared" si="985"/>
        <v>0.425189878469501</v>
      </c>
      <c r="T300" s="1">
        <f t="shared" si="985"/>
        <v>3.1255696354085</v>
      </c>
      <c r="U300" s="1">
        <f t="shared" si="985"/>
        <v>1</v>
      </c>
      <c r="V300" s="1">
        <f t="shared" si="985"/>
        <v>1.31475495392971</v>
      </c>
      <c r="W300" s="1">
        <f t="shared" si="985"/>
        <v>1.92354431623262</v>
      </c>
      <c r="X300" s="1">
        <f t="shared" si="869"/>
        <v>4.01399641989898</v>
      </c>
      <c r="Y300" s="1">
        <f t="shared" si="870"/>
        <v>7.60676065848916</v>
      </c>
      <c r="Z300" s="1">
        <f t="shared" si="871"/>
        <v>613405.201403505</v>
      </c>
      <c r="AA300" s="1">
        <f t="shared" si="872"/>
        <v>38445.3649166704</v>
      </c>
      <c r="AB300" s="1">
        <f t="shared" si="873"/>
        <v>25630.2432777803</v>
      </c>
      <c r="AC300" s="1">
        <f>AB300/(AB300+战斗公式!$M$27)</f>
        <v>0.516423889649863</v>
      </c>
      <c r="AD300" s="1">
        <f t="shared" si="874"/>
        <v>1268477.05722966</v>
      </c>
      <c r="AE300" s="1">
        <f t="shared" si="875"/>
        <v>8.21980752641541</v>
      </c>
      <c r="AF300" s="1">
        <f t="shared" si="876"/>
        <v>4.33749390372477</v>
      </c>
      <c r="AG300" s="1">
        <f t="shared" si="877"/>
        <v>4.62718115279007</v>
      </c>
      <c r="AH300" s="1">
        <f t="shared" si="878"/>
        <v>1.20972880874797</v>
      </c>
      <c r="AI300" s="1">
        <f t="shared" si="879"/>
        <v>1.00000044165943</v>
      </c>
      <c r="AJ300" s="1">
        <f t="shared" si="880"/>
        <v>1.00234454312267</v>
      </c>
      <c r="AK300" s="1">
        <f t="shared" si="881"/>
        <v>1</v>
      </c>
      <c r="AL300" s="10">
        <f t="shared" si="882"/>
        <v>654373</v>
      </c>
      <c r="AM300" s="10">
        <f t="shared" si="883"/>
        <v>46508</v>
      </c>
      <c r="AN300" s="10">
        <f t="shared" si="884"/>
        <v>25630</v>
      </c>
      <c r="AO300" s="1">
        <f t="shared" si="885"/>
        <v>346114</v>
      </c>
      <c r="AP300" s="1">
        <f t="shared" si="886"/>
        <v>46508</v>
      </c>
      <c r="AR300" s="1">
        <f t="shared" ref="AR300:AX300" si="986">ROUNDUP(AR$10*$AO300,0)</f>
        <v>346114</v>
      </c>
      <c r="AS300" s="1">
        <f t="shared" si="986"/>
        <v>1038342</v>
      </c>
      <c r="AT300" s="1">
        <f t="shared" si="986"/>
        <v>623006</v>
      </c>
      <c r="AU300" s="1">
        <f t="shared" si="986"/>
        <v>173057</v>
      </c>
      <c r="AV300" s="1">
        <f t="shared" si="986"/>
        <v>51918</v>
      </c>
      <c r="AW300" s="1">
        <f t="shared" si="986"/>
        <v>1384456</v>
      </c>
      <c r="AX300" s="1">
        <f t="shared" si="986"/>
        <v>3115026</v>
      </c>
      <c r="AY300" s="1">
        <f t="shared" si="888"/>
        <v>39262397</v>
      </c>
      <c r="AZ300" s="1">
        <f t="shared" si="889"/>
        <v>19631199</v>
      </c>
      <c r="BB300" s="1">
        <f t="shared" si="890"/>
        <v>289</v>
      </c>
    </row>
    <row r="301" spans="2:54">
      <c r="B301" s="4">
        <v>290</v>
      </c>
      <c r="C301" s="1">
        <f t="shared" ref="C301:I301" si="987">C$5+(C$6-C$5)*(POWER(C$7,$B301-1)-1)/(POWER(C$7,$B$3-1)-1)</f>
        <v>22912.3972246192</v>
      </c>
      <c r="D301" s="1">
        <f t="shared" si="987"/>
        <v>6873.71916738576</v>
      </c>
      <c r="E301" s="1">
        <f t="shared" si="987"/>
        <v>4582.47944492384</v>
      </c>
      <c r="F301" s="1">
        <f t="shared" si="987"/>
        <v>58006.0689230866</v>
      </c>
      <c r="G301" s="1">
        <f t="shared" si="987"/>
        <v>17401.820676926</v>
      </c>
      <c r="H301" s="1">
        <f t="shared" si="987"/>
        <v>11601.2137846173</v>
      </c>
      <c r="I301" s="1">
        <f t="shared" si="987"/>
        <v>0</v>
      </c>
      <c r="J301" s="1">
        <f>标准模型!$I$65/1*$B301/$B$3</f>
        <v>2.088</v>
      </c>
      <c r="K301" s="1">
        <f>J301*标准模型!$J$63</f>
        <v>2.088</v>
      </c>
      <c r="L301" s="1">
        <f t="shared" si="865"/>
        <v>80918.4661477058</v>
      </c>
      <c r="M301" s="1">
        <f t="shared" si="866"/>
        <v>38627.8654658132</v>
      </c>
      <c r="N301" s="1">
        <f t="shared" si="867"/>
        <v>25751.9103105422</v>
      </c>
      <c r="O301" s="1">
        <f t="shared" ref="O301:W301" si="988">O$5+(O$6-O$5)*(POWER(O$7,$B301-1)-1)/(POWER(O$7,$B$3-1)-1)</f>
        <v>0.789609563742919</v>
      </c>
      <c r="P301" s="1">
        <f t="shared" si="988"/>
        <v>0.194904199251699</v>
      </c>
      <c r="Q301" s="1">
        <f t="shared" si="988"/>
        <v>0.434285260058605</v>
      </c>
      <c r="R301" s="1">
        <f t="shared" si="988"/>
        <v>1.11584382549717</v>
      </c>
      <c r="S301" s="1">
        <f t="shared" si="988"/>
        <v>0.426492432865795</v>
      </c>
      <c r="T301" s="1">
        <f t="shared" si="988"/>
        <v>3.12947729859738</v>
      </c>
      <c r="U301" s="1">
        <f t="shared" si="988"/>
        <v>1</v>
      </c>
      <c r="V301" s="1">
        <f t="shared" si="988"/>
        <v>1.31584769515894</v>
      </c>
      <c r="W301" s="1">
        <f t="shared" si="988"/>
        <v>1.92675060397734</v>
      </c>
      <c r="X301" s="1">
        <f t="shared" si="869"/>
        <v>4.03901956314016</v>
      </c>
      <c r="Y301" s="1">
        <f t="shared" si="870"/>
        <v>7.65915167200154</v>
      </c>
      <c r="Z301" s="1">
        <f t="shared" si="871"/>
        <v>619766.805291001</v>
      </c>
      <c r="AA301" s="1">
        <f t="shared" si="872"/>
        <v>38627.8654658132</v>
      </c>
      <c r="AB301" s="1">
        <f t="shared" si="873"/>
        <v>25751.9103105422</v>
      </c>
      <c r="AC301" s="1">
        <f>AB301/(AB301+战斗公式!$M$27)</f>
        <v>0.517606462742908</v>
      </c>
      <c r="AD301" s="1">
        <f t="shared" si="874"/>
        <v>1284774.27126205</v>
      </c>
      <c r="AE301" s="1">
        <f t="shared" si="875"/>
        <v>8.23474516748829</v>
      </c>
      <c r="AF301" s="1">
        <f t="shared" si="876"/>
        <v>4.34255623250601</v>
      </c>
      <c r="AG301" s="1">
        <f t="shared" si="877"/>
        <v>4.6306949483752</v>
      </c>
      <c r="AH301" s="1">
        <f t="shared" si="878"/>
        <v>1.21388724490743</v>
      </c>
      <c r="AI301" s="1">
        <f t="shared" si="879"/>
        <v>1.00000041957602</v>
      </c>
      <c r="AJ301" s="1">
        <f t="shared" si="880"/>
        <v>1.00229698245283</v>
      </c>
      <c r="AK301" s="1">
        <f t="shared" si="881"/>
        <v>1</v>
      </c>
      <c r="AL301" s="10">
        <f t="shared" si="882"/>
        <v>660890</v>
      </c>
      <c r="AM301" s="10">
        <f t="shared" si="883"/>
        <v>46890</v>
      </c>
      <c r="AN301" s="10">
        <f t="shared" si="884"/>
        <v>25752</v>
      </c>
      <c r="AO301" s="1">
        <f t="shared" si="885"/>
        <v>349318</v>
      </c>
      <c r="AP301" s="1">
        <f t="shared" si="886"/>
        <v>46890</v>
      </c>
      <c r="AR301" s="1">
        <f t="shared" ref="AR301:AX301" si="989">ROUNDUP(AR$10*$AO301,0)</f>
        <v>349318</v>
      </c>
      <c r="AS301" s="1">
        <f t="shared" si="989"/>
        <v>1047954</v>
      </c>
      <c r="AT301" s="1">
        <f t="shared" si="989"/>
        <v>628773</v>
      </c>
      <c r="AU301" s="1">
        <f t="shared" si="989"/>
        <v>174659</v>
      </c>
      <c r="AV301" s="1">
        <f t="shared" si="989"/>
        <v>52398</v>
      </c>
      <c r="AW301" s="1">
        <f t="shared" si="989"/>
        <v>1397272</v>
      </c>
      <c r="AX301" s="1">
        <f t="shared" si="989"/>
        <v>3143862</v>
      </c>
      <c r="AY301" s="1">
        <f t="shared" si="888"/>
        <v>39653417</v>
      </c>
      <c r="AZ301" s="1">
        <f t="shared" si="889"/>
        <v>19826708</v>
      </c>
      <c r="BB301" s="1">
        <f t="shared" si="890"/>
        <v>290</v>
      </c>
    </row>
    <row r="302" spans="2:54">
      <c r="B302" s="4">
        <v>291</v>
      </c>
      <c r="C302" s="1">
        <f t="shared" ref="C302:I302" si="990">C$5+(C$6-C$5)*(POWER(C$7,$B302-1)-1)/(POWER(C$7,$B$3-1)-1)</f>
        <v>22991.3940638593</v>
      </c>
      <c r="D302" s="1">
        <f t="shared" si="990"/>
        <v>6897.41821915778</v>
      </c>
      <c r="E302" s="1">
        <f t="shared" si="990"/>
        <v>4598.27881277186</v>
      </c>
      <c r="F302" s="1">
        <f t="shared" si="990"/>
        <v>58206.0609211627</v>
      </c>
      <c r="G302" s="1">
        <f t="shared" si="990"/>
        <v>17461.8182763488</v>
      </c>
      <c r="H302" s="1">
        <f t="shared" si="990"/>
        <v>11641.2121842325</v>
      </c>
      <c r="I302" s="1">
        <f t="shared" si="990"/>
        <v>0</v>
      </c>
      <c r="J302" s="1">
        <f>标准模型!$I$65/1*$B302/$B$3</f>
        <v>2.0952</v>
      </c>
      <c r="K302" s="1">
        <f>J302*标准模型!$J$63</f>
        <v>2.0952</v>
      </c>
      <c r="L302" s="1">
        <f t="shared" si="865"/>
        <v>81197.454985022</v>
      </c>
      <c r="M302" s="1">
        <f t="shared" si="866"/>
        <v>38810.707148286</v>
      </c>
      <c r="N302" s="1">
        <f t="shared" si="867"/>
        <v>25873.804765524</v>
      </c>
      <c r="O302" s="1">
        <f t="shared" ref="O302:W302" si="991">O$5+(O$6-O$5)*(POWER(O$7,$B302-1)-1)/(POWER(O$7,$B$3-1)-1)</f>
        <v>0.790611527661136</v>
      </c>
      <c r="P302" s="1">
        <f t="shared" si="991"/>
        <v>0.195735812676106</v>
      </c>
      <c r="Q302" s="1">
        <f t="shared" si="991"/>
        <v>0.434836340213625</v>
      </c>
      <c r="R302" s="1">
        <f t="shared" si="991"/>
        <v>1.11624461106445</v>
      </c>
      <c r="S302" s="1">
        <f t="shared" si="991"/>
        <v>0.427794985959477</v>
      </c>
      <c r="T302" s="1">
        <f t="shared" si="991"/>
        <v>3.13338495787843</v>
      </c>
      <c r="U302" s="1">
        <f t="shared" si="991"/>
        <v>1</v>
      </c>
      <c r="V302" s="1">
        <f t="shared" si="991"/>
        <v>1.31694043529539</v>
      </c>
      <c r="W302" s="1">
        <f t="shared" si="991"/>
        <v>1.92995688851564</v>
      </c>
      <c r="X302" s="1">
        <f t="shared" si="869"/>
        <v>4.06417762837908</v>
      </c>
      <c r="Y302" s="1">
        <f t="shared" si="870"/>
        <v>7.71186018620644</v>
      </c>
      <c r="Z302" s="1">
        <f t="shared" si="871"/>
        <v>626183.420320281</v>
      </c>
      <c r="AA302" s="1">
        <f t="shared" si="872"/>
        <v>38810.707148286</v>
      </c>
      <c r="AB302" s="1">
        <f t="shared" si="873"/>
        <v>25873.804765524</v>
      </c>
      <c r="AC302" s="1">
        <f>AB302/(AB302+战斗公式!$M$27)</f>
        <v>0.518785460366754</v>
      </c>
      <c r="AD302" s="1">
        <f t="shared" si="874"/>
        <v>1301256.23551924</v>
      </c>
      <c r="AE302" s="1">
        <f t="shared" si="875"/>
        <v>8.24970818975157</v>
      </c>
      <c r="AF302" s="1">
        <f t="shared" si="876"/>
        <v>4.34762543094508</v>
      </c>
      <c r="AG302" s="1">
        <f t="shared" si="877"/>
        <v>4.63418239049344</v>
      </c>
      <c r="AH302" s="1">
        <f t="shared" si="878"/>
        <v>1.21805399793922</v>
      </c>
      <c r="AI302" s="1">
        <f t="shared" si="879"/>
        <v>1.00000039859677</v>
      </c>
      <c r="AJ302" s="1">
        <f t="shared" si="880"/>
        <v>1.00225037299638</v>
      </c>
      <c r="AK302" s="1">
        <f t="shared" si="881"/>
        <v>1</v>
      </c>
      <c r="AL302" s="10">
        <f t="shared" si="882"/>
        <v>667456</v>
      </c>
      <c r="AM302" s="10">
        <f t="shared" si="883"/>
        <v>47274</v>
      </c>
      <c r="AN302" s="10">
        <f t="shared" si="884"/>
        <v>25874</v>
      </c>
      <c r="AO302" s="1">
        <f t="shared" si="885"/>
        <v>352543</v>
      </c>
      <c r="AP302" s="1">
        <f t="shared" si="886"/>
        <v>47274</v>
      </c>
      <c r="AR302" s="1">
        <f t="shared" ref="AR302:AX302" si="992">ROUNDUP(AR$10*$AO302,0)</f>
        <v>352543</v>
      </c>
      <c r="AS302" s="1">
        <f t="shared" si="992"/>
        <v>1057629</v>
      </c>
      <c r="AT302" s="1">
        <f t="shared" si="992"/>
        <v>634578</v>
      </c>
      <c r="AU302" s="1">
        <f t="shared" si="992"/>
        <v>176272</v>
      </c>
      <c r="AV302" s="1">
        <f t="shared" si="992"/>
        <v>52882</v>
      </c>
      <c r="AW302" s="1">
        <f t="shared" si="992"/>
        <v>1410172</v>
      </c>
      <c r="AX302" s="1">
        <f t="shared" si="992"/>
        <v>3172887</v>
      </c>
      <c r="AY302" s="1">
        <f t="shared" si="888"/>
        <v>40047376</v>
      </c>
      <c r="AZ302" s="1">
        <f t="shared" si="889"/>
        <v>20023688</v>
      </c>
      <c r="BB302" s="1">
        <f t="shared" si="890"/>
        <v>291</v>
      </c>
    </row>
    <row r="303" spans="2:54">
      <c r="B303" s="4">
        <v>292</v>
      </c>
      <c r="C303" s="1">
        <f t="shared" ref="C303:I303" si="993">C$5+(C$6-C$5)*(POWER(C$7,$B303-1)-1)/(POWER(C$7,$B$3-1)-1)</f>
        <v>23070.3908241077</v>
      </c>
      <c r="D303" s="1">
        <f t="shared" si="993"/>
        <v>6921.11724723232</v>
      </c>
      <c r="E303" s="1">
        <f t="shared" si="993"/>
        <v>4614.07816482155</v>
      </c>
      <c r="F303" s="1">
        <f t="shared" si="993"/>
        <v>58406.0527192601</v>
      </c>
      <c r="G303" s="1">
        <f t="shared" si="993"/>
        <v>17521.815815778</v>
      </c>
      <c r="H303" s="1">
        <f t="shared" si="993"/>
        <v>11681.210543852</v>
      </c>
      <c r="I303" s="1">
        <f t="shared" si="993"/>
        <v>0</v>
      </c>
      <c r="J303" s="1">
        <f>标准模型!$I$65/1*$B303/$B$3</f>
        <v>2.1024</v>
      </c>
      <c r="K303" s="1">
        <f>J303*标准模型!$J$63</f>
        <v>2.1024</v>
      </c>
      <c r="L303" s="1">
        <f t="shared" si="865"/>
        <v>81476.4435433678</v>
      </c>
      <c r="M303" s="1">
        <f t="shared" si="866"/>
        <v>38993.8899635916</v>
      </c>
      <c r="N303" s="1">
        <f t="shared" si="867"/>
        <v>25995.9266423944</v>
      </c>
      <c r="O303" s="1">
        <f t="shared" ref="O303:W303" si="994">O$5+(O$6-O$5)*(POWER(O$7,$B303-1)-1)/(POWER(O$7,$B$3-1)-1)</f>
        <v>0.791613490577455</v>
      </c>
      <c r="P303" s="1">
        <f t="shared" si="994"/>
        <v>0.19656867352065</v>
      </c>
      <c r="Q303" s="1">
        <f t="shared" si="994"/>
        <v>0.435387419817601</v>
      </c>
      <c r="R303" s="1">
        <f t="shared" si="994"/>
        <v>1.11664539623098</v>
      </c>
      <c r="S303" s="1">
        <f t="shared" si="994"/>
        <v>0.429097537750692</v>
      </c>
      <c r="T303" s="1">
        <f t="shared" si="994"/>
        <v>3.13729261325208</v>
      </c>
      <c r="U303" s="1">
        <f t="shared" si="994"/>
        <v>1</v>
      </c>
      <c r="V303" s="1">
        <f t="shared" si="994"/>
        <v>1.31803317433917</v>
      </c>
      <c r="W303" s="1">
        <f t="shared" si="994"/>
        <v>1.93316316984786</v>
      </c>
      <c r="X303" s="1">
        <f t="shared" si="869"/>
        <v>4.08947121486127</v>
      </c>
      <c r="Y303" s="1">
        <f t="shared" si="870"/>
        <v>7.76488782899826</v>
      </c>
      <c r="Z303" s="1">
        <f t="shared" si="871"/>
        <v>632655.444819961</v>
      </c>
      <c r="AA303" s="1">
        <f t="shared" si="872"/>
        <v>38993.8899635916</v>
      </c>
      <c r="AB303" s="1">
        <f t="shared" si="873"/>
        <v>25995.9266423944</v>
      </c>
      <c r="AC303" s="1">
        <f>AB303/(AB303+战斗公式!$M$27)</f>
        <v>0.519960892581016</v>
      </c>
      <c r="AD303" s="1">
        <f t="shared" si="874"/>
        <v>1317924.80038042</v>
      </c>
      <c r="AE303" s="1">
        <f t="shared" si="875"/>
        <v>8.26469656165349</v>
      </c>
      <c r="AF303" s="1">
        <f t="shared" si="876"/>
        <v>4.35270147267602</v>
      </c>
      <c r="AG303" s="1">
        <f t="shared" si="877"/>
        <v>4.63764367679579</v>
      </c>
      <c r="AH303" s="1">
        <f t="shared" si="878"/>
        <v>1.22222908447707</v>
      </c>
      <c r="AI303" s="1">
        <f t="shared" si="879"/>
        <v>1.0000003786665</v>
      </c>
      <c r="AJ303" s="1">
        <f t="shared" si="880"/>
        <v>1.00220469572907</v>
      </c>
      <c r="AK303" s="1">
        <f t="shared" si="881"/>
        <v>1</v>
      </c>
      <c r="AL303" s="10">
        <f t="shared" si="882"/>
        <v>674071</v>
      </c>
      <c r="AM303" s="10">
        <f t="shared" si="883"/>
        <v>47659</v>
      </c>
      <c r="AN303" s="10">
        <f t="shared" si="884"/>
        <v>25996</v>
      </c>
      <c r="AO303" s="1">
        <f t="shared" si="885"/>
        <v>355790</v>
      </c>
      <c r="AP303" s="1">
        <f t="shared" si="886"/>
        <v>47659</v>
      </c>
      <c r="AR303" s="1">
        <f t="shared" ref="AR303:AX303" si="995">ROUNDUP(AR$10*$AO303,0)</f>
        <v>355790</v>
      </c>
      <c r="AS303" s="1">
        <f t="shared" si="995"/>
        <v>1067370</v>
      </c>
      <c r="AT303" s="1">
        <f t="shared" si="995"/>
        <v>640422</v>
      </c>
      <c r="AU303" s="1">
        <f t="shared" si="995"/>
        <v>177895</v>
      </c>
      <c r="AV303" s="1">
        <f t="shared" si="995"/>
        <v>53369</v>
      </c>
      <c r="AW303" s="1">
        <f t="shared" si="995"/>
        <v>1423160</v>
      </c>
      <c r="AX303" s="1">
        <f t="shared" si="995"/>
        <v>3202110</v>
      </c>
      <c r="AY303" s="1">
        <f t="shared" si="888"/>
        <v>40444275</v>
      </c>
      <c r="AZ303" s="1">
        <f t="shared" si="889"/>
        <v>20222138</v>
      </c>
      <c r="BB303" s="1">
        <f t="shared" si="890"/>
        <v>292</v>
      </c>
    </row>
    <row r="304" spans="2:54">
      <c r="B304" s="4">
        <v>293</v>
      </c>
      <c r="C304" s="1">
        <f t="shared" ref="C304:I304" si="996">C$5+(C$6-C$5)*(POWER(C$7,$B304-1)-1)/(POWER(C$7,$B$3-1)-1)</f>
        <v>23149.3875053558</v>
      </c>
      <c r="D304" s="1">
        <f t="shared" si="996"/>
        <v>6944.81625160675</v>
      </c>
      <c r="E304" s="1">
        <f t="shared" si="996"/>
        <v>4629.87750107116</v>
      </c>
      <c r="F304" s="1">
        <f t="shared" si="996"/>
        <v>58606.0443173565</v>
      </c>
      <c r="G304" s="1">
        <f t="shared" si="996"/>
        <v>17581.813295207</v>
      </c>
      <c r="H304" s="1">
        <f t="shared" si="996"/>
        <v>11721.2088634713</v>
      </c>
      <c r="I304" s="1">
        <f t="shared" si="996"/>
        <v>0</v>
      </c>
      <c r="J304" s="1">
        <f>标准模型!$I$65/1*$B304/$B$3</f>
        <v>2.1096</v>
      </c>
      <c r="K304" s="1">
        <f>J304*标准模型!$J$63</f>
        <v>2.1096</v>
      </c>
      <c r="L304" s="1">
        <f t="shared" si="865"/>
        <v>81755.4318227123</v>
      </c>
      <c r="M304" s="1">
        <f t="shared" si="866"/>
        <v>39177.4139112033</v>
      </c>
      <c r="N304" s="1">
        <f t="shared" si="867"/>
        <v>26118.2759408022</v>
      </c>
      <c r="O304" s="1">
        <f t="shared" ref="O304:W304" si="997">O$5+(O$6-O$5)*(POWER(O$7,$B304-1)-1)/(POWER(O$7,$B$3-1)-1)</f>
        <v>0.792615452491766</v>
      </c>
      <c r="P304" s="1">
        <f t="shared" si="997"/>
        <v>0.19740278365646</v>
      </c>
      <c r="Q304" s="1">
        <f t="shared" si="997"/>
        <v>0.435938498870471</v>
      </c>
      <c r="R304" s="1">
        <f t="shared" si="997"/>
        <v>1.11704618099671</v>
      </c>
      <c r="S304" s="1">
        <f t="shared" si="997"/>
        <v>0.430400088239296</v>
      </c>
      <c r="T304" s="1">
        <f t="shared" si="997"/>
        <v>3.14120026471789</v>
      </c>
      <c r="U304" s="1">
        <f t="shared" si="997"/>
        <v>1</v>
      </c>
      <c r="V304" s="1">
        <f t="shared" si="997"/>
        <v>1.31912591229017</v>
      </c>
      <c r="W304" s="1">
        <f t="shared" si="997"/>
        <v>1.93636944797365</v>
      </c>
      <c r="X304" s="1">
        <f t="shared" si="869"/>
        <v>4.11490092384271</v>
      </c>
      <c r="Y304" s="1">
        <f t="shared" si="870"/>
        <v>7.81823623490232</v>
      </c>
      <c r="Z304" s="1">
        <f t="shared" si="871"/>
        <v>639183.279476416</v>
      </c>
      <c r="AA304" s="1">
        <f t="shared" si="872"/>
        <v>39177.4139112033</v>
      </c>
      <c r="AB304" s="1">
        <f t="shared" si="873"/>
        <v>26118.2759408022</v>
      </c>
      <c r="AC304" s="1">
        <f>AB304/(AB304+战斗公式!$M$27)</f>
        <v>0.521132769444266</v>
      </c>
      <c r="AD304" s="1">
        <f t="shared" si="874"/>
        <v>1334781.83239774</v>
      </c>
      <c r="AE304" s="1">
        <f t="shared" si="875"/>
        <v>8.27971025176917</v>
      </c>
      <c r="AF304" s="1">
        <f t="shared" si="876"/>
        <v>4.35778433146572</v>
      </c>
      <c r="AG304" s="1">
        <f t="shared" si="877"/>
        <v>4.64107900345087</v>
      </c>
      <c r="AH304" s="1">
        <f t="shared" si="878"/>
        <v>1.22641252118799</v>
      </c>
      <c r="AI304" s="1">
        <f t="shared" si="879"/>
        <v>1.00000035973273</v>
      </c>
      <c r="AJ304" s="1">
        <f t="shared" si="880"/>
        <v>1.0021599320071</v>
      </c>
      <c r="AK304" s="1">
        <f t="shared" si="881"/>
        <v>1</v>
      </c>
      <c r="AL304" s="10">
        <f t="shared" si="882"/>
        <v>680736</v>
      </c>
      <c r="AM304" s="10">
        <f t="shared" si="883"/>
        <v>48048</v>
      </c>
      <c r="AN304" s="10">
        <f t="shared" si="884"/>
        <v>26118</v>
      </c>
      <c r="AO304" s="1">
        <f t="shared" si="885"/>
        <v>359059</v>
      </c>
      <c r="AP304" s="1">
        <f t="shared" si="886"/>
        <v>48048</v>
      </c>
      <c r="AR304" s="1">
        <f t="shared" ref="AR304:AX304" si="998">ROUNDUP(AR$10*$AO304,0)</f>
        <v>359059</v>
      </c>
      <c r="AS304" s="1">
        <f t="shared" si="998"/>
        <v>1077177</v>
      </c>
      <c r="AT304" s="1">
        <f t="shared" si="998"/>
        <v>646307</v>
      </c>
      <c r="AU304" s="1">
        <f t="shared" si="998"/>
        <v>179530</v>
      </c>
      <c r="AV304" s="1">
        <f t="shared" si="998"/>
        <v>53859</v>
      </c>
      <c r="AW304" s="1">
        <f t="shared" si="998"/>
        <v>1436236</v>
      </c>
      <c r="AX304" s="1">
        <f t="shared" si="998"/>
        <v>3231531</v>
      </c>
      <c r="AY304" s="1">
        <f t="shared" si="888"/>
        <v>40844175</v>
      </c>
      <c r="AZ304" s="1">
        <f t="shared" si="889"/>
        <v>20422087</v>
      </c>
      <c r="BB304" s="1">
        <f t="shared" si="890"/>
        <v>293</v>
      </c>
    </row>
    <row r="305" spans="2:54">
      <c r="B305" s="4">
        <v>294</v>
      </c>
      <c r="C305" s="1">
        <f t="shared" ref="C305:I305" si="999">C$5+(C$6-C$5)*(POWER(C$7,$B305-1)-1)/(POWER(C$7,$B$3-1)-1)</f>
        <v>23228.3841076123</v>
      </c>
      <c r="D305" s="1">
        <f t="shared" si="999"/>
        <v>6968.51523228369</v>
      </c>
      <c r="E305" s="1">
        <f t="shared" si="999"/>
        <v>4645.67682152246</v>
      </c>
      <c r="F305" s="1">
        <f t="shared" si="999"/>
        <v>58806.0357154742</v>
      </c>
      <c r="G305" s="1">
        <f t="shared" si="999"/>
        <v>17641.8107146423</v>
      </c>
      <c r="H305" s="1">
        <f t="shared" si="999"/>
        <v>11761.2071430948</v>
      </c>
      <c r="I305" s="1">
        <f t="shared" si="999"/>
        <v>0</v>
      </c>
      <c r="J305" s="1">
        <f>标准模型!$I$65/1*$B305/$B$3</f>
        <v>2.1168</v>
      </c>
      <c r="K305" s="1">
        <f>J305*标准模型!$J$63</f>
        <v>2.1168</v>
      </c>
      <c r="L305" s="1">
        <f t="shared" si="865"/>
        <v>82034.4198230865</v>
      </c>
      <c r="M305" s="1">
        <f t="shared" si="866"/>
        <v>39361.2789906241</v>
      </c>
      <c r="N305" s="1">
        <f t="shared" si="867"/>
        <v>26240.852660416</v>
      </c>
      <c r="O305" s="1">
        <f t="shared" ref="O305:W305" si="1000">O$5+(O$6-O$5)*(POWER(O$7,$B305-1)-1)/(POWER(O$7,$B$3-1)-1)</f>
        <v>0.793617413404179</v>
      </c>
      <c r="P305" s="1">
        <f t="shared" si="1000"/>
        <v>0.198238144957475</v>
      </c>
      <c r="Q305" s="1">
        <f t="shared" si="1000"/>
        <v>0.436489577372299</v>
      </c>
      <c r="R305" s="1">
        <f t="shared" si="1000"/>
        <v>1.11744696536167</v>
      </c>
      <c r="S305" s="1">
        <f t="shared" si="1000"/>
        <v>0.431702637425433</v>
      </c>
      <c r="T305" s="1">
        <f t="shared" si="1000"/>
        <v>3.1451079122763</v>
      </c>
      <c r="U305" s="1">
        <f t="shared" si="1000"/>
        <v>1</v>
      </c>
      <c r="V305" s="1">
        <f t="shared" si="1000"/>
        <v>1.32021864914849</v>
      </c>
      <c r="W305" s="1">
        <f t="shared" si="1000"/>
        <v>1.93957572289337</v>
      </c>
      <c r="X305" s="1">
        <f t="shared" si="869"/>
        <v>4.14046735860456</v>
      </c>
      <c r="Y305" s="1">
        <f t="shared" si="870"/>
        <v>7.87190704511693</v>
      </c>
      <c r="Z305" s="1">
        <f t="shared" si="871"/>
        <v>645767.327347435</v>
      </c>
      <c r="AA305" s="1">
        <f t="shared" si="872"/>
        <v>39361.2789906241</v>
      </c>
      <c r="AB305" s="1">
        <f t="shared" si="873"/>
        <v>26240.852660416</v>
      </c>
      <c r="AC305" s="1">
        <f>AB305/(AB305+战斗公式!$M$27)</f>
        <v>0.522301101013972</v>
      </c>
      <c r="AD305" s="1">
        <f t="shared" si="874"/>
        <v>1351829.21442388</v>
      </c>
      <c r="AE305" s="1">
        <f t="shared" si="875"/>
        <v>8.29474922880949</v>
      </c>
      <c r="AF305" s="1">
        <f t="shared" si="876"/>
        <v>4.36287398121656</v>
      </c>
      <c r="AG305" s="1">
        <f t="shared" si="877"/>
        <v>4.64448856515604</v>
      </c>
      <c r="AH305" s="1">
        <f t="shared" si="878"/>
        <v>1.23060432477234</v>
      </c>
      <c r="AI305" s="1">
        <f t="shared" si="879"/>
        <v>1.00000034174565</v>
      </c>
      <c r="AJ305" s="1">
        <f t="shared" si="880"/>
        <v>1.00211606355957</v>
      </c>
      <c r="AK305" s="1">
        <f t="shared" si="881"/>
        <v>1</v>
      </c>
      <c r="AL305" s="10">
        <f t="shared" si="882"/>
        <v>687450</v>
      </c>
      <c r="AM305" s="10">
        <f t="shared" si="883"/>
        <v>48438</v>
      </c>
      <c r="AN305" s="10">
        <f t="shared" si="884"/>
        <v>26241</v>
      </c>
      <c r="AO305" s="1">
        <f t="shared" si="885"/>
        <v>362350</v>
      </c>
      <c r="AP305" s="1">
        <f t="shared" si="886"/>
        <v>48438</v>
      </c>
      <c r="AR305" s="1">
        <f t="shared" ref="AR305:AX305" si="1001">ROUNDUP(AR$10*$AO305,0)</f>
        <v>362350</v>
      </c>
      <c r="AS305" s="1">
        <f t="shared" si="1001"/>
        <v>1087050</v>
      </c>
      <c r="AT305" s="1">
        <f t="shared" si="1001"/>
        <v>652230</v>
      </c>
      <c r="AU305" s="1">
        <f t="shared" si="1001"/>
        <v>181175</v>
      </c>
      <c r="AV305" s="1">
        <f t="shared" si="1001"/>
        <v>54353</v>
      </c>
      <c r="AW305" s="1">
        <f t="shared" si="1001"/>
        <v>1449400</v>
      </c>
      <c r="AX305" s="1">
        <f t="shared" si="1001"/>
        <v>3261150</v>
      </c>
      <c r="AY305" s="1">
        <f t="shared" si="888"/>
        <v>41247014</v>
      </c>
      <c r="AZ305" s="1">
        <f t="shared" si="889"/>
        <v>20623507</v>
      </c>
      <c r="BB305" s="1">
        <f t="shared" si="890"/>
        <v>294</v>
      </c>
    </row>
    <row r="306" spans="2:54">
      <c r="B306" s="4">
        <v>295</v>
      </c>
      <c r="C306" s="1">
        <f t="shared" ref="C306:I306" si="1002">C$5+(C$6-C$5)*(POWER(C$7,$B306-1)-1)/(POWER(C$7,$B$3-1)-1)</f>
        <v>23307.3806308684</v>
      </c>
      <c r="D306" s="1">
        <f t="shared" si="1002"/>
        <v>6992.21418926052</v>
      </c>
      <c r="E306" s="1">
        <f t="shared" si="1002"/>
        <v>4661.47612617368</v>
      </c>
      <c r="F306" s="1">
        <f t="shared" si="1002"/>
        <v>59006.0269135909</v>
      </c>
      <c r="G306" s="1">
        <f t="shared" si="1002"/>
        <v>17701.8080740773</v>
      </c>
      <c r="H306" s="1">
        <f t="shared" si="1002"/>
        <v>11801.2053827182</v>
      </c>
      <c r="I306" s="1">
        <f t="shared" si="1002"/>
        <v>0</v>
      </c>
      <c r="J306" s="1">
        <f>标准模型!$I$65/1*$B306/$B$3</f>
        <v>2.124</v>
      </c>
      <c r="K306" s="1">
        <f>J306*标准模型!$J$63</f>
        <v>2.124</v>
      </c>
      <c r="L306" s="1">
        <f t="shared" si="865"/>
        <v>82313.4075444593</v>
      </c>
      <c r="M306" s="1">
        <f t="shared" si="866"/>
        <v>39545.4852013271</v>
      </c>
      <c r="N306" s="1">
        <f t="shared" si="867"/>
        <v>26363.6568008847</v>
      </c>
      <c r="O306" s="1">
        <f t="shared" ref="O306:W306" si="1003">O$5+(O$6-O$5)*(POWER(O$7,$B306-1)-1)/(POWER(O$7,$B$3-1)-1)</f>
        <v>0.794619373314584</v>
      </c>
      <c r="P306" s="1">
        <f t="shared" si="1003"/>
        <v>0.199074759300441</v>
      </c>
      <c r="Q306" s="1">
        <f t="shared" si="1003"/>
        <v>0.437040655323021</v>
      </c>
      <c r="R306" s="1">
        <f t="shared" si="1003"/>
        <v>1.11784774932583</v>
      </c>
      <c r="S306" s="1">
        <f t="shared" si="1003"/>
        <v>0.433005185308959</v>
      </c>
      <c r="T306" s="1">
        <f t="shared" si="1003"/>
        <v>3.14901555592688</v>
      </c>
      <c r="U306" s="1">
        <f t="shared" si="1003"/>
        <v>1</v>
      </c>
      <c r="V306" s="1">
        <f t="shared" si="1003"/>
        <v>1.32131138491402</v>
      </c>
      <c r="W306" s="1">
        <f t="shared" si="1003"/>
        <v>1.94278199460667</v>
      </c>
      <c r="X306" s="1">
        <f t="shared" si="869"/>
        <v>4.16617112444839</v>
      </c>
      <c r="Y306" s="1">
        <f t="shared" si="870"/>
        <v>7.9259019075123</v>
      </c>
      <c r="Z306" s="1">
        <f t="shared" si="871"/>
        <v>652407.993870467</v>
      </c>
      <c r="AA306" s="1">
        <f t="shared" si="872"/>
        <v>39545.4852013271</v>
      </c>
      <c r="AB306" s="1">
        <f t="shared" si="873"/>
        <v>26363.6568008847</v>
      </c>
      <c r="AC306" s="1">
        <f>AB306/(AB306+战斗公式!$M$27)</f>
        <v>0.523465897345675</v>
      </c>
      <c r="AD306" s="1">
        <f t="shared" si="874"/>
        <v>1369068.84572691</v>
      </c>
      <c r="AE306" s="1">
        <f t="shared" si="875"/>
        <v>8.30981346161028</v>
      </c>
      <c r="AF306" s="1">
        <f t="shared" si="876"/>
        <v>4.36797039596211</v>
      </c>
      <c r="AG306" s="1">
        <f t="shared" si="877"/>
        <v>4.64787255514843</v>
      </c>
      <c r="AH306" s="1">
        <f t="shared" si="878"/>
        <v>1.23480451196385</v>
      </c>
      <c r="AI306" s="1">
        <f t="shared" si="879"/>
        <v>1.00000032465793</v>
      </c>
      <c r="AJ306" s="1">
        <f t="shared" si="880"/>
        <v>1.00207307248099</v>
      </c>
      <c r="AK306" s="1">
        <f t="shared" si="881"/>
        <v>1</v>
      </c>
      <c r="AL306" s="10">
        <f t="shared" si="882"/>
        <v>694215</v>
      </c>
      <c r="AM306" s="10">
        <f t="shared" si="883"/>
        <v>48831</v>
      </c>
      <c r="AN306" s="10">
        <f t="shared" si="884"/>
        <v>26364</v>
      </c>
      <c r="AO306" s="1">
        <f t="shared" si="885"/>
        <v>365663</v>
      </c>
      <c r="AP306" s="1">
        <f t="shared" si="886"/>
        <v>48831</v>
      </c>
      <c r="AR306" s="1">
        <f t="shared" ref="AR306:AX306" si="1004">ROUNDUP(AR$10*$AO306,0)</f>
        <v>365663</v>
      </c>
      <c r="AS306" s="1">
        <f t="shared" si="1004"/>
        <v>1096989</v>
      </c>
      <c r="AT306" s="1">
        <f t="shared" si="1004"/>
        <v>658194</v>
      </c>
      <c r="AU306" s="1">
        <f t="shared" si="1004"/>
        <v>182832</v>
      </c>
      <c r="AV306" s="1">
        <f t="shared" si="1004"/>
        <v>54850</v>
      </c>
      <c r="AW306" s="1">
        <f t="shared" si="1004"/>
        <v>1462652</v>
      </c>
      <c r="AX306" s="1">
        <f t="shared" si="1004"/>
        <v>3290967</v>
      </c>
      <c r="AY306" s="1">
        <f t="shared" si="888"/>
        <v>41652914</v>
      </c>
      <c r="AZ306" s="1">
        <f t="shared" si="889"/>
        <v>20826457</v>
      </c>
      <c r="BB306" s="1">
        <f t="shared" si="890"/>
        <v>295</v>
      </c>
    </row>
    <row r="307" spans="2:54">
      <c r="B307" s="4">
        <v>296</v>
      </c>
      <c r="C307" s="1">
        <f t="shared" ref="C307:I307" si="1005">C$5+(C$6-C$5)*(POWER(C$7,$B307-1)-1)/(POWER(C$7,$B$3-1)-1)</f>
        <v>23386.3770751241</v>
      </c>
      <c r="D307" s="1">
        <f t="shared" si="1005"/>
        <v>7015.91312253723</v>
      </c>
      <c r="E307" s="1">
        <f t="shared" si="1005"/>
        <v>4677.27541502482</v>
      </c>
      <c r="F307" s="1">
        <f t="shared" si="1005"/>
        <v>59206.0179117066</v>
      </c>
      <c r="G307" s="1">
        <f t="shared" si="1005"/>
        <v>17761.805373512</v>
      </c>
      <c r="H307" s="1">
        <f t="shared" si="1005"/>
        <v>11841.2035823413</v>
      </c>
      <c r="I307" s="1">
        <f t="shared" si="1005"/>
        <v>0</v>
      </c>
      <c r="J307" s="1">
        <f>标准模型!$I$65/1*$B307/$B$3</f>
        <v>2.1312</v>
      </c>
      <c r="K307" s="1">
        <f>J307*标准模型!$J$63</f>
        <v>2.1312</v>
      </c>
      <c r="L307" s="1">
        <f t="shared" si="865"/>
        <v>82592.3949868307</v>
      </c>
      <c r="M307" s="1">
        <f t="shared" si="866"/>
        <v>39730.0325428006</v>
      </c>
      <c r="N307" s="1">
        <f t="shared" si="867"/>
        <v>26486.6883618671</v>
      </c>
      <c r="O307" s="1">
        <f t="shared" ref="O307:W307" si="1006">O$5+(O$6-O$5)*(POWER(O$7,$B307-1)-1)/(POWER(O$7,$B$3-1)-1)</f>
        <v>0.795621332222979</v>
      </c>
      <c r="P307" s="1">
        <f t="shared" si="1006"/>
        <v>0.199912628564921</v>
      </c>
      <c r="Q307" s="1">
        <f t="shared" si="1006"/>
        <v>0.437591732722639</v>
      </c>
      <c r="R307" s="1">
        <f t="shared" si="1006"/>
        <v>1.11824853288919</v>
      </c>
      <c r="S307" s="1">
        <f t="shared" si="1006"/>
        <v>0.434307731889873</v>
      </c>
      <c r="T307" s="1">
        <f t="shared" si="1006"/>
        <v>3.15292319566962</v>
      </c>
      <c r="U307" s="1">
        <f t="shared" si="1006"/>
        <v>1</v>
      </c>
      <c r="V307" s="1">
        <f t="shared" si="1006"/>
        <v>1.32240411958677</v>
      </c>
      <c r="W307" s="1">
        <f t="shared" si="1006"/>
        <v>1.94598826311353</v>
      </c>
      <c r="X307" s="1">
        <f t="shared" si="869"/>
        <v>4.19201282870846</v>
      </c>
      <c r="Y307" s="1">
        <f t="shared" si="870"/>
        <v>7.98022247666731</v>
      </c>
      <c r="Z307" s="1">
        <f t="shared" si="871"/>
        <v>659105.686875691</v>
      </c>
      <c r="AA307" s="1">
        <f t="shared" si="872"/>
        <v>39730.0325428006</v>
      </c>
      <c r="AB307" s="1">
        <f t="shared" si="873"/>
        <v>26486.6883618671</v>
      </c>
      <c r="AC307" s="1">
        <f>AB307/(AB307+战斗公式!$M$27)</f>
        <v>0.524627168492846</v>
      </c>
      <c r="AD307" s="1">
        <f t="shared" si="874"/>
        <v>1386502.6421178</v>
      </c>
      <c r="AE307" s="1">
        <f t="shared" si="875"/>
        <v>8.32490291913877</v>
      </c>
      <c r="AF307" s="1">
        <f t="shared" si="876"/>
        <v>4.3730735498688</v>
      </c>
      <c r="AG307" s="1">
        <f t="shared" si="877"/>
        <v>4.65123116521587</v>
      </c>
      <c r="AH307" s="1">
        <f t="shared" si="878"/>
        <v>1.23901309952975</v>
      </c>
      <c r="AI307" s="1">
        <f t="shared" si="879"/>
        <v>1.00000030842459</v>
      </c>
      <c r="AJ307" s="1">
        <f t="shared" si="880"/>
        <v>1.00203094122398</v>
      </c>
      <c r="AK307" s="1">
        <f t="shared" si="881"/>
        <v>1</v>
      </c>
      <c r="AL307" s="10">
        <f t="shared" si="882"/>
        <v>701029</v>
      </c>
      <c r="AM307" s="10">
        <f t="shared" si="883"/>
        <v>49226</v>
      </c>
      <c r="AN307" s="10">
        <f t="shared" si="884"/>
        <v>26487</v>
      </c>
      <c r="AO307" s="1">
        <f t="shared" si="885"/>
        <v>368999</v>
      </c>
      <c r="AP307" s="1">
        <f t="shared" si="886"/>
        <v>49226</v>
      </c>
      <c r="AR307" s="1">
        <f t="shared" ref="AR307:AX307" si="1007">ROUNDUP(AR$10*$AO307,0)</f>
        <v>368999</v>
      </c>
      <c r="AS307" s="1">
        <f t="shared" si="1007"/>
        <v>1106997</v>
      </c>
      <c r="AT307" s="1">
        <f t="shared" si="1007"/>
        <v>664199</v>
      </c>
      <c r="AU307" s="1">
        <f t="shared" si="1007"/>
        <v>184500</v>
      </c>
      <c r="AV307" s="1">
        <f t="shared" si="1007"/>
        <v>55350</v>
      </c>
      <c r="AW307" s="1">
        <f t="shared" si="1007"/>
        <v>1475996</v>
      </c>
      <c r="AX307" s="1">
        <f t="shared" si="1007"/>
        <v>3320991</v>
      </c>
      <c r="AY307" s="1">
        <f t="shared" si="888"/>
        <v>42061753</v>
      </c>
      <c r="AZ307" s="1">
        <f t="shared" si="889"/>
        <v>21030876</v>
      </c>
      <c r="BB307" s="1">
        <f t="shared" si="890"/>
        <v>296</v>
      </c>
    </row>
    <row r="308" spans="2:54">
      <c r="B308" s="4">
        <v>297</v>
      </c>
      <c r="C308" s="1">
        <f t="shared" ref="C308:I308" si="1008">C$5+(C$6-C$5)*(POWER(C$7,$B308-1)-1)/(POWER(C$7,$B$3-1)-1)</f>
        <v>23465.3734403882</v>
      </c>
      <c r="D308" s="1">
        <f t="shared" si="1008"/>
        <v>7039.61203211647</v>
      </c>
      <c r="E308" s="1">
        <f t="shared" si="1008"/>
        <v>4693.07468807765</v>
      </c>
      <c r="F308" s="1">
        <f t="shared" si="1008"/>
        <v>59406.0087098436</v>
      </c>
      <c r="G308" s="1">
        <f t="shared" si="1008"/>
        <v>17821.8026129531</v>
      </c>
      <c r="H308" s="1">
        <f t="shared" si="1008"/>
        <v>11881.2017419687</v>
      </c>
      <c r="I308" s="1">
        <f t="shared" si="1008"/>
        <v>0</v>
      </c>
      <c r="J308" s="1">
        <f>标准模型!$I$65/1*$B308/$B$3</f>
        <v>2.1384</v>
      </c>
      <c r="K308" s="1">
        <f>J308*标准模型!$J$63</f>
        <v>2.1384</v>
      </c>
      <c r="L308" s="1">
        <f t="shared" si="865"/>
        <v>82871.3821502318</v>
      </c>
      <c r="M308" s="1">
        <f t="shared" si="866"/>
        <v>39914.9210145474</v>
      </c>
      <c r="N308" s="1">
        <f t="shared" si="867"/>
        <v>26609.9473430316</v>
      </c>
      <c r="O308" s="1">
        <f t="shared" ref="O308:W308" si="1009">O$5+(O$6-O$5)*(POWER(O$7,$B308-1)-1)/(POWER(O$7,$B$3-1)-1)</f>
        <v>0.796623290129477</v>
      </c>
      <c r="P308" s="1">
        <f t="shared" si="1009"/>
        <v>0.200751754633298</v>
      </c>
      <c r="Q308" s="1">
        <f t="shared" si="1009"/>
        <v>0.438142809571212</v>
      </c>
      <c r="R308" s="1">
        <f t="shared" si="1009"/>
        <v>1.11864931605179</v>
      </c>
      <c r="S308" s="1">
        <f t="shared" si="1009"/>
        <v>0.43561027716832</v>
      </c>
      <c r="T308" s="1">
        <f t="shared" si="1009"/>
        <v>3.15683083150496</v>
      </c>
      <c r="U308" s="1">
        <f t="shared" si="1009"/>
        <v>1</v>
      </c>
      <c r="V308" s="1">
        <f t="shared" si="1009"/>
        <v>1.32349685316685</v>
      </c>
      <c r="W308" s="1">
        <f t="shared" si="1009"/>
        <v>1.94919452841433</v>
      </c>
      <c r="X308" s="1">
        <f t="shared" si="869"/>
        <v>4.21799308075707</v>
      </c>
      <c r="Y308" s="1">
        <f t="shared" si="870"/>
        <v>8.03487041389082</v>
      </c>
      <c r="Z308" s="1">
        <f t="shared" si="871"/>
        <v>665860.816597138</v>
      </c>
      <c r="AA308" s="1">
        <f t="shared" si="872"/>
        <v>39914.9210145474</v>
      </c>
      <c r="AB308" s="1">
        <f t="shared" si="873"/>
        <v>26609.9473430316</v>
      </c>
      <c r="AC308" s="1">
        <f>AB308/(AB308+战斗公式!$M$27)</f>
        <v>0.525784924506456</v>
      </c>
      <c r="AD308" s="1">
        <f t="shared" si="874"/>
        <v>1404132.53607371</v>
      </c>
      <c r="AE308" s="1">
        <f t="shared" si="875"/>
        <v>8.34001757049272</v>
      </c>
      <c r="AF308" s="1">
        <f t="shared" si="876"/>
        <v>4.37818341723522</v>
      </c>
      <c r="AG308" s="1">
        <f t="shared" si="877"/>
        <v>4.6545645857078</v>
      </c>
      <c r="AH308" s="1">
        <f t="shared" si="878"/>
        <v>1.24323010427078</v>
      </c>
      <c r="AI308" s="1">
        <f t="shared" si="879"/>
        <v>1.00000029300292</v>
      </c>
      <c r="AJ308" s="1">
        <f t="shared" si="880"/>
        <v>1.00198965259211</v>
      </c>
      <c r="AK308" s="1">
        <f t="shared" si="881"/>
        <v>1</v>
      </c>
      <c r="AL308" s="10">
        <f t="shared" si="882"/>
        <v>707895</v>
      </c>
      <c r="AM308" s="10">
        <f t="shared" si="883"/>
        <v>49623</v>
      </c>
      <c r="AN308" s="10">
        <f t="shared" si="884"/>
        <v>26610</v>
      </c>
      <c r="AO308" s="1">
        <f t="shared" si="885"/>
        <v>372356</v>
      </c>
      <c r="AP308" s="1">
        <f t="shared" si="886"/>
        <v>49623</v>
      </c>
      <c r="AR308" s="1">
        <f t="shared" ref="AR308:AX308" si="1010">ROUNDUP(AR$10*$AO308,0)</f>
        <v>372356</v>
      </c>
      <c r="AS308" s="1">
        <f t="shared" si="1010"/>
        <v>1117068</v>
      </c>
      <c r="AT308" s="1">
        <f t="shared" si="1010"/>
        <v>670241</v>
      </c>
      <c r="AU308" s="1">
        <f t="shared" si="1010"/>
        <v>186178</v>
      </c>
      <c r="AV308" s="1">
        <f t="shared" si="1010"/>
        <v>55854</v>
      </c>
      <c r="AW308" s="1">
        <f t="shared" si="1010"/>
        <v>1489424</v>
      </c>
      <c r="AX308" s="1">
        <f t="shared" si="1010"/>
        <v>3351204</v>
      </c>
      <c r="AY308" s="1">
        <f t="shared" si="888"/>
        <v>42473712</v>
      </c>
      <c r="AZ308" s="1">
        <f t="shared" si="889"/>
        <v>21236856</v>
      </c>
      <c r="BB308" s="1">
        <f t="shared" si="890"/>
        <v>297</v>
      </c>
    </row>
    <row r="309" spans="2:54">
      <c r="B309" s="4">
        <v>298</v>
      </c>
      <c r="C309" s="1">
        <f t="shared" ref="C309:I309" si="1011">C$5+(C$6-C$5)*(POWER(C$7,$B309-1)-1)/(POWER(C$7,$B$3-1)-1)</f>
        <v>23544.369726652</v>
      </c>
      <c r="D309" s="1">
        <f t="shared" si="1011"/>
        <v>7063.31091799559</v>
      </c>
      <c r="E309" s="1">
        <f t="shared" si="1011"/>
        <v>4708.87394533039</v>
      </c>
      <c r="F309" s="1">
        <f t="shared" si="1011"/>
        <v>59605.9993079796</v>
      </c>
      <c r="G309" s="1">
        <f t="shared" si="1011"/>
        <v>17881.7997923939</v>
      </c>
      <c r="H309" s="1">
        <f t="shared" si="1011"/>
        <v>11921.1998615959</v>
      </c>
      <c r="I309" s="1">
        <f t="shared" si="1011"/>
        <v>0</v>
      </c>
      <c r="J309" s="1">
        <f>标准模型!$I$65/1*$B309/$B$3</f>
        <v>2.1456</v>
      </c>
      <c r="K309" s="1">
        <f>J309*标准模型!$J$63</f>
        <v>2.1456</v>
      </c>
      <c r="L309" s="1">
        <f t="shared" si="865"/>
        <v>83150.3690346316</v>
      </c>
      <c r="M309" s="1">
        <f t="shared" si="866"/>
        <v>40100.1506160408</v>
      </c>
      <c r="N309" s="1">
        <f t="shared" si="867"/>
        <v>26733.4337440272</v>
      </c>
      <c r="O309" s="1">
        <f t="shared" ref="O309:W309" si="1012">O$5+(O$6-O$5)*(POWER(O$7,$B309-1)-1)/(POWER(O$7,$B$3-1)-1)</f>
        <v>0.797625247033966</v>
      </c>
      <c r="P309" s="1">
        <f t="shared" si="1012"/>
        <v>0.201592139390778</v>
      </c>
      <c r="Q309" s="1">
        <f t="shared" si="1012"/>
        <v>0.438693885868681</v>
      </c>
      <c r="R309" s="1">
        <f t="shared" si="1012"/>
        <v>1.11905009881359</v>
      </c>
      <c r="S309" s="1">
        <f t="shared" si="1012"/>
        <v>0.436912821144156</v>
      </c>
      <c r="T309" s="1">
        <f t="shared" si="1012"/>
        <v>3.16073846343247</v>
      </c>
      <c r="U309" s="1">
        <f t="shared" si="1012"/>
        <v>1</v>
      </c>
      <c r="V309" s="1">
        <f t="shared" si="1012"/>
        <v>1.32458958565414</v>
      </c>
      <c r="W309" s="1">
        <f t="shared" si="1012"/>
        <v>1.95240079050869</v>
      </c>
      <c r="X309" s="1">
        <f t="shared" si="869"/>
        <v>4.24411249200185</v>
      </c>
      <c r="Y309" s="1">
        <f t="shared" si="870"/>
        <v>8.08984738722537</v>
      </c>
      <c r="Z309" s="1">
        <f t="shared" si="871"/>
        <v>672673.795681639</v>
      </c>
      <c r="AA309" s="1">
        <f t="shared" si="872"/>
        <v>40100.1506160408</v>
      </c>
      <c r="AB309" s="1">
        <f t="shared" si="873"/>
        <v>26733.4337440272</v>
      </c>
      <c r="AC309" s="1">
        <f>AB309/(AB309+战斗公式!$M$27)</f>
        <v>0.526939175434277</v>
      </c>
      <c r="AD309" s="1">
        <f t="shared" si="874"/>
        <v>1421960.47685657</v>
      </c>
      <c r="AE309" s="1">
        <f t="shared" si="875"/>
        <v>8.35515738489199</v>
      </c>
      <c r="AF309" s="1">
        <f t="shared" si="876"/>
        <v>4.38329997248856</v>
      </c>
      <c r="AG309" s="1">
        <f t="shared" si="877"/>
        <v>4.65787300554604</v>
      </c>
      <c r="AH309" s="1">
        <f t="shared" si="878"/>
        <v>1.24745554302129</v>
      </c>
      <c r="AI309" s="1">
        <f t="shared" si="879"/>
        <v>1.00000027835234</v>
      </c>
      <c r="AJ309" s="1">
        <f t="shared" si="880"/>
        <v>1.00194918973288</v>
      </c>
      <c r="AK309" s="1">
        <f t="shared" si="881"/>
        <v>1</v>
      </c>
      <c r="AL309" s="10">
        <f t="shared" si="882"/>
        <v>714811</v>
      </c>
      <c r="AM309" s="10">
        <f t="shared" si="883"/>
        <v>50023</v>
      </c>
      <c r="AN309" s="10">
        <f t="shared" si="884"/>
        <v>26733</v>
      </c>
      <c r="AO309" s="1">
        <f t="shared" si="885"/>
        <v>375736</v>
      </c>
      <c r="AP309" s="1">
        <f t="shared" si="886"/>
        <v>50023</v>
      </c>
      <c r="AR309" s="1">
        <f t="shared" ref="AR309:AX309" si="1013">ROUNDUP(AR$10*$AO309,0)</f>
        <v>375736</v>
      </c>
      <c r="AS309" s="1">
        <f t="shared" si="1013"/>
        <v>1127208</v>
      </c>
      <c r="AT309" s="1">
        <f t="shared" si="1013"/>
        <v>676325</v>
      </c>
      <c r="AU309" s="1">
        <f t="shared" si="1013"/>
        <v>187868</v>
      </c>
      <c r="AV309" s="1">
        <f t="shared" si="1013"/>
        <v>56361</v>
      </c>
      <c r="AW309" s="1">
        <f t="shared" si="1013"/>
        <v>1502944</v>
      </c>
      <c r="AX309" s="1">
        <f t="shared" si="1013"/>
        <v>3381624</v>
      </c>
      <c r="AY309" s="1">
        <f t="shared" si="888"/>
        <v>42888672</v>
      </c>
      <c r="AZ309" s="1">
        <f t="shared" si="889"/>
        <v>21444336</v>
      </c>
      <c r="BB309" s="1">
        <f t="shared" si="890"/>
        <v>298</v>
      </c>
    </row>
    <row r="310" spans="2:54">
      <c r="B310" s="4">
        <v>299</v>
      </c>
      <c r="C310" s="1">
        <f t="shared" ref="C310:I310" si="1014">C$5+(C$6-C$5)*(POWER(C$7,$B310-1)-1)/(POWER(C$7,$B$3-1)-1)</f>
        <v>23623.3659339241</v>
      </c>
      <c r="D310" s="1">
        <f t="shared" si="1014"/>
        <v>7087.00978017723</v>
      </c>
      <c r="E310" s="1">
        <f t="shared" si="1014"/>
        <v>4724.67318678482</v>
      </c>
      <c r="F310" s="1">
        <f t="shared" si="1014"/>
        <v>59805.9897061369</v>
      </c>
      <c r="G310" s="1">
        <f t="shared" si="1014"/>
        <v>17941.7969118411</v>
      </c>
      <c r="H310" s="1">
        <f t="shared" si="1014"/>
        <v>11961.1979412274</v>
      </c>
      <c r="I310" s="1">
        <f t="shared" si="1014"/>
        <v>0</v>
      </c>
      <c r="J310" s="1">
        <f>标准模型!$I$65/1*$B310/$B$3</f>
        <v>2.1528</v>
      </c>
      <c r="K310" s="1">
        <f>J310*标准模型!$J$63</f>
        <v>2.1528</v>
      </c>
      <c r="L310" s="1">
        <f t="shared" si="865"/>
        <v>83429.355640061</v>
      </c>
      <c r="M310" s="1">
        <f t="shared" si="866"/>
        <v>40285.7213467838</v>
      </c>
      <c r="N310" s="1">
        <f t="shared" si="867"/>
        <v>26857.1475645226</v>
      </c>
      <c r="O310" s="1">
        <f t="shared" ref="O310:W310" si="1015">O$5+(O$6-O$5)*(POWER(O$7,$B310-1)-1)/(POWER(O$7,$B$3-1)-1)</f>
        <v>0.798627202936558</v>
      </c>
      <c r="P310" s="1">
        <f t="shared" si="1015"/>
        <v>0.202433784725393</v>
      </c>
      <c r="Q310" s="1">
        <f t="shared" si="1015"/>
        <v>0.439244961615107</v>
      </c>
      <c r="R310" s="1">
        <f t="shared" si="1015"/>
        <v>1.11945088117462</v>
      </c>
      <c r="S310" s="1">
        <f t="shared" si="1015"/>
        <v>0.438215363817525</v>
      </c>
      <c r="T310" s="1">
        <f t="shared" si="1015"/>
        <v>3.16464609145258</v>
      </c>
      <c r="U310" s="1">
        <f t="shared" si="1015"/>
        <v>1</v>
      </c>
      <c r="V310" s="1">
        <f t="shared" si="1015"/>
        <v>1.32568231704876</v>
      </c>
      <c r="W310" s="1">
        <f t="shared" si="1015"/>
        <v>1.95560704939698</v>
      </c>
      <c r="X310" s="1">
        <f t="shared" si="869"/>
        <v>4.27037167590107</v>
      </c>
      <c r="Y310" s="1">
        <f t="shared" si="870"/>
        <v>8.14515507149048</v>
      </c>
      <c r="Z310" s="1">
        <f t="shared" si="871"/>
        <v>679545.039202825</v>
      </c>
      <c r="AA310" s="1">
        <f t="shared" si="872"/>
        <v>40285.7213467838</v>
      </c>
      <c r="AB310" s="1">
        <f t="shared" si="873"/>
        <v>26857.1475645226</v>
      </c>
      <c r="AC310" s="1">
        <f>AB310/(AB310+战斗公式!$M$27)</f>
        <v>0.52808993132084</v>
      </c>
      <c r="AD310" s="1">
        <f t="shared" si="874"/>
        <v>1439988.43064489</v>
      </c>
      <c r="AE310" s="1">
        <f t="shared" si="875"/>
        <v>8.37032233168754</v>
      </c>
      <c r="AF310" s="1">
        <f t="shared" si="876"/>
        <v>4.38842319018732</v>
      </c>
      <c r="AG310" s="1">
        <f t="shared" si="877"/>
        <v>4.6611566122355</v>
      </c>
      <c r="AH310" s="1">
        <f t="shared" si="878"/>
        <v>1.2516894326493</v>
      </c>
      <c r="AI310" s="1">
        <f t="shared" si="879"/>
        <v>1.00000026443428</v>
      </c>
      <c r="AJ310" s="1">
        <f t="shared" si="880"/>
        <v>1.00190953613083</v>
      </c>
      <c r="AK310" s="1">
        <f t="shared" si="881"/>
        <v>1</v>
      </c>
      <c r="AL310" s="10">
        <f t="shared" si="882"/>
        <v>721778</v>
      </c>
      <c r="AM310" s="10">
        <f t="shared" si="883"/>
        <v>50425</v>
      </c>
      <c r="AN310" s="10">
        <f t="shared" si="884"/>
        <v>26857</v>
      </c>
      <c r="AO310" s="1">
        <f t="shared" si="885"/>
        <v>379139</v>
      </c>
      <c r="AP310" s="1">
        <f t="shared" si="886"/>
        <v>50425</v>
      </c>
      <c r="AR310" s="1">
        <f t="shared" ref="AR310:AX310" si="1016">ROUNDUP(AR$10*$AO310,0)</f>
        <v>379139</v>
      </c>
      <c r="AS310" s="1">
        <f t="shared" si="1016"/>
        <v>1137417</v>
      </c>
      <c r="AT310" s="1">
        <f t="shared" si="1016"/>
        <v>682451</v>
      </c>
      <c r="AU310" s="1">
        <f t="shared" si="1016"/>
        <v>189570</v>
      </c>
      <c r="AV310" s="1">
        <f t="shared" si="1016"/>
        <v>56871</v>
      </c>
      <c r="AW310" s="1">
        <f t="shared" si="1016"/>
        <v>1516556</v>
      </c>
      <c r="AX310" s="1">
        <f t="shared" si="1016"/>
        <v>3412251</v>
      </c>
      <c r="AY310" s="1">
        <f t="shared" si="888"/>
        <v>43306691</v>
      </c>
      <c r="AZ310" s="1">
        <f t="shared" si="889"/>
        <v>21653346</v>
      </c>
      <c r="BB310" s="1">
        <f t="shared" si="890"/>
        <v>299</v>
      </c>
    </row>
    <row r="311" spans="2:54">
      <c r="B311" s="4">
        <v>300</v>
      </c>
      <c r="C311" s="1">
        <f t="shared" ref="C311:I311" si="1017">C$5+(C$6-C$5)*(POWER(C$7,$B311-1)-1)/(POWER(C$7,$B$3-1)-1)</f>
        <v>23702.3620621958</v>
      </c>
      <c r="D311" s="1">
        <f t="shared" si="1017"/>
        <v>7110.70861865875</v>
      </c>
      <c r="E311" s="1">
        <f t="shared" si="1017"/>
        <v>4740.47241243917</v>
      </c>
      <c r="F311" s="1">
        <f t="shared" si="1017"/>
        <v>60005.9799042933</v>
      </c>
      <c r="G311" s="1">
        <f t="shared" si="1017"/>
        <v>18001.793971288</v>
      </c>
      <c r="H311" s="1">
        <f t="shared" si="1017"/>
        <v>12001.1959808587</v>
      </c>
      <c r="I311" s="1">
        <f t="shared" si="1017"/>
        <v>0</v>
      </c>
      <c r="J311" s="1">
        <f>标准模型!$I$65/1*$B311/$B$3</f>
        <v>2.16</v>
      </c>
      <c r="K311" s="1">
        <f>J311*标准模型!$J$63</f>
        <v>2.16</v>
      </c>
      <c r="L311" s="1">
        <f t="shared" si="865"/>
        <v>83708.3419664891</v>
      </c>
      <c r="M311" s="1">
        <f t="shared" si="866"/>
        <v>40471.6332062496</v>
      </c>
      <c r="N311" s="1">
        <f t="shared" si="867"/>
        <v>26981.0888041664</v>
      </c>
      <c r="O311" s="1">
        <f t="shared" ref="O311:W311" si="1018">O$5+(O$6-O$5)*(POWER(O$7,$B311-1)-1)/(POWER(O$7,$B$3-1)-1)</f>
        <v>0.799629157837141</v>
      </c>
      <c r="P311" s="1">
        <f t="shared" si="1018"/>
        <v>0.203276692528011</v>
      </c>
      <c r="Q311" s="1">
        <f t="shared" si="1018"/>
        <v>0.439796036810427</v>
      </c>
      <c r="R311" s="1">
        <f t="shared" si="1018"/>
        <v>1.11985166313486</v>
      </c>
      <c r="S311" s="1">
        <f t="shared" si="1018"/>
        <v>0.439517905188283</v>
      </c>
      <c r="T311" s="1">
        <f t="shared" si="1018"/>
        <v>3.16855371556485</v>
      </c>
      <c r="U311" s="1">
        <f t="shared" si="1018"/>
        <v>1</v>
      </c>
      <c r="V311" s="1">
        <f t="shared" si="1018"/>
        <v>1.32677504735059</v>
      </c>
      <c r="W311" s="1">
        <f t="shared" si="1018"/>
        <v>1.95881330507885</v>
      </c>
      <c r="X311" s="1">
        <f t="shared" si="869"/>
        <v>4.29677124795855</v>
      </c>
      <c r="Y311" s="1">
        <f t="shared" si="870"/>
        <v>8.20079514828112</v>
      </c>
      <c r="Z311" s="1">
        <f t="shared" si="871"/>
        <v>686474.964669441</v>
      </c>
      <c r="AA311" s="1">
        <f t="shared" si="872"/>
        <v>40471.6332062496</v>
      </c>
      <c r="AB311" s="1">
        <f t="shared" si="873"/>
        <v>26981.0888041664</v>
      </c>
      <c r="AC311" s="1">
        <f>AB311/(AB311+战斗公式!$M$27)</f>
        <v>0.529237202206662</v>
      </c>
      <c r="AD311" s="1">
        <f t="shared" si="874"/>
        <v>1458218.38065207</v>
      </c>
      <c r="AE311" s="1">
        <f t="shared" si="875"/>
        <v>8.38551238035068</v>
      </c>
      <c r="AF311" s="1">
        <f t="shared" si="876"/>
        <v>4.39355304501702</v>
      </c>
      <c r="AG311" s="1">
        <f t="shared" si="877"/>
        <v>4.66441559187479</v>
      </c>
      <c r="AH311" s="1">
        <f t="shared" si="878"/>
        <v>1.25593179005657</v>
      </c>
      <c r="AI311" s="1">
        <f t="shared" si="879"/>
        <v>1.00000025121213</v>
      </c>
      <c r="AJ311" s="1">
        <f t="shared" si="880"/>
        <v>1.00187067560083</v>
      </c>
      <c r="AK311" s="1">
        <f t="shared" si="881"/>
        <v>1</v>
      </c>
      <c r="AL311" s="10">
        <f t="shared" si="882"/>
        <v>728796</v>
      </c>
      <c r="AM311" s="10">
        <f t="shared" si="883"/>
        <v>50830</v>
      </c>
      <c r="AN311" s="10">
        <f t="shared" si="884"/>
        <v>26981</v>
      </c>
      <c r="AO311" s="1">
        <f t="shared" si="885"/>
        <v>382564</v>
      </c>
      <c r="AP311" s="1">
        <f t="shared" si="886"/>
        <v>50830</v>
      </c>
      <c r="AR311" s="1">
        <f t="shared" ref="AR311:AX311" si="1019">ROUNDUP(AR$10*$AO311,0)</f>
        <v>382564</v>
      </c>
      <c r="AS311" s="1">
        <f t="shared" si="1019"/>
        <v>1147692</v>
      </c>
      <c r="AT311" s="1">
        <f t="shared" si="1019"/>
        <v>688616</v>
      </c>
      <c r="AU311" s="1">
        <f t="shared" si="1019"/>
        <v>191282</v>
      </c>
      <c r="AV311" s="1">
        <f t="shared" si="1019"/>
        <v>57385</v>
      </c>
      <c r="AW311" s="1">
        <f t="shared" si="1019"/>
        <v>1530256</v>
      </c>
      <c r="AX311" s="1">
        <f t="shared" si="1019"/>
        <v>3443076</v>
      </c>
      <c r="AY311" s="1">
        <f t="shared" si="888"/>
        <v>43727771</v>
      </c>
      <c r="AZ311" s="1">
        <f t="shared" si="889"/>
        <v>21863885</v>
      </c>
      <c r="BB311" s="1">
        <f t="shared" si="890"/>
        <v>300</v>
      </c>
    </row>
    <row r="312" spans="2:54">
      <c r="B312" s="4">
        <v>301</v>
      </c>
      <c r="C312" s="1">
        <f t="shared" ref="C312:I312" si="1020">C$5+(C$6-C$5)*(POWER(C$7,$B312-1)-1)/(POWER(C$7,$B$3-1)-1)</f>
        <v>23781.3581114672</v>
      </c>
      <c r="D312" s="1">
        <f t="shared" si="1020"/>
        <v>7134.40743344016</v>
      </c>
      <c r="E312" s="1">
        <f t="shared" si="1020"/>
        <v>4756.27162229344</v>
      </c>
      <c r="F312" s="1">
        <f t="shared" si="1020"/>
        <v>60205.9699024486</v>
      </c>
      <c r="G312" s="1">
        <f t="shared" si="1020"/>
        <v>18061.7909707346</v>
      </c>
      <c r="H312" s="1">
        <f t="shared" si="1020"/>
        <v>12041.1939804897</v>
      </c>
      <c r="I312" s="1">
        <f t="shared" si="1020"/>
        <v>0</v>
      </c>
      <c r="J312" s="1">
        <f>标准模型!$I$65/1*$B312/$B$3</f>
        <v>2.1672</v>
      </c>
      <c r="K312" s="1">
        <f>J312*标准模型!$J$63</f>
        <v>2.1672</v>
      </c>
      <c r="L312" s="1">
        <f t="shared" si="865"/>
        <v>83987.3280139158</v>
      </c>
      <c r="M312" s="1">
        <f t="shared" si="866"/>
        <v>40657.8861939263</v>
      </c>
      <c r="N312" s="1">
        <f t="shared" si="867"/>
        <v>27105.2574626175</v>
      </c>
      <c r="O312" s="1">
        <f t="shared" ref="O312:W312" si="1021">O$5+(O$6-O$5)*(POWER(O$7,$B312-1)-1)/(POWER(O$7,$B$3-1)-1)</f>
        <v>0.800631111735715</v>
      </c>
      <c r="P312" s="1">
        <f t="shared" si="1021"/>
        <v>0.204120864692333</v>
      </c>
      <c r="Q312" s="1">
        <f t="shared" si="1021"/>
        <v>0.440347111454643</v>
      </c>
      <c r="R312" s="1">
        <f t="shared" si="1021"/>
        <v>1.12025244469429</v>
      </c>
      <c r="S312" s="1">
        <f t="shared" si="1021"/>
        <v>0.440820445256429</v>
      </c>
      <c r="T312" s="1">
        <f t="shared" si="1021"/>
        <v>3.17246133576929</v>
      </c>
      <c r="U312" s="1">
        <f t="shared" si="1021"/>
        <v>1</v>
      </c>
      <c r="V312" s="1">
        <f t="shared" si="1021"/>
        <v>1.32786777655963</v>
      </c>
      <c r="W312" s="1">
        <f t="shared" si="1021"/>
        <v>1.96201955755429</v>
      </c>
      <c r="X312" s="1">
        <f t="shared" si="869"/>
        <v>4.3233118257363</v>
      </c>
      <c r="Y312" s="1">
        <f t="shared" si="870"/>
        <v>8.25676930600533</v>
      </c>
      <c r="Z312" s="1">
        <f t="shared" si="871"/>
        <v>693463.992038702</v>
      </c>
      <c r="AA312" s="1">
        <f t="shared" si="872"/>
        <v>40657.8861939263</v>
      </c>
      <c r="AB312" s="1">
        <f t="shared" si="873"/>
        <v>27105.2574626175</v>
      </c>
      <c r="AC312" s="1">
        <f>AB312/(AB312+战斗公式!$M$27)</f>
        <v>0.530380998128118</v>
      </c>
      <c r="AD312" s="1">
        <f t="shared" si="874"/>
        <v>1476652.32725802</v>
      </c>
      <c r="AE312" s="1">
        <f t="shared" si="875"/>
        <v>8.40072750047949</v>
      </c>
      <c r="AF312" s="1">
        <f t="shared" si="876"/>
        <v>4.39868951179192</v>
      </c>
      <c r="AG312" s="1">
        <f t="shared" si="877"/>
        <v>4.66765012916678</v>
      </c>
      <c r="AH312" s="1">
        <f t="shared" si="878"/>
        <v>1.26018263217866</v>
      </c>
      <c r="AI312" s="1">
        <f t="shared" si="879"/>
        <v>1.00000023865108</v>
      </c>
      <c r="AJ312" s="1">
        <f t="shared" si="880"/>
        <v>1.00183259228142</v>
      </c>
      <c r="AK312" s="1">
        <f t="shared" si="881"/>
        <v>1</v>
      </c>
      <c r="AL312" s="10">
        <f t="shared" si="882"/>
        <v>735866</v>
      </c>
      <c r="AM312" s="10">
        <f t="shared" si="883"/>
        <v>51236</v>
      </c>
      <c r="AN312" s="10">
        <f t="shared" si="884"/>
        <v>27105</v>
      </c>
      <c r="AO312" s="1">
        <f t="shared" si="885"/>
        <v>386012</v>
      </c>
      <c r="AP312" s="1">
        <f t="shared" si="886"/>
        <v>51236</v>
      </c>
      <c r="AR312" s="1">
        <f t="shared" ref="AR312:AX312" si="1022">ROUNDUP(AR$10*$AO312,0)</f>
        <v>386012</v>
      </c>
      <c r="AS312" s="1">
        <f t="shared" si="1022"/>
        <v>1158036</v>
      </c>
      <c r="AT312" s="1">
        <f t="shared" si="1022"/>
        <v>694822</v>
      </c>
      <c r="AU312" s="1">
        <f t="shared" si="1022"/>
        <v>193006</v>
      </c>
      <c r="AV312" s="1">
        <f t="shared" si="1022"/>
        <v>57902</v>
      </c>
      <c r="AW312" s="1">
        <f t="shared" si="1022"/>
        <v>1544048</v>
      </c>
      <c r="AX312" s="1">
        <f t="shared" si="1022"/>
        <v>3474108</v>
      </c>
      <c r="AY312" s="1">
        <f t="shared" si="888"/>
        <v>44151971</v>
      </c>
      <c r="AZ312" s="1">
        <f t="shared" si="889"/>
        <v>22075985</v>
      </c>
      <c r="BB312" s="1">
        <f t="shared" si="890"/>
        <v>301</v>
      </c>
    </row>
    <row r="313" spans="2:54">
      <c r="B313" s="4">
        <v>302</v>
      </c>
      <c r="C313" s="1">
        <f t="shared" ref="C313:I313" si="1023">C$5+(C$6-C$5)*(POWER(C$7,$B313-1)-1)/(POWER(C$7,$B$3-1)-1)</f>
        <v>23860.3540817557</v>
      </c>
      <c r="D313" s="1">
        <f t="shared" si="1023"/>
        <v>7158.10622452672</v>
      </c>
      <c r="E313" s="1">
        <f t="shared" si="1023"/>
        <v>4772.07081635115</v>
      </c>
      <c r="F313" s="1">
        <f t="shared" si="1023"/>
        <v>60405.9597006475</v>
      </c>
      <c r="G313" s="1">
        <f t="shared" si="1023"/>
        <v>18121.7879101942</v>
      </c>
      <c r="H313" s="1">
        <f t="shared" si="1023"/>
        <v>12081.1919401295</v>
      </c>
      <c r="I313" s="1">
        <f t="shared" si="1023"/>
        <v>0</v>
      </c>
      <c r="J313" s="1">
        <f>标准模型!$I$65/1*$B313/$B$3</f>
        <v>2.1744</v>
      </c>
      <c r="K313" s="1">
        <f>J313*标准模型!$J$63</f>
        <v>2.1744</v>
      </c>
      <c r="L313" s="1">
        <f t="shared" si="865"/>
        <v>84266.3137824032</v>
      </c>
      <c r="M313" s="1">
        <f t="shared" si="866"/>
        <v>40844.4803093319</v>
      </c>
      <c r="N313" s="1">
        <f t="shared" si="867"/>
        <v>27229.6535395546</v>
      </c>
      <c r="O313" s="1">
        <f t="shared" ref="O313:W313" si="1024">O$5+(O$6-O$5)*(POWER(O$7,$B313-1)-1)/(POWER(O$7,$B$3-1)-1)</f>
        <v>0.801633064632502</v>
      </c>
      <c r="P313" s="1">
        <f t="shared" si="1024"/>
        <v>0.204966303114901</v>
      </c>
      <c r="Q313" s="1">
        <f t="shared" si="1024"/>
        <v>0.440898185547876</v>
      </c>
      <c r="R313" s="1">
        <f t="shared" si="1024"/>
        <v>1.120653225853</v>
      </c>
      <c r="S313" s="1">
        <f t="shared" si="1024"/>
        <v>0.442122984022253</v>
      </c>
      <c r="T313" s="1">
        <f t="shared" si="1024"/>
        <v>3.17636895206676</v>
      </c>
      <c r="U313" s="1">
        <f t="shared" si="1024"/>
        <v>1</v>
      </c>
      <c r="V313" s="1">
        <f t="shared" si="1024"/>
        <v>1.32896050467613</v>
      </c>
      <c r="W313" s="1">
        <f t="shared" si="1024"/>
        <v>1.96522580682401</v>
      </c>
      <c r="X313" s="1">
        <f t="shared" si="869"/>
        <v>4.34999402886229</v>
      </c>
      <c r="Y313" s="1">
        <f t="shared" si="870"/>
        <v>8.31307923991118</v>
      </c>
      <c r="Z313" s="1">
        <f t="shared" si="871"/>
        <v>700512.543728338</v>
      </c>
      <c r="AA313" s="1">
        <f t="shared" si="872"/>
        <v>40844.4803093319</v>
      </c>
      <c r="AB313" s="1">
        <f t="shared" si="873"/>
        <v>27229.6535395546</v>
      </c>
      <c r="AC313" s="1">
        <f>AB313/(AB313+战斗公式!$M$27)</f>
        <v>0.531521329117139</v>
      </c>
      <c r="AD313" s="1">
        <f t="shared" si="874"/>
        <v>1495292.28813812</v>
      </c>
      <c r="AE313" s="1">
        <f t="shared" si="875"/>
        <v>8.41596766180055</v>
      </c>
      <c r="AF313" s="1">
        <f t="shared" si="876"/>
        <v>4.40383256545521</v>
      </c>
      <c r="AG313" s="1">
        <f t="shared" si="877"/>
        <v>4.67086040742908</v>
      </c>
      <c r="AH313" s="1">
        <f t="shared" si="878"/>
        <v>1.26444197598498</v>
      </c>
      <c r="AI313" s="1">
        <f t="shared" si="879"/>
        <v>1.00000022671808</v>
      </c>
      <c r="AJ313" s="1">
        <f t="shared" si="880"/>
        <v>1.00179527062841</v>
      </c>
      <c r="AK313" s="1">
        <f t="shared" si="881"/>
        <v>1</v>
      </c>
      <c r="AL313" s="10">
        <f t="shared" si="882"/>
        <v>742988</v>
      </c>
      <c r="AM313" s="10">
        <f t="shared" si="883"/>
        <v>51645</v>
      </c>
      <c r="AN313" s="10">
        <f t="shared" si="884"/>
        <v>27230</v>
      </c>
      <c r="AO313" s="1">
        <f t="shared" si="885"/>
        <v>389482</v>
      </c>
      <c r="AP313" s="1">
        <f t="shared" si="886"/>
        <v>51645</v>
      </c>
      <c r="AR313" s="1">
        <f t="shared" ref="AR313:AX313" si="1025">ROUNDUP(AR$10*$AO313,0)</f>
        <v>389482</v>
      </c>
      <c r="AS313" s="1">
        <f t="shared" si="1025"/>
        <v>1168446</v>
      </c>
      <c r="AT313" s="1">
        <f t="shared" si="1025"/>
        <v>701068</v>
      </c>
      <c r="AU313" s="1">
        <f t="shared" si="1025"/>
        <v>194741</v>
      </c>
      <c r="AV313" s="1">
        <f t="shared" si="1025"/>
        <v>58423</v>
      </c>
      <c r="AW313" s="1">
        <f t="shared" si="1025"/>
        <v>1557928</v>
      </c>
      <c r="AX313" s="1">
        <f t="shared" si="1025"/>
        <v>3505338</v>
      </c>
      <c r="AY313" s="1">
        <f t="shared" si="888"/>
        <v>44579290</v>
      </c>
      <c r="AZ313" s="1">
        <f t="shared" si="889"/>
        <v>22289645</v>
      </c>
      <c r="BB313" s="1">
        <f t="shared" si="890"/>
        <v>302</v>
      </c>
    </row>
    <row r="314" spans="2:54">
      <c r="B314" s="4">
        <v>303</v>
      </c>
      <c r="C314" s="1">
        <f t="shared" ref="C314:I314" si="1026">C$5+(C$6-C$5)*(POWER(C$7,$B314-1)-1)/(POWER(C$7,$B$3-1)-1)</f>
        <v>23939.3499730351</v>
      </c>
      <c r="D314" s="1">
        <f t="shared" si="1026"/>
        <v>7181.80499191054</v>
      </c>
      <c r="E314" s="1">
        <f t="shared" si="1026"/>
        <v>4787.86999460703</v>
      </c>
      <c r="F314" s="1">
        <f t="shared" si="1026"/>
        <v>60605.9492988231</v>
      </c>
      <c r="G314" s="1">
        <f t="shared" si="1026"/>
        <v>18181.7847896469</v>
      </c>
      <c r="H314" s="1">
        <f t="shared" si="1026"/>
        <v>12121.1898597646</v>
      </c>
      <c r="I314" s="1">
        <f t="shared" si="1026"/>
        <v>0</v>
      </c>
      <c r="J314" s="1">
        <f>标准模型!$I$65/1*$B314/$B$3</f>
        <v>2.1816</v>
      </c>
      <c r="K314" s="1">
        <f>J314*标准模型!$J$63</f>
        <v>2.1816</v>
      </c>
      <c r="L314" s="1">
        <f t="shared" si="865"/>
        <v>84545.2992718582</v>
      </c>
      <c r="M314" s="1">
        <f t="shared" si="866"/>
        <v>41031.4155519095</v>
      </c>
      <c r="N314" s="1">
        <f t="shared" si="867"/>
        <v>27354.2770346063</v>
      </c>
      <c r="O314" s="1">
        <f t="shared" ref="O314:W314" si="1027">O$5+(O$6-O$5)*(POWER(O$7,$B314-1)-1)/(POWER(O$7,$B$3-1)-1)</f>
        <v>0.80263501652717</v>
      </c>
      <c r="P314" s="1">
        <f t="shared" si="1027"/>
        <v>0.205813009695103</v>
      </c>
      <c r="Q314" s="1">
        <f t="shared" si="1027"/>
        <v>0.441449259089943</v>
      </c>
      <c r="R314" s="1">
        <f t="shared" si="1027"/>
        <v>1.12105400661087</v>
      </c>
      <c r="S314" s="1">
        <f t="shared" si="1027"/>
        <v>0.443425521485321</v>
      </c>
      <c r="T314" s="1">
        <f t="shared" si="1027"/>
        <v>3.18027656445596</v>
      </c>
      <c r="U314" s="1">
        <f t="shared" si="1027"/>
        <v>1</v>
      </c>
      <c r="V314" s="1">
        <f t="shared" si="1027"/>
        <v>1.33005323169972</v>
      </c>
      <c r="W314" s="1">
        <f t="shared" si="1027"/>
        <v>1.96843205288694</v>
      </c>
      <c r="X314" s="1">
        <f t="shared" si="869"/>
        <v>4.37681847901767</v>
      </c>
      <c r="Y314" s="1">
        <f t="shared" si="870"/>
        <v>8.36972665206782</v>
      </c>
      <c r="Z314" s="1">
        <f t="shared" si="871"/>
        <v>707621.044622722</v>
      </c>
      <c r="AA314" s="1">
        <f t="shared" si="872"/>
        <v>41031.4155519095</v>
      </c>
      <c r="AB314" s="1">
        <f t="shared" si="873"/>
        <v>27354.2770346063</v>
      </c>
      <c r="AC314" s="1">
        <f>AB314/(AB314+战斗公式!$M$27)</f>
        <v>0.532658205200182</v>
      </c>
      <c r="AD314" s="1">
        <f t="shared" si="874"/>
        <v>1514140.29837803</v>
      </c>
      <c r="AE314" s="1">
        <f t="shared" si="875"/>
        <v>8.4312328341505</v>
      </c>
      <c r="AF314" s="1">
        <f t="shared" si="876"/>
        <v>4.408982181072</v>
      </c>
      <c r="AG314" s="1">
        <f t="shared" si="877"/>
        <v>4.67404660860441</v>
      </c>
      <c r="AH314" s="1">
        <f t="shared" si="878"/>
        <v>1.26870983847892</v>
      </c>
      <c r="AI314" s="1">
        <f t="shared" si="879"/>
        <v>1.00000021538174</v>
      </c>
      <c r="AJ314" s="1">
        <f t="shared" si="880"/>
        <v>1.00175869540845</v>
      </c>
      <c r="AK314" s="1">
        <f t="shared" si="881"/>
        <v>1</v>
      </c>
      <c r="AL314" s="10">
        <f t="shared" si="882"/>
        <v>750163</v>
      </c>
      <c r="AM314" s="10">
        <f t="shared" si="883"/>
        <v>52057</v>
      </c>
      <c r="AN314" s="10">
        <f t="shared" si="884"/>
        <v>27354</v>
      </c>
      <c r="AO314" s="1">
        <f t="shared" si="885"/>
        <v>392976</v>
      </c>
      <c r="AP314" s="1">
        <f t="shared" si="886"/>
        <v>52057</v>
      </c>
      <c r="AR314" s="1">
        <f t="shared" ref="AR314:AX314" si="1028">ROUNDUP(AR$10*$AO314,0)</f>
        <v>392976</v>
      </c>
      <c r="AS314" s="1">
        <f t="shared" si="1028"/>
        <v>1178928</v>
      </c>
      <c r="AT314" s="1">
        <f t="shared" si="1028"/>
        <v>707357</v>
      </c>
      <c r="AU314" s="1">
        <f t="shared" si="1028"/>
        <v>196488</v>
      </c>
      <c r="AV314" s="1">
        <f t="shared" si="1028"/>
        <v>58947</v>
      </c>
      <c r="AW314" s="1">
        <f t="shared" si="1028"/>
        <v>1571904</v>
      </c>
      <c r="AX314" s="1">
        <f t="shared" si="1028"/>
        <v>3536784</v>
      </c>
      <c r="AY314" s="1">
        <f t="shared" si="888"/>
        <v>45009790</v>
      </c>
      <c r="AZ314" s="1">
        <f t="shared" si="889"/>
        <v>22504895</v>
      </c>
      <c r="BB314" s="1">
        <f t="shared" si="890"/>
        <v>303</v>
      </c>
    </row>
    <row r="315" spans="2:54">
      <c r="B315" s="4">
        <v>304</v>
      </c>
      <c r="C315" s="1">
        <f t="shared" ref="C315:I315" si="1029">C$5+(C$6-C$5)*(POWER(C$7,$B315-1)-1)/(POWER(C$7,$B$3-1)-1)</f>
        <v>24018.3457853229</v>
      </c>
      <c r="D315" s="1">
        <f t="shared" si="1029"/>
        <v>7205.50373559687</v>
      </c>
      <c r="E315" s="1">
        <f t="shared" si="1029"/>
        <v>4803.66915706458</v>
      </c>
      <c r="F315" s="1">
        <f t="shared" si="1029"/>
        <v>60805.93869702</v>
      </c>
      <c r="G315" s="1">
        <f t="shared" si="1029"/>
        <v>18241.781609106</v>
      </c>
      <c r="H315" s="1">
        <f t="shared" si="1029"/>
        <v>12161.187739404</v>
      </c>
      <c r="I315" s="1">
        <f t="shared" si="1029"/>
        <v>0</v>
      </c>
      <c r="J315" s="1">
        <f>标准模型!$I$65/1*$B315/$B$3</f>
        <v>2.1888</v>
      </c>
      <c r="K315" s="1">
        <f>J315*标准模型!$J$63</f>
        <v>2.1888</v>
      </c>
      <c r="L315" s="1">
        <f t="shared" si="865"/>
        <v>84824.2844823429</v>
      </c>
      <c r="M315" s="1">
        <f t="shared" si="866"/>
        <v>41218.6919211773</v>
      </c>
      <c r="N315" s="1">
        <f t="shared" si="867"/>
        <v>27479.1279474516</v>
      </c>
      <c r="O315" s="1">
        <f t="shared" ref="O315:W315" si="1030">O$5+(O$6-O$5)*(POWER(O$7,$B315-1)-1)/(POWER(O$7,$B$3-1)-1)</f>
        <v>0.80363696741994</v>
      </c>
      <c r="P315" s="1">
        <f t="shared" si="1030"/>
        <v>0.206660986335175</v>
      </c>
      <c r="Q315" s="1">
        <f t="shared" si="1030"/>
        <v>0.442000332080967</v>
      </c>
      <c r="R315" s="1">
        <f t="shared" si="1030"/>
        <v>1.12145478696798</v>
      </c>
      <c r="S315" s="1">
        <f t="shared" si="1030"/>
        <v>0.444728057645922</v>
      </c>
      <c r="T315" s="1">
        <f t="shared" si="1030"/>
        <v>3.18418417293777</v>
      </c>
      <c r="U315" s="1">
        <f t="shared" si="1030"/>
        <v>1</v>
      </c>
      <c r="V315" s="1">
        <f t="shared" si="1030"/>
        <v>1.33114595763064</v>
      </c>
      <c r="W315" s="1">
        <f t="shared" si="1030"/>
        <v>1.97163829574381</v>
      </c>
      <c r="X315" s="1">
        <f t="shared" si="869"/>
        <v>4.40378579996752</v>
      </c>
      <c r="Y315" s="1">
        <f t="shared" si="870"/>
        <v>8.42671325144374</v>
      </c>
      <c r="Z315" s="1">
        <f t="shared" si="871"/>
        <v>714789.922091593</v>
      </c>
      <c r="AA315" s="1">
        <f t="shared" si="872"/>
        <v>41218.6919211773</v>
      </c>
      <c r="AB315" s="1">
        <f t="shared" si="873"/>
        <v>27479.1279474516</v>
      </c>
      <c r="AC315" s="1">
        <f>AB315/(AB315+战斗公式!$M$27)</f>
        <v>0.533791636398765</v>
      </c>
      <c r="AD315" s="1">
        <f t="shared" si="874"/>
        <v>1533198.41062092</v>
      </c>
      <c r="AE315" s="1">
        <f t="shared" si="875"/>
        <v>8.44652298750019</v>
      </c>
      <c r="AF315" s="1">
        <f t="shared" si="876"/>
        <v>4.4141383338373</v>
      </c>
      <c r="AG315" s="1">
        <f t="shared" si="877"/>
        <v>4.67720891327093</v>
      </c>
      <c r="AH315" s="1">
        <f t="shared" si="878"/>
        <v>1.27298623669785</v>
      </c>
      <c r="AI315" s="1">
        <f t="shared" si="879"/>
        <v>1.00000020461221</v>
      </c>
      <c r="AJ315" s="1">
        <f t="shared" si="880"/>
        <v>1.00172285169289</v>
      </c>
      <c r="AK315" s="1">
        <f t="shared" si="881"/>
        <v>1</v>
      </c>
      <c r="AL315" s="10">
        <f t="shared" si="882"/>
        <v>757389</v>
      </c>
      <c r="AM315" s="10">
        <f t="shared" si="883"/>
        <v>52471</v>
      </c>
      <c r="AN315" s="10">
        <f t="shared" si="884"/>
        <v>27479</v>
      </c>
      <c r="AO315" s="1">
        <f t="shared" si="885"/>
        <v>396492</v>
      </c>
      <c r="AP315" s="1">
        <f t="shared" si="886"/>
        <v>52471</v>
      </c>
      <c r="AR315" s="1">
        <f t="shared" ref="AR315:AX315" si="1031">ROUNDUP(AR$10*$AO315,0)</f>
        <v>396492</v>
      </c>
      <c r="AS315" s="1">
        <f t="shared" si="1031"/>
        <v>1189476</v>
      </c>
      <c r="AT315" s="1">
        <f t="shared" si="1031"/>
        <v>713686</v>
      </c>
      <c r="AU315" s="1">
        <f t="shared" si="1031"/>
        <v>198246</v>
      </c>
      <c r="AV315" s="1">
        <f t="shared" si="1031"/>
        <v>59474</v>
      </c>
      <c r="AW315" s="1">
        <f t="shared" si="1031"/>
        <v>1585968</v>
      </c>
      <c r="AX315" s="1">
        <f t="shared" si="1031"/>
        <v>3568428</v>
      </c>
      <c r="AY315" s="1">
        <f t="shared" si="888"/>
        <v>45443349</v>
      </c>
      <c r="AZ315" s="1">
        <f t="shared" si="889"/>
        <v>22721675</v>
      </c>
      <c r="BB315" s="1">
        <f t="shared" si="890"/>
        <v>304</v>
      </c>
    </row>
    <row r="316" spans="2:54">
      <c r="B316" s="4">
        <v>305</v>
      </c>
      <c r="C316" s="1">
        <f t="shared" ref="C316:I316" si="1032">C$5+(C$6-C$5)*(POWER(C$7,$B316-1)-1)/(POWER(C$7,$B$3-1)-1)</f>
        <v>24097.3415186191</v>
      </c>
      <c r="D316" s="1">
        <f t="shared" si="1032"/>
        <v>7229.20245558573</v>
      </c>
      <c r="E316" s="1">
        <f t="shared" si="1032"/>
        <v>4819.46830372382</v>
      </c>
      <c r="F316" s="1">
        <f t="shared" si="1032"/>
        <v>61005.9278952382</v>
      </c>
      <c r="G316" s="1">
        <f t="shared" si="1032"/>
        <v>18301.7783685715</v>
      </c>
      <c r="H316" s="1">
        <f t="shared" si="1032"/>
        <v>12201.1855790476</v>
      </c>
      <c r="I316" s="1">
        <f t="shared" si="1032"/>
        <v>0</v>
      </c>
      <c r="J316" s="1">
        <f>标准模型!$I$65/1*$B316/$B$3</f>
        <v>2.196</v>
      </c>
      <c r="K316" s="1">
        <f>J316*标准模型!$J$63</f>
        <v>2.196</v>
      </c>
      <c r="L316" s="1">
        <f t="shared" si="865"/>
        <v>85103.2694138573</v>
      </c>
      <c r="M316" s="1">
        <f t="shared" si="866"/>
        <v>41406.3094166234</v>
      </c>
      <c r="N316" s="1">
        <f t="shared" si="867"/>
        <v>27604.206277749</v>
      </c>
      <c r="O316" s="1">
        <f t="shared" ref="O316:W316" si="1033">O$5+(O$6-O$5)*(POWER(O$7,$B316-1)-1)/(POWER(O$7,$B$3-1)-1)</f>
        <v>0.804638917310813</v>
      </c>
      <c r="P316" s="1">
        <f t="shared" si="1033"/>
        <v>0.207510234940207</v>
      </c>
      <c r="Q316" s="1">
        <f t="shared" si="1033"/>
        <v>0.442551404520947</v>
      </c>
      <c r="R316" s="1">
        <f t="shared" si="1033"/>
        <v>1.12185556692433</v>
      </c>
      <c r="S316" s="1">
        <f t="shared" si="1033"/>
        <v>0.446030592504056</v>
      </c>
      <c r="T316" s="1">
        <f t="shared" si="1033"/>
        <v>3.18809177751217</v>
      </c>
      <c r="U316" s="1">
        <f t="shared" si="1033"/>
        <v>1</v>
      </c>
      <c r="V316" s="1">
        <f t="shared" si="1033"/>
        <v>1.33223868246889</v>
      </c>
      <c r="W316" s="1">
        <f t="shared" si="1033"/>
        <v>1.9748445353946</v>
      </c>
      <c r="X316" s="1">
        <f t="shared" si="869"/>
        <v>4.43089661754793</v>
      </c>
      <c r="Y316" s="1">
        <f t="shared" si="870"/>
        <v>8.48404075388766</v>
      </c>
      <c r="Z316" s="1">
        <f t="shared" si="871"/>
        <v>722019.605996247</v>
      </c>
      <c r="AA316" s="1">
        <f t="shared" si="872"/>
        <v>41406.3094166234</v>
      </c>
      <c r="AB316" s="1">
        <f t="shared" si="873"/>
        <v>27604.206277749</v>
      </c>
      <c r="AC316" s="1">
        <f>AB316/(AB316+战斗公式!$M$27)</f>
        <v>0.534921632728445</v>
      </c>
      <c r="AD316" s="1">
        <f t="shared" si="874"/>
        <v>1552468.69518372</v>
      </c>
      <c r="AE316" s="1">
        <f t="shared" si="875"/>
        <v>8.46183809193624</v>
      </c>
      <c r="AF316" s="1">
        <f t="shared" si="876"/>
        <v>4.41930099906908</v>
      </c>
      <c r="AG316" s="1">
        <f t="shared" si="877"/>
        <v>4.68034750065245</v>
      </c>
      <c r="AH316" s="1">
        <f t="shared" si="878"/>
        <v>1.27727118771322</v>
      </c>
      <c r="AI316" s="1">
        <f t="shared" si="879"/>
        <v>1.00000019438116</v>
      </c>
      <c r="AJ316" s="1">
        <f t="shared" si="880"/>
        <v>1.00168772485165</v>
      </c>
      <c r="AK316" s="1">
        <f t="shared" si="881"/>
        <v>1</v>
      </c>
      <c r="AL316" s="10">
        <f t="shared" si="882"/>
        <v>764669</v>
      </c>
      <c r="AM316" s="10">
        <f t="shared" si="883"/>
        <v>52887</v>
      </c>
      <c r="AN316" s="10">
        <f t="shared" si="884"/>
        <v>27604</v>
      </c>
      <c r="AO316" s="1">
        <f t="shared" si="885"/>
        <v>400032</v>
      </c>
      <c r="AP316" s="1">
        <f t="shared" si="886"/>
        <v>52887</v>
      </c>
      <c r="AR316" s="1">
        <f t="shared" ref="AR316:AX316" si="1034">ROUNDUP(AR$10*$AO316,0)</f>
        <v>400032</v>
      </c>
      <c r="AS316" s="1">
        <f t="shared" si="1034"/>
        <v>1200096</v>
      </c>
      <c r="AT316" s="1">
        <f t="shared" si="1034"/>
        <v>720058</v>
      </c>
      <c r="AU316" s="1">
        <f t="shared" si="1034"/>
        <v>200016</v>
      </c>
      <c r="AV316" s="1">
        <f t="shared" si="1034"/>
        <v>60005</v>
      </c>
      <c r="AW316" s="1">
        <f t="shared" si="1034"/>
        <v>1600128</v>
      </c>
      <c r="AX316" s="1">
        <f t="shared" si="1034"/>
        <v>3600288</v>
      </c>
      <c r="AY316" s="1">
        <f t="shared" si="888"/>
        <v>45880149</v>
      </c>
      <c r="AZ316" s="1">
        <f t="shared" si="889"/>
        <v>22940074</v>
      </c>
      <c r="BB316" s="1">
        <f t="shared" si="890"/>
        <v>305</v>
      </c>
    </row>
    <row r="317" spans="2:54">
      <c r="B317" s="4">
        <v>306</v>
      </c>
      <c r="C317" s="1">
        <f t="shared" ref="C317:I317" si="1035">C$5+(C$6-C$5)*(POWER(C$7,$B317-1)-1)/(POWER(C$7,$B$3-1)-1)</f>
        <v>24176.3371729149</v>
      </c>
      <c r="D317" s="1">
        <f t="shared" si="1035"/>
        <v>7252.90115187447</v>
      </c>
      <c r="E317" s="1">
        <f t="shared" si="1035"/>
        <v>4835.26743458298</v>
      </c>
      <c r="F317" s="1">
        <f t="shared" si="1035"/>
        <v>61205.9168934554</v>
      </c>
      <c r="G317" s="1">
        <f t="shared" si="1035"/>
        <v>18361.7750680366</v>
      </c>
      <c r="H317" s="1">
        <f t="shared" si="1035"/>
        <v>12241.1833786911</v>
      </c>
      <c r="I317" s="1">
        <f t="shared" si="1035"/>
        <v>0</v>
      </c>
      <c r="J317" s="1">
        <f>标准模型!$I$65/1*$B317/$B$3</f>
        <v>2.2032</v>
      </c>
      <c r="K317" s="1">
        <f>J317*标准模型!$J$63</f>
        <v>2.2032</v>
      </c>
      <c r="L317" s="1">
        <f t="shared" si="865"/>
        <v>85382.2540663703</v>
      </c>
      <c r="M317" s="1">
        <f t="shared" si="866"/>
        <v>41594.2680377209</v>
      </c>
      <c r="N317" s="1">
        <f t="shared" si="867"/>
        <v>27729.5120251473</v>
      </c>
      <c r="O317" s="1">
        <f t="shared" ref="O317:W317" si="1036">O$5+(O$6-O$5)*(POWER(O$7,$B317-1)-1)/(POWER(O$7,$B$3-1)-1)</f>
        <v>0.805640866199676</v>
      </c>
      <c r="P317" s="1">
        <f t="shared" si="1036"/>
        <v>0.208360757418147</v>
      </c>
      <c r="Q317" s="1">
        <f t="shared" si="1036"/>
        <v>0.443102476409822</v>
      </c>
      <c r="R317" s="1">
        <f t="shared" si="1036"/>
        <v>1.12225634647987</v>
      </c>
      <c r="S317" s="1">
        <f t="shared" si="1036"/>
        <v>0.447333126059579</v>
      </c>
      <c r="T317" s="1">
        <f t="shared" si="1036"/>
        <v>3.19199937817874</v>
      </c>
      <c r="U317" s="1">
        <f t="shared" si="1036"/>
        <v>1</v>
      </c>
      <c r="V317" s="1">
        <f t="shared" si="1036"/>
        <v>1.33333140621435</v>
      </c>
      <c r="W317" s="1">
        <f t="shared" si="1036"/>
        <v>1.97805077183896</v>
      </c>
      <c r="X317" s="1">
        <f t="shared" si="869"/>
        <v>4.45815155967388</v>
      </c>
      <c r="Y317" s="1">
        <f t="shared" si="870"/>
        <v>8.54171088215565</v>
      </c>
      <c r="Z317" s="1">
        <f t="shared" si="871"/>
        <v>729310.528701693</v>
      </c>
      <c r="AA317" s="1">
        <f t="shared" si="872"/>
        <v>41594.2680377209</v>
      </c>
      <c r="AB317" s="1">
        <f t="shared" si="873"/>
        <v>27729.5120251473</v>
      </c>
      <c r="AC317" s="1">
        <f>AB317/(AB317+战斗公式!$M$27)</f>
        <v>0.536048204198546</v>
      </c>
      <c r="AD317" s="1">
        <f t="shared" si="874"/>
        <v>1571953.2401892</v>
      </c>
      <c r="AE317" s="1">
        <f t="shared" si="875"/>
        <v>8.47717811766278</v>
      </c>
      <c r="AF317" s="1">
        <f t="shared" si="876"/>
        <v>4.42447015220844</v>
      </c>
      <c r="AG317" s="1">
        <f t="shared" si="877"/>
        <v>4.68346254862861</v>
      </c>
      <c r="AH317" s="1">
        <f t="shared" si="878"/>
        <v>1.28156470863061</v>
      </c>
      <c r="AI317" s="1">
        <f t="shared" si="879"/>
        <v>1.00000018466166</v>
      </c>
      <c r="AJ317" s="1">
        <f t="shared" si="880"/>
        <v>1.00165330054723</v>
      </c>
      <c r="AK317" s="1">
        <f t="shared" si="881"/>
        <v>1</v>
      </c>
      <c r="AL317" s="10">
        <f t="shared" si="882"/>
        <v>772002</v>
      </c>
      <c r="AM317" s="10">
        <f t="shared" si="883"/>
        <v>53306</v>
      </c>
      <c r="AN317" s="10">
        <f t="shared" si="884"/>
        <v>27730</v>
      </c>
      <c r="AO317" s="1">
        <f t="shared" si="885"/>
        <v>403595</v>
      </c>
      <c r="AP317" s="1">
        <f t="shared" si="886"/>
        <v>53306</v>
      </c>
      <c r="AR317" s="1">
        <f t="shared" ref="AR317:AX317" si="1037">ROUNDUP(AR$10*$AO317,0)</f>
        <v>403595</v>
      </c>
      <c r="AS317" s="1">
        <f t="shared" si="1037"/>
        <v>1210785</v>
      </c>
      <c r="AT317" s="1">
        <f t="shared" si="1037"/>
        <v>726471</v>
      </c>
      <c r="AU317" s="1">
        <f t="shared" si="1037"/>
        <v>201798</v>
      </c>
      <c r="AV317" s="1">
        <f t="shared" si="1037"/>
        <v>60540</v>
      </c>
      <c r="AW317" s="1">
        <f t="shared" si="1037"/>
        <v>1614380</v>
      </c>
      <c r="AX317" s="1">
        <f t="shared" si="1037"/>
        <v>3632355</v>
      </c>
      <c r="AY317" s="1">
        <f t="shared" si="888"/>
        <v>46320129</v>
      </c>
      <c r="AZ317" s="1">
        <f t="shared" si="889"/>
        <v>23160064</v>
      </c>
      <c r="BB317" s="1">
        <f t="shared" si="890"/>
        <v>306</v>
      </c>
    </row>
    <row r="318" spans="2:54">
      <c r="B318" s="4">
        <v>307</v>
      </c>
      <c r="C318" s="1">
        <f t="shared" ref="C318:I318" si="1038">C$5+(C$6-C$5)*(POWER(C$7,$B318-1)-1)/(POWER(C$7,$B$3-1)-1)</f>
        <v>24255.3327482191</v>
      </c>
      <c r="D318" s="1">
        <f t="shared" si="1038"/>
        <v>7276.59982446572</v>
      </c>
      <c r="E318" s="1">
        <f t="shared" si="1038"/>
        <v>4851.06654964382</v>
      </c>
      <c r="F318" s="1">
        <f t="shared" si="1038"/>
        <v>61405.9056916939</v>
      </c>
      <c r="G318" s="1">
        <f t="shared" si="1038"/>
        <v>18421.7717075082</v>
      </c>
      <c r="H318" s="1">
        <f t="shared" si="1038"/>
        <v>12281.1811383388</v>
      </c>
      <c r="I318" s="1">
        <f t="shared" si="1038"/>
        <v>0</v>
      </c>
      <c r="J318" s="1">
        <f>标准模型!$I$65/1*$B318/$B$3</f>
        <v>2.2104</v>
      </c>
      <c r="K318" s="1">
        <f>J318*标准模型!$J$63</f>
        <v>2.2104</v>
      </c>
      <c r="L318" s="1">
        <f t="shared" si="865"/>
        <v>85661.238439913</v>
      </c>
      <c r="M318" s="1">
        <f t="shared" si="866"/>
        <v>41782.5677839729</v>
      </c>
      <c r="N318" s="1">
        <f t="shared" si="867"/>
        <v>27855.0451893153</v>
      </c>
      <c r="O318" s="1">
        <f t="shared" ref="O318:W318" si="1039">O$5+(O$6-O$5)*(POWER(O$7,$B318-1)-1)/(POWER(O$7,$B$3-1)-1)</f>
        <v>0.806642814086643</v>
      </c>
      <c r="P318" s="1">
        <f t="shared" si="1039"/>
        <v>0.209212555679804</v>
      </c>
      <c r="Q318" s="1">
        <f t="shared" si="1039"/>
        <v>0.443653547747653</v>
      </c>
      <c r="R318" s="1">
        <f t="shared" si="1039"/>
        <v>1.12265712563466</v>
      </c>
      <c r="S318" s="1">
        <f t="shared" si="1039"/>
        <v>0.448635658312635</v>
      </c>
      <c r="T318" s="1">
        <f t="shared" si="1039"/>
        <v>3.19590697493791</v>
      </c>
      <c r="U318" s="1">
        <f t="shared" si="1039"/>
        <v>1</v>
      </c>
      <c r="V318" s="1">
        <f t="shared" si="1039"/>
        <v>1.33442412886714</v>
      </c>
      <c r="W318" s="1">
        <f t="shared" si="1039"/>
        <v>1.98125700507726</v>
      </c>
      <c r="X318" s="1">
        <f t="shared" si="869"/>
        <v>4.48555125635213</v>
      </c>
      <c r="Y318" s="1">
        <f t="shared" si="870"/>
        <v>8.5997253659497</v>
      </c>
      <c r="Z318" s="1">
        <f t="shared" si="871"/>
        <v>736663.125090385</v>
      </c>
      <c r="AA318" s="1">
        <f t="shared" si="872"/>
        <v>41782.5677839729</v>
      </c>
      <c r="AB318" s="1">
        <f t="shared" si="873"/>
        <v>27855.0451893153</v>
      </c>
      <c r="AC318" s="1">
        <f>AB318/(AB318+战斗公式!$M$27)</f>
        <v>0.537171360812059</v>
      </c>
      <c r="AD318" s="1">
        <f t="shared" si="874"/>
        <v>1591654.15170267</v>
      </c>
      <c r="AE318" s="1">
        <f t="shared" si="875"/>
        <v>8.492543035008</v>
      </c>
      <c r="AF318" s="1">
        <f t="shared" si="876"/>
        <v>4.42964576882135</v>
      </c>
      <c r="AG318" s="1">
        <f t="shared" si="877"/>
        <v>4.68655423374495</v>
      </c>
      <c r="AH318" s="1">
        <f t="shared" si="878"/>
        <v>1.28586681658984</v>
      </c>
      <c r="AI318" s="1">
        <f t="shared" si="879"/>
        <v>1.00000017542814</v>
      </c>
      <c r="AJ318" s="1">
        <f t="shared" si="880"/>
        <v>1.00161956472889</v>
      </c>
      <c r="AK318" s="1">
        <f t="shared" si="881"/>
        <v>1</v>
      </c>
      <c r="AL318" s="10">
        <f t="shared" si="882"/>
        <v>779388</v>
      </c>
      <c r="AM318" s="10">
        <f t="shared" si="883"/>
        <v>53727</v>
      </c>
      <c r="AN318" s="10">
        <f t="shared" si="884"/>
        <v>27855</v>
      </c>
      <c r="AO318" s="1">
        <f t="shared" si="885"/>
        <v>407181</v>
      </c>
      <c r="AP318" s="1">
        <f t="shared" si="886"/>
        <v>53727</v>
      </c>
      <c r="AR318" s="1">
        <f t="shared" ref="AR318:AX318" si="1040">ROUNDUP(AR$10*$AO318,0)</f>
        <v>407181</v>
      </c>
      <c r="AS318" s="1">
        <f t="shared" si="1040"/>
        <v>1221543</v>
      </c>
      <c r="AT318" s="1">
        <f t="shared" si="1040"/>
        <v>732926</v>
      </c>
      <c r="AU318" s="1">
        <f t="shared" si="1040"/>
        <v>203591</v>
      </c>
      <c r="AV318" s="1">
        <f t="shared" si="1040"/>
        <v>61078</v>
      </c>
      <c r="AW318" s="1">
        <f t="shared" si="1040"/>
        <v>1628724</v>
      </c>
      <c r="AX318" s="1">
        <f t="shared" si="1040"/>
        <v>3664629</v>
      </c>
      <c r="AY318" s="1">
        <f t="shared" si="888"/>
        <v>46763288</v>
      </c>
      <c r="AZ318" s="1">
        <f t="shared" si="889"/>
        <v>23381644</v>
      </c>
      <c r="BB318" s="1">
        <f t="shared" si="890"/>
        <v>307</v>
      </c>
    </row>
    <row r="319" spans="2:54">
      <c r="B319" s="4">
        <v>308</v>
      </c>
      <c r="C319" s="1">
        <f t="shared" ref="C319:I319" si="1041">C$5+(C$6-C$5)*(POWER(C$7,$B319-1)-1)/(POWER(C$7,$B$3-1)-1)</f>
        <v>24334.3282445229</v>
      </c>
      <c r="D319" s="1">
        <f t="shared" si="1041"/>
        <v>7300.29847335687</v>
      </c>
      <c r="E319" s="1">
        <f t="shared" si="1041"/>
        <v>4866.86564890458</v>
      </c>
      <c r="F319" s="1">
        <f t="shared" si="1041"/>
        <v>61605.8942899314</v>
      </c>
      <c r="G319" s="1">
        <f t="shared" si="1041"/>
        <v>18481.7682869794</v>
      </c>
      <c r="H319" s="1">
        <f t="shared" si="1041"/>
        <v>12321.1788579863</v>
      </c>
      <c r="I319" s="1">
        <f t="shared" si="1041"/>
        <v>0</v>
      </c>
      <c r="J319" s="1">
        <f>标准模型!$I$65/1*$B319/$B$3</f>
        <v>2.2176</v>
      </c>
      <c r="K319" s="1">
        <f>J319*标准模型!$J$63</f>
        <v>2.2176</v>
      </c>
      <c r="L319" s="1">
        <f t="shared" si="865"/>
        <v>85940.2225344543</v>
      </c>
      <c r="M319" s="1">
        <f t="shared" si="866"/>
        <v>41971.2086548525</v>
      </c>
      <c r="N319" s="1">
        <f t="shared" si="867"/>
        <v>27980.8057699016</v>
      </c>
      <c r="O319" s="1">
        <f t="shared" ref="O319:W319" si="1042">O$5+(O$6-O$5)*(POWER(O$7,$B319-1)-1)/(POWER(O$7,$B$3-1)-1)</f>
        <v>0.8076447609716</v>
      </c>
      <c r="P319" s="1">
        <f t="shared" si="1042"/>
        <v>0.210065631638854</v>
      </c>
      <c r="Q319" s="1">
        <f t="shared" si="1042"/>
        <v>0.44420461853438</v>
      </c>
      <c r="R319" s="1">
        <f t="shared" si="1042"/>
        <v>1.12305790438864</v>
      </c>
      <c r="S319" s="1">
        <f t="shared" si="1042"/>
        <v>0.44993818926308</v>
      </c>
      <c r="T319" s="1">
        <f t="shared" si="1042"/>
        <v>3.19981456778924</v>
      </c>
      <c r="U319" s="1">
        <f t="shared" si="1042"/>
        <v>1</v>
      </c>
      <c r="V319" s="1">
        <f t="shared" si="1042"/>
        <v>1.33551685042715</v>
      </c>
      <c r="W319" s="1">
        <f t="shared" si="1042"/>
        <v>1.98446323510912</v>
      </c>
      <c r="X319" s="1">
        <f t="shared" si="869"/>
        <v>4.51309633967587</v>
      </c>
      <c r="Y319" s="1">
        <f t="shared" si="870"/>
        <v>8.65808594191552</v>
      </c>
      <c r="Z319" s="1">
        <f t="shared" si="871"/>
        <v>744077.83257065</v>
      </c>
      <c r="AA319" s="1">
        <f t="shared" si="872"/>
        <v>41971.2086548525</v>
      </c>
      <c r="AB319" s="1">
        <f t="shared" si="873"/>
        <v>27980.8057699016</v>
      </c>
      <c r="AC319" s="1">
        <f>AB319/(AB319+战斗公式!$M$27)</f>
        <v>0.538291112564925</v>
      </c>
      <c r="AD319" s="1">
        <f t="shared" si="874"/>
        <v>1611573.55385601</v>
      </c>
      <c r="AE319" s="1">
        <f t="shared" si="875"/>
        <v>8.50793281441335</v>
      </c>
      <c r="AF319" s="1">
        <f t="shared" si="876"/>
        <v>4.43482782459446</v>
      </c>
      <c r="AG319" s="1">
        <f t="shared" si="877"/>
        <v>4.68962273122292</v>
      </c>
      <c r="AH319" s="1">
        <f t="shared" si="878"/>
        <v>1.29017752876499</v>
      </c>
      <c r="AI319" s="1">
        <f t="shared" si="879"/>
        <v>1.00000016665629</v>
      </c>
      <c r="AJ319" s="1">
        <f t="shared" si="880"/>
        <v>1.00158650362693</v>
      </c>
      <c r="AK319" s="1">
        <f t="shared" si="881"/>
        <v>1</v>
      </c>
      <c r="AL319" s="10">
        <f t="shared" si="882"/>
        <v>786827</v>
      </c>
      <c r="AM319" s="10">
        <f t="shared" si="883"/>
        <v>54150</v>
      </c>
      <c r="AN319" s="10">
        <f t="shared" si="884"/>
        <v>27981</v>
      </c>
      <c r="AO319" s="1">
        <f t="shared" si="885"/>
        <v>410791</v>
      </c>
      <c r="AP319" s="1">
        <f t="shared" si="886"/>
        <v>54150</v>
      </c>
      <c r="AR319" s="1">
        <f t="shared" ref="AR319:AX319" si="1043">ROUNDUP(AR$10*$AO319,0)</f>
        <v>410791</v>
      </c>
      <c r="AS319" s="1">
        <f t="shared" si="1043"/>
        <v>1232373</v>
      </c>
      <c r="AT319" s="1">
        <f t="shared" si="1043"/>
        <v>739424</v>
      </c>
      <c r="AU319" s="1">
        <f t="shared" si="1043"/>
        <v>205396</v>
      </c>
      <c r="AV319" s="1">
        <f t="shared" si="1043"/>
        <v>61619</v>
      </c>
      <c r="AW319" s="1">
        <f t="shared" si="1043"/>
        <v>1643164</v>
      </c>
      <c r="AX319" s="1">
        <f t="shared" si="1043"/>
        <v>3697119</v>
      </c>
      <c r="AY319" s="1">
        <f t="shared" si="888"/>
        <v>47209628</v>
      </c>
      <c r="AZ319" s="1">
        <f t="shared" si="889"/>
        <v>23604814</v>
      </c>
      <c r="BB319" s="1">
        <f t="shared" si="890"/>
        <v>308</v>
      </c>
    </row>
    <row r="320" spans="2:54">
      <c r="B320" s="4">
        <v>309</v>
      </c>
      <c r="C320" s="1">
        <f t="shared" ref="C320:I320" si="1044">C$5+(C$6-C$5)*(POWER(C$7,$B320-1)-1)/(POWER(C$7,$B$3-1)-1)</f>
        <v>24413.3236618351</v>
      </c>
      <c r="D320" s="1">
        <f t="shared" si="1044"/>
        <v>7323.99709855053</v>
      </c>
      <c r="E320" s="1">
        <f t="shared" si="1044"/>
        <v>4882.66473236702</v>
      </c>
      <c r="F320" s="1">
        <f t="shared" si="1044"/>
        <v>61805.8826881901</v>
      </c>
      <c r="G320" s="1">
        <f t="shared" si="1044"/>
        <v>18541.764806457</v>
      </c>
      <c r="H320" s="1">
        <f t="shared" si="1044"/>
        <v>12361.176537638</v>
      </c>
      <c r="I320" s="1">
        <f t="shared" si="1044"/>
        <v>0</v>
      </c>
      <c r="J320" s="1">
        <f>标准模型!$I$65/1*$B320/$B$3</f>
        <v>2.2248</v>
      </c>
      <c r="K320" s="1">
        <f>J320*标准模型!$J$63</f>
        <v>2.2248</v>
      </c>
      <c r="L320" s="1">
        <f t="shared" si="865"/>
        <v>86219.2063500252</v>
      </c>
      <c r="M320" s="1">
        <f t="shared" si="866"/>
        <v>42160.1906498628</v>
      </c>
      <c r="N320" s="1">
        <f t="shared" si="867"/>
        <v>28106.7937665752</v>
      </c>
      <c r="O320" s="1">
        <f t="shared" ref="O320:W320" si="1045">O$5+(O$6-O$5)*(POWER(O$7,$B320-1)-1)/(POWER(O$7,$B$3-1)-1)</f>
        <v>0.80864670685466</v>
      </c>
      <c r="P320" s="1">
        <f t="shared" si="1045"/>
        <v>0.210919987211841</v>
      </c>
      <c r="Q320" s="1">
        <f t="shared" si="1045"/>
        <v>0.444755688770063</v>
      </c>
      <c r="R320" s="1">
        <f t="shared" si="1045"/>
        <v>1.12345868274186</v>
      </c>
      <c r="S320" s="1">
        <f t="shared" si="1045"/>
        <v>0.451240718911058</v>
      </c>
      <c r="T320" s="1">
        <f t="shared" si="1045"/>
        <v>3.20372215673317</v>
      </c>
      <c r="U320" s="1">
        <f t="shared" si="1045"/>
        <v>1</v>
      </c>
      <c r="V320" s="1">
        <f t="shared" si="1045"/>
        <v>1.33660957089448</v>
      </c>
      <c r="W320" s="1">
        <f t="shared" si="1045"/>
        <v>1.98766946193491</v>
      </c>
      <c r="X320" s="1">
        <f t="shared" si="869"/>
        <v>4.5407874438406</v>
      </c>
      <c r="Y320" s="1">
        <f t="shared" si="870"/>
        <v>8.71679435368772</v>
      </c>
      <c r="Z320" s="1">
        <f t="shared" si="871"/>
        <v>751555.091091336</v>
      </c>
      <c r="AA320" s="1">
        <f t="shared" si="872"/>
        <v>42160.1906498628</v>
      </c>
      <c r="AB320" s="1">
        <f t="shared" si="873"/>
        <v>28106.7937665752</v>
      </c>
      <c r="AC320" s="1">
        <f>AB320/(AB320+战斗公式!$M$27)</f>
        <v>0.539407469446043</v>
      </c>
      <c r="AD320" s="1">
        <f t="shared" si="874"/>
        <v>1631713.58898816</v>
      </c>
      <c r="AE320" s="1">
        <f t="shared" si="875"/>
        <v>8.5233474264427</v>
      </c>
      <c r="AF320" s="1">
        <f t="shared" si="876"/>
        <v>4.44001629533781</v>
      </c>
      <c r="AG320" s="1">
        <f t="shared" si="877"/>
        <v>4.6926682149698</v>
      </c>
      <c r="AH320" s="1">
        <f t="shared" si="878"/>
        <v>1.29449686236449</v>
      </c>
      <c r="AI320" s="1">
        <f t="shared" si="879"/>
        <v>1.00000015832304</v>
      </c>
      <c r="AJ320" s="1">
        <f t="shared" si="880"/>
        <v>1.001554103747</v>
      </c>
      <c r="AK320" s="1">
        <f t="shared" si="881"/>
        <v>1</v>
      </c>
      <c r="AL320" s="10">
        <f t="shared" si="882"/>
        <v>794321</v>
      </c>
      <c r="AM320" s="10">
        <f t="shared" si="883"/>
        <v>54576</v>
      </c>
      <c r="AN320" s="10">
        <f t="shared" si="884"/>
        <v>28107</v>
      </c>
      <c r="AO320" s="1">
        <f t="shared" si="885"/>
        <v>414424</v>
      </c>
      <c r="AP320" s="1">
        <f t="shared" si="886"/>
        <v>54576</v>
      </c>
      <c r="AR320" s="1">
        <f t="shared" ref="AR320:AX320" si="1046">ROUNDUP(AR$10*$AO320,0)</f>
        <v>414424</v>
      </c>
      <c r="AS320" s="1">
        <f t="shared" si="1046"/>
        <v>1243272</v>
      </c>
      <c r="AT320" s="1">
        <f t="shared" si="1046"/>
        <v>745964</v>
      </c>
      <c r="AU320" s="1">
        <f t="shared" si="1046"/>
        <v>207212</v>
      </c>
      <c r="AV320" s="1">
        <f t="shared" si="1046"/>
        <v>62164</v>
      </c>
      <c r="AW320" s="1">
        <f t="shared" si="1046"/>
        <v>1657696</v>
      </c>
      <c r="AX320" s="1">
        <f t="shared" si="1046"/>
        <v>3729816</v>
      </c>
      <c r="AY320" s="1">
        <f t="shared" si="888"/>
        <v>47659268</v>
      </c>
      <c r="AZ320" s="1">
        <f t="shared" si="889"/>
        <v>23829634</v>
      </c>
      <c r="BB320" s="1">
        <f t="shared" si="890"/>
        <v>309</v>
      </c>
    </row>
    <row r="321" spans="2:54">
      <c r="B321" s="4">
        <v>310</v>
      </c>
      <c r="C321" s="1">
        <f t="shared" ref="C321:I321" si="1047">C$5+(C$6-C$5)*(POWER(C$7,$B321-1)-1)/(POWER(C$7,$B$3-1)-1)</f>
        <v>24492.3190001557</v>
      </c>
      <c r="D321" s="1">
        <f t="shared" si="1047"/>
        <v>7347.69570004671</v>
      </c>
      <c r="E321" s="1">
        <f t="shared" si="1047"/>
        <v>4898.46380003114</v>
      </c>
      <c r="F321" s="1">
        <f t="shared" si="1047"/>
        <v>62005.8708864701</v>
      </c>
      <c r="G321" s="1">
        <f t="shared" si="1047"/>
        <v>18601.761265941</v>
      </c>
      <c r="H321" s="1">
        <f t="shared" si="1047"/>
        <v>12401.174177294</v>
      </c>
      <c r="I321" s="1">
        <f t="shared" si="1047"/>
        <v>0</v>
      </c>
      <c r="J321" s="1">
        <f>标准模型!$I$65/1*$B321/$B$3</f>
        <v>2.232</v>
      </c>
      <c r="K321" s="1">
        <f>J321*标准模型!$J$63</f>
        <v>2.232</v>
      </c>
      <c r="L321" s="1">
        <f t="shared" si="865"/>
        <v>86498.1898866258</v>
      </c>
      <c r="M321" s="1">
        <f t="shared" si="866"/>
        <v>42349.513768492</v>
      </c>
      <c r="N321" s="1">
        <f t="shared" si="867"/>
        <v>28233.0091789947</v>
      </c>
      <c r="O321" s="1">
        <f t="shared" ref="O321:W321" si="1048">O$5+(O$6-O$5)*(POWER(O$7,$B321-1)-1)/(POWER(O$7,$B$3-1)-1)</f>
        <v>0.809648651735822</v>
      </c>
      <c r="P321" s="1">
        <f t="shared" si="1048"/>
        <v>0.211775624318189</v>
      </c>
      <c r="Q321" s="1">
        <f t="shared" si="1048"/>
        <v>0.445306758454702</v>
      </c>
      <c r="R321" s="1">
        <f t="shared" si="1048"/>
        <v>1.12385946069433</v>
      </c>
      <c r="S321" s="1">
        <f t="shared" si="1048"/>
        <v>0.452543247256569</v>
      </c>
      <c r="T321" s="1">
        <f t="shared" si="1048"/>
        <v>3.20762974176971</v>
      </c>
      <c r="U321" s="1">
        <f t="shared" si="1048"/>
        <v>1</v>
      </c>
      <c r="V321" s="1">
        <f t="shared" si="1048"/>
        <v>1.33770229026915</v>
      </c>
      <c r="W321" s="1">
        <f t="shared" si="1048"/>
        <v>1.99087568555463</v>
      </c>
      <c r="X321" s="1">
        <f t="shared" si="869"/>
        <v>4.56862520514137</v>
      </c>
      <c r="Y321" s="1">
        <f t="shared" si="870"/>
        <v>8.77585235189338</v>
      </c>
      <c r="Z321" s="1">
        <f t="shared" si="871"/>
        <v>759095.343151065</v>
      </c>
      <c r="AA321" s="1">
        <f t="shared" si="872"/>
        <v>42349.513768492</v>
      </c>
      <c r="AB321" s="1">
        <f t="shared" si="873"/>
        <v>28233.0091789947</v>
      </c>
      <c r="AC321" s="1">
        <f>AB321/(AB321+战斗公式!$M$27)</f>
        <v>0.540520441436648</v>
      </c>
      <c r="AD321" s="1">
        <f t="shared" si="874"/>
        <v>1652076.41777257</v>
      </c>
      <c r="AE321" s="1">
        <f t="shared" si="875"/>
        <v>8.53878684177401</v>
      </c>
      <c r="AF321" s="1">
        <f t="shared" si="876"/>
        <v>4.44521115698144</v>
      </c>
      <c r="AG321" s="1">
        <f t="shared" si="877"/>
        <v>4.69569085758858</v>
      </c>
      <c r="AH321" s="1">
        <f t="shared" si="878"/>
        <v>1.29882483463119</v>
      </c>
      <c r="AI321" s="1">
        <f t="shared" si="879"/>
        <v>1.00000015040645</v>
      </c>
      <c r="AJ321" s="1">
        <f t="shared" si="880"/>
        <v>1.00152235186467</v>
      </c>
      <c r="AK321" s="1">
        <f t="shared" si="881"/>
        <v>1</v>
      </c>
      <c r="AL321" s="10">
        <f t="shared" si="882"/>
        <v>801869</v>
      </c>
      <c r="AM321" s="10">
        <f t="shared" si="883"/>
        <v>55005</v>
      </c>
      <c r="AN321" s="10">
        <f t="shared" si="884"/>
        <v>28233</v>
      </c>
      <c r="AO321" s="1">
        <f t="shared" si="885"/>
        <v>418081</v>
      </c>
      <c r="AP321" s="1">
        <f t="shared" si="886"/>
        <v>55005</v>
      </c>
      <c r="AR321" s="1">
        <f t="shared" ref="AR321:AX321" si="1049">ROUNDUP(AR$10*$AO321,0)</f>
        <v>418081</v>
      </c>
      <c r="AS321" s="1">
        <f t="shared" si="1049"/>
        <v>1254243</v>
      </c>
      <c r="AT321" s="1">
        <f t="shared" si="1049"/>
        <v>752546</v>
      </c>
      <c r="AU321" s="1">
        <f t="shared" si="1049"/>
        <v>209041</v>
      </c>
      <c r="AV321" s="1">
        <f t="shared" si="1049"/>
        <v>62713</v>
      </c>
      <c r="AW321" s="1">
        <f t="shared" si="1049"/>
        <v>1672324</v>
      </c>
      <c r="AX321" s="1">
        <f t="shared" si="1049"/>
        <v>3762729</v>
      </c>
      <c r="AY321" s="1">
        <f t="shared" si="888"/>
        <v>48112147</v>
      </c>
      <c r="AZ321" s="1">
        <f t="shared" si="889"/>
        <v>24056074</v>
      </c>
      <c r="BB321" s="1">
        <f t="shared" si="890"/>
        <v>310</v>
      </c>
    </row>
    <row r="322" spans="2:54">
      <c r="B322" s="4">
        <v>311</v>
      </c>
      <c r="C322" s="1">
        <f t="shared" ref="C322:I322" si="1050">C$5+(C$6-C$5)*(POWER(C$7,$B322-1)-1)/(POWER(C$7,$B$3-1)-1)</f>
        <v>24571.3142594759</v>
      </c>
      <c r="D322" s="1">
        <f t="shared" si="1050"/>
        <v>7371.39427784277</v>
      </c>
      <c r="E322" s="1">
        <f t="shared" si="1050"/>
        <v>4914.26285189518</v>
      </c>
      <c r="F322" s="1">
        <f t="shared" si="1050"/>
        <v>62205.8588847492</v>
      </c>
      <c r="G322" s="1">
        <f t="shared" si="1050"/>
        <v>18661.7576654247</v>
      </c>
      <c r="H322" s="1">
        <f t="shared" si="1050"/>
        <v>12441.1717769498</v>
      </c>
      <c r="I322" s="1">
        <f t="shared" si="1050"/>
        <v>0</v>
      </c>
      <c r="J322" s="1">
        <f>标准模型!$I$65/1*$B322/$B$3</f>
        <v>2.2392</v>
      </c>
      <c r="K322" s="1">
        <f>J322*标准模型!$J$63</f>
        <v>2.2392</v>
      </c>
      <c r="L322" s="1">
        <f t="shared" si="865"/>
        <v>86777.1731442251</v>
      </c>
      <c r="M322" s="1">
        <f t="shared" si="866"/>
        <v>42539.1780102131</v>
      </c>
      <c r="N322" s="1">
        <f t="shared" si="867"/>
        <v>28359.4520068087</v>
      </c>
      <c r="O322" s="1">
        <f t="shared" ref="O322:W322" si="1051">O$5+(O$6-O$5)*(POWER(O$7,$B322-1)-1)/(POWER(O$7,$B$3-1)-1)</f>
        <v>0.810650595614976</v>
      </c>
      <c r="P322" s="1">
        <f t="shared" si="1051"/>
        <v>0.212632544880196</v>
      </c>
      <c r="Q322" s="1">
        <f t="shared" si="1051"/>
        <v>0.445857827588237</v>
      </c>
      <c r="R322" s="1">
        <f t="shared" si="1051"/>
        <v>1.12426023824599</v>
      </c>
      <c r="S322" s="1">
        <f t="shared" si="1051"/>
        <v>0.453845774299468</v>
      </c>
      <c r="T322" s="1">
        <f t="shared" si="1051"/>
        <v>3.21153732289841</v>
      </c>
      <c r="U322" s="1">
        <f t="shared" si="1051"/>
        <v>1</v>
      </c>
      <c r="V322" s="1">
        <f t="shared" si="1051"/>
        <v>1.33879500855103</v>
      </c>
      <c r="W322" s="1">
        <f t="shared" si="1051"/>
        <v>1.99408190596792</v>
      </c>
      <c r="X322" s="1">
        <f t="shared" si="869"/>
        <v>4.59661026197793</v>
      </c>
      <c r="Y322" s="1">
        <f t="shared" si="870"/>
        <v>8.83526169417327</v>
      </c>
      <c r="Z322" s="1">
        <f t="shared" si="871"/>
        <v>766699.033809814</v>
      </c>
      <c r="AA322" s="1">
        <f t="shared" si="872"/>
        <v>42539.1780102131</v>
      </c>
      <c r="AB322" s="1">
        <f t="shared" si="873"/>
        <v>28359.4520068087</v>
      </c>
      <c r="AC322" s="1">
        <f>AB322/(AB322+战斗公式!$M$27)</f>
        <v>0.54163003850997</v>
      </c>
      <c r="AD322" s="1">
        <f t="shared" si="874"/>
        <v>1672664.21935132</v>
      </c>
      <c r="AE322" s="1">
        <f t="shared" si="875"/>
        <v>8.55425103119838</v>
      </c>
      <c r="AF322" s="1">
        <f t="shared" si="876"/>
        <v>4.45041238557463</v>
      </c>
      <c r="AG322" s="1">
        <f t="shared" si="877"/>
        <v>4.69869083038772</v>
      </c>
      <c r="AH322" s="1">
        <f t="shared" si="878"/>
        <v>1.30316146284243</v>
      </c>
      <c r="AI322" s="1">
        <f t="shared" si="879"/>
        <v>1.00000014288568</v>
      </c>
      <c r="AJ322" s="1">
        <f t="shared" si="880"/>
        <v>1.00149123501999</v>
      </c>
      <c r="AK322" s="1">
        <f t="shared" si="881"/>
        <v>1</v>
      </c>
      <c r="AL322" s="10">
        <f t="shared" si="882"/>
        <v>809471</v>
      </c>
      <c r="AM322" s="10">
        <f t="shared" si="883"/>
        <v>55435</v>
      </c>
      <c r="AN322" s="10">
        <f t="shared" si="884"/>
        <v>28359</v>
      </c>
      <c r="AO322" s="1">
        <f t="shared" si="885"/>
        <v>421762</v>
      </c>
      <c r="AP322" s="1">
        <f t="shared" si="886"/>
        <v>55435</v>
      </c>
      <c r="AR322" s="1">
        <f t="shared" ref="AR322:AX322" si="1052">ROUNDUP(AR$10*$AO322,0)</f>
        <v>421762</v>
      </c>
      <c r="AS322" s="1">
        <f t="shared" si="1052"/>
        <v>1265286</v>
      </c>
      <c r="AT322" s="1">
        <f t="shared" si="1052"/>
        <v>759172</v>
      </c>
      <c r="AU322" s="1">
        <f t="shared" si="1052"/>
        <v>210881</v>
      </c>
      <c r="AV322" s="1">
        <f t="shared" si="1052"/>
        <v>63265</v>
      </c>
      <c r="AW322" s="1">
        <f t="shared" si="1052"/>
        <v>1687048</v>
      </c>
      <c r="AX322" s="1">
        <f t="shared" si="1052"/>
        <v>3795858</v>
      </c>
      <c r="AY322" s="1">
        <f t="shared" si="888"/>
        <v>48568267</v>
      </c>
      <c r="AZ322" s="1">
        <f t="shared" si="889"/>
        <v>24284133</v>
      </c>
      <c r="BB322" s="1">
        <f t="shared" si="890"/>
        <v>311</v>
      </c>
    </row>
    <row r="323" spans="2:54">
      <c r="B323" s="4">
        <v>312</v>
      </c>
      <c r="C323" s="1">
        <f t="shared" ref="C323:I323" si="1053">C$5+(C$6-C$5)*(POWER(C$7,$B323-1)-1)/(POWER(C$7,$B$3-1)-1)</f>
        <v>24650.3094397958</v>
      </c>
      <c r="D323" s="1">
        <f t="shared" si="1053"/>
        <v>7395.09283193873</v>
      </c>
      <c r="E323" s="1">
        <f t="shared" si="1053"/>
        <v>4930.06188795915</v>
      </c>
      <c r="F323" s="1">
        <f t="shared" si="1053"/>
        <v>62405.8466830272</v>
      </c>
      <c r="G323" s="1">
        <f t="shared" si="1053"/>
        <v>18721.7540049082</v>
      </c>
      <c r="H323" s="1">
        <f t="shared" si="1053"/>
        <v>12481.1693366054</v>
      </c>
      <c r="I323" s="1">
        <f t="shared" si="1053"/>
        <v>0</v>
      </c>
      <c r="J323" s="1">
        <f>标准模型!$I$65/1*$B323/$B$3</f>
        <v>2.2464</v>
      </c>
      <c r="K323" s="1">
        <f>J323*标准模型!$J$63</f>
        <v>2.2464</v>
      </c>
      <c r="L323" s="1">
        <f t="shared" si="865"/>
        <v>87056.156122823</v>
      </c>
      <c r="M323" s="1">
        <f t="shared" si="866"/>
        <v>42729.1833745141</v>
      </c>
      <c r="N323" s="1">
        <f t="shared" si="867"/>
        <v>28486.122249676</v>
      </c>
      <c r="O323" s="1">
        <f t="shared" ref="O323:W323" si="1054">O$5+(O$6-O$5)*(POWER(O$7,$B323-1)-1)/(POWER(O$7,$B$3-1)-1)</f>
        <v>0.81165253849212</v>
      </c>
      <c r="P323" s="1">
        <f t="shared" si="1054"/>
        <v>0.213490750823046</v>
      </c>
      <c r="Q323" s="1">
        <f t="shared" si="1054"/>
        <v>0.446408896170666</v>
      </c>
      <c r="R323" s="1">
        <f t="shared" si="1054"/>
        <v>1.12466101539685</v>
      </c>
      <c r="S323" s="1">
        <f t="shared" si="1054"/>
        <v>0.455148300039756</v>
      </c>
      <c r="T323" s="1">
        <f t="shared" si="1054"/>
        <v>3.21544490011927</v>
      </c>
      <c r="U323" s="1">
        <f t="shared" si="1054"/>
        <v>1</v>
      </c>
      <c r="V323" s="1">
        <f t="shared" si="1054"/>
        <v>1.33988772574012</v>
      </c>
      <c r="W323" s="1">
        <f t="shared" si="1054"/>
        <v>1.99728812317479</v>
      </c>
      <c r="X323" s="1">
        <f t="shared" si="869"/>
        <v>4.62474325486532</v>
      </c>
      <c r="Y323" s="1">
        <f t="shared" si="870"/>
        <v>8.89502414521556</v>
      </c>
      <c r="Z323" s="1">
        <f t="shared" si="871"/>
        <v>774366.610702166</v>
      </c>
      <c r="AA323" s="1">
        <f t="shared" si="872"/>
        <v>42729.1833745141</v>
      </c>
      <c r="AB323" s="1">
        <f t="shared" si="873"/>
        <v>28486.122249676</v>
      </c>
      <c r="AC323" s="1">
        <f>AB323/(AB323+战斗公式!$M$27)</f>
        <v>0.542736270631078</v>
      </c>
      <c r="AD323" s="1">
        <f t="shared" si="874"/>
        <v>1693479.19147421</v>
      </c>
      <c r="AE323" s="1">
        <f t="shared" si="875"/>
        <v>8.56973996562443</v>
      </c>
      <c r="AF323" s="1">
        <f t="shared" si="876"/>
        <v>4.45561995728691</v>
      </c>
      <c r="AG323" s="1">
        <f t="shared" si="877"/>
        <v>4.70166830339086</v>
      </c>
      <c r="AH323" s="1">
        <f t="shared" si="878"/>
        <v>1.30750676431008</v>
      </c>
      <c r="AI323" s="1">
        <f t="shared" si="879"/>
        <v>1.00000013574096</v>
      </c>
      <c r="AJ323" s="1">
        <f t="shared" si="880"/>
        <v>1.0014607405122</v>
      </c>
      <c r="AK323" s="1">
        <f t="shared" si="881"/>
        <v>1</v>
      </c>
      <c r="AL323" s="10">
        <f t="shared" si="882"/>
        <v>817129</v>
      </c>
      <c r="AM323" s="10">
        <f t="shared" si="883"/>
        <v>55869</v>
      </c>
      <c r="AN323" s="10">
        <f t="shared" si="884"/>
        <v>28486</v>
      </c>
      <c r="AO323" s="1">
        <f t="shared" si="885"/>
        <v>425466</v>
      </c>
      <c r="AP323" s="1">
        <f t="shared" si="886"/>
        <v>55869</v>
      </c>
      <c r="AR323" s="1">
        <f t="shared" ref="AR323:AX323" si="1055">ROUNDUP(AR$10*$AO323,0)</f>
        <v>425466</v>
      </c>
      <c r="AS323" s="1">
        <f t="shared" si="1055"/>
        <v>1276398</v>
      </c>
      <c r="AT323" s="1">
        <f t="shared" si="1055"/>
        <v>765839</v>
      </c>
      <c r="AU323" s="1">
        <f t="shared" si="1055"/>
        <v>212733</v>
      </c>
      <c r="AV323" s="1">
        <f t="shared" si="1055"/>
        <v>63820</v>
      </c>
      <c r="AW323" s="1">
        <f t="shared" si="1055"/>
        <v>1701864</v>
      </c>
      <c r="AX323" s="1">
        <f t="shared" si="1055"/>
        <v>3829194</v>
      </c>
      <c r="AY323" s="1">
        <f t="shared" si="888"/>
        <v>49027747</v>
      </c>
      <c r="AZ323" s="1">
        <f t="shared" si="889"/>
        <v>24513873</v>
      </c>
      <c r="BB323" s="1">
        <f t="shared" si="890"/>
        <v>312</v>
      </c>
    </row>
    <row r="324" spans="2:54">
      <c r="B324" s="4">
        <v>313</v>
      </c>
      <c r="C324" s="1">
        <f t="shared" ref="C324:I324" si="1056">C$5+(C$6-C$5)*(POWER(C$7,$B324-1)-1)/(POWER(C$7,$B$3-1)-1)</f>
        <v>24729.304541124</v>
      </c>
      <c r="D324" s="1">
        <f t="shared" si="1056"/>
        <v>7418.7913623372</v>
      </c>
      <c r="E324" s="1">
        <f t="shared" si="1056"/>
        <v>4945.8609082248</v>
      </c>
      <c r="F324" s="1">
        <f t="shared" si="1056"/>
        <v>62605.8342813266</v>
      </c>
      <c r="G324" s="1">
        <f t="shared" si="1056"/>
        <v>18781.750284398</v>
      </c>
      <c r="H324" s="1">
        <f t="shared" si="1056"/>
        <v>12521.1668562653</v>
      </c>
      <c r="I324" s="1">
        <f t="shared" si="1056"/>
        <v>0</v>
      </c>
      <c r="J324" s="1">
        <f>标准模型!$I$65/1*$B324/$B$3</f>
        <v>2.2536</v>
      </c>
      <c r="K324" s="1">
        <f>J324*标准模型!$J$63</f>
        <v>2.2536</v>
      </c>
      <c r="L324" s="1">
        <f t="shared" si="865"/>
        <v>87335.1388224506</v>
      </c>
      <c r="M324" s="1">
        <f t="shared" si="866"/>
        <v>42919.5298608983</v>
      </c>
      <c r="N324" s="1">
        <f t="shared" si="867"/>
        <v>28613.0199072655</v>
      </c>
      <c r="O324" s="1">
        <f t="shared" ref="O324:W324" si="1057">O$5+(O$6-O$5)*(POWER(O$7,$B324-1)-1)/(POWER(O$7,$B$3-1)-1)</f>
        <v>0.812654480367368</v>
      </c>
      <c r="P324" s="1">
        <f t="shared" si="1057"/>
        <v>0.21435024407481</v>
      </c>
      <c r="Q324" s="1">
        <f t="shared" si="1057"/>
        <v>0.446959964202052</v>
      </c>
      <c r="R324" s="1">
        <f t="shared" si="1057"/>
        <v>1.12506179214695</v>
      </c>
      <c r="S324" s="1">
        <f t="shared" si="1057"/>
        <v>0.456450824477578</v>
      </c>
      <c r="T324" s="1">
        <f t="shared" si="1057"/>
        <v>3.21935247343273</v>
      </c>
      <c r="U324" s="1">
        <f t="shared" si="1057"/>
        <v>1</v>
      </c>
      <c r="V324" s="1">
        <f t="shared" si="1057"/>
        <v>1.34098044183655</v>
      </c>
      <c r="W324" s="1">
        <f t="shared" si="1057"/>
        <v>2.00049433717558</v>
      </c>
      <c r="X324" s="1">
        <f t="shared" si="869"/>
        <v>4.65302482643919</v>
      </c>
      <c r="Y324" s="1">
        <f t="shared" si="870"/>
        <v>8.95514147677739</v>
      </c>
      <c r="Z324" s="1">
        <f t="shared" si="871"/>
        <v>782098.524049039</v>
      </c>
      <c r="AA324" s="1">
        <f t="shared" si="872"/>
        <v>42919.5298608983</v>
      </c>
      <c r="AB324" s="1">
        <f t="shared" si="873"/>
        <v>28613.0199072655</v>
      </c>
      <c r="AC324" s="1">
        <f>AB324/(AB324+战斗公式!$M$27)</f>
        <v>0.543839147756547</v>
      </c>
      <c r="AD324" s="1">
        <f t="shared" si="874"/>
        <v>1714523.55063479</v>
      </c>
      <c r="AE324" s="1">
        <f t="shared" si="875"/>
        <v>8.58525361607742</v>
      </c>
      <c r="AF324" s="1">
        <f t="shared" si="876"/>
        <v>4.46083384840734</v>
      </c>
      <c r="AG324" s="1">
        <f t="shared" si="877"/>
        <v>4.70462344534648</v>
      </c>
      <c r="AH324" s="1">
        <f t="shared" si="878"/>
        <v>1.31186075638067</v>
      </c>
      <c r="AI324" s="1">
        <f t="shared" si="879"/>
        <v>1.00000012895347</v>
      </c>
      <c r="AJ324" s="1">
        <f t="shared" si="880"/>
        <v>1.00143085589457</v>
      </c>
      <c r="AK324" s="1">
        <f t="shared" si="881"/>
        <v>1</v>
      </c>
      <c r="AL324" s="10">
        <f t="shared" si="882"/>
        <v>824841</v>
      </c>
      <c r="AM324" s="10">
        <f t="shared" si="883"/>
        <v>56304</v>
      </c>
      <c r="AN324" s="10">
        <f t="shared" si="884"/>
        <v>28613</v>
      </c>
      <c r="AO324" s="1">
        <f t="shared" si="885"/>
        <v>429195</v>
      </c>
      <c r="AP324" s="1">
        <f t="shared" si="886"/>
        <v>56304</v>
      </c>
      <c r="AR324" s="1">
        <f t="shared" ref="AR324:AX324" si="1058">ROUNDUP(AR$10*$AO324,0)</f>
        <v>429195</v>
      </c>
      <c r="AS324" s="1">
        <f t="shared" si="1058"/>
        <v>1287585</v>
      </c>
      <c r="AT324" s="1">
        <f t="shared" si="1058"/>
        <v>772551</v>
      </c>
      <c r="AU324" s="1">
        <f t="shared" si="1058"/>
        <v>214598</v>
      </c>
      <c r="AV324" s="1">
        <f t="shared" si="1058"/>
        <v>64380</v>
      </c>
      <c r="AW324" s="1">
        <f t="shared" si="1058"/>
        <v>1716780</v>
      </c>
      <c r="AX324" s="1">
        <f t="shared" si="1058"/>
        <v>3862755</v>
      </c>
      <c r="AY324" s="1">
        <f t="shared" si="888"/>
        <v>49490466</v>
      </c>
      <c r="AZ324" s="1">
        <f t="shared" si="889"/>
        <v>24745233</v>
      </c>
      <c r="BB324" s="1">
        <f t="shared" si="890"/>
        <v>313</v>
      </c>
    </row>
    <row r="325" spans="2:54">
      <c r="B325" s="4">
        <v>314</v>
      </c>
      <c r="C325" s="1">
        <f t="shared" ref="C325:I325" si="1059">C$5+(C$6-C$5)*(POWER(C$7,$B325-1)-1)/(POWER(C$7,$B$3-1)-1)</f>
        <v>24808.2995634606</v>
      </c>
      <c r="D325" s="1">
        <f t="shared" si="1059"/>
        <v>7442.48986903819</v>
      </c>
      <c r="E325" s="1">
        <f t="shared" si="1059"/>
        <v>4961.65991269213</v>
      </c>
      <c r="F325" s="1">
        <f t="shared" si="1059"/>
        <v>62805.8216796472</v>
      </c>
      <c r="G325" s="1">
        <f t="shared" si="1059"/>
        <v>18841.7465038941</v>
      </c>
      <c r="H325" s="1">
        <f t="shared" si="1059"/>
        <v>12561.1643359294</v>
      </c>
      <c r="I325" s="1">
        <f t="shared" si="1059"/>
        <v>0</v>
      </c>
      <c r="J325" s="1">
        <f>标准模型!$I$65/1*$B325/$B$3</f>
        <v>2.2608</v>
      </c>
      <c r="K325" s="1">
        <f>J325*标准模型!$J$63</f>
        <v>2.2608</v>
      </c>
      <c r="L325" s="1">
        <f t="shared" si="865"/>
        <v>87614.1212431078</v>
      </c>
      <c r="M325" s="1">
        <f t="shared" si="866"/>
        <v>43110.2174688539</v>
      </c>
      <c r="N325" s="1">
        <f t="shared" si="867"/>
        <v>28740.1449792359</v>
      </c>
      <c r="O325" s="1">
        <f t="shared" ref="O325:W325" si="1060">O$5+(O$6-O$5)*(POWER(O$7,$B325-1)-1)/(POWER(O$7,$B$3-1)-1)</f>
        <v>0.813656421240717</v>
      </c>
      <c r="P325" s="1">
        <f t="shared" si="1060"/>
        <v>0.215211026566452</v>
      </c>
      <c r="Q325" s="1">
        <f t="shared" si="1060"/>
        <v>0.447511031682395</v>
      </c>
      <c r="R325" s="1">
        <f t="shared" si="1060"/>
        <v>1.12546256849629</v>
      </c>
      <c r="S325" s="1">
        <f t="shared" si="1060"/>
        <v>0.457753347612932</v>
      </c>
      <c r="T325" s="1">
        <f t="shared" si="1060"/>
        <v>3.2232600428388</v>
      </c>
      <c r="U325" s="1">
        <f t="shared" si="1060"/>
        <v>1</v>
      </c>
      <c r="V325" s="1">
        <f t="shared" si="1060"/>
        <v>1.3420731568403</v>
      </c>
      <c r="W325" s="1">
        <f t="shared" si="1060"/>
        <v>2.0037005479703</v>
      </c>
      <c r="X325" s="1">
        <f t="shared" si="869"/>
        <v>4.6814556214557</v>
      </c>
      <c r="Y325" s="1">
        <f t="shared" si="870"/>
        <v>9.0156154676945</v>
      </c>
      <c r="Z325" s="1">
        <f t="shared" si="871"/>
        <v>789895.226667825</v>
      </c>
      <c r="AA325" s="1">
        <f t="shared" si="872"/>
        <v>43110.2174688539</v>
      </c>
      <c r="AB325" s="1">
        <f t="shared" si="873"/>
        <v>28740.1449792359</v>
      </c>
      <c r="AC325" s="1">
        <f>AB325/(AB325+战斗公式!$M$27)</f>
        <v>0.544938679833949</v>
      </c>
      <c r="AD325" s="1">
        <f t="shared" si="874"/>
        <v>1735799.53220281</v>
      </c>
      <c r="AE325" s="1">
        <f t="shared" si="875"/>
        <v>8.60079195369328</v>
      </c>
      <c r="AF325" s="1">
        <f t="shared" si="876"/>
        <v>4.46605403534195</v>
      </c>
      <c r="AG325" s="1">
        <f t="shared" si="877"/>
        <v>4.70755642373743</v>
      </c>
      <c r="AH325" s="1">
        <f t="shared" si="878"/>
        <v>1.3162234564354</v>
      </c>
      <c r="AI325" s="1">
        <f t="shared" si="879"/>
        <v>1.00000012250536</v>
      </c>
      <c r="AJ325" s="1">
        <f t="shared" si="880"/>
        <v>1.00140156896929</v>
      </c>
      <c r="AK325" s="1">
        <f t="shared" si="881"/>
        <v>1</v>
      </c>
      <c r="AL325" s="10">
        <f t="shared" si="882"/>
        <v>832609</v>
      </c>
      <c r="AM325" s="10">
        <f t="shared" si="883"/>
        <v>56743</v>
      </c>
      <c r="AN325" s="10">
        <f t="shared" si="884"/>
        <v>28740</v>
      </c>
      <c r="AO325" s="1">
        <f t="shared" si="885"/>
        <v>432947</v>
      </c>
      <c r="AP325" s="1">
        <f t="shared" si="886"/>
        <v>56743</v>
      </c>
      <c r="AR325" s="1">
        <f t="shared" ref="AR325:AX325" si="1061">ROUNDUP(AR$10*$AO325,0)</f>
        <v>432947</v>
      </c>
      <c r="AS325" s="1">
        <f t="shared" si="1061"/>
        <v>1298841</v>
      </c>
      <c r="AT325" s="1">
        <f t="shared" si="1061"/>
        <v>779305</v>
      </c>
      <c r="AU325" s="1">
        <f t="shared" si="1061"/>
        <v>216474</v>
      </c>
      <c r="AV325" s="1">
        <f t="shared" si="1061"/>
        <v>64943</v>
      </c>
      <c r="AW325" s="1">
        <f t="shared" si="1061"/>
        <v>1731788</v>
      </c>
      <c r="AX325" s="1">
        <f t="shared" si="1061"/>
        <v>3896523</v>
      </c>
      <c r="AY325" s="1">
        <f t="shared" si="888"/>
        <v>49956546</v>
      </c>
      <c r="AZ325" s="1">
        <f t="shared" si="889"/>
        <v>24978273</v>
      </c>
      <c r="BB325" s="1">
        <f t="shared" si="890"/>
        <v>314</v>
      </c>
    </row>
    <row r="326" spans="2:54">
      <c r="B326" s="4">
        <v>315</v>
      </c>
      <c r="C326" s="1">
        <f t="shared" ref="C326:I326" si="1062">C$5+(C$6-C$5)*(POWER(C$7,$B326-1)-1)/(POWER(C$7,$B$3-1)-1)</f>
        <v>24887.2945068057</v>
      </c>
      <c r="D326" s="1">
        <f t="shared" si="1062"/>
        <v>7466.1883520417</v>
      </c>
      <c r="E326" s="1">
        <f t="shared" si="1062"/>
        <v>4977.45890136113</v>
      </c>
      <c r="F326" s="1">
        <f t="shared" si="1062"/>
        <v>63005.808877989</v>
      </c>
      <c r="G326" s="1">
        <f t="shared" si="1062"/>
        <v>18901.7426633967</v>
      </c>
      <c r="H326" s="1">
        <f t="shared" si="1062"/>
        <v>12601.1617755978</v>
      </c>
      <c r="I326" s="1">
        <f t="shared" si="1062"/>
        <v>0</v>
      </c>
      <c r="J326" s="1">
        <f>标准模型!$I$65/1*$B326/$B$3</f>
        <v>2.268</v>
      </c>
      <c r="K326" s="1">
        <f>J326*标准模型!$J$63</f>
        <v>2.268</v>
      </c>
      <c r="L326" s="1">
        <f t="shared" si="865"/>
        <v>87893.1033847947</v>
      </c>
      <c r="M326" s="1">
        <f t="shared" si="866"/>
        <v>43301.246197869</v>
      </c>
      <c r="N326" s="1">
        <f t="shared" si="867"/>
        <v>28867.497465246</v>
      </c>
      <c r="O326" s="1">
        <f t="shared" ref="O326:W326" si="1063">O$5+(O$6-O$5)*(POWER(O$7,$B326-1)-1)/(POWER(O$7,$B$3-1)-1)</f>
        <v>0.814658361112169</v>
      </c>
      <c r="P326" s="1">
        <f t="shared" si="1063"/>
        <v>0.216073100231831</v>
      </c>
      <c r="Q326" s="1">
        <f t="shared" si="1063"/>
        <v>0.448062098611693</v>
      </c>
      <c r="R326" s="1">
        <f t="shared" si="1063"/>
        <v>1.12586334444487</v>
      </c>
      <c r="S326" s="1">
        <f t="shared" si="1063"/>
        <v>0.45905586944582</v>
      </c>
      <c r="T326" s="1">
        <f t="shared" si="1063"/>
        <v>3.22716760833746</v>
      </c>
      <c r="U326" s="1">
        <f t="shared" si="1063"/>
        <v>1</v>
      </c>
      <c r="V326" s="1">
        <f t="shared" si="1063"/>
        <v>1.34316587075139</v>
      </c>
      <c r="W326" s="1">
        <f t="shared" si="1063"/>
        <v>2.00690675555894</v>
      </c>
      <c r="X326" s="1">
        <f t="shared" si="869"/>
        <v>4.7100362867994</v>
      </c>
      <c r="Y326" s="1">
        <f t="shared" si="870"/>
        <v>9.0764479039088</v>
      </c>
      <c r="Z326" s="1">
        <f t="shared" si="871"/>
        <v>797757.173984959</v>
      </c>
      <c r="AA326" s="1">
        <f t="shared" si="872"/>
        <v>43301.246197869</v>
      </c>
      <c r="AB326" s="1">
        <f t="shared" si="873"/>
        <v>28867.497465246</v>
      </c>
      <c r="AC326" s="1">
        <f>AB326/(AB326+战斗公式!$M$27)</f>
        <v>0.546034876801628</v>
      </c>
      <c r="AD326" s="1">
        <f t="shared" si="874"/>
        <v>1757309.39056382</v>
      </c>
      <c r="AE326" s="1">
        <f t="shared" si="875"/>
        <v>8.61635494972055</v>
      </c>
      <c r="AF326" s="1">
        <f t="shared" si="876"/>
        <v>4.47128049461399</v>
      </c>
      <c r="AG326" s="1">
        <f t="shared" si="877"/>
        <v>4.71046740479046</v>
      </c>
      <c r="AH326" s="1">
        <f t="shared" si="878"/>
        <v>1.32059488189024</v>
      </c>
      <c r="AI326" s="1">
        <f t="shared" si="879"/>
        <v>1.00000011637965</v>
      </c>
      <c r="AJ326" s="1">
        <f t="shared" si="880"/>
        <v>1.00137286778252</v>
      </c>
      <c r="AK326" s="1">
        <f t="shared" si="881"/>
        <v>1</v>
      </c>
      <c r="AL326" s="10">
        <f t="shared" si="882"/>
        <v>840432</v>
      </c>
      <c r="AM326" s="10">
        <f t="shared" si="883"/>
        <v>57183</v>
      </c>
      <c r="AN326" s="10">
        <f t="shared" si="884"/>
        <v>28867</v>
      </c>
      <c r="AO326" s="1">
        <f t="shared" si="885"/>
        <v>436724</v>
      </c>
      <c r="AP326" s="1">
        <f t="shared" si="886"/>
        <v>57183</v>
      </c>
      <c r="AR326" s="1">
        <f t="shared" ref="AR326:AX326" si="1064">ROUNDUP(AR$10*$AO326,0)</f>
        <v>436724</v>
      </c>
      <c r="AS326" s="1">
        <f t="shared" si="1064"/>
        <v>1310172</v>
      </c>
      <c r="AT326" s="1">
        <f t="shared" si="1064"/>
        <v>786104</v>
      </c>
      <c r="AU326" s="1">
        <f t="shared" si="1064"/>
        <v>218362</v>
      </c>
      <c r="AV326" s="1">
        <f t="shared" si="1064"/>
        <v>65509</v>
      </c>
      <c r="AW326" s="1">
        <f t="shared" si="1064"/>
        <v>1746896</v>
      </c>
      <c r="AX326" s="1">
        <f t="shared" si="1064"/>
        <v>3930516</v>
      </c>
      <c r="AY326" s="1">
        <f t="shared" si="888"/>
        <v>50425926</v>
      </c>
      <c r="AZ326" s="1">
        <f t="shared" si="889"/>
        <v>25212963</v>
      </c>
      <c r="BB326" s="1">
        <f t="shared" si="890"/>
        <v>315</v>
      </c>
    </row>
    <row r="327" spans="2:54">
      <c r="B327" s="4">
        <v>316</v>
      </c>
      <c r="C327" s="1">
        <f t="shared" ref="C327:I327" si="1065">C$5+(C$6-C$5)*(POWER(C$7,$B327-1)-1)/(POWER(C$7,$B$3-1)-1)</f>
        <v>24966.2893711503</v>
      </c>
      <c r="D327" s="1">
        <f t="shared" si="1065"/>
        <v>7489.88681134509</v>
      </c>
      <c r="E327" s="1">
        <f t="shared" si="1065"/>
        <v>4993.25787423006</v>
      </c>
      <c r="F327" s="1">
        <f t="shared" si="1065"/>
        <v>63205.7958763299</v>
      </c>
      <c r="G327" s="1">
        <f t="shared" si="1065"/>
        <v>18961.738762899</v>
      </c>
      <c r="H327" s="1">
        <f t="shared" si="1065"/>
        <v>12641.159175266</v>
      </c>
      <c r="I327" s="1">
        <f t="shared" si="1065"/>
        <v>0</v>
      </c>
      <c r="J327" s="1">
        <f>标准模型!$I$65/1*$B327/$B$3</f>
        <v>2.2752</v>
      </c>
      <c r="K327" s="1">
        <f>J327*标准模型!$J$63</f>
        <v>2.2752</v>
      </c>
      <c r="L327" s="1">
        <f t="shared" si="865"/>
        <v>88172.0852474802</v>
      </c>
      <c r="M327" s="1">
        <f t="shared" si="866"/>
        <v>43492.6160474164</v>
      </c>
      <c r="N327" s="1">
        <f t="shared" si="867"/>
        <v>28995.0773649443</v>
      </c>
      <c r="O327" s="1">
        <f t="shared" ref="O327:W327" si="1066">O$5+(O$6-O$5)*(POWER(O$7,$B327-1)-1)/(POWER(O$7,$B$3-1)-1)</f>
        <v>0.815660299981613</v>
      </c>
      <c r="P327" s="1">
        <f t="shared" si="1066"/>
        <v>0.216936467007708</v>
      </c>
      <c r="Q327" s="1">
        <f t="shared" si="1066"/>
        <v>0.448613164989887</v>
      </c>
      <c r="R327" s="1">
        <f t="shared" si="1066"/>
        <v>1.12626411999265</v>
      </c>
      <c r="S327" s="1">
        <f t="shared" si="1066"/>
        <v>0.460358389976096</v>
      </c>
      <c r="T327" s="1">
        <f t="shared" si="1066"/>
        <v>3.23107516992829</v>
      </c>
      <c r="U327" s="1">
        <f t="shared" si="1066"/>
        <v>1</v>
      </c>
      <c r="V327" s="1">
        <f t="shared" si="1066"/>
        <v>1.34425858356969</v>
      </c>
      <c r="W327" s="1">
        <f t="shared" si="1066"/>
        <v>2.01011295994116</v>
      </c>
      <c r="X327" s="1">
        <f t="shared" si="869"/>
        <v>4.73876747148592</v>
      </c>
      <c r="Y327" s="1">
        <f t="shared" si="870"/>
        <v>9.13764057848413</v>
      </c>
      <c r="Z327" s="1">
        <f t="shared" si="871"/>
        <v>805684.824046937</v>
      </c>
      <c r="AA327" s="1">
        <f t="shared" si="872"/>
        <v>43492.6160474164</v>
      </c>
      <c r="AB327" s="1">
        <f t="shared" si="873"/>
        <v>28995.0773649443</v>
      </c>
      <c r="AC327" s="1">
        <f>AB327/(AB327+战斗公式!$M$27)</f>
        <v>0.547127748588291</v>
      </c>
      <c r="AD327" s="1">
        <f t="shared" si="874"/>
        <v>1779055.39925537</v>
      </c>
      <c r="AE327" s="1">
        <f t="shared" si="875"/>
        <v>8.63194257551694</v>
      </c>
      <c r="AF327" s="1">
        <f t="shared" si="876"/>
        <v>4.47651320286225</v>
      </c>
      <c r="AG327" s="1">
        <f t="shared" si="877"/>
        <v>4.71335655348558</v>
      </c>
      <c r="AH327" s="1">
        <f t="shared" si="878"/>
        <v>1.324975050196</v>
      </c>
      <c r="AI327" s="1">
        <f t="shared" si="879"/>
        <v>1.00000011056023</v>
      </c>
      <c r="AJ327" s="1">
        <f t="shared" si="880"/>
        <v>1.00134474061948</v>
      </c>
      <c r="AK327" s="1">
        <f t="shared" si="881"/>
        <v>1</v>
      </c>
      <c r="AL327" s="10">
        <f t="shared" si="882"/>
        <v>848312</v>
      </c>
      <c r="AM327" s="10">
        <f t="shared" si="883"/>
        <v>57627</v>
      </c>
      <c r="AN327" s="10">
        <f t="shared" si="884"/>
        <v>28995</v>
      </c>
      <c r="AO327" s="1">
        <f t="shared" si="885"/>
        <v>440525</v>
      </c>
      <c r="AP327" s="1">
        <f t="shared" si="886"/>
        <v>57627</v>
      </c>
      <c r="AR327" s="1">
        <f t="shared" ref="AR327:AX327" si="1067">ROUNDUP(AR$10*$AO327,0)</f>
        <v>440525</v>
      </c>
      <c r="AS327" s="1">
        <f t="shared" si="1067"/>
        <v>1321575</v>
      </c>
      <c r="AT327" s="1">
        <f t="shared" si="1067"/>
        <v>792945</v>
      </c>
      <c r="AU327" s="1">
        <f t="shared" si="1067"/>
        <v>220263</v>
      </c>
      <c r="AV327" s="1">
        <f t="shared" si="1067"/>
        <v>66079</v>
      </c>
      <c r="AW327" s="1">
        <f t="shared" si="1067"/>
        <v>1762100</v>
      </c>
      <c r="AX327" s="1">
        <f t="shared" si="1067"/>
        <v>3964725</v>
      </c>
      <c r="AY327" s="1">
        <f t="shared" si="888"/>
        <v>50898726</v>
      </c>
      <c r="AZ327" s="1">
        <f t="shared" si="889"/>
        <v>25449363</v>
      </c>
      <c r="BB327" s="1">
        <f t="shared" si="890"/>
        <v>316</v>
      </c>
    </row>
    <row r="328" spans="2:54">
      <c r="B328" s="4">
        <v>317</v>
      </c>
      <c r="C328" s="1">
        <f t="shared" ref="C328:I328" si="1068">C$5+(C$6-C$5)*(POWER(C$7,$B328-1)-1)/(POWER(C$7,$B$3-1)-1)</f>
        <v>25045.2841564946</v>
      </c>
      <c r="D328" s="1">
        <f t="shared" si="1068"/>
        <v>7513.58524694837</v>
      </c>
      <c r="E328" s="1">
        <f t="shared" si="1068"/>
        <v>5009.05683129891</v>
      </c>
      <c r="F328" s="1">
        <f t="shared" si="1068"/>
        <v>63405.7826746698</v>
      </c>
      <c r="G328" s="1">
        <f t="shared" si="1068"/>
        <v>19021.7348024009</v>
      </c>
      <c r="H328" s="1">
        <f t="shared" si="1068"/>
        <v>12681.156534934</v>
      </c>
      <c r="I328" s="1">
        <f t="shared" si="1068"/>
        <v>0</v>
      </c>
      <c r="J328" s="1">
        <f>标准模型!$I$65/1*$B328/$B$3</f>
        <v>2.2824</v>
      </c>
      <c r="K328" s="1">
        <f>J328*标准模型!$J$63</f>
        <v>2.2824</v>
      </c>
      <c r="L328" s="1">
        <f t="shared" si="865"/>
        <v>88451.0668311644</v>
      </c>
      <c r="M328" s="1">
        <f t="shared" si="866"/>
        <v>43684.3270169843</v>
      </c>
      <c r="N328" s="1">
        <f t="shared" si="867"/>
        <v>29122.8846779895</v>
      </c>
      <c r="O328" s="1">
        <f t="shared" ref="O328:W328" si="1069">O$5+(O$6-O$5)*(POWER(O$7,$B328-1)-1)/(POWER(O$7,$B$3-1)-1)</f>
        <v>0.816662237849047</v>
      </c>
      <c r="P328" s="1">
        <f t="shared" si="1069"/>
        <v>0.21780112883375</v>
      </c>
      <c r="Q328" s="1">
        <f t="shared" si="1069"/>
        <v>0.449164230816976</v>
      </c>
      <c r="R328" s="1">
        <f t="shared" si="1069"/>
        <v>1.12666489513962</v>
      </c>
      <c r="S328" s="1">
        <f t="shared" si="1069"/>
        <v>0.461660909203761</v>
      </c>
      <c r="T328" s="1">
        <f t="shared" si="1069"/>
        <v>3.23498272761128</v>
      </c>
      <c r="U328" s="1">
        <f t="shared" si="1069"/>
        <v>1</v>
      </c>
      <c r="V328" s="1">
        <f t="shared" si="1069"/>
        <v>1.3453512952952</v>
      </c>
      <c r="W328" s="1">
        <f t="shared" si="1069"/>
        <v>2.01331916111695</v>
      </c>
      <c r="X328" s="1">
        <f t="shared" si="869"/>
        <v>4.76764982667253</v>
      </c>
      <c r="Y328" s="1">
        <f t="shared" si="870"/>
        <v>9.19919529164005</v>
      </c>
      <c r="Z328" s="1">
        <f t="shared" si="871"/>
        <v>813678.637533787</v>
      </c>
      <c r="AA328" s="1">
        <f t="shared" si="872"/>
        <v>43684.3270169843</v>
      </c>
      <c r="AB328" s="1">
        <f t="shared" si="873"/>
        <v>29122.8846779895</v>
      </c>
      <c r="AC328" s="1">
        <f>AB328/(AB328+战斗公式!$M$27)</f>
        <v>0.548217305112876</v>
      </c>
      <c r="AD328" s="1">
        <f t="shared" si="874"/>
        <v>1801039.85111046</v>
      </c>
      <c r="AE328" s="1">
        <f t="shared" si="875"/>
        <v>8.64755480255354</v>
      </c>
      <c r="AF328" s="1">
        <f t="shared" si="876"/>
        <v>4.4817521368421</v>
      </c>
      <c r="AG328" s="1">
        <f t="shared" si="877"/>
        <v>4.71622403356549</v>
      </c>
      <c r="AH328" s="1">
        <f t="shared" si="878"/>
        <v>1.32936397883836</v>
      </c>
      <c r="AI328" s="1">
        <f t="shared" si="879"/>
        <v>1.00000010503177</v>
      </c>
      <c r="AJ328" s="1">
        <f t="shared" si="880"/>
        <v>1.0013171759997</v>
      </c>
      <c r="AK328" s="1">
        <f t="shared" si="881"/>
        <v>1</v>
      </c>
      <c r="AL328" s="10">
        <f t="shared" si="882"/>
        <v>856248</v>
      </c>
      <c r="AM328" s="10">
        <f t="shared" si="883"/>
        <v>58072</v>
      </c>
      <c r="AN328" s="10">
        <f t="shared" si="884"/>
        <v>29123</v>
      </c>
      <c r="AO328" s="1">
        <f t="shared" si="885"/>
        <v>444351</v>
      </c>
      <c r="AP328" s="1">
        <f t="shared" si="886"/>
        <v>58072</v>
      </c>
      <c r="AR328" s="1">
        <f t="shared" ref="AR328:AX328" si="1070">ROUNDUP(AR$10*$AO328,0)</f>
        <v>444351</v>
      </c>
      <c r="AS328" s="1">
        <f t="shared" si="1070"/>
        <v>1333053</v>
      </c>
      <c r="AT328" s="1">
        <f t="shared" si="1070"/>
        <v>799832</v>
      </c>
      <c r="AU328" s="1">
        <f t="shared" si="1070"/>
        <v>222176</v>
      </c>
      <c r="AV328" s="1">
        <f t="shared" si="1070"/>
        <v>66653</v>
      </c>
      <c r="AW328" s="1">
        <f t="shared" si="1070"/>
        <v>1777404</v>
      </c>
      <c r="AX328" s="1">
        <f t="shared" si="1070"/>
        <v>3999159</v>
      </c>
      <c r="AY328" s="1">
        <f t="shared" si="888"/>
        <v>51374885</v>
      </c>
      <c r="AZ328" s="1">
        <f t="shared" si="889"/>
        <v>25687443</v>
      </c>
      <c r="BB328" s="1">
        <f t="shared" si="890"/>
        <v>317</v>
      </c>
    </row>
    <row r="329" spans="2:54">
      <c r="B329" s="4">
        <v>318</v>
      </c>
      <c r="C329" s="1">
        <f t="shared" ref="C329:I329" si="1071">C$5+(C$6-C$5)*(POWER(C$7,$B329-1)-1)/(POWER(C$7,$B$3-1)-1)</f>
        <v>25124.278862856</v>
      </c>
      <c r="D329" s="1">
        <f t="shared" si="1071"/>
        <v>7537.2836588568</v>
      </c>
      <c r="E329" s="1">
        <f t="shared" si="1071"/>
        <v>5024.8557725712</v>
      </c>
      <c r="F329" s="1">
        <f t="shared" si="1071"/>
        <v>63605.7692730532</v>
      </c>
      <c r="G329" s="1">
        <f t="shared" si="1071"/>
        <v>19081.730781916</v>
      </c>
      <c r="H329" s="1">
        <f t="shared" si="1071"/>
        <v>12721.1538546106</v>
      </c>
      <c r="I329" s="1">
        <f t="shared" si="1071"/>
        <v>0</v>
      </c>
      <c r="J329" s="1">
        <f>标准模型!$I$65/1*$B329/$B$3</f>
        <v>2.2896</v>
      </c>
      <c r="K329" s="1">
        <f>J329*标准模型!$J$63</f>
        <v>2.2896</v>
      </c>
      <c r="L329" s="1">
        <f t="shared" si="865"/>
        <v>88730.0481359092</v>
      </c>
      <c r="M329" s="1">
        <f t="shared" si="866"/>
        <v>43876.3791060913</v>
      </c>
      <c r="N329" s="1">
        <f t="shared" si="867"/>
        <v>29250.9194040609</v>
      </c>
      <c r="O329" s="1">
        <f t="shared" ref="O329:W329" si="1072">O$5+(O$6-O$5)*(POWER(O$7,$B329-1)-1)/(POWER(O$7,$B$3-1)-1)</f>
        <v>0.817664174714695</v>
      </c>
      <c r="P329" s="1">
        <f t="shared" si="1072"/>
        <v>0.21866708765253</v>
      </c>
      <c r="Q329" s="1">
        <f t="shared" si="1072"/>
        <v>0.449715296093082</v>
      </c>
      <c r="R329" s="1">
        <f t="shared" si="1072"/>
        <v>1.12706566988588</v>
      </c>
      <c r="S329" s="1">
        <f t="shared" si="1072"/>
        <v>0.462963427129104</v>
      </c>
      <c r="T329" s="1">
        <f t="shared" si="1072"/>
        <v>3.23889028138731</v>
      </c>
      <c r="U329" s="1">
        <f t="shared" si="1072"/>
        <v>1</v>
      </c>
      <c r="V329" s="1">
        <f t="shared" si="1072"/>
        <v>1.34644400592816</v>
      </c>
      <c r="W329" s="1">
        <f t="shared" si="1072"/>
        <v>2.01652535908702</v>
      </c>
      <c r="X329" s="1">
        <f t="shared" si="869"/>
        <v>4.7966840056665</v>
      </c>
      <c r="Y329" s="1">
        <f t="shared" si="870"/>
        <v>9.26111385078044</v>
      </c>
      <c r="Z329" s="1">
        <f t="shared" si="871"/>
        <v>821739.077771884</v>
      </c>
      <c r="AA329" s="1">
        <f t="shared" si="872"/>
        <v>43876.3791060913</v>
      </c>
      <c r="AB329" s="1">
        <f t="shared" si="873"/>
        <v>29250.9194040609</v>
      </c>
      <c r="AC329" s="1">
        <f>AB329/(AB329+战斗公式!$M$27)</f>
        <v>0.54930355628433</v>
      </c>
      <c r="AD329" s="1">
        <f t="shared" si="874"/>
        <v>1823265.05839991</v>
      </c>
      <c r="AE329" s="1">
        <f t="shared" si="875"/>
        <v>8.6631916024167</v>
      </c>
      <c r="AF329" s="1">
        <f t="shared" si="876"/>
        <v>4.48699727342567</v>
      </c>
      <c r="AG329" s="1">
        <f t="shared" si="877"/>
        <v>4.7190700075448</v>
      </c>
      <c r="AH329" s="1">
        <f t="shared" si="878"/>
        <v>1.333761685338</v>
      </c>
      <c r="AI329" s="1">
        <f t="shared" si="879"/>
        <v>1.00000009977975</v>
      </c>
      <c r="AJ329" s="1">
        <f t="shared" si="880"/>
        <v>1.00129016267232</v>
      </c>
      <c r="AK329" s="1">
        <f t="shared" si="881"/>
        <v>1</v>
      </c>
      <c r="AL329" s="10">
        <f t="shared" si="882"/>
        <v>864240</v>
      </c>
      <c r="AM329" s="10">
        <f t="shared" si="883"/>
        <v>58521</v>
      </c>
      <c r="AN329" s="10">
        <f t="shared" si="884"/>
        <v>29251</v>
      </c>
      <c r="AO329" s="1">
        <f t="shared" si="885"/>
        <v>448201</v>
      </c>
      <c r="AP329" s="1">
        <f t="shared" si="886"/>
        <v>58521</v>
      </c>
      <c r="AR329" s="1">
        <f t="shared" ref="AR329:AX329" si="1073">ROUNDUP(AR$10*$AO329,0)</f>
        <v>448201</v>
      </c>
      <c r="AS329" s="1">
        <f t="shared" si="1073"/>
        <v>1344603</v>
      </c>
      <c r="AT329" s="1">
        <f t="shared" si="1073"/>
        <v>806762</v>
      </c>
      <c r="AU329" s="1">
        <f t="shared" si="1073"/>
        <v>224101</v>
      </c>
      <c r="AV329" s="1">
        <f t="shared" si="1073"/>
        <v>67231</v>
      </c>
      <c r="AW329" s="1">
        <f t="shared" si="1073"/>
        <v>1792804</v>
      </c>
      <c r="AX329" s="1">
        <f t="shared" si="1073"/>
        <v>4033809</v>
      </c>
      <c r="AY329" s="1">
        <f t="shared" si="888"/>
        <v>51854405</v>
      </c>
      <c r="AZ329" s="1">
        <f t="shared" si="889"/>
        <v>25927203</v>
      </c>
      <c r="BB329" s="1">
        <f t="shared" si="890"/>
        <v>318</v>
      </c>
    </row>
    <row r="330" spans="2:54">
      <c r="B330" s="4">
        <v>319</v>
      </c>
      <c r="C330" s="1">
        <f t="shared" ref="C330:I330" si="1074">C$5+(C$6-C$5)*(POWER(C$7,$B330-1)-1)/(POWER(C$7,$B$3-1)-1)</f>
        <v>25203.2734902083</v>
      </c>
      <c r="D330" s="1">
        <f t="shared" si="1074"/>
        <v>7560.98204706249</v>
      </c>
      <c r="E330" s="1">
        <f t="shared" si="1074"/>
        <v>5040.65469804166</v>
      </c>
      <c r="F330" s="1">
        <f t="shared" si="1074"/>
        <v>63805.7556714134</v>
      </c>
      <c r="G330" s="1">
        <f t="shared" si="1074"/>
        <v>19141.726701424</v>
      </c>
      <c r="H330" s="1">
        <f t="shared" si="1074"/>
        <v>12761.1511342827</v>
      </c>
      <c r="I330" s="1">
        <f t="shared" si="1074"/>
        <v>0</v>
      </c>
      <c r="J330" s="1">
        <f>标准模型!$I$65/1*$B330/$B$3</f>
        <v>2.2968</v>
      </c>
      <c r="K330" s="1">
        <f>J330*标准模型!$J$63</f>
        <v>2.2968</v>
      </c>
      <c r="L330" s="1">
        <f t="shared" si="865"/>
        <v>89009.0291616217</v>
      </c>
      <c r="M330" s="1">
        <f t="shared" si="866"/>
        <v>44068.7723141796</v>
      </c>
      <c r="N330" s="1">
        <f t="shared" si="867"/>
        <v>29379.1815427864</v>
      </c>
      <c r="O330" s="1">
        <f t="shared" ref="O330:W330" si="1075">O$5+(O$6-O$5)*(POWER(O$7,$B330-1)-1)/(POWER(O$7,$B$3-1)-1)</f>
        <v>0.818666110578223</v>
      </c>
      <c r="P330" s="1">
        <f t="shared" si="1075"/>
        <v>0.219534345409538</v>
      </c>
      <c r="Q330" s="1">
        <f t="shared" si="1075"/>
        <v>0.450266360818023</v>
      </c>
      <c r="R330" s="1">
        <f t="shared" si="1075"/>
        <v>1.12746644423129</v>
      </c>
      <c r="S330" s="1">
        <f t="shared" si="1075"/>
        <v>0.46426594375169</v>
      </c>
      <c r="T330" s="1">
        <f t="shared" si="1075"/>
        <v>3.24279783125507</v>
      </c>
      <c r="U330" s="1">
        <f t="shared" si="1075"/>
        <v>1</v>
      </c>
      <c r="V330" s="1">
        <f t="shared" si="1075"/>
        <v>1.34753671546822</v>
      </c>
      <c r="W330" s="1">
        <f t="shared" si="1075"/>
        <v>2.01973155385031</v>
      </c>
      <c r="X330" s="1">
        <f t="shared" si="869"/>
        <v>4.82587066391088</v>
      </c>
      <c r="Y330" s="1">
        <f t="shared" si="870"/>
        <v>9.32339807047137</v>
      </c>
      <c r="Z330" s="1">
        <f t="shared" si="871"/>
        <v>829866.610739993</v>
      </c>
      <c r="AA330" s="1">
        <f t="shared" si="872"/>
        <v>44068.7723141796</v>
      </c>
      <c r="AB330" s="1">
        <f t="shared" si="873"/>
        <v>29379.1815427864</v>
      </c>
      <c r="AC330" s="1">
        <f>AB330/(AB330+战斗公式!$M$27)</f>
        <v>0.550386512000701</v>
      </c>
      <c r="AD330" s="1">
        <f t="shared" si="874"/>
        <v>1845733.35295779</v>
      </c>
      <c r="AE330" s="1">
        <f t="shared" si="875"/>
        <v>8.67885294678949</v>
      </c>
      <c r="AF330" s="1">
        <f t="shared" si="876"/>
        <v>4.49224858959502</v>
      </c>
      <c r="AG330" s="1">
        <f t="shared" si="877"/>
        <v>4.72189463671927</v>
      </c>
      <c r="AH330" s="1">
        <f t="shared" si="878"/>
        <v>1.33816818725065</v>
      </c>
      <c r="AI330" s="1">
        <f t="shared" si="879"/>
        <v>1.00000009479032</v>
      </c>
      <c r="AJ330" s="1">
        <f t="shared" si="880"/>
        <v>1.00126368961148</v>
      </c>
      <c r="AK330" s="1">
        <f t="shared" si="881"/>
        <v>1</v>
      </c>
      <c r="AL330" s="10">
        <f t="shared" si="882"/>
        <v>872290</v>
      </c>
      <c r="AM330" s="10">
        <f t="shared" si="883"/>
        <v>58971</v>
      </c>
      <c r="AN330" s="10">
        <f t="shared" si="884"/>
        <v>29379</v>
      </c>
      <c r="AO330" s="1">
        <f t="shared" si="885"/>
        <v>452075</v>
      </c>
      <c r="AP330" s="1">
        <f t="shared" si="886"/>
        <v>58971</v>
      </c>
      <c r="AR330" s="1">
        <f t="shared" ref="AR330:AX330" si="1076">ROUNDUP(AR$10*$AO330,0)</f>
        <v>452075</v>
      </c>
      <c r="AS330" s="1">
        <f t="shared" si="1076"/>
        <v>1356225</v>
      </c>
      <c r="AT330" s="1">
        <f t="shared" si="1076"/>
        <v>813735</v>
      </c>
      <c r="AU330" s="1">
        <f t="shared" si="1076"/>
        <v>226038</v>
      </c>
      <c r="AV330" s="1">
        <f t="shared" si="1076"/>
        <v>67812</v>
      </c>
      <c r="AW330" s="1">
        <f t="shared" si="1076"/>
        <v>1808300</v>
      </c>
      <c r="AX330" s="1">
        <f t="shared" si="1076"/>
        <v>4068675</v>
      </c>
      <c r="AY330" s="1">
        <f t="shared" si="888"/>
        <v>52337405</v>
      </c>
      <c r="AZ330" s="1">
        <f t="shared" si="889"/>
        <v>26168702</v>
      </c>
      <c r="BB330" s="1">
        <f t="shared" si="890"/>
        <v>319</v>
      </c>
    </row>
    <row r="331" spans="2:54">
      <c r="B331" s="4">
        <v>320</v>
      </c>
      <c r="C331" s="1">
        <f t="shared" ref="C331:I331" si="1077">C$5+(C$6-C$5)*(POWER(C$7,$B331-1)-1)/(POWER(C$7,$B$3-1)-1)</f>
        <v>25282.2680385777</v>
      </c>
      <c r="D331" s="1">
        <f t="shared" si="1077"/>
        <v>7584.68041157332</v>
      </c>
      <c r="E331" s="1">
        <f t="shared" si="1077"/>
        <v>5056.45360771555</v>
      </c>
      <c r="F331" s="1">
        <f t="shared" si="1077"/>
        <v>64005.7418698171</v>
      </c>
      <c r="G331" s="1">
        <f t="shared" si="1077"/>
        <v>19201.7225609451</v>
      </c>
      <c r="H331" s="1">
        <f t="shared" si="1077"/>
        <v>12801.1483739634</v>
      </c>
      <c r="I331" s="1">
        <f t="shared" si="1077"/>
        <v>0</v>
      </c>
      <c r="J331" s="1">
        <f>标准模型!$I$65/1*$B331/$B$3</f>
        <v>2.304</v>
      </c>
      <c r="K331" s="1">
        <f>J331*标准模型!$J$63</f>
        <v>2.304</v>
      </c>
      <c r="L331" s="1">
        <f t="shared" si="865"/>
        <v>89288.0099083948</v>
      </c>
      <c r="M331" s="1">
        <f t="shared" si="866"/>
        <v>44261.5066407834</v>
      </c>
      <c r="N331" s="1">
        <f t="shared" si="867"/>
        <v>29507.6710938556</v>
      </c>
      <c r="O331" s="1">
        <f t="shared" ref="O331:W331" si="1078">O$5+(O$6-O$5)*(POWER(O$7,$B331-1)-1)/(POWER(O$7,$B$3-1)-1)</f>
        <v>0.819668045439965</v>
      </c>
      <c r="P331" s="1">
        <f t="shared" si="1078"/>
        <v>0.220402904053182</v>
      </c>
      <c r="Q331" s="1">
        <f t="shared" si="1078"/>
        <v>0.450817424991981</v>
      </c>
      <c r="R331" s="1">
        <f t="shared" si="1078"/>
        <v>1.12786721817599</v>
      </c>
      <c r="S331" s="1">
        <f t="shared" si="1078"/>
        <v>0.465568459071955</v>
      </c>
      <c r="T331" s="1">
        <f t="shared" si="1078"/>
        <v>3.24670537721586</v>
      </c>
      <c r="U331" s="1">
        <f t="shared" si="1078"/>
        <v>1</v>
      </c>
      <c r="V331" s="1">
        <f t="shared" si="1078"/>
        <v>1.34862942391572</v>
      </c>
      <c r="W331" s="1">
        <f t="shared" si="1078"/>
        <v>2.02293774540789</v>
      </c>
      <c r="X331" s="1">
        <f t="shared" si="869"/>
        <v>4.8552104590205</v>
      </c>
      <c r="Y331" s="1">
        <f t="shared" si="870"/>
        <v>9.38604977253219</v>
      </c>
      <c r="Z331" s="1">
        <f t="shared" si="871"/>
        <v>838061.705090541</v>
      </c>
      <c r="AA331" s="1">
        <f t="shared" si="872"/>
        <v>44261.5066407834</v>
      </c>
      <c r="AB331" s="1">
        <f t="shared" si="873"/>
        <v>29507.6710938556</v>
      </c>
      <c r="AC331" s="1">
        <f>AB331/(AB331+战斗公式!$M$27)</f>
        <v>0.551466182149797</v>
      </c>
      <c r="AD331" s="1">
        <f t="shared" si="874"/>
        <v>1868447.08634752</v>
      </c>
      <c r="AE331" s="1">
        <f t="shared" si="875"/>
        <v>8.6945388074787</v>
      </c>
      <c r="AF331" s="1">
        <f t="shared" si="876"/>
        <v>4.49750606245099</v>
      </c>
      <c r="AG331" s="1">
        <f t="shared" si="877"/>
        <v>4.72469808117493</v>
      </c>
      <c r="AH331" s="1">
        <f t="shared" si="878"/>
        <v>1.34258350216712</v>
      </c>
      <c r="AI331" s="1">
        <f t="shared" si="879"/>
        <v>1.00000009005036</v>
      </c>
      <c r="AJ331" s="1">
        <f t="shared" si="880"/>
        <v>1.00123774601187</v>
      </c>
      <c r="AK331" s="1">
        <f t="shared" si="881"/>
        <v>1</v>
      </c>
      <c r="AL331" s="10">
        <f t="shared" si="882"/>
        <v>880396</v>
      </c>
      <c r="AM331" s="10">
        <f t="shared" si="883"/>
        <v>59425</v>
      </c>
      <c r="AN331" s="10">
        <f t="shared" si="884"/>
        <v>29508</v>
      </c>
      <c r="AO331" s="1">
        <f t="shared" si="885"/>
        <v>455975</v>
      </c>
      <c r="AP331" s="1">
        <f t="shared" si="886"/>
        <v>59425</v>
      </c>
      <c r="AR331" s="1">
        <f t="shared" ref="AR331:AX331" si="1079">ROUNDUP(AR$10*$AO331,0)</f>
        <v>455975</v>
      </c>
      <c r="AS331" s="1">
        <f t="shared" si="1079"/>
        <v>1367925</v>
      </c>
      <c r="AT331" s="1">
        <f t="shared" si="1079"/>
        <v>820755</v>
      </c>
      <c r="AU331" s="1">
        <f t="shared" si="1079"/>
        <v>227988</v>
      </c>
      <c r="AV331" s="1">
        <f t="shared" si="1079"/>
        <v>68397</v>
      </c>
      <c r="AW331" s="1">
        <f t="shared" si="1079"/>
        <v>1823900</v>
      </c>
      <c r="AX331" s="1">
        <f t="shared" si="1079"/>
        <v>4103775</v>
      </c>
      <c r="AY331" s="1">
        <f t="shared" si="888"/>
        <v>52823765</v>
      </c>
      <c r="AZ331" s="1">
        <f t="shared" si="889"/>
        <v>26411882</v>
      </c>
      <c r="BB331" s="1">
        <f t="shared" si="890"/>
        <v>320</v>
      </c>
    </row>
    <row r="332" spans="2:54">
      <c r="B332" s="4">
        <v>321</v>
      </c>
      <c r="C332" s="1">
        <f t="shared" ref="C332:I332" si="1080">C$5+(C$6-C$5)*(POWER(C$7,$B332-1)-1)/(POWER(C$7,$B$3-1)-1)</f>
        <v>25361.2625079468</v>
      </c>
      <c r="D332" s="1">
        <f t="shared" si="1080"/>
        <v>7608.37875238404</v>
      </c>
      <c r="E332" s="1">
        <f t="shared" si="1080"/>
        <v>5072.25250158936</v>
      </c>
      <c r="F332" s="1">
        <f t="shared" si="1080"/>
        <v>64205.7278682198</v>
      </c>
      <c r="G332" s="1">
        <f t="shared" si="1080"/>
        <v>19261.7183604659</v>
      </c>
      <c r="H332" s="1">
        <f t="shared" si="1080"/>
        <v>12841.145573644</v>
      </c>
      <c r="I332" s="1">
        <f t="shared" si="1080"/>
        <v>0</v>
      </c>
      <c r="J332" s="1">
        <f>标准模型!$I$65/1*$B332/$B$3</f>
        <v>2.3112</v>
      </c>
      <c r="K332" s="1">
        <f>J332*标准模型!$J$63</f>
        <v>2.3112</v>
      </c>
      <c r="L332" s="1">
        <f t="shared" ref="L332:L395" si="1081">C332*(1+I332)+F332</f>
        <v>89566.9903761666</v>
      </c>
      <c r="M332" s="1">
        <f t="shared" ref="M332:M395" si="1082">D332*(1+J332)+G332</f>
        <v>44454.58208536</v>
      </c>
      <c r="N332" s="1">
        <f t="shared" ref="N332:N395" si="1083">E332*(1+K332)+H332</f>
        <v>29636.3880569067</v>
      </c>
      <c r="O332" s="1">
        <f t="shared" ref="O332:W332" si="1084">O$5+(O$6-O$5)*(POWER(O$7,$B332-1)-1)/(POWER(O$7,$B$3-1)-1)</f>
        <v>0.820669979299698</v>
      </c>
      <c r="P332" s="1">
        <f t="shared" si="1084"/>
        <v>0.221272765534791</v>
      </c>
      <c r="Q332" s="1">
        <f t="shared" si="1084"/>
        <v>0.451368488614834</v>
      </c>
      <c r="R332" s="1">
        <f t="shared" si="1084"/>
        <v>1.12826799171988</v>
      </c>
      <c r="S332" s="1">
        <f t="shared" si="1084"/>
        <v>0.466870973089608</v>
      </c>
      <c r="T332" s="1">
        <f t="shared" si="1084"/>
        <v>3.25061291926882</v>
      </c>
      <c r="U332" s="1">
        <f t="shared" si="1084"/>
        <v>1</v>
      </c>
      <c r="V332" s="1">
        <f t="shared" si="1084"/>
        <v>1.34972213127044</v>
      </c>
      <c r="W332" s="1">
        <f t="shared" si="1084"/>
        <v>2.02614393375903</v>
      </c>
      <c r="X332" s="1">
        <f t="shared" ref="X332:X395" si="1085">(1+S332*(T332-1))*U332*W332*(O332+P332)*R332</f>
        <v>4.88470405075655</v>
      </c>
      <c r="Y332" s="1">
        <f t="shared" ref="Y332:Y395" si="1086">(1+S332*(T332-1))*(O332+P332+Q332)*U332*V332*W332*R332</f>
        <v>9.44907078598808</v>
      </c>
      <c r="Z332" s="1">
        <f t="shared" ref="Z332:Z395" si="1087">Y332*L332</f>
        <v>846324.832152312</v>
      </c>
      <c r="AA332" s="1">
        <f t="shared" ref="AA332:AA395" si="1088">M332</f>
        <v>44454.58208536</v>
      </c>
      <c r="AB332" s="1">
        <f t="shared" ref="AB332:AB395" si="1089">N332</f>
        <v>29636.3880569067</v>
      </c>
      <c r="AC332" s="1">
        <f>AB332/(AB332+战斗公式!$M$27)</f>
        <v>0.552542576607942</v>
      </c>
      <c r="AD332" s="1">
        <f t="shared" ref="AD332:AD395" si="1090">Z332/(1-AC332)</f>
        <v>1891408.62997991</v>
      </c>
      <c r="AE332" s="1">
        <f t="shared" ref="AE332:AE395" si="1091">AD332/AA332/X332</f>
        <v>8.71024915638637</v>
      </c>
      <c r="AF332" s="1">
        <f t="shared" ref="AF332:AF395" si="1092">AD332/AA332/Y332</f>
        <v>4.502769669203</v>
      </c>
      <c r="AG332" s="1">
        <f t="shared" ref="AG332:AG395" si="1093">AG$5+(AG$6-AG$5)*(POWER(AG$7,$B332-1)-1)/(POWER(AG$7,$B$3-1)-1)</f>
        <v>4.72748049979717</v>
      </c>
      <c r="AH332" s="1">
        <f t="shared" ref="AH332:AH395" si="1094">$AH$5+($AH$6-$AH$5)*(POWER($AH$7,$B332-1)-1)/(POWER($AH$7,$B$3-1)-1)</f>
        <v>1.34700764771343</v>
      </c>
      <c r="AI332" s="1">
        <f t="shared" ref="AI332:AI395" si="1095">$AI$5+($AI$6-$AI$5)*(POWER($AI$7,$B332-1)-1)/(POWER($AI$7,$B$3-1)-1)</f>
        <v>1.0000000855474</v>
      </c>
      <c r="AJ332" s="1">
        <f t="shared" ref="AJ332:AJ395" si="1096">$AJ$5+($AJ$6-$AJ$5)*(POWER($AJ$7,$B332-1)-1)/(POWER($AJ$7,$B$3-1)-1)</f>
        <v>1.00121232128424</v>
      </c>
      <c r="AK332" s="1">
        <f t="shared" ref="AK332:AK395" si="1097">$AK$5+($AK$6-$AK$5)*(POWER($AK$7,$B332-1)-1)/(POWER($AK$7,$B$3-1)-1)</f>
        <v>1</v>
      </c>
      <c r="AL332" s="10">
        <f t="shared" ref="AL332:AL395" si="1098">ROUND(Z332/AF332*AG332,0)</f>
        <v>888561</v>
      </c>
      <c r="AM332" s="10">
        <f t="shared" ref="AM332:AM395" si="1099">ROUND(AA332*AH332,0)</f>
        <v>59881</v>
      </c>
      <c r="AN332" s="10">
        <f t="shared" ref="AN332:AN395" si="1100">ROUND(AB332,0)</f>
        <v>29636</v>
      </c>
      <c r="AO332" s="1">
        <f t="shared" ref="AO332:AO395" si="1101">ROUND(Z332/$AE332*AG332*AJ332,0)</f>
        <v>459899</v>
      </c>
      <c r="AP332" s="1">
        <f t="shared" ref="AP332:AP395" si="1102">ROUND(AM332*AK332,0)</f>
        <v>59881</v>
      </c>
      <c r="AR332" s="1">
        <f t="shared" ref="AR332:AX332" si="1103">ROUNDUP(AR$10*$AO332,0)</f>
        <v>459899</v>
      </c>
      <c r="AS332" s="1">
        <f t="shared" si="1103"/>
        <v>1379697</v>
      </c>
      <c r="AT332" s="1">
        <f t="shared" si="1103"/>
        <v>827819</v>
      </c>
      <c r="AU332" s="1">
        <f t="shared" si="1103"/>
        <v>229950</v>
      </c>
      <c r="AV332" s="1">
        <f t="shared" si="1103"/>
        <v>68985</v>
      </c>
      <c r="AW332" s="1">
        <f t="shared" si="1103"/>
        <v>1839596</v>
      </c>
      <c r="AX332" s="1">
        <f t="shared" si="1103"/>
        <v>4139091</v>
      </c>
      <c r="AY332" s="1">
        <f t="shared" ref="AY332:AY395" si="1104">ROUND(AL332*$AY$10*AI332,0)</f>
        <v>53313665</v>
      </c>
      <c r="AZ332" s="1">
        <f t="shared" ref="AZ332:AZ395" si="1105">ROUND(AL332*$AZ$10*AI332,0)</f>
        <v>26656832</v>
      </c>
      <c r="BB332" s="1">
        <f t="shared" ref="BB332:BB395" si="1106">B332</f>
        <v>321</v>
      </c>
    </row>
    <row r="333" spans="2:54">
      <c r="B333" s="4">
        <v>322</v>
      </c>
      <c r="C333" s="1">
        <f t="shared" ref="C333:I333" si="1107">C$5+(C$6-C$5)*(POWER(C$7,$B333-1)-1)/(POWER(C$7,$B$3-1)-1)</f>
        <v>25440.2568983243</v>
      </c>
      <c r="D333" s="1">
        <f t="shared" si="1107"/>
        <v>7632.07706949728</v>
      </c>
      <c r="E333" s="1">
        <f t="shared" si="1107"/>
        <v>5088.05137966486</v>
      </c>
      <c r="F333" s="1">
        <f t="shared" si="1107"/>
        <v>64405.7136666437</v>
      </c>
      <c r="G333" s="1">
        <f t="shared" si="1107"/>
        <v>19321.7140999931</v>
      </c>
      <c r="H333" s="1">
        <f t="shared" si="1107"/>
        <v>12881.1427333287</v>
      </c>
      <c r="I333" s="1">
        <f t="shared" si="1107"/>
        <v>0</v>
      </c>
      <c r="J333" s="1">
        <f>标准模型!$I$65/1*$B333/$B$3</f>
        <v>2.3184</v>
      </c>
      <c r="K333" s="1">
        <f>J333*标准模型!$J$63</f>
        <v>2.3184</v>
      </c>
      <c r="L333" s="1">
        <f t="shared" si="1081"/>
        <v>89845.970564968</v>
      </c>
      <c r="M333" s="1">
        <f t="shared" si="1082"/>
        <v>44647.9986474129</v>
      </c>
      <c r="N333" s="1">
        <f t="shared" si="1083"/>
        <v>29765.3324316086</v>
      </c>
      <c r="O333" s="1">
        <f t="shared" ref="O333:W333" si="1108">O$5+(O$6-O$5)*(POWER(O$7,$B333-1)-1)/(POWER(O$7,$B$3-1)-1)</f>
        <v>0.821671912157534</v>
      </c>
      <c r="P333" s="1">
        <f t="shared" si="1108"/>
        <v>0.222143931808623</v>
      </c>
      <c r="Q333" s="1">
        <f t="shared" si="1108"/>
        <v>0.451919551686644</v>
      </c>
      <c r="R333" s="1">
        <f t="shared" si="1108"/>
        <v>1.12866876486301</v>
      </c>
      <c r="S333" s="1">
        <f t="shared" si="1108"/>
        <v>0.468173485804794</v>
      </c>
      <c r="T333" s="1">
        <f t="shared" si="1108"/>
        <v>3.25452045741438</v>
      </c>
      <c r="U333" s="1">
        <f t="shared" si="1108"/>
        <v>1</v>
      </c>
      <c r="V333" s="1">
        <f t="shared" si="1108"/>
        <v>1.35081483753249</v>
      </c>
      <c r="W333" s="1">
        <f t="shared" si="1108"/>
        <v>2.02935011890411</v>
      </c>
      <c r="X333" s="1">
        <f t="shared" si="1085"/>
        <v>4.91435210105448</v>
      </c>
      <c r="Y333" s="1">
        <f t="shared" si="1086"/>
        <v>9.51246294714308</v>
      </c>
      <c r="Z333" s="1">
        <f t="shared" si="1087"/>
        <v>854656.465949366</v>
      </c>
      <c r="AA333" s="1">
        <f t="shared" si="1088"/>
        <v>44647.9986474129</v>
      </c>
      <c r="AB333" s="1">
        <f t="shared" si="1089"/>
        <v>29765.3324316086</v>
      </c>
      <c r="AC333" s="1">
        <f>AB333/(AB333+战斗公式!$M$27)</f>
        <v>0.553615705240383</v>
      </c>
      <c r="AD333" s="1">
        <f t="shared" si="1090"/>
        <v>1914620.37527465</v>
      </c>
      <c r="AE333" s="1">
        <f t="shared" si="1091"/>
        <v>8.72598396552921</v>
      </c>
      <c r="AF333" s="1">
        <f t="shared" si="1092"/>
        <v>4.50803938717525</v>
      </c>
      <c r="AG333" s="1">
        <f t="shared" si="1093"/>
        <v>4.73024205027974</v>
      </c>
      <c r="AH333" s="1">
        <f t="shared" si="1094"/>
        <v>1.35144064155082</v>
      </c>
      <c r="AI333" s="1">
        <f t="shared" si="1095"/>
        <v>1.00000008126959</v>
      </c>
      <c r="AJ333" s="1">
        <f t="shared" si="1096"/>
        <v>1.00118740505117</v>
      </c>
      <c r="AK333" s="1">
        <f t="shared" si="1097"/>
        <v>1</v>
      </c>
      <c r="AL333" s="10">
        <f t="shared" si="1098"/>
        <v>896783</v>
      </c>
      <c r="AM333" s="10">
        <f t="shared" si="1099"/>
        <v>60339</v>
      </c>
      <c r="AN333" s="10">
        <f t="shared" si="1100"/>
        <v>29765</v>
      </c>
      <c r="AO333" s="1">
        <f t="shared" si="1101"/>
        <v>463848</v>
      </c>
      <c r="AP333" s="1">
        <f t="shared" si="1102"/>
        <v>60339</v>
      </c>
      <c r="AR333" s="1">
        <f t="shared" ref="AR333:AX333" si="1109">ROUNDUP(AR$10*$AO333,0)</f>
        <v>463848</v>
      </c>
      <c r="AS333" s="1">
        <f t="shared" si="1109"/>
        <v>1391544</v>
      </c>
      <c r="AT333" s="1">
        <f t="shared" si="1109"/>
        <v>834927</v>
      </c>
      <c r="AU333" s="1">
        <f t="shared" si="1109"/>
        <v>231924</v>
      </c>
      <c r="AV333" s="1">
        <f t="shared" si="1109"/>
        <v>69578</v>
      </c>
      <c r="AW333" s="1">
        <f t="shared" si="1109"/>
        <v>1855392</v>
      </c>
      <c r="AX333" s="1">
        <f t="shared" si="1109"/>
        <v>4174632</v>
      </c>
      <c r="AY333" s="1">
        <f t="shared" si="1104"/>
        <v>53806984</v>
      </c>
      <c r="AZ333" s="1">
        <f t="shared" si="1105"/>
        <v>26903492</v>
      </c>
      <c r="BB333" s="1">
        <f t="shared" si="1106"/>
        <v>322</v>
      </c>
    </row>
    <row r="334" spans="2:54">
      <c r="B334" s="4">
        <v>323</v>
      </c>
      <c r="C334" s="1">
        <f t="shared" ref="C334:I334" si="1110">C$5+(C$6-C$5)*(POWER(C$7,$B334-1)-1)/(POWER(C$7,$B$3-1)-1)</f>
        <v>25519.2512097101</v>
      </c>
      <c r="D334" s="1">
        <f t="shared" si="1110"/>
        <v>7655.77536291304</v>
      </c>
      <c r="E334" s="1">
        <f t="shared" si="1110"/>
        <v>5103.85024194203</v>
      </c>
      <c r="F334" s="1">
        <f t="shared" si="1110"/>
        <v>64605.699265089</v>
      </c>
      <c r="G334" s="1">
        <f t="shared" si="1110"/>
        <v>19381.7097795267</v>
      </c>
      <c r="H334" s="1">
        <f t="shared" si="1110"/>
        <v>12921.1398530178</v>
      </c>
      <c r="I334" s="1">
        <f t="shared" si="1110"/>
        <v>0</v>
      </c>
      <c r="J334" s="1">
        <f>标准模型!$I$65/1*$B334/$B$3</f>
        <v>2.3256</v>
      </c>
      <c r="K334" s="1">
        <f>J334*标准模型!$J$63</f>
        <v>2.3256</v>
      </c>
      <c r="L334" s="1">
        <f t="shared" si="1081"/>
        <v>90124.9504747991</v>
      </c>
      <c r="M334" s="1">
        <f t="shared" si="1082"/>
        <v>44841.7563264303</v>
      </c>
      <c r="N334" s="1">
        <f t="shared" si="1083"/>
        <v>29894.5042176202</v>
      </c>
      <c r="O334" s="1">
        <f t="shared" ref="O334:W334" si="1111">O$5+(O$6-O$5)*(POWER(O$7,$B334-1)-1)/(POWER(O$7,$B$3-1)-1)</f>
        <v>0.822673844013472</v>
      </c>
      <c r="P334" s="1">
        <f t="shared" si="1111"/>
        <v>0.223016404831866</v>
      </c>
      <c r="Q334" s="1">
        <f t="shared" si="1111"/>
        <v>0.45247061420741</v>
      </c>
      <c r="R334" s="1">
        <f t="shared" si="1111"/>
        <v>1.12906953760539</v>
      </c>
      <c r="S334" s="1">
        <f t="shared" si="1111"/>
        <v>0.469475997217513</v>
      </c>
      <c r="T334" s="1">
        <f t="shared" si="1111"/>
        <v>3.25842799165254</v>
      </c>
      <c r="U334" s="1">
        <f t="shared" si="1111"/>
        <v>1</v>
      </c>
      <c r="V334" s="1">
        <f t="shared" si="1111"/>
        <v>1.35190754270187</v>
      </c>
      <c r="W334" s="1">
        <f t="shared" si="1111"/>
        <v>2.03255630084311</v>
      </c>
      <c r="X334" s="1">
        <f t="shared" si="1085"/>
        <v>4.94415527401801</v>
      </c>
      <c r="Y334" s="1">
        <f t="shared" si="1086"/>
        <v>9.5762280995764</v>
      </c>
      <c r="Z334" s="1">
        <f t="shared" si="1087"/>
        <v>863057.083209703</v>
      </c>
      <c r="AA334" s="1">
        <f t="shared" si="1088"/>
        <v>44841.7563264303</v>
      </c>
      <c r="AB334" s="1">
        <f t="shared" si="1089"/>
        <v>29894.5042176202</v>
      </c>
      <c r="AC334" s="1">
        <f>AB334/(AB334+战斗公式!$M$27)</f>
        <v>0.55468557790066</v>
      </c>
      <c r="AD334" s="1">
        <f t="shared" si="1090"/>
        <v>1938084.73379551</v>
      </c>
      <c r="AE334" s="1">
        <f t="shared" si="1091"/>
        <v>8.7417432070277</v>
      </c>
      <c r="AF334" s="1">
        <f t="shared" si="1092"/>
        <v>4.51331519380256</v>
      </c>
      <c r="AG334" s="1">
        <f t="shared" si="1093"/>
        <v>4.7329828891337</v>
      </c>
      <c r="AH334" s="1">
        <f t="shared" si="1094"/>
        <v>1.3558825013759</v>
      </c>
      <c r="AI334" s="1">
        <f t="shared" si="1095"/>
        <v>1.00000007720567</v>
      </c>
      <c r="AJ334" s="1">
        <f t="shared" si="1096"/>
        <v>1.00116298714276</v>
      </c>
      <c r="AK334" s="1">
        <f t="shared" si="1097"/>
        <v>1</v>
      </c>
      <c r="AL334" s="10">
        <f t="shared" si="1098"/>
        <v>905063</v>
      </c>
      <c r="AM334" s="10">
        <f t="shared" si="1099"/>
        <v>60800</v>
      </c>
      <c r="AN334" s="10">
        <f t="shared" si="1100"/>
        <v>29895</v>
      </c>
      <c r="AO334" s="1">
        <f t="shared" si="1101"/>
        <v>467823</v>
      </c>
      <c r="AP334" s="1">
        <f t="shared" si="1102"/>
        <v>60800</v>
      </c>
      <c r="AR334" s="1">
        <f t="shared" ref="AR334:AX334" si="1112">ROUNDUP(AR$10*$AO334,0)</f>
        <v>467823</v>
      </c>
      <c r="AS334" s="1">
        <f t="shared" si="1112"/>
        <v>1403469</v>
      </c>
      <c r="AT334" s="1">
        <f t="shared" si="1112"/>
        <v>842082</v>
      </c>
      <c r="AU334" s="1">
        <f t="shared" si="1112"/>
        <v>233912</v>
      </c>
      <c r="AV334" s="1">
        <f t="shared" si="1112"/>
        <v>70174</v>
      </c>
      <c r="AW334" s="1">
        <f t="shared" si="1112"/>
        <v>1871292</v>
      </c>
      <c r="AX334" s="1">
        <f t="shared" si="1112"/>
        <v>4210407</v>
      </c>
      <c r="AY334" s="1">
        <f t="shared" si="1104"/>
        <v>54303784</v>
      </c>
      <c r="AZ334" s="1">
        <f t="shared" si="1105"/>
        <v>27151892</v>
      </c>
      <c r="BB334" s="1">
        <f t="shared" si="1106"/>
        <v>323</v>
      </c>
    </row>
    <row r="335" spans="2:54">
      <c r="B335" s="4">
        <v>324</v>
      </c>
      <c r="C335" s="1">
        <f t="shared" ref="C335:I335" si="1113">C$5+(C$6-C$5)*(POWER(C$7,$B335-1)-1)/(POWER(C$7,$B$3-1)-1)</f>
        <v>25598.2454420956</v>
      </c>
      <c r="D335" s="1">
        <f t="shared" si="1113"/>
        <v>7679.47363262869</v>
      </c>
      <c r="E335" s="1">
        <f t="shared" si="1113"/>
        <v>5119.64908841912</v>
      </c>
      <c r="F335" s="1">
        <f t="shared" si="1113"/>
        <v>64805.6846635332</v>
      </c>
      <c r="G335" s="1">
        <f t="shared" si="1113"/>
        <v>19441.70539906</v>
      </c>
      <c r="H335" s="1">
        <f t="shared" si="1113"/>
        <v>12961.1369327066</v>
      </c>
      <c r="I335" s="1">
        <f t="shared" si="1113"/>
        <v>0</v>
      </c>
      <c r="J335" s="1">
        <f>标准模型!$I$65/1*$B335/$B$3</f>
        <v>2.3328</v>
      </c>
      <c r="K335" s="1">
        <f>J335*标准模型!$J$63</f>
        <v>2.3328</v>
      </c>
      <c r="L335" s="1">
        <f t="shared" si="1081"/>
        <v>90403.9301056288</v>
      </c>
      <c r="M335" s="1">
        <f t="shared" si="1082"/>
        <v>45035.8551218848</v>
      </c>
      <c r="N335" s="1">
        <f t="shared" si="1083"/>
        <v>30023.9034145899</v>
      </c>
      <c r="O335" s="1">
        <f t="shared" ref="O335:W335" si="1114">O$5+(O$6-O$5)*(POWER(O$7,$B335-1)-1)/(POWER(O$7,$B$3-1)-1)</f>
        <v>0.823675774867401</v>
      </c>
      <c r="P335" s="1">
        <f t="shared" si="1114"/>
        <v>0.223890186564643</v>
      </c>
      <c r="Q335" s="1">
        <f t="shared" si="1114"/>
        <v>0.453021676177071</v>
      </c>
      <c r="R335" s="1">
        <f t="shared" si="1114"/>
        <v>1.12947030994696</v>
      </c>
      <c r="S335" s="1">
        <f t="shared" si="1114"/>
        <v>0.470778507327621</v>
      </c>
      <c r="T335" s="1">
        <f t="shared" si="1114"/>
        <v>3.26233552198286</v>
      </c>
      <c r="U335" s="1">
        <f t="shared" si="1114"/>
        <v>1</v>
      </c>
      <c r="V335" s="1">
        <f t="shared" si="1114"/>
        <v>1.35300024677846</v>
      </c>
      <c r="W335" s="1">
        <f t="shared" si="1114"/>
        <v>2.03576247957568</v>
      </c>
      <c r="X335" s="1">
        <f t="shared" si="1085"/>
        <v>4.97411423592459</v>
      </c>
      <c r="Y335" s="1">
        <f t="shared" si="1086"/>
        <v>9.64036809416476</v>
      </c>
      <c r="Z335" s="1">
        <f t="shared" si="1087"/>
        <v>871527.163377405</v>
      </c>
      <c r="AA335" s="1">
        <f t="shared" si="1088"/>
        <v>45035.8551218848</v>
      </c>
      <c r="AB335" s="1">
        <f t="shared" si="1089"/>
        <v>30023.9034145899</v>
      </c>
      <c r="AC335" s="1">
        <f>AB335/(AB335+战斗公式!$M$27)</f>
        <v>0.555752204430336</v>
      </c>
      <c r="AD335" s="1">
        <f t="shared" si="1090"/>
        <v>1961804.13739552</v>
      </c>
      <c r="AE335" s="1">
        <f t="shared" si="1091"/>
        <v>8.75752685310544</v>
      </c>
      <c r="AF335" s="1">
        <f t="shared" si="1092"/>
        <v>4.51859706662971</v>
      </c>
      <c r="AG335" s="1">
        <f t="shared" si="1093"/>
        <v>4.73570317169625</v>
      </c>
      <c r="AH335" s="1">
        <f t="shared" si="1094"/>
        <v>1.36033324492062</v>
      </c>
      <c r="AI335" s="1">
        <f t="shared" si="1095"/>
        <v>1.00000007334495</v>
      </c>
      <c r="AJ335" s="1">
        <f t="shared" si="1096"/>
        <v>1.00113905759251</v>
      </c>
      <c r="AK335" s="1">
        <f t="shared" si="1097"/>
        <v>1</v>
      </c>
      <c r="AL335" s="10">
        <f t="shared" si="1098"/>
        <v>913402</v>
      </c>
      <c r="AM335" s="10">
        <f t="shared" si="1099"/>
        <v>61264</v>
      </c>
      <c r="AN335" s="10">
        <f t="shared" si="1100"/>
        <v>30024</v>
      </c>
      <c r="AO335" s="1">
        <f t="shared" si="1101"/>
        <v>471822</v>
      </c>
      <c r="AP335" s="1">
        <f t="shared" si="1102"/>
        <v>61264</v>
      </c>
      <c r="AR335" s="1">
        <f t="shared" ref="AR335:AX335" si="1115">ROUNDUP(AR$10*$AO335,0)</f>
        <v>471822</v>
      </c>
      <c r="AS335" s="1">
        <f t="shared" si="1115"/>
        <v>1415466</v>
      </c>
      <c r="AT335" s="1">
        <f t="shared" si="1115"/>
        <v>849280</v>
      </c>
      <c r="AU335" s="1">
        <f t="shared" si="1115"/>
        <v>235911</v>
      </c>
      <c r="AV335" s="1">
        <f t="shared" si="1115"/>
        <v>70774</v>
      </c>
      <c r="AW335" s="1">
        <f t="shared" si="1115"/>
        <v>1887288</v>
      </c>
      <c r="AX335" s="1">
        <f t="shared" si="1115"/>
        <v>4246398</v>
      </c>
      <c r="AY335" s="1">
        <f t="shared" si="1104"/>
        <v>54804124</v>
      </c>
      <c r="AZ335" s="1">
        <f t="shared" si="1105"/>
        <v>27402062</v>
      </c>
      <c r="BB335" s="1">
        <f t="shared" si="1106"/>
        <v>324</v>
      </c>
    </row>
    <row r="336" spans="2:54">
      <c r="B336" s="4">
        <v>325</v>
      </c>
      <c r="C336" s="1">
        <f t="shared" ref="C336:I336" si="1116">C$5+(C$6-C$5)*(POWER(C$7,$B336-1)-1)/(POWER(C$7,$B$3-1)-1)</f>
        <v>25677.2395954895</v>
      </c>
      <c r="D336" s="1">
        <f t="shared" si="1116"/>
        <v>7703.17187864685</v>
      </c>
      <c r="E336" s="1">
        <f t="shared" si="1116"/>
        <v>5135.4479190979</v>
      </c>
      <c r="F336" s="1">
        <f t="shared" si="1116"/>
        <v>65005.6698619987</v>
      </c>
      <c r="G336" s="1">
        <f t="shared" si="1116"/>
        <v>19501.7009585996</v>
      </c>
      <c r="H336" s="1">
        <f t="shared" si="1116"/>
        <v>13001.1339723997</v>
      </c>
      <c r="I336" s="1">
        <f t="shared" si="1116"/>
        <v>0</v>
      </c>
      <c r="J336" s="1">
        <f>标准模型!$I$65/1*$B336/$B$3</f>
        <v>2.34</v>
      </c>
      <c r="K336" s="1">
        <f>J336*标准模型!$J$63</f>
        <v>2.34</v>
      </c>
      <c r="L336" s="1">
        <f t="shared" si="1081"/>
        <v>90682.9094574882</v>
      </c>
      <c r="M336" s="1">
        <f t="shared" si="1082"/>
        <v>45230.2950332801</v>
      </c>
      <c r="N336" s="1">
        <f t="shared" si="1083"/>
        <v>30153.5300221867</v>
      </c>
      <c r="O336" s="1">
        <f t="shared" ref="O336:W336" si="1117">O$5+(O$6-O$5)*(POWER(O$7,$B336-1)-1)/(POWER(O$7,$B$3-1)-1)</f>
        <v>0.824677704719432</v>
      </c>
      <c r="P336" s="1">
        <f t="shared" si="1117"/>
        <v>0.22476527897002</v>
      </c>
      <c r="Q336" s="1">
        <f t="shared" si="1117"/>
        <v>0.453572737595688</v>
      </c>
      <c r="R336" s="1">
        <f t="shared" si="1117"/>
        <v>1.12987108188777</v>
      </c>
      <c r="S336" s="1">
        <f t="shared" si="1117"/>
        <v>0.472081016135262</v>
      </c>
      <c r="T336" s="1">
        <f t="shared" si="1117"/>
        <v>3.26624304840579</v>
      </c>
      <c r="U336" s="1">
        <f t="shared" si="1117"/>
        <v>1</v>
      </c>
      <c r="V336" s="1">
        <f t="shared" si="1117"/>
        <v>1.35409294976239</v>
      </c>
      <c r="W336" s="1">
        <f t="shared" si="1117"/>
        <v>2.03896865510218</v>
      </c>
      <c r="X336" s="1">
        <f t="shared" si="1085"/>
        <v>5.00422965523935</v>
      </c>
      <c r="Y336" s="1">
        <f t="shared" si="1086"/>
        <v>9.7048847891241</v>
      </c>
      <c r="Z336" s="1">
        <f t="shared" si="1087"/>
        <v>880067.188627495</v>
      </c>
      <c r="AA336" s="1">
        <f t="shared" si="1088"/>
        <v>45230.2950332801</v>
      </c>
      <c r="AB336" s="1">
        <f t="shared" si="1089"/>
        <v>30153.5300221867</v>
      </c>
      <c r="AC336" s="1">
        <f>AB336/(AB336+战斗公式!$M$27)</f>
        <v>0.556815594658978</v>
      </c>
      <c r="AD336" s="1">
        <f t="shared" si="1090"/>
        <v>1985781.03837002</v>
      </c>
      <c r="AE336" s="1">
        <f t="shared" si="1091"/>
        <v>8.77333487609589</v>
      </c>
      <c r="AF336" s="1">
        <f t="shared" si="1092"/>
        <v>4.52388498331336</v>
      </c>
      <c r="AG336" s="1">
        <f t="shared" si="1093"/>
        <v>4.73840305213958</v>
      </c>
      <c r="AH336" s="1">
        <f t="shared" si="1094"/>
        <v>1.36479288995243</v>
      </c>
      <c r="AI336" s="1">
        <f t="shared" si="1095"/>
        <v>1.00000006967726</v>
      </c>
      <c r="AJ336" s="1">
        <f t="shared" si="1096"/>
        <v>1.00111560663327</v>
      </c>
      <c r="AK336" s="1">
        <f t="shared" si="1097"/>
        <v>1</v>
      </c>
      <c r="AL336" s="10">
        <f t="shared" si="1098"/>
        <v>921799</v>
      </c>
      <c r="AM336" s="10">
        <f t="shared" si="1099"/>
        <v>61730</v>
      </c>
      <c r="AN336" s="10">
        <f t="shared" si="1100"/>
        <v>30154</v>
      </c>
      <c r="AO336" s="1">
        <f t="shared" si="1101"/>
        <v>475847</v>
      </c>
      <c r="AP336" s="1">
        <f t="shared" si="1102"/>
        <v>61730</v>
      </c>
      <c r="AR336" s="1">
        <f t="shared" ref="AR336:AX336" si="1118">ROUNDUP(AR$10*$AO336,0)</f>
        <v>475847</v>
      </c>
      <c r="AS336" s="1">
        <f t="shared" si="1118"/>
        <v>1427541</v>
      </c>
      <c r="AT336" s="1">
        <f t="shared" si="1118"/>
        <v>856525</v>
      </c>
      <c r="AU336" s="1">
        <f t="shared" si="1118"/>
        <v>237924</v>
      </c>
      <c r="AV336" s="1">
        <f t="shared" si="1118"/>
        <v>71378</v>
      </c>
      <c r="AW336" s="1">
        <f t="shared" si="1118"/>
        <v>1903388</v>
      </c>
      <c r="AX336" s="1">
        <f t="shared" si="1118"/>
        <v>4282623</v>
      </c>
      <c r="AY336" s="1">
        <f t="shared" si="1104"/>
        <v>55307944</v>
      </c>
      <c r="AZ336" s="1">
        <f t="shared" si="1105"/>
        <v>27653972</v>
      </c>
      <c r="BB336" s="1">
        <f t="shared" si="1106"/>
        <v>325</v>
      </c>
    </row>
    <row r="337" spans="2:54">
      <c r="B337" s="4">
        <v>326</v>
      </c>
      <c r="C337" s="1">
        <f t="shared" ref="C337:I337" si="1119">C$5+(C$6-C$5)*(POWER(C$7,$B337-1)-1)/(POWER(C$7,$B$3-1)-1)</f>
        <v>25756.2336698918</v>
      </c>
      <c r="D337" s="1">
        <f t="shared" si="1119"/>
        <v>7726.87010096753</v>
      </c>
      <c r="E337" s="1">
        <f t="shared" si="1119"/>
        <v>5151.24673397835</v>
      </c>
      <c r="F337" s="1">
        <f t="shared" si="1119"/>
        <v>65205.6548604855</v>
      </c>
      <c r="G337" s="1">
        <f t="shared" si="1119"/>
        <v>19561.6964581456</v>
      </c>
      <c r="H337" s="1">
        <f t="shared" si="1119"/>
        <v>13041.1309720971</v>
      </c>
      <c r="I337" s="1">
        <f t="shared" si="1119"/>
        <v>0</v>
      </c>
      <c r="J337" s="1">
        <f>标准模型!$I$65/1*$B337/$B$3</f>
        <v>2.3472</v>
      </c>
      <c r="K337" s="1">
        <f>J337*标准模型!$J$63</f>
        <v>2.3472</v>
      </c>
      <c r="L337" s="1">
        <f t="shared" si="1081"/>
        <v>90961.8885303773</v>
      </c>
      <c r="M337" s="1">
        <f t="shared" si="1082"/>
        <v>45425.0760601042</v>
      </c>
      <c r="N337" s="1">
        <f t="shared" si="1083"/>
        <v>30283.3840400694</v>
      </c>
      <c r="O337" s="1">
        <f t="shared" ref="O337:W337" si="1120">O$5+(O$6-O$5)*(POWER(O$7,$B337-1)-1)/(POWER(O$7,$B$3-1)-1)</f>
        <v>0.825679633569567</v>
      </c>
      <c r="P337" s="1">
        <f t="shared" si="1120"/>
        <v>0.225641684014005</v>
      </c>
      <c r="Q337" s="1">
        <f t="shared" si="1120"/>
        <v>0.454123798463262</v>
      </c>
      <c r="R337" s="1">
        <f t="shared" si="1120"/>
        <v>1.13027185342783</v>
      </c>
      <c r="S337" s="1">
        <f t="shared" si="1120"/>
        <v>0.473383523640437</v>
      </c>
      <c r="T337" s="1">
        <f t="shared" si="1120"/>
        <v>3.27015057092131</v>
      </c>
      <c r="U337" s="1">
        <f t="shared" si="1120"/>
        <v>1</v>
      </c>
      <c r="V337" s="1">
        <f t="shared" si="1120"/>
        <v>1.35518565165365</v>
      </c>
      <c r="W337" s="1">
        <f t="shared" si="1120"/>
        <v>2.04217482742261</v>
      </c>
      <c r="X337" s="1">
        <f t="shared" si="1085"/>
        <v>5.03450220261196</v>
      </c>
      <c r="Y337" s="1">
        <f t="shared" si="1086"/>
        <v>9.76978005001224</v>
      </c>
      <c r="Z337" s="1">
        <f t="shared" si="1087"/>
        <v>888677.643875517</v>
      </c>
      <c r="AA337" s="1">
        <f t="shared" si="1088"/>
        <v>45425.0760601042</v>
      </c>
      <c r="AB337" s="1">
        <f t="shared" si="1089"/>
        <v>30283.3840400694</v>
      </c>
      <c r="AC337" s="1">
        <f>AB337/(AB337+战斗公式!$M$27)</f>
        <v>0.557875758403634</v>
      </c>
      <c r="AD337" s="1">
        <f t="shared" si="1090"/>
        <v>2010017.90959662</v>
      </c>
      <c r="AE337" s="1">
        <f t="shared" si="1091"/>
        <v>8.78916724843419</v>
      </c>
      <c r="AF337" s="1">
        <f t="shared" si="1092"/>
        <v>4.52917892161875</v>
      </c>
      <c r="AG337" s="1">
        <f t="shared" si="1093"/>
        <v>4.74108268347958</v>
      </c>
      <c r="AH337" s="1">
        <f t="shared" si="1094"/>
        <v>1.3692614542743</v>
      </c>
      <c r="AI337" s="1">
        <f t="shared" si="1095"/>
        <v>1.00000006619296</v>
      </c>
      <c r="AJ337" s="1">
        <f t="shared" si="1096"/>
        <v>1.00109262469322</v>
      </c>
      <c r="AK337" s="1">
        <f t="shared" si="1097"/>
        <v>1</v>
      </c>
      <c r="AL337" s="10">
        <f t="shared" si="1098"/>
        <v>930256</v>
      </c>
      <c r="AM337" s="10">
        <f t="shared" si="1099"/>
        <v>62199</v>
      </c>
      <c r="AN337" s="10">
        <f t="shared" si="1100"/>
        <v>30283</v>
      </c>
      <c r="AO337" s="1">
        <f t="shared" si="1101"/>
        <v>479897</v>
      </c>
      <c r="AP337" s="1">
        <f t="shared" si="1102"/>
        <v>62199</v>
      </c>
      <c r="AR337" s="1">
        <f t="shared" ref="AR337:AX337" si="1121">ROUNDUP(AR$10*$AO337,0)</f>
        <v>479897</v>
      </c>
      <c r="AS337" s="1">
        <f t="shared" si="1121"/>
        <v>1439691</v>
      </c>
      <c r="AT337" s="1">
        <f t="shared" si="1121"/>
        <v>863815</v>
      </c>
      <c r="AU337" s="1">
        <f t="shared" si="1121"/>
        <v>239949</v>
      </c>
      <c r="AV337" s="1">
        <f t="shared" si="1121"/>
        <v>71985</v>
      </c>
      <c r="AW337" s="1">
        <f t="shared" si="1121"/>
        <v>1919588</v>
      </c>
      <c r="AX337" s="1">
        <f t="shared" si="1121"/>
        <v>4319073</v>
      </c>
      <c r="AY337" s="1">
        <f t="shared" si="1104"/>
        <v>55815364</v>
      </c>
      <c r="AZ337" s="1">
        <f t="shared" si="1105"/>
        <v>27907682</v>
      </c>
      <c r="BB337" s="1">
        <f t="shared" si="1106"/>
        <v>326</v>
      </c>
    </row>
    <row r="338" spans="2:54">
      <c r="B338" s="4">
        <v>327</v>
      </c>
      <c r="C338" s="1">
        <f t="shared" ref="C338:I338" si="1122">C$5+(C$6-C$5)*(POWER(C$7,$B338-1)-1)/(POWER(C$7,$B$3-1)-1)</f>
        <v>25835.2276652937</v>
      </c>
      <c r="D338" s="1">
        <f t="shared" si="1122"/>
        <v>7750.5682995881</v>
      </c>
      <c r="E338" s="1">
        <f t="shared" si="1122"/>
        <v>5167.04553305873</v>
      </c>
      <c r="F338" s="1">
        <f t="shared" si="1122"/>
        <v>65405.6396589713</v>
      </c>
      <c r="G338" s="1">
        <f t="shared" si="1122"/>
        <v>19621.6918976914</v>
      </c>
      <c r="H338" s="1">
        <f t="shared" si="1122"/>
        <v>13081.1279317943</v>
      </c>
      <c r="I338" s="1">
        <f t="shared" si="1122"/>
        <v>0</v>
      </c>
      <c r="J338" s="1">
        <f>标准模型!$I$65/1*$B338/$B$3</f>
        <v>2.3544</v>
      </c>
      <c r="K338" s="1">
        <f>J338*标准模型!$J$63</f>
        <v>2.3544</v>
      </c>
      <c r="L338" s="1">
        <f t="shared" si="1081"/>
        <v>91240.867324265</v>
      </c>
      <c r="M338" s="1">
        <f t="shared" si="1082"/>
        <v>45620.1982018297</v>
      </c>
      <c r="N338" s="1">
        <f t="shared" si="1083"/>
        <v>30413.4654678865</v>
      </c>
      <c r="O338" s="1">
        <f t="shared" ref="O338:W338" si="1123">O$5+(O$6-O$5)*(POWER(O$7,$B338-1)-1)/(POWER(O$7,$B$3-1)-1)</f>
        <v>0.826681561417692</v>
      </c>
      <c r="P338" s="1">
        <f t="shared" si="1123"/>
        <v>0.226519403665555</v>
      </c>
      <c r="Q338" s="1">
        <f t="shared" si="1123"/>
        <v>0.454674858779731</v>
      </c>
      <c r="R338" s="1">
        <f t="shared" si="1123"/>
        <v>1.13067262456708</v>
      </c>
      <c r="S338" s="1">
        <f t="shared" si="1123"/>
        <v>0.474686029842999</v>
      </c>
      <c r="T338" s="1">
        <f t="shared" si="1123"/>
        <v>3.274058089529</v>
      </c>
      <c r="U338" s="1">
        <f t="shared" si="1123"/>
        <v>1</v>
      </c>
      <c r="V338" s="1">
        <f t="shared" si="1123"/>
        <v>1.35627835245212</v>
      </c>
      <c r="W338" s="1">
        <f t="shared" si="1123"/>
        <v>2.04538099653661</v>
      </c>
      <c r="X338" s="1">
        <f t="shared" si="1085"/>
        <v>5.06493255088195</v>
      </c>
      <c r="Y338" s="1">
        <f t="shared" si="1086"/>
        <v>9.83505574975122</v>
      </c>
      <c r="Z338" s="1">
        <f t="shared" si="1087"/>
        <v>897359.0167898</v>
      </c>
      <c r="AA338" s="1">
        <f t="shared" si="1088"/>
        <v>45620.1982018297</v>
      </c>
      <c r="AB338" s="1">
        <f t="shared" si="1089"/>
        <v>30413.4654678865</v>
      </c>
      <c r="AC338" s="1">
        <f>AB338/(AB338+战斗公式!$M$27)</f>
        <v>0.558932705468571</v>
      </c>
      <c r="AD338" s="1">
        <f t="shared" si="1090"/>
        <v>2034517.24468285</v>
      </c>
      <c r="AE338" s="1">
        <f t="shared" si="1091"/>
        <v>8.80502394265629</v>
      </c>
      <c r="AF338" s="1">
        <f t="shared" si="1092"/>
        <v>4.53447885941906</v>
      </c>
      <c r="AG338" s="1">
        <f t="shared" si="1093"/>
        <v>4.74374221758454</v>
      </c>
      <c r="AH338" s="1">
        <f t="shared" si="1094"/>
        <v>1.37373895572482</v>
      </c>
      <c r="AI338" s="1">
        <f t="shared" si="1095"/>
        <v>1.00000006288287</v>
      </c>
      <c r="AJ338" s="1">
        <f t="shared" si="1096"/>
        <v>1.00107010239197</v>
      </c>
      <c r="AK338" s="1">
        <f t="shared" si="1097"/>
        <v>1</v>
      </c>
      <c r="AL338" s="10">
        <f t="shared" si="1098"/>
        <v>938772</v>
      </c>
      <c r="AM338" s="10">
        <f t="shared" si="1099"/>
        <v>62670</v>
      </c>
      <c r="AN338" s="10">
        <f t="shared" si="1100"/>
        <v>30413</v>
      </c>
      <c r="AO338" s="1">
        <f t="shared" si="1101"/>
        <v>483973</v>
      </c>
      <c r="AP338" s="1">
        <f t="shared" si="1102"/>
        <v>62670</v>
      </c>
      <c r="AR338" s="1">
        <f t="shared" ref="AR338:AX338" si="1124">ROUNDUP(AR$10*$AO338,0)</f>
        <v>483973</v>
      </c>
      <c r="AS338" s="1">
        <f t="shared" si="1124"/>
        <v>1451919</v>
      </c>
      <c r="AT338" s="1">
        <f t="shared" si="1124"/>
        <v>871152</v>
      </c>
      <c r="AU338" s="1">
        <f t="shared" si="1124"/>
        <v>241987</v>
      </c>
      <c r="AV338" s="1">
        <f t="shared" si="1124"/>
        <v>72596</v>
      </c>
      <c r="AW338" s="1">
        <f t="shared" si="1124"/>
        <v>1935892</v>
      </c>
      <c r="AX338" s="1">
        <f t="shared" si="1124"/>
        <v>4355757</v>
      </c>
      <c r="AY338" s="1">
        <f t="shared" si="1104"/>
        <v>56326324</v>
      </c>
      <c r="AZ338" s="1">
        <f t="shared" si="1105"/>
        <v>28163162</v>
      </c>
      <c r="BB338" s="1">
        <f t="shared" si="1106"/>
        <v>327</v>
      </c>
    </row>
    <row r="339" spans="2:54">
      <c r="B339" s="4">
        <v>328</v>
      </c>
      <c r="C339" s="1">
        <f t="shared" ref="C339:I339" si="1125">C$5+(C$6-C$5)*(POWER(C$7,$B339-1)-1)/(POWER(C$7,$B$3-1)-1)</f>
        <v>25914.2215817039</v>
      </c>
      <c r="D339" s="1">
        <f t="shared" si="1125"/>
        <v>7774.26647451118</v>
      </c>
      <c r="E339" s="1">
        <f t="shared" si="1125"/>
        <v>5182.84431634079</v>
      </c>
      <c r="F339" s="1">
        <f t="shared" si="1125"/>
        <v>65605.6242574784</v>
      </c>
      <c r="G339" s="1">
        <f t="shared" si="1125"/>
        <v>19681.6872772435</v>
      </c>
      <c r="H339" s="1">
        <f t="shared" si="1125"/>
        <v>13121.1248514957</v>
      </c>
      <c r="I339" s="1">
        <f t="shared" si="1125"/>
        <v>0</v>
      </c>
      <c r="J339" s="1">
        <f>标准模型!$I$65/1*$B339/$B$3</f>
        <v>2.3616</v>
      </c>
      <c r="K339" s="1">
        <f>J339*标准模型!$J$63</f>
        <v>2.3616</v>
      </c>
      <c r="L339" s="1">
        <f t="shared" si="1081"/>
        <v>91519.8458391824</v>
      </c>
      <c r="M339" s="1">
        <f t="shared" si="1082"/>
        <v>45815.6614579603</v>
      </c>
      <c r="N339" s="1">
        <f t="shared" si="1083"/>
        <v>30543.7743053069</v>
      </c>
      <c r="O339" s="1">
        <f t="shared" ref="O339:W339" si="1126">O$5+(O$6-O$5)*(POWER(O$7,$B339-1)-1)/(POWER(O$7,$B$3-1)-1)</f>
        <v>0.82768348826392</v>
      </c>
      <c r="P339" s="1">
        <f t="shared" si="1126"/>
        <v>0.227398439896583</v>
      </c>
      <c r="Q339" s="1">
        <f t="shared" si="1126"/>
        <v>0.455225918545156</v>
      </c>
      <c r="R339" s="1">
        <f t="shared" si="1126"/>
        <v>1.13107339530557</v>
      </c>
      <c r="S339" s="1">
        <f t="shared" si="1126"/>
        <v>0.475988534743095</v>
      </c>
      <c r="T339" s="1">
        <f t="shared" si="1126"/>
        <v>3.27796560422929</v>
      </c>
      <c r="U339" s="1">
        <f t="shared" si="1126"/>
        <v>1</v>
      </c>
      <c r="V339" s="1">
        <f t="shared" si="1126"/>
        <v>1.35737105215792</v>
      </c>
      <c r="W339" s="1">
        <f t="shared" si="1126"/>
        <v>2.04858716244454</v>
      </c>
      <c r="X339" s="1">
        <f t="shared" si="1085"/>
        <v>5.09552137509301</v>
      </c>
      <c r="Y339" s="1">
        <f t="shared" si="1086"/>
        <v>9.9007137686696</v>
      </c>
      <c r="Z339" s="1">
        <f t="shared" si="1087"/>
        <v>906111.797806512</v>
      </c>
      <c r="AA339" s="1">
        <f t="shared" si="1088"/>
        <v>45815.6614579603</v>
      </c>
      <c r="AB339" s="1">
        <f t="shared" si="1089"/>
        <v>30543.7743053069</v>
      </c>
      <c r="AC339" s="1">
        <f>AB339/(AB339+战斗公式!$M$27)</f>
        <v>0.559986445645275</v>
      </c>
      <c r="AD339" s="1">
        <f t="shared" si="1090"/>
        <v>2059281.55812226</v>
      </c>
      <c r="AE339" s="1">
        <f t="shared" si="1091"/>
        <v>8.82090493140596</v>
      </c>
      <c r="AF339" s="1">
        <f t="shared" si="1092"/>
        <v>4.53978477469732</v>
      </c>
      <c r="AG339" s="1">
        <f t="shared" si="1093"/>
        <v>4.74638180518371</v>
      </c>
      <c r="AH339" s="1">
        <f t="shared" si="1094"/>
        <v>1.37822541217824</v>
      </c>
      <c r="AI339" s="1">
        <f t="shared" si="1095"/>
        <v>1.00000005973829</v>
      </c>
      <c r="AJ339" s="1">
        <f t="shared" si="1096"/>
        <v>1.00104803053674</v>
      </c>
      <c r="AK339" s="1">
        <f t="shared" si="1097"/>
        <v>1</v>
      </c>
      <c r="AL339" s="10">
        <f t="shared" si="1098"/>
        <v>947347</v>
      </c>
      <c r="AM339" s="10">
        <f t="shared" si="1099"/>
        <v>63144</v>
      </c>
      <c r="AN339" s="10">
        <f t="shared" si="1100"/>
        <v>30544</v>
      </c>
      <c r="AO339" s="1">
        <f t="shared" si="1101"/>
        <v>488075</v>
      </c>
      <c r="AP339" s="1">
        <f t="shared" si="1102"/>
        <v>63144</v>
      </c>
      <c r="AR339" s="1">
        <f t="shared" ref="AR339:AX339" si="1127">ROUNDUP(AR$10*$AO339,0)</f>
        <v>488075</v>
      </c>
      <c r="AS339" s="1">
        <f t="shared" si="1127"/>
        <v>1464225</v>
      </c>
      <c r="AT339" s="1">
        <f t="shared" si="1127"/>
        <v>878535</v>
      </c>
      <c r="AU339" s="1">
        <f t="shared" si="1127"/>
        <v>244038</v>
      </c>
      <c r="AV339" s="1">
        <f t="shared" si="1127"/>
        <v>73212</v>
      </c>
      <c r="AW339" s="1">
        <f t="shared" si="1127"/>
        <v>1952300</v>
      </c>
      <c r="AX339" s="1">
        <f t="shared" si="1127"/>
        <v>4392675</v>
      </c>
      <c r="AY339" s="1">
        <f t="shared" si="1104"/>
        <v>56840823</v>
      </c>
      <c r="AZ339" s="1">
        <f t="shared" si="1105"/>
        <v>28420412</v>
      </c>
      <c r="BB339" s="1">
        <f t="shared" si="1106"/>
        <v>328</v>
      </c>
    </row>
    <row r="340" spans="2:54">
      <c r="B340" s="4">
        <v>329</v>
      </c>
      <c r="C340" s="1">
        <f t="shared" ref="C340:I340" si="1128">C$5+(C$6-C$5)*(POWER(C$7,$B340-1)-1)/(POWER(C$7,$B$3-1)-1)</f>
        <v>25993.2154191226</v>
      </c>
      <c r="D340" s="1">
        <f t="shared" si="1128"/>
        <v>7797.96462573679</v>
      </c>
      <c r="E340" s="1">
        <f t="shared" si="1128"/>
        <v>5198.64308382453</v>
      </c>
      <c r="F340" s="1">
        <f t="shared" si="1128"/>
        <v>65805.6086560066</v>
      </c>
      <c r="G340" s="1">
        <f t="shared" si="1128"/>
        <v>19741.682596802</v>
      </c>
      <c r="H340" s="1">
        <f t="shared" si="1128"/>
        <v>13161.1217312013</v>
      </c>
      <c r="I340" s="1">
        <f t="shared" si="1128"/>
        <v>0</v>
      </c>
      <c r="J340" s="1">
        <f>标准模型!$I$65/1*$B340/$B$3</f>
        <v>2.3688</v>
      </c>
      <c r="K340" s="1">
        <f>J340*标准模型!$J$63</f>
        <v>2.3688</v>
      </c>
      <c r="L340" s="1">
        <f t="shared" si="1081"/>
        <v>91798.8240751292</v>
      </c>
      <c r="M340" s="1">
        <f t="shared" si="1082"/>
        <v>46011.4658279841</v>
      </c>
      <c r="N340" s="1">
        <f t="shared" si="1083"/>
        <v>30674.3105519894</v>
      </c>
      <c r="O340" s="1">
        <f t="shared" ref="O340:W340" si="1129">O$5+(O$6-O$5)*(POWER(O$7,$B340-1)-1)/(POWER(O$7,$B$3-1)-1)</f>
        <v>0.82868541410825</v>
      </c>
      <c r="P340" s="1">
        <f t="shared" si="1129"/>
        <v>0.228278794681958</v>
      </c>
      <c r="Q340" s="1">
        <f t="shared" si="1129"/>
        <v>0.455776977759537</v>
      </c>
      <c r="R340" s="1">
        <f t="shared" si="1129"/>
        <v>1.1314741656433</v>
      </c>
      <c r="S340" s="1">
        <f t="shared" si="1129"/>
        <v>0.477291038340725</v>
      </c>
      <c r="T340" s="1">
        <f t="shared" si="1129"/>
        <v>3.28187311502217</v>
      </c>
      <c r="U340" s="1">
        <f t="shared" si="1129"/>
        <v>1</v>
      </c>
      <c r="V340" s="1">
        <f t="shared" si="1129"/>
        <v>1.35846375077105</v>
      </c>
      <c r="W340" s="1">
        <f t="shared" si="1129"/>
        <v>2.0517933251464</v>
      </c>
      <c r="X340" s="1">
        <f t="shared" si="1085"/>
        <v>5.12626935248964</v>
      </c>
      <c r="Y340" s="1">
        <f t="shared" si="1086"/>
        <v>9.96675599450498</v>
      </c>
      <c r="Z340" s="1">
        <f t="shared" si="1087"/>
        <v>914936.480139303</v>
      </c>
      <c r="AA340" s="1">
        <f t="shared" si="1088"/>
        <v>46011.4658279841</v>
      </c>
      <c r="AB340" s="1">
        <f t="shared" si="1089"/>
        <v>30674.3105519894</v>
      </c>
      <c r="AC340" s="1">
        <f>AB340/(AB340+战斗公式!$M$27)</f>
        <v>0.561036988711937</v>
      </c>
      <c r="AD340" s="1">
        <f t="shared" si="1090"/>
        <v>2084313.38543668</v>
      </c>
      <c r="AE340" s="1">
        <f t="shared" si="1091"/>
        <v>8.83681018742632</v>
      </c>
      <c r="AF340" s="1">
        <f t="shared" si="1092"/>
        <v>4.54509664554316</v>
      </c>
      <c r="AG340" s="1">
        <f t="shared" si="1093"/>
        <v>4.74900159587588</v>
      </c>
      <c r="AH340" s="1">
        <f t="shared" si="1094"/>
        <v>1.38272084154457</v>
      </c>
      <c r="AI340" s="1">
        <f t="shared" si="1095"/>
        <v>1.00000005675093</v>
      </c>
      <c r="AJ340" s="1">
        <f t="shared" si="1096"/>
        <v>1.00102640011862</v>
      </c>
      <c r="AK340" s="1">
        <f t="shared" si="1097"/>
        <v>1</v>
      </c>
      <c r="AL340" s="10">
        <f t="shared" si="1098"/>
        <v>955983</v>
      </c>
      <c r="AM340" s="10">
        <f t="shared" si="1099"/>
        <v>63621</v>
      </c>
      <c r="AN340" s="10">
        <f t="shared" si="1100"/>
        <v>30674</v>
      </c>
      <c r="AO340" s="1">
        <f t="shared" si="1101"/>
        <v>492202</v>
      </c>
      <c r="AP340" s="1">
        <f t="shared" si="1102"/>
        <v>63621</v>
      </c>
      <c r="AR340" s="1">
        <f t="shared" ref="AR340:AX340" si="1130">ROUNDUP(AR$10*$AO340,0)</f>
        <v>492202</v>
      </c>
      <c r="AS340" s="1">
        <f t="shared" si="1130"/>
        <v>1476606</v>
      </c>
      <c r="AT340" s="1">
        <f t="shared" si="1130"/>
        <v>885964</v>
      </c>
      <c r="AU340" s="1">
        <f t="shared" si="1130"/>
        <v>246101</v>
      </c>
      <c r="AV340" s="1">
        <f t="shared" si="1130"/>
        <v>73831</v>
      </c>
      <c r="AW340" s="1">
        <f t="shared" si="1130"/>
        <v>1968808</v>
      </c>
      <c r="AX340" s="1">
        <f t="shared" si="1130"/>
        <v>4429818</v>
      </c>
      <c r="AY340" s="1">
        <f t="shared" si="1104"/>
        <v>57358983</v>
      </c>
      <c r="AZ340" s="1">
        <f t="shared" si="1105"/>
        <v>28679492</v>
      </c>
      <c r="BB340" s="1">
        <f t="shared" si="1106"/>
        <v>329</v>
      </c>
    </row>
    <row r="341" spans="2:54">
      <c r="B341" s="4">
        <v>330</v>
      </c>
      <c r="C341" s="1">
        <f t="shared" ref="C341:I341" si="1131">C$5+(C$6-C$5)*(POWER(C$7,$B341-1)-1)/(POWER(C$7,$B$3-1)-1)</f>
        <v>26072.2091775497</v>
      </c>
      <c r="D341" s="1">
        <f t="shared" si="1131"/>
        <v>7821.66275326491</v>
      </c>
      <c r="E341" s="1">
        <f t="shared" si="1131"/>
        <v>5214.44183550994</v>
      </c>
      <c r="F341" s="1">
        <f t="shared" si="1131"/>
        <v>66005.5928545562</v>
      </c>
      <c r="G341" s="1">
        <f t="shared" si="1131"/>
        <v>19801.6778563669</v>
      </c>
      <c r="H341" s="1">
        <f t="shared" si="1131"/>
        <v>13201.1185709112</v>
      </c>
      <c r="I341" s="1">
        <f t="shared" si="1131"/>
        <v>0</v>
      </c>
      <c r="J341" s="1">
        <f>标准模型!$I$65/1*$B341/$B$3</f>
        <v>2.376</v>
      </c>
      <c r="K341" s="1">
        <f>J341*标准模型!$J$63</f>
        <v>2.376</v>
      </c>
      <c r="L341" s="1">
        <f t="shared" si="1081"/>
        <v>92077.8020321059</v>
      </c>
      <c r="M341" s="1">
        <f t="shared" si="1082"/>
        <v>46207.6113113892</v>
      </c>
      <c r="N341" s="1">
        <f t="shared" si="1083"/>
        <v>30805.0742075928</v>
      </c>
      <c r="O341" s="1">
        <f t="shared" ref="O341:W341" si="1132">O$5+(O$6-O$5)*(POWER(O$7,$B341-1)-1)/(POWER(O$7,$B$3-1)-1)</f>
        <v>0.829687338950682</v>
      </c>
      <c r="P341" s="1">
        <f t="shared" si="1132"/>
        <v>0.22916046999951</v>
      </c>
      <c r="Q341" s="1">
        <f t="shared" si="1132"/>
        <v>0.456328036422875</v>
      </c>
      <c r="R341" s="1">
        <f t="shared" si="1132"/>
        <v>1.13187493558027</v>
      </c>
      <c r="S341" s="1">
        <f t="shared" si="1132"/>
        <v>0.478593540635887</v>
      </c>
      <c r="T341" s="1">
        <f t="shared" si="1132"/>
        <v>3.28578062190766</v>
      </c>
      <c r="U341" s="1">
        <f t="shared" si="1132"/>
        <v>1</v>
      </c>
      <c r="V341" s="1">
        <f t="shared" si="1132"/>
        <v>1.35955644829151</v>
      </c>
      <c r="W341" s="1">
        <f t="shared" si="1132"/>
        <v>2.05499948464218</v>
      </c>
      <c r="X341" s="1">
        <f t="shared" si="1085"/>
        <v>5.15717716252555</v>
      </c>
      <c r="Y341" s="1">
        <f t="shared" si="1086"/>
        <v>10.0331843224332</v>
      </c>
      <c r="Z341" s="1">
        <f t="shared" si="1087"/>
        <v>923833.559792636</v>
      </c>
      <c r="AA341" s="1">
        <f t="shared" si="1088"/>
        <v>46207.6113113892</v>
      </c>
      <c r="AB341" s="1">
        <f t="shared" si="1089"/>
        <v>30805.0742075928</v>
      </c>
      <c r="AC341" s="1">
        <f>AB341/(AB341+战斗公式!$M$27)</f>
        <v>0.562084344433293</v>
      </c>
      <c r="AD341" s="1">
        <f t="shared" si="1090"/>
        <v>2109615.28332917</v>
      </c>
      <c r="AE341" s="1">
        <f t="shared" si="1091"/>
        <v>8.85273968356188</v>
      </c>
      <c r="AF341" s="1">
        <f t="shared" si="1092"/>
        <v>4.55041445015303</v>
      </c>
      <c r="AG341" s="1">
        <f t="shared" si="1093"/>
        <v>4.75160173813786</v>
      </c>
      <c r="AH341" s="1">
        <f t="shared" si="1094"/>
        <v>1.38722526176963</v>
      </c>
      <c r="AI341" s="1">
        <f t="shared" si="1095"/>
        <v>1.00000005391294</v>
      </c>
      <c r="AJ341" s="1">
        <f t="shared" si="1096"/>
        <v>1.00100520230886</v>
      </c>
      <c r="AK341" s="1">
        <f t="shared" si="1097"/>
        <v>1</v>
      </c>
      <c r="AL341" s="10">
        <f t="shared" si="1098"/>
        <v>964679</v>
      </c>
      <c r="AM341" s="10">
        <f t="shared" si="1099"/>
        <v>64100</v>
      </c>
      <c r="AN341" s="10">
        <f t="shared" si="1100"/>
        <v>30805</v>
      </c>
      <c r="AO341" s="1">
        <f t="shared" si="1101"/>
        <v>496355</v>
      </c>
      <c r="AP341" s="1">
        <f t="shared" si="1102"/>
        <v>64100</v>
      </c>
      <c r="AR341" s="1">
        <f t="shared" ref="AR341:AX341" si="1133">ROUNDUP(AR$10*$AO341,0)</f>
        <v>496355</v>
      </c>
      <c r="AS341" s="1">
        <f t="shared" si="1133"/>
        <v>1489065</v>
      </c>
      <c r="AT341" s="1">
        <f t="shared" si="1133"/>
        <v>893439</v>
      </c>
      <c r="AU341" s="1">
        <f t="shared" si="1133"/>
        <v>248178</v>
      </c>
      <c r="AV341" s="1">
        <f t="shared" si="1133"/>
        <v>74454</v>
      </c>
      <c r="AW341" s="1">
        <f t="shared" si="1133"/>
        <v>1985420</v>
      </c>
      <c r="AX341" s="1">
        <f t="shared" si="1133"/>
        <v>4467195</v>
      </c>
      <c r="AY341" s="1">
        <f t="shared" si="1104"/>
        <v>57880743</v>
      </c>
      <c r="AZ341" s="1">
        <f t="shared" si="1105"/>
        <v>28940372</v>
      </c>
      <c r="BB341" s="1">
        <f t="shared" si="1106"/>
        <v>330</v>
      </c>
    </row>
    <row r="342" spans="2:54">
      <c r="B342" s="4">
        <v>331</v>
      </c>
      <c r="C342" s="1">
        <f t="shared" ref="C342:I342" si="1134">C$5+(C$6-C$5)*(POWER(C$7,$B342-1)-1)/(POWER(C$7,$B$3-1)-1)</f>
        <v>26151.2028569764</v>
      </c>
      <c r="D342" s="1">
        <f t="shared" si="1134"/>
        <v>7845.36085709292</v>
      </c>
      <c r="E342" s="1">
        <f t="shared" si="1134"/>
        <v>5230.24057139528</v>
      </c>
      <c r="F342" s="1">
        <f t="shared" si="1134"/>
        <v>66205.5768531048</v>
      </c>
      <c r="G342" s="1">
        <f t="shared" si="1134"/>
        <v>19861.6730559314</v>
      </c>
      <c r="H342" s="1">
        <f t="shared" si="1134"/>
        <v>13241.115370621</v>
      </c>
      <c r="I342" s="1">
        <f t="shared" si="1134"/>
        <v>0</v>
      </c>
      <c r="J342" s="1">
        <f>标准模型!$I$65/1*$B342/$B$3</f>
        <v>2.3832</v>
      </c>
      <c r="K342" s="1">
        <f>J342*标准模型!$J$63</f>
        <v>2.3832</v>
      </c>
      <c r="L342" s="1">
        <f t="shared" si="1081"/>
        <v>92356.7797100812</v>
      </c>
      <c r="M342" s="1">
        <f t="shared" si="1082"/>
        <v>46404.0979076482</v>
      </c>
      <c r="N342" s="1">
        <f t="shared" si="1083"/>
        <v>30936.0652717655</v>
      </c>
      <c r="O342" s="1">
        <f t="shared" ref="O342:W342" si="1135">O$5+(O$6-O$5)*(POWER(O$7,$B342-1)-1)/(POWER(O$7,$B$3-1)-1)</f>
        <v>0.830689262791106</v>
      </c>
      <c r="P342" s="1">
        <f t="shared" si="1135"/>
        <v>0.230043467830039</v>
      </c>
      <c r="Q342" s="1">
        <f t="shared" si="1135"/>
        <v>0.456879094535108</v>
      </c>
      <c r="R342" s="1">
        <f t="shared" si="1135"/>
        <v>1.13227570511644</v>
      </c>
      <c r="S342" s="1">
        <f t="shared" si="1135"/>
        <v>0.479896041628438</v>
      </c>
      <c r="T342" s="1">
        <f t="shared" si="1135"/>
        <v>3.28968812488531</v>
      </c>
      <c r="U342" s="1">
        <f t="shared" si="1135"/>
        <v>1</v>
      </c>
      <c r="V342" s="1">
        <f t="shared" si="1135"/>
        <v>1.36064914471919</v>
      </c>
      <c r="W342" s="1">
        <f t="shared" si="1135"/>
        <v>2.05820564093154</v>
      </c>
      <c r="X342" s="1">
        <f t="shared" si="1085"/>
        <v>5.18824548686627</v>
      </c>
      <c r="Y342" s="1">
        <f t="shared" si="1086"/>
        <v>10.1000006550843</v>
      </c>
      <c r="Z342" s="1">
        <f t="shared" si="1087"/>
        <v>932803.5355733</v>
      </c>
      <c r="AA342" s="1">
        <f t="shared" si="1088"/>
        <v>46404.0979076482</v>
      </c>
      <c r="AB342" s="1">
        <f t="shared" si="1089"/>
        <v>30936.0652717655</v>
      </c>
      <c r="AC342" s="1">
        <f>AB342/(AB342+战斗公式!$M$27)</f>
        <v>0.5631285225603</v>
      </c>
      <c r="AD342" s="1">
        <f t="shared" si="1090"/>
        <v>2135189.82983285</v>
      </c>
      <c r="AE342" s="1">
        <f t="shared" si="1091"/>
        <v>8.86869339275515</v>
      </c>
      <c r="AF342" s="1">
        <f t="shared" si="1092"/>
        <v>4.5557381668287</v>
      </c>
      <c r="AG342" s="1">
        <f t="shared" si="1093"/>
        <v>4.75418237933288</v>
      </c>
      <c r="AH342" s="1">
        <f t="shared" si="1094"/>
        <v>1.39173869083514</v>
      </c>
      <c r="AI342" s="1">
        <f t="shared" si="1095"/>
        <v>1.00000005121686</v>
      </c>
      <c r="AJ342" s="1">
        <f t="shared" si="1096"/>
        <v>1.00098442845529</v>
      </c>
      <c r="AK342" s="1">
        <f t="shared" si="1097"/>
        <v>1</v>
      </c>
      <c r="AL342" s="10">
        <f t="shared" si="1098"/>
        <v>973436</v>
      </c>
      <c r="AM342" s="10">
        <f t="shared" si="1099"/>
        <v>64582</v>
      </c>
      <c r="AN342" s="10">
        <f t="shared" si="1100"/>
        <v>30936</v>
      </c>
      <c r="AO342" s="1">
        <f t="shared" si="1101"/>
        <v>500534</v>
      </c>
      <c r="AP342" s="1">
        <f t="shared" si="1102"/>
        <v>64582</v>
      </c>
      <c r="AR342" s="1">
        <f t="shared" ref="AR342:AX342" si="1136">ROUNDUP(AR$10*$AO342,0)</f>
        <v>500534</v>
      </c>
      <c r="AS342" s="1">
        <f t="shared" si="1136"/>
        <v>1501602</v>
      </c>
      <c r="AT342" s="1">
        <f t="shared" si="1136"/>
        <v>900962</v>
      </c>
      <c r="AU342" s="1">
        <f t="shared" si="1136"/>
        <v>250267</v>
      </c>
      <c r="AV342" s="1">
        <f t="shared" si="1136"/>
        <v>75081</v>
      </c>
      <c r="AW342" s="1">
        <f t="shared" si="1136"/>
        <v>2002136</v>
      </c>
      <c r="AX342" s="1">
        <f t="shared" si="1136"/>
        <v>4504806</v>
      </c>
      <c r="AY342" s="1">
        <f t="shared" si="1104"/>
        <v>58406163</v>
      </c>
      <c r="AZ342" s="1">
        <f t="shared" si="1105"/>
        <v>29203081</v>
      </c>
      <c r="BB342" s="1">
        <f t="shared" si="1106"/>
        <v>331</v>
      </c>
    </row>
    <row r="343" spans="2:54">
      <c r="B343" s="4">
        <v>332</v>
      </c>
      <c r="C343" s="1">
        <f t="shared" ref="C343:I343" si="1137">C$5+(C$6-C$5)*(POWER(C$7,$B343-1)-1)/(POWER(C$7,$B$3-1)-1)</f>
        <v>26230.1964574115</v>
      </c>
      <c r="D343" s="1">
        <f t="shared" si="1137"/>
        <v>7869.05893722345</v>
      </c>
      <c r="E343" s="1">
        <f t="shared" si="1137"/>
        <v>5246.0392914823</v>
      </c>
      <c r="F343" s="1">
        <f t="shared" si="1137"/>
        <v>66405.5606516746</v>
      </c>
      <c r="G343" s="1">
        <f t="shared" si="1137"/>
        <v>19921.6681955024</v>
      </c>
      <c r="H343" s="1">
        <f t="shared" si="1137"/>
        <v>13281.1121303349</v>
      </c>
      <c r="I343" s="1">
        <f t="shared" si="1137"/>
        <v>0</v>
      </c>
      <c r="J343" s="1">
        <f>标准模型!$I$65/1*$B343/$B$3</f>
        <v>2.3904</v>
      </c>
      <c r="K343" s="1">
        <f>J343*标准模型!$J$63</f>
        <v>2.3904</v>
      </c>
      <c r="L343" s="1">
        <f t="shared" si="1081"/>
        <v>92635.7571090861</v>
      </c>
      <c r="M343" s="1">
        <f t="shared" si="1082"/>
        <v>46600.9256162648</v>
      </c>
      <c r="N343" s="1">
        <f t="shared" si="1083"/>
        <v>31067.2837441765</v>
      </c>
      <c r="O343" s="1">
        <f t="shared" ref="O343:W343" si="1138">O$5+(O$6-O$5)*(POWER(O$7,$B343-1)-1)/(POWER(O$7,$B$3-1)-1)</f>
        <v>0.831691185629633</v>
      </c>
      <c r="P343" s="1">
        <f t="shared" si="1138"/>
        <v>0.230927790157314</v>
      </c>
      <c r="Q343" s="1">
        <f t="shared" si="1138"/>
        <v>0.457430152096298</v>
      </c>
      <c r="R343" s="1">
        <f t="shared" si="1138"/>
        <v>1.13267647425185</v>
      </c>
      <c r="S343" s="1">
        <f t="shared" si="1138"/>
        <v>0.481198541318522</v>
      </c>
      <c r="T343" s="1">
        <f t="shared" si="1138"/>
        <v>3.29359562395557</v>
      </c>
      <c r="U343" s="1">
        <f t="shared" si="1138"/>
        <v>1</v>
      </c>
      <c r="V343" s="1">
        <f t="shared" si="1138"/>
        <v>1.3617418400542</v>
      </c>
      <c r="W343" s="1">
        <f t="shared" si="1138"/>
        <v>2.06141179401482</v>
      </c>
      <c r="X343" s="1">
        <f t="shared" si="1085"/>
        <v>5.2194750094034</v>
      </c>
      <c r="Y343" s="1">
        <f t="shared" si="1086"/>
        <v>10.1672069025851</v>
      </c>
      <c r="Z343" s="1">
        <f t="shared" si="1087"/>
        <v>941846.909105701</v>
      </c>
      <c r="AA343" s="1">
        <f t="shared" si="1088"/>
        <v>46600.9256162648</v>
      </c>
      <c r="AB343" s="1">
        <f t="shared" si="1089"/>
        <v>31067.2837441765</v>
      </c>
      <c r="AC343" s="1">
        <f>AB343/(AB343+战斗公式!$M$27)</f>
        <v>0.564169532830134</v>
      </c>
      <c r="AD343" s="1">
        <f t="shared" si="1090"/>
        <v>2161039.6244708</v>
      </c>
      <c r="AE343" s="1">
        <f t="shared" si="1091"/>
        <v>8.88467128805353</v>
      </c>
      <c r="AF343" s="1">
        <f t="shared" si="1092"/>
        <v>4.56106777397913</v>
      </c>
      <c r="AG343" s="1">
        <f t="shared" si="1093"/>
        <v>4.75674366571894</v>
      </c>
      <c r="AH343" s="1">
        <f t="shared" si="1094"/>
        <v>1.39626114675878</v>
      </c>
      <c r="AI343" s="1">
        <f t="shared" si="1095"/>
        <v>1.00000004865557</v>
      </c>
      <c r="AJ343" s="1">
        <f t="shared" si="1096"/>
        <v>1.0009640700788</v>
      </c>
      <c r="AK343" s="1">
        <f t="shared" si="1097"/>
        <v>1</v>
      </c>
      <c r="AL343" s="10">
        <f t="shared" si="1098"/>
        <v>982253</v>
      </c>
      <c r="AM343" s="10">
        <f t="shared" si="1099"/>
        <v>65067</v>
      </c>
      <c r="AN343" s="10">
        <f t="shared" si="1100"/>
        <v>31067</v>
      </c>
      <c r="AO343" s="1">
        <f t="shared" si="1101"/>
        <v>504739</v>
      </c>
      <c r="AP343" s="1">
        <f t="shared" si="1102"/>
        <v>65067</v>
      </c>
      <c r="AR343" s="1">
        <f t="shared" ref="AR343:AX343" si="1139">ROUNDUP(AR$10*$AO343,0)</f>
        <v>504739</v>
      </c>
      <c r="AS343" s="1">
        <f t="shared" si="1139"/>
        <v>1514217</v>
      </c>
      <c r="AT343" s="1">
        <f t="shared" si="1139"/>
        <v>908531</v>
      </c>
      <c r="AU343" s="1">
        <f t="shared" si="1139"/>
        <v>252370</v>
      </c>
      <c r="AV343" s="1">
        <f t="shared" si="1139"/>
        <v>75711</v>
      </c>
      <c r="AW343" s="1">
        <f t="shared" si="1139"/>
        <v>2018956</v>
      </c>
      <c r="AX343" s="1">
        <f t="shared" si="1139"/>
        <v>4542651</v>
      </c>
      <c r="AY343" s="1">
        <f t="shared" si="1104"/>
        <v>58935183</v>
      </c>
      <c r="AZ343" s="1">
        <f t="shared" si="1105"/>
        <v>29467591</v>
      </c>
      <c r="BB343" s="1">
        <f t="shared" si="1106"/>
        <v>332</v>
      </c>
    </row>
    <row r="344" spans="2:54">
      <c r="B344" s="4">
        <v>333</v>
      </c>
      <c r="C344" s="1">
        <f t="shared" ref="C344:I344" si="1140">C$5+(C$6-C$5)*(POWER(C$7,$B344-1)-1)/(POWER(C$7,$B$3-1)-1)</f>
        <v>26309.189978855</v>
      </c>
      <c r="D344" s="1">
        <f t="shared" si="1140"/>
        <v>7892.75699365649</v>
      </c>
      <c r="E344" s="1">
        <f t="shared" si="1140"/>
        <v>5261.83799577099</v>
      </c>
      <c r="F344" s="1">
        <f t="shared" si="1140"/>
        <v>66605.5442502658</v>
      </c>
      <c r="G344" s="1">
        <f t="shared" si="1140"/>
        <v>19981.6632750797</v>
      </c>
      <c r="H344" s="1">
        <f t="shared" si="1140"/>
        <v>13321.1088500532</v>
      </c>
      <c r="I344" s="1">
        <f t="shared" si="1140"/>
        <v>0</v>
      </c>
      <c r="J344" s="1">
        <f>标准模型!$I$65/1*$B344/$B$3</f>
        <v>2.3976</v>
      </c>
      <c r="K344" s="1">
        <f>J344*标准模型!$J$63</f>
        <v>2.3976</v>
      </c>
      <c r="L344" s="1">
        <f t="shared" si="1081"/>
        <v>92914.7342291208</v>
      </c>
      <c r="M344" s="1">
        <f t="shared" si="1082"/>
        <v>46798.094436727</v>
      </c>
      <c r="N344" s="1">
        <f t="shared" si="1083"/>
        <v>31198.7296244847</v>
      </c>
      <c r="O344" s="1">
        <f t="shared" ref="O344:W344" si="1141">O$5+(O$6-O$5)*(POWER(O$7,$B344-1)-1)/(POWER(O$7,$B$3-1)-1)</f>
        <v>0.832693107466261</v>
      </c>
      <c r="P344" s="1">
        <f t="shared" si="1141"/>
        <v>0.231813438968079</v>
      </c>
      <c r="Q344" s="1">
        <f t="shared" si="1141"/>
        <v>0.457981209106444</v>
      </c>
      <c r="R344" s="1">
        <f t="shared" si="1141"/>
        <v>1.1330772429865</v>
      </c>
      <c r="S344" s="1">
        <f t="shared" si="1141"/>
        <v>0.48250103970614</v>
      </c>
      <c r="T344" s="1">
        <f t="shared" si="1141"/>
        <v>3.29750311911842</v>
      </c>
      <c r="U344" s="1">
        <f t="shared" si="1141"/>
        <v>1</v>
      </c>
      <c r="V344" s="1">
        <f t="shared" si="1141"/>
        <v>1.36283453429654</v>
      </c>
      <c r="W344" s="1">
        <f t="shared" si="1141"/>
        <v>2.06461794389204</v>
      </c>
      <c r="X344" s="1">
        <f t="shared" si="1085"/>
        <v>5.25086641625138</v>
      </c>
      <c r="Y344" s="1">
        <f t="shared" si="1086"/>
        <v>10.234804982562</v>
      </c>
      <c r="Z344" s="1">
        <f t="shared" si="1087"/>
        <v>950964.18484163</v>
      </c>
      <c r="AA344" s="1">
        <f t="shared" si="1088"/>
        <v>46798.094436727</v>
      </c>
      <c r="AB344" s="1">
        <f t="shared" si="1089"/>
        <v>31198.7296244847</v>
      </c>
      <c r="AC344" s="1">
        <f>AB344/(AB344+战斗公式!$M$27)</f>
        <v>0.565207384965718</v>
      </c>
      <c r="AD344" s="1">
        <f t="shared" si="1090"/>
        <v>2187167.28840174</v>
      </c>
      <c r="AE344" s="1">
        <f t="shared" si="1091"/>
        <v>8.90067334260125</v>
      </c>
      <c r="AF344" s="1">
        <f t="shared" si="1092"/>
        <v>4.56640325011739</v>
      </c>
      <c r="AG344" s="1">
        <f t="shared" si="1093"/>
        <v>4.7592857424571</v>
      </c>
      <c r="AH344" s="1">
        <f t="shared" si="1094"/>
        <v>1.40079264759427</v>
      </c>
      <c r="AI344" s="1">
        <f t="shared" si="1095"/>
        <v>1.00000004622235</v>
      </c>
      <c r="AJ344" s="1">
        <f t="shared" si="1096"/>
        <v>1.00094411886983</v>
      </c>
      <c r="AK344" s="1">
        <f t="shared" si="1097"/>
        <v>1</v>
      </c>
      <c r="AL344" s="10">
        <f t="shared" si="1098"/>
        <v>991132</v>
      </c>
      <c r="AM344" s="10">
        <f t="shared" si="1099"/>
        <v>65554</v>
      </c>
      <c r="AN344" s="10">
        <f t="shared" si="1100"/>
        <v>31199</v>
      </c>
      <c r="AO344" s="1">
        <f t="shared" si="1101"/>
        <v>508971</v>
      </c>
      <c r="AP344" s="1">
        <f t="shared" si="1102"/>
        <v>65554</v>
      </c>
      <c r="AR344" s="1">
        <f t="shared" ref="AR344:AX344" si="1142">ROUNDUP(AR$10*$AO344,0)</f>
        <v>508971</v>
      </c>
      <c r="AS344" s="1">
        <f t="shared" si="1142"/>
        <v>1526913</v>
      </c>
      <c r="AT344" s="1">
        <f t="shared" si="1142"/>
        <v>916148</v>
      </c>
      <c r="AU344" s="1">
        <f t="shared" si="1142"/>
        <v>254486</v>
      </c>
      <c r="AV344" s="1">
        <f t="shared" si="1142"/>
        <v>76346</v>
      </c>
      <c r="AW344" s="1">
        <f t="shared" si="1142"/>
        <v>2035884</v>
      </c>
      <c r="AX344" s="1">
        <f t="shared" si="1142"/>
        <v>4580739</v>
      </c>
      <c r="AY344" s="1">
        <f t="shared" si="1104"/>
        <v>59467923</v>
      </c>
      <c r="AZ344" s="1">
        <f t="shared" si="1105"/>
        <v>29733961</v>
      </c>
      <c r="BB344" s="1">
        <f t="shared" si="1106"/>
        <v>333</v>
      </c>
    </row>
    <row r="345" spans="2:54">
      <c r="B345" s="4">
        <v>334</v>
      </c>
      <c r="C345" s="1">
        <f t="shared" ref="C345:I345" si="1143">C$5+(C$6-C$5)*(POWER(C$7,$B345-1)-1)/(POWER(C$7,$B$3-1)-1)</f>
        <v>26388.1834213069</v>
      </c>
      <c r="D345" s="1">
        <f t="shared" si="1143"/>
        <v>7916.45502639205</v>
      </c>
      <c r="E345" s="1">
        <f t="shared" si="1143"/>
        <v>5277.63668426137</v>
      </c>
      <c r="F345" s="1">
        <f t="shared" si="1143"/>
        <v>66805.5276488781</v>
      </c>
      <c r="G345" s="1">
        <f t="shared" si="1143"/>
        <v>20041.6582946634</v>
      </c>
      <c r="H345" s="1">
        <f t="shared" si="1143"/>
        <v>13361.1055297756</v>
      </c>
      <c r="I345" s="1">
        <f t="shared" si="1143"/>
        <v>0</v>
      </c>
      <c r="J345" s="1">
        <f>标准模型!$I$65/1*$B345/$B$3</f>
        <v>2.4048</v>
      </c>
      <c r="K345" s="1">
        <f>J345*标准模型!$J$63</f>
        <v>2.4048</v>
      </c>
      <c r="L345" s="1">
        <f t="shared" si="1081"/>
        <v>93193.7110701849</v>
      </c>
      <c r="M345" s="1">
        <f t="shared" si="1082"/>
        <v>46995.6043685231</v>
      </c>
      <c r="N345" s="1">
        <f t="shared" si="1083"/>
        <v>31330.4029123487</v>
      </c>
      <c r="O345" s="1">
        <f t="shared" ref="O345:W345" si="1144">O$5+(O$6-O$5)*(POWER(O$7,$B345-1)-1)/(POWER(O$7,$B$3-1)-1)</f>
        <v>0.833695028300993</v>
      </c>
      <c r="P345" s="1">
        <f t="shared" si="1144"/>
        <v>0.232700416252061</v>
      </c>
      <c r="Q345" s="1">
        <f t="shared" si="1144"/>
        <v>0.458532265565546</v>
      </c>
      <c r="R345" s="1">
        <f t="shared" si="1144"/>
        <v>1.1334780113204</v>
      </c>
      <c r="S345" s="1">
        <f t="shared" si="1144"/>
        <v>0.48380353679129</v>
      </c>
      <c r="T345" s="1">
        <f t="shared" si="1144"/>
        <v>3.30141061037387</v>
      </c>
      <c r="U345" s="1">
        <f t="shared" si="1144"/>
        <v>1</v>
      </c>
      <c r="V345" s="1">
        <f t="shared" si="1144"/>
        <v>1.36392722744621</v>
      </c>
      <c r="W345" s="1">
        <f t="shared" si="1144"/>
        <v>2.06782409056318</v>
      </c>
      <c r="X345" s="1">
        <f t="shared" si="1085"/>
        <v>5.28242039575589</v>
      </c>
      <c r="Y345" s="1">
        <f t="shared" si="1086"/>
        <v>10.3027968201701</v>
      </c>
      <c r="Z345" s="1">
        <f t="shared" si="1087"/>
        <v>960155.870073756</v>
      </c>
      <c r="AA345" s="1">
        <f t="shared" si="1088"/>
        <v>46995.6043685231</v>
      </c>
      <c r="AB345" s="1">
        <f t="shared" si="1089"/>
        <v>31330.4029123487</v>
      </c>
      <c r="AC345" s="1">
        <f>AB345/(AB345+战斗公式!$M$27)</f>
        <v>0.566242088675562</v>
      </c>
      <c r="AD345" s="1">
        <f t="shared" si="1090"/>
        <v>2213575.46457657</v>
      </c>
      <c r="AE345" s="1">
        <f t="shared" si="1091"/>
        <v>8.91669952964083</v>
      </c>
      <c r="AF345" s="1">
        <f t="shared" si="1092"/>
        <v>4.57174457386066</v>
      </c>
      <c r="AG345" s="1">
        <f t="shared" si="1093"/>
        <v>4.76180875361972</v>
      </c>
      <c r="AH345" s="1">
        <f t="shared" si="1094"/>
        <v>1.40533321143143</v>
      </c>
      <c r="AI345" s="1">
        <f t="shared" si="1095"/>
        <v>1.0000000439108</v>
      </c>
      <c r="AJ345" s="1">
        <f t="shared" si="1096"/>
        <v>1.00092456668505</v>
      </c>
      <c r="AK345" s="1">
        <f t="shared" si="1097"/>
        <v>1</v>
      </c>
      <c r="AL345" s="10">
        <f t="shared" si="1098"/>
        <v>1000073</v>
      </c>
      <c r="AM345" s="10">
        <f t="shared" si="1099"/>
        <v>66044</v>
      </c>
      <c r="AN345" s="10">
        <f t="shared" si="1100"/>
        <v>31330</v>
      </c>
      <c r="AO345" s="1">
        <f t="shared" si="1101"/>
        <v>513229</v>
      </c>
      <c r="AP345" s="1">
        <f t="shared" si="1102"/>
        <v>66044</v>
      </c>
      <c r="AR345" s="1">
        <f t="shared" ref="AR345:AX345" si="1145">ROUNDUP(AR$10*$AO345,0)</f>
        <v>513229</v>
      </c>
      <c r="AS345" s="1">
        <f t="shared" si="1145"/>
        <v>1539687</v>
      </c>
      <c r="AT345" s="1">
        <f t="shared" si="1145"/>
        <v>923813</v>
      </c>
      <c r="AU345" s="1">
        <f t="shared" si="1145"/>
        <v>256615</v>
      </c>
      <c r="AV345" s="1">
        <f t="shared" si="1145"/>
        <v>76985</v>
      </c>
      <c r="AW345" s="1">
        <f t="shared" si="1145"/>
        <v>2052916</v>
      </c>
      <c r="AX345" s="1">
        <f t="shared" si="1145"/>
        <v>4619061</v>
      </c>
      <c r="AY345" s="1">
        <f t="shared" si="1104"/>
        <v>60004383</v>
      </c>
      <c r="AZ345" s="1">
        <f t="shared" si="1105"/>
        <v>30002191</v>
      </c>
      <c r="BB345" s="1">
        <f t="shared" si="1106"/>
        <v>334</v>
      </c>
    </row>
    <row r="346" spans="2:54">
      <c r="B346" s="4">
        <v>335</v>
      </c>
      <c r="C346" s="1">
        <f t="shared" ref="C346:I346" si="1146">C$5+(C$6-C$5)*(POWER(C$7,$B346-1)-1)/(POWER(C$7,$B$3-1)-1)</f>
        <v>26467.1767847584</v>
      </c>
      <c r="D346" s="1">
        <f t="shared" si="1146"/>
        <v>7940.1530354275</v>
      </c>
      <c r="E346" s="1">
        <f t="shared" si="1146"/>
        <v>5293.43535695167</v>
      </c>
      <c r="F346" s="1">
        <f t="shared" si="1146"/>
        <v>67005.5108474895</v>
      </c>
      <c r="G346" s="1">
        <f t="shared" si="1146"/>
        <v>20101.6532542468</v>
      </c>
      <c r="H346" s="1">
        <f t="shared" si="1146"/>
        <v>13401.1021694979</v>
      </c>
      <c r="I346" s="1">
        <f t="shared" si="1146"/>
        <v>0</v>
      </c>
      <c r="J346" s="1">
        <f>标准模型!$I$65/1*$B346/$B$3</f>
        <v>2.412</v>
      </c>
      <c r="K346" s="1">
        <f>J346*标准模型!$J$63</f>
        <v>2.412</v>
      </c>
      <c r="L346" s="1">
        <f t="shared" si="1081"/>
        <v>93472.6876322478</v>
      </c>
      <c r="M346" s="1">
        <f t="shared" si="1082"/>
        <v>47193.4554111255</v>
      </c>
      <c r="N346" s="1">
        <f t="shared" si="1083"/>
        <v>31462.303607417</v>
      </c>
      <c r="O346" s="1">
        <f t="shared" ref="O346:W346" si="1147">O$5+(O$6-O$5)*(POWER(O$7,$B346-1)-1)/(POWER(O$7,$B$3-1)-1)</f>
        <v>0.834696948133715</v>
      </c>
      <c r="P346" s="1">
        <f t="shared" si="1147"/>
        <v>0.233588724001969</v>
      </c>
      <c r="Q346" s="1">
        <f t="shared" si="1147"/>
        <v>0.459083321473543</v>
      </c>
      <c r="R346" s="1">
        <f t="shared" si="1147"/>
        <v>1.13387877925349</v>
      </c>
      <c r="S346" s="1">
        <f t="shared" si="1147"/>
        <v>0.485106032573829</v>
      </c>
      <c r="T346" s="1">
        <f t="shared" si="1147"/>
        <v>3.30531809772149</v>
      </c>
      <c r="U346" s="1">
        <f t="shared" si="1147"/>
        <v>1</v>
      </c>
      <c r="V346" s="1">
        <f t="shared" si="1147"/>
        <v>1.36501991950309</v>
      </c>
      <c r="W346" s="1">
        <f t="shared" si="1147"/>
        <v>2.07103023402789</v>
      </c>
      <c r="X346" s="1">
        <f t="shared" si="1085"/>
        <v>5.31413763849646</v>
      </c>
      <c r="Y346" s="1">
        <f t="shared" si="1086"/>
        <v>10.3711843481096</v>
      </c>
      <c r="Z346" s="1">
        <f t="shared" si="1087"/>
        <v>969422.474947308</v>
      </c>
      <c r="AA346" s="1">
        <f t="shared" si="1088"/>
        <v>47193.4554111255</v>
      </c>
      <c r="AB346" s="1">
        <f t="shared" si="1089"/>
        <v>31462.303607417</v>
      </c>
      <c r="AC346" s="1">
        <f>AB346/(AB346+战斗公式!$M$27)</f>
        <v>0.567273653653461</v>
      </c>
      <c r="AD346" s="1">
        <f t="shared" si="1090"/>
        <v>2240266.81789088</v>
      </c>
      <c r="AE346" s="1">
        <f t="shared" si="1091"/>
        <v>8.93274982251025</v>
      </c>
      <c r="AF346" s="1">
        <f t="shared" si="1092"/>
        <v>4.57709172392898</v>
      </c>
      <c r="AG346" s="1">
        <f t="shared" si="1093"/>
        <v>4.76431284219863</v>
      </c>
      <c r="AH346" s="1">
        <f t="shared" si="1094"/>
        <v>1.40988285639626</v>
      </c>
      <c r="AI346" s="1">
        <f t="shared" si="1095"/>
        <v>1.00000004171482</v>
      </c>
      <c r="AJ346" s="1">
        <f t="shared" si="1096"/>
        <v>1.00090540554396</v>
      </c>
      <c r="AK346" s="1">
        <f t="shared" si="1097"/>
        <v>1</v>
      </c>
      <c r="AL346" s="10">
        <f t="shared" si="1098"/>
        <v>1009076</v>
      </c>
      <c r="AM346" s="10">
        <f t="shared" si="1099"/>
        <v>66537</v>
      </c>
      <c r="AN346" s="10">
        <f t="shared" si="1100"/>
        <v>31462</v>
      </c>
      <c r="AO346" s="1">
        <f t="shared" si="1101"/>
        <v>517513</v>
      </c>
      <c r="AP346" s="1">
        <f t="shared" si="1102"/>
        <v>66537</v>
      </c>
      <c r="AR346" s="1">
        <f t="shared" ref="AR346:AX346" si="1148">ROUNDUP(AR$10*$AO346,0)</f>
        <v>517513</v>
      </c>
      <c r="AS346" s="1">
        <f t="shared" si="1148"/>
        <v>1552539</v>
      </c>
      <c r="AT346" s="1">
        <f t="shared" si="1148"/>
        <v>931524</v>
      </c>
      <c r="AU346" s="1">
        <f t="shared" si="1148"/>
        <v>258757</v>
      </c>
      <c r="AV346" s="1">
        <f t="shared" si="1148"/>
        <v>77627</v>
      </c>
      <c r="AW346" s="1">
        <f t="shared" si="1148"/>
        <v>2070052</v>
      </c>
      <c r="AX346" s="1">
        <f t="shared" si="1148"/>
        <v>4657617</v>
      </c>
      <c r="AY346" s="1">
        <f t="shared" si="1104"/>
        <v>60544563</v>
      </c>
      <c r="AZ346" s="1">
        <f t="shared" si="1105"/>
        <v>30272281</v>
      </c>
      <c r="BB346" s="1">
        <f t="shared" si="1106"/>
        <v>335</v>
      </c>
    </row>
    <row r="347" spans="2:54">
      <c r="B347" s="4">
        <v>336</v>
      </c>
      <c r="C347" s="1">
        <f t="shared" ref="C347:I347" si="1149">C$5+(C$6-C$5)*(POWER(C$7,$B347-1)-1)/(POWER(C$7,$B$3-1)-1)</f>
        <v>26546.170069227</v>
      </c>
      <c r="D347" s="1">
        <f t="shared" si="1149"/>
        <v>7963.85102076811</v>
      </c>
      <c r="E347" s="1">
        <f t="shared" si="1149"/>
        <v>5309.2340138454</v>
      </c>
      <c r="F347" s="1">
        <f t="shared" si="1149"/>
        <v>67205.4938461444</v>
      </c>
      <c r="G347" s="1">
        <f t="shared" si="1149"/>
        <v>20161.6481538433</v>
      </c>
      <c r="H347" s="1">
        <f t="shared" si="1149"/>
        <v>13441.0987692289</v>
      </c>
      <c r="I347" s="1">
        <f t="shared" si="1149"/>
        <v>0</v>
      </c>
      <c r="J347" s="1">
        <f>标准模型!$I$65/1*$B347/$B$3</f>
        <v>2.4192</v>
      </c>
      <c r="K347" s="1">
        <f>J347*标准模型!$J$63</f>
        <v>2.4192</v>
      </c>
      <c r="L347" s="1">
        <f t="shared" si="1081"/>
        <v>93751.6639153714</v>
      </c>
      <c r="M347" s="1">
        <f t="shared" si="1082"/>
        <v>47391.6475640536</v>
      </c>
      <c r="N347" s="1">
        <f t="shared" si="1083"/>
        <v>31594.4317093691</v>
      </c>
      <c r="O347" s="1">
        <f t="shared" ref="O347:W347" si="1150">O$5+(O$6-O$5)*(POWER(O$7,$B347-1)-1)/(POWER(O$7,$B$3-1)-1)</f>
        <v>0.835698866964651</v>
      </c>
      <c r="P347" s="1">
        <f t="shared" si="1150"/>
        <v>0.234478364213501</v>
      </c>
      <c r="Q347" s="1">
        <f t="shared" si="1150"/>
        <v>0.459634376830558</v>
      </c>
      <c r="R347" s="1">
        <f t="shared" si="1150"/>
        <v>1.13427954678586</v>
      </c>
      <c r="S347" s="1">
        <f t="shared" si="1150"/>
        <v>0.486408527054046</v>
      </c>
      <c r="T347" s="1">
        <f t="shared" si="1150"/>
        <v>3.30922558116214</v>
      </c>
      <c r="U347" s="1">
        <f t="shared" si="1150"/>
        <v>1</v>
      </c>
      <c r="V347" s="1">
        <f t="shared" si="1150"/>
        <v>1.36611261046743</v>
      </c>
      <c r="W347" s="1">
        <f t="shared" si="1150"/>
        <v>2.07423637428688</v>
      </c>
      <c r="X347" s="1">
        <f t="shared" si="1085"/>
        <v>5.34601883730406</v>
      </c>
      <c r="Y347" s="1">
        <f t="shared" si="1086"/>
        <v>10.4399695066759</v>
      </c>
      <c r="Z347" s="1">
        <f t="shared" si="1087"/>
        <v>978764.512476602</v>
      </c>
      <c r="AA347" s="1">
        <f t="shared" si="1088"/>
        <v>47391.6475640536</v>
      </c>
      <c r="AB347" s="1">
        <f t="shared" si="1089"/>
        <v>31594.4317093691</v>
      </c>
      <c r="AC347" s="1">
        <f>AB347/(AB347+战斗公式!$M$27)</f>
        <v>0.568302089578597</v>
      </c>
      <c r="AD347" s="1">
        <f t="shared" si="1090"/>
        <v>2267244.03535143</v>
      </c>
      <c r="AE347" s="1">
        <f t="shared" si="1091"/>
        <v>8.94882419465229</v>
      </c>
      <c r="AF347" s="1">
        <f t="shared" si="1092"/>
        <v>4.58244467914793</v>
      </c>
      <c r="AG347" s="1">
        <f t="shared" si="1093"/>
        <v>4.76679815011319</v>
      </c>
      <c r="AH347" s="1">
        <f t="shared" si="1094"/>
        <v>1.41444160065102</v>
      </c>
      <c r="AI347" s="1">
        <f t="shared" si="1095"/>
        <v>1.00000003962864</v>
      </c>
      <c r="AJ347" s="1">
        <f t="shared" si="1096"/>
        <v>1.00088662762569</v>
      </c>
      <c r="AK347" s="1">
        <f t="shared" si="1097"/>
        <v>1</v>
      </c>
      <c r="AL347" s="10">
        <f t="shared" si="1098"/>
        <v>1018141</v>
      </c>
      <c r="AM347" s="10">
        <f t="shared" si="1099"/>
        <v>67033</v>
      </c>
      <c r="AN347" s="10">
        <f t="shared" si="1100"/>
        <v>31594</v>
      </c>
      <c r="AO347" s="1">
        <f t="shared" si="1101"/>
        <v>521824</v>
      </c>
      <c r="AP347" s="1">
        <f t="shared" si="1102"/>
        <v>67033</v>
      </c>
      <c r="AR347" s="1">
        <f t="shared" ref="AR347:AX347" si="1151">ROUNDUP(AR$10*$AO347,0)</f>
        <v>521824</v>
      </c>
      <c r="AS347" s="1">
        <f t="shared" si="1151"/>
        <v>1565472</v>
      </c>
      <c r="AT347" s="1">
        <f t="shared" si="1151"/>
        <v>939284</v>
      </c>
      <c r="AU347" s="1">
        <f t="shared" si="1151"/>
        <v>260912</v>
      </c>
      <c r="AV347" s="1">
        <f t="shared" si="1151"/>
        <v>78274</v>
      </c>
      <c r="AW347" s="1">
        <f t="shared" si="1151"/>
        <v>2087296</v>
      </c>
      <c r="AX347" s="1">
        <f t="shared" si="1151"/>
        <v>4696416</v>
      </c>
      <c r="AY347" s="1">
        <f t="shared" si="1104"/>
        <v>61088462</v>
      </c>
      <c r="AZ347" s="1">
        <f t="shared" si="1105"/>
        <v>30544231</v>
      </c>
      <c r="BB347" s="1">
        <f t="shared" si="1106"/>
        <v>336</v>
      </c>
    </row>
    <row r="348" spans="2:54">
      <c r="B348" s="4">
        <v>337</v>
      </c>
      <c r="C348" s="1">
        <f t="shared" ref="C348:I348" si="1152">C$5+(C$6-C$5)*(POWER(C$7,$B348-1)-1)/(POWER(C$7,$B$3-1)-1)</f>
        <v>26625.1632746953</v>
      </c>
      <c r="D348" s="1">
        <f t="shared" si="1152"/>
        <v>7987.54898240859</v>
      </c>
      <c r="E348" s="1">
        <f t="shared" si="1152"/>
        <v>5325.03265493906</v>
      </c>
      <c r="F348" s="1">
        <f t="shared" si="1152"/>
        <v>67405.4766447982</v>
      </c>
      <c r="G348" s="1">
        <f t="shared" si="1152"/>
        <v>20221.6429934395</v>
      </c>
      <c r="H348" s="1">
        <f t="shared" si="1152"/>
        <v>13481.0953289596</v>
      </c>
      <c r="I348" s="1">
        <f t="shared" si="1152"/>
        <v>0</v>
      </c>
      <c r="J348" s="1">
        <f>标准模型!$I$65/1*$B348/$B$3</f>
        <v>2.4264</v>
      </c>
      <c r="K348" s="1">
        <f>J348*标准模型!$J$63</f>
        <v>2.4264</v>
      </c>
      <c r="L348" s="1">
        <f t="shared" si="1081"/>
        <v>94030.6399194935</v>
      </c>
      <c r="M348" s="1">
        <f t="shared" si="1082"/>
        <v>47590.1808267643</v>
      </c>
      <c r="N348" s="1">
        <f t="shared" si="1083"/>
        <v>31726.7872178429</v>
      </c>
      <c r="O348" s="1">
        <f t="shared" ref="O348:W348" si="1153">O$5+(O$6-O$5)*(POWER(O$7,$B348-1)-1)/(POWER(O$7,$B$3-1)-1)</f>
        <v>0.836700784793578</v>
      </c>
      <c r="P348" s="1">
        <f t="shared" si="1153"/>
        <v>0.235369338885351</v>
      </c>
      <c r="Q348" s="1">
        <f t="shared" si="1153"/>
        <v>0.460185431636468</v>
      </c>
      <c r="R348" s="1">
        <f t="shared" si="1153"/>
        <v>1.13468031391743</v>
      </c>
      <c r="S348" s="1">
        <f t="shared" si="1153"/>
        <v>0.487711020231652</v>
      </c>
      <c r="T348" s="1">
        <f t="shared" si="1153"/>
        <v>3.31313306069496</v>
      </c>
      <c r="U348" s="1">
        <f t="shared" si="1153"/>
        <v>1</v>
      </c>
      <c r="V348" s="1">
        <f t="shared" si="1153"/>
        <v>1.36720530033898</v>
      </c>
      <c r="W348" s="1">
        <f t="shared" si="1153"/>
        <v>2.07744251133945</v>
      </c>
      <c r="X348" s="1">
        <f t="shared" si="1085"/>
        <v>5.37806468724555</v>
      </c>
      <c r="Y348" s="1">
        <f t="shared" si="1086"/>
        <v>10.5091542437342</v>
      </c>
      <c r="Z348" s="1">
        <f t="shared" si="1087"/>
        <v>988182.49855099</v>
      </c>
      <c r="AA348" s="1">
        <f t="shared" si="1088"/>
        <v>47590.1808267643</v>
      </c>
      <c r="AB348" s="1">
        <f t="shared" si="1089"/>
        <v>31726.7872178429</v>
      </c>
      <c r="AC348" s="1">
        <f>AB348/(AB348+战斗公式!$M$27)</f>
        <v>0.569327406114746</v>
      </c>
      <c r="AD348" s="1">
        <f t="shared" si="1090"/>
        <v>2294509.82621447</v>
      </c>
      <c r="AE348" s="1">
        <f t="shared" si="1091"/>
        <v>8.96492261959594</v>
      </c>
      <c r="AF348" s="1">
        <f t="shared" si="1092"/>
        <v>4.58780341844197</v>
      </c>
      <c r="AG348" s="1">
        <f t="shared" si="1093"/>
        <v>4.76926481821839</v>
      </c>
      <c r="AH348" s="1">
        <f t="shared" si="1094"/>
        <v>1.41900946239429</v>
      </c>
      <c r="AI348" s="1">
        <f t="shared" si="1095"/>
        <v>1.00000003764676</v>
      </c>
      <c r="AJ348" s="1">
        <f t="shared" si="1096"/>
        <v>1.00086822526579</v>
      </c>
      <c r="AK348" s="1">
        <f t="shared" si="1097"/>
        <v>1</v>
      </c>
      <c r="AL348" s="10">
        <f t="shared" si="1098"/>
        <v>1027268</v>
      </c>
      <c r="AM348" s="10">
        <f t="shared" si="1099"/>
        <v>67531</v>
      </c>
      <c r="AN348" s="10">
        <f t="shared" si="1100"/>
        <v>31727</v>
      </c>
      <c r="AO348" s="1">
        <f t="shared" si="1101"/>
        <v>526161</v>
      </c>
      <c r="AP348" s="1">
        <f t="shared" si="1102"/>
        <v>67531</v>
      </c>
      <c r="AR348" s="1">
        <f t="shared" ref="AR348:AX348" si="1154">ROUNDUP(AR$10*$AO348,0)</f>
        <v>526161</v>
      </c>
      <c r="AS348" s="1">
        <f t="shared" si="1154"/>
        <v>1578483</v>
      </c>
      <c r="AT348" s="1">
        <f t="shared" si="1154"/>
        <v>947090</v>
      </c>
      <c r="AU348" s="1">
        <f t="shared" si="1154"/>
        <v>263081</v>
      </c>
      <c r="AV348" s="1">
        <f t="shared" si="1154"/>
        <v>78925</v>
      </c>
      <c r="AW348" s="1">
        <f t="shared" si="1154"/>
        <v>2104644</v>
      </c>
      <c r="AX348" s="1">
        <f t="shared" si="1154"/>
        <v>4735449</v>
      </c>
      <c r="AY348" s="1">
        <f t="shared" si="1104"/>
        <v>61636082</v>
      </c>
      <c r="AZ348" s="1">
        <f t="shared" si="1105"/>
        <v>30818041</v>
      </c>
      <c r="BB348" s="1">
        <f t="shared" si="1106"/>
        <v>337</v>
      </c>
    </row>
    <row r="349" spans="2:54">
      <c r="B349" s="4">
        <v>338</v>
      </c>
      <c r="C349" s="1">
        <f t="shared" ref="C349:I349" si="1155">C$5+(C$6-C$5)*(POWER(C$7,$B349-1)-1)/(POWER(C$7,$B$3-1)-1)</f>
        <v>26704.156401172</v>
      </c>
      <c r="D349" s="1">
        <f t="shared" si="1155"/>
        <v>8011.2469203516</v>
      </c>
      <c r="E349" s="1">
        <f t="shared" si="1155"/>
        <v>5340.8312802344</v>
      </c>
      <c r="F349" s="1">
        <f t="shared" si="1155"/>
        <v>67605.4592434734</v>
      </c>
      <c r="G349" s="1">
        <f t="shared" si="1155"/>
        <v>20281.637773042</v>
      </c>
      <c r="H349" s="1">
        <f t="shared" si="1155"/>
        <v>13521.0918486947</v>
      </c>
      <c r="I349" s="1">
        <f t="shared" si="1155"/>
        <v>0</v>
      </c>
      <c r="J349" s="1">
        <f>标准模型!$I$65/1*$B349/$B$3</f>
        <v>2.4336</v>
      </c>
      <c r="K349" s="1">
        <f>J349*标准模型!$J$63</f>
        <v>2.4336</v>
      </c>
      <c r="L349" s="1">
        <f t="shared" si="1081"/>
        <v>94309.6156446454</v>
      </c>
      <c r="M349" s="1">
        <f t="shared" si="1082"/>
        <v>47789.0551987613</v>
      </c>
      <c r="N349" s="1">
        <f t="shared" si="1083"/>
        <v>31859.3701325075</v>
      </c>
      <c r="O349" s="1">
        <f t="shared" ref="O349:W349" si="1156">O$5+(O$6-O$5)*(POWER(O$7,$B349-1)-1)/(POWER(O$7,$B$3-1)-1)</f>
        <v>0.837702701620608</v>
      </c>
      <c r="P349" s="1">
        <f t="shared" si="1156"/>
        <v>0.236261650019209</v>
      </c>
      <c r="Q349" s="1">
        <f t="shared" si="1156"/>
        <v>0.460736485891335</v>
      </c>
      <c r="R349" s="1">
        <f t="shared" si="1156"/>
        <v>1.13508108064824</v>
      </c>
      <c r="S349" s="1">
        <f t="shared" si="1156"/>
        <v>0.489013512106791</v>
      </c>
      <c r="T349" s="1">
        <f t="shared" si="1156"/>
        <v>3.31704053632037</v>
      </c>
      <c r="U349" s="1">
        <f t="shared" si="1156"/>
        <v>1</v>
      </c>
      <c r="V349" s="1">
        <f t="shared" si="1156"/>
        <v>1.36829798911786</v>
      </c>
      <c r="W349" s="1">
        <f t="shared" si="1156"/>
        <v>2.08064864518595</v>
      </c>
      <c r="X349" s="1">
        <f t="shared" si="1085"/>
        <v>5.41027588565038</v>
      </c>
      <c r="Y349" s="1">
        <f t="shared" si="1086"/>
        <v>10.5787405147912</v>
      </c>
      <c r="Z349" s="1">
        <f t="shared" si="1087"/>
        <v>997676.9519544</v>
      </c>
      <c r="AA349" s="1">
        <f t="shared" si="1088"/>
        <v>47789.0551987613</v>
      </c>
      <c r="AB349" s="1">
        <f t="shared" si="1089"/>
        <v>31859.3701325075</v>
      </c>
      <c r="AC349" s="1">
        <f>AB349/(AB349+战斗公式!$M$27)</f>
        <v>0.570349612910634</v>
      </c>
      <c r="AD349" s="1">
        <f t="shared" si="1090"/>
        <v>2322066.9221622</v>
      </c>
      <c r="AE349" s="1">
        <f t="shared" si="1091"/>
        <v>8.98104507097378</v>
      </c>
      <c r="AF349" s="1">
        <f t="shared" si="1092"/>
        <v>4.59316792083992</v>
      </c>
      <c r="AG349" s="1">
        <f t="shared" si="1093"/>
        <v>4.77171298631281</v>
      </c>
      <c r="AH349" s="1">
        <f t="shared" si="1094"/>
        <v>1.42358645986105</v>
      </c>
      <c r="AI349" s="1">
        <f t="shared" si="1095"/>
        <v>1.00000003576398</v>
      </c>
      <c r="AJ349" s="1">
        <f t="shared" si="1096"/>
        <v>1.00085019095308</v>
      </c>
      <c r="AK349" s="1">
        <f t="shared" si="1097"/>
        <v>1</v>
      </c>
      <c r="AL349" s="10">
        <f t="shared" si="1098"/>
        <v>1036459</v>
      </c>
      <c r="AM349" s="10">
        <f t="shared" si="1099"/>
        <v>68032</v>
      </c>
      <c r="AN349" s="10">
        <f t="shared" si="1100"/>
        <v>31859</v>
      </c>
      <c r="AO349" s="1">
        <f t="shared" si="1101"/>
        <v>530526</v>
      </c>
      <c r="AP349" s="1">
        <f t="shared" si="1102"/>
        <v>68032</v>
      </c>
      <c r="AR349" s="1">
        <f t="shared" ref="AR349:AX349" si="1157">ROUNDUP(AR$10*$AO349,0)</f>
        <v>530526</v>
      </c>
      <c r="AS349" s="1">
        <f t="shared" si="1157"/>
        <v>1591578</v>
      </c>
      <c r="AT349" s="1">
        <f t="shared" si="1157"/>
        <v>954947</v>
      </c>
      <c r="AU349" s="1">
        <f t="shared" si="1157"/>
        <v>265263</v>
      </c>
      <c r="AV349" s="1">
        <f t="shared" si="1157"/>
        <v>79579</v>
      </c>
      <c r="AW349" s="1">
        <f t="shared" si="1157"/>
        <v>2122104</v>
      </c>
      <c r="AX349" s="1">
        <f t="shared" si="1157"/>
        <v>4774734</v>
      </c>
      <c r="AY349" s="1">
        <f t="shared" si="1104"/>
        <v>62187542</v>
      </c>
      <c r="AZ349" s="1">
        <f t="shared" si="1105"/>
        <v>31093771</v>
      </c>
      <c r="BB349" s="1">
        <f t="shared" si="1106"/>
        <v>338</v>
      </c>
    </row>
    <row r="350" spans="2:54">
      <c r="B350" s="4">
        <v>339</v>
      </c>
      <c r="C350" s="1">
        <f t="shared" ref="C350:I350" si="1158">C$5+(C$6-C$5)*(POWER(C$7,$B350-1)-1)/(POWER(C$7,$B$3-1)-1)</f>
        <v>26783.1494486571</v>
      </c>
      <c r="D350" s="1">
        <f t="shared" si="1158"/>
        <v>8034.94483459712</v>
      </c>
      <c r="E350" s="1">
        <f t="shared" si="1158"/>
        <v>5356.62988973141</v>
      </c>
      <c r="F350" s="1">
        <f t="shared" si="1158"/>
        <v>67805.4416421698</v>
      </c>
      <c r="G350" s="1">
        <f t="shared" si="1158"/>
        <v>20341.6324926509</v>
      </c>
      <c r="H350" s="1">
        <f t="shared" si="1158"/>
        <v>13561.088328434</v>
      </c>
      <c r="I350" s="1">
        <f t="shared" si="1158"/>
        <v>0</v>
      </c>
      <c r="J350" s="1">
        <f>标准模型!$I$65/1*$B350/$B$3</f>
        <v>2.4408</v>
      </c>
      <c r="K350" s="1">
        <f>J350*标准模型!$J$63</f>
        <v>2.4408</v>
      </c>
      <c r="L350" s="1">
        <f t="shared" si="1081"/>
        <v>94588.5910908269</v>
      </c>
      <c r="M350" s="1">
        <f t="shared" si="1082"/>
        <v>47988.2706795327</v>
      </c>
      <c r="N350" s="1">
        <f t="shared" si="1083"/>
        <v>31992.1804530218</v>
      </c>
      <c r="O350" s="1">
        <f t="shared" ref="O350:W350" si="1159">O$5+(O$6-O$5)*(POWER(O$7,$B350-1)-1)/(POWER(O$7,$B$3-1)-1)</f>
        <v>0.83870461744574</v>
      </c>
      <c r="P350" s="1">
        <f t="shared" si="1159"/>
        <v>0.237155299619767</v>
      </c>
      <c r="Q350" s="1">
        <f t="shared" si="1159"/>
        <v>0.461287539595157</v>
      </c>
      <c r="R350" s="1">
        <f t="shared" si="1159"/>
        <v>1.1354818469783</v>
      </c>
      <c r="S350" s="1">
        <f t="shared" si="1159"/>
        <v>0.490316002679463</v>
      </c>
      <c r="T350" s="1">
        <f t="shared" si="1159"/>
        <v>3.32094800803839</v>
      </c>
      <c r="U350" s="1">
        <f t="shared" si="1159"/>
        <v>1</v>
      </c>
      <c r="V350" s="1">
        <f t="shared" si="1159"/>
        <v>1.36939067680407</v>
      </c>
      <c r="W350" s="1">
        <f t="shared" si="1159"/>
        <v>2.08385477582637</v>
      </c>
      <c r="X350" s="1">
        <f t="shared" si="1085"/>
        <v>5.44265313210419</v>
      </c>
      <c r="Y350" s="1">
        <f t="shared" si="1086"/>
        <v>10.6487302829902</v>
      </c>
      <c r="Z350" s="1">
        <f t="shared" si="1087"/>
        <v>1007248.39437426</v>
      </c>
      <c r="AA350" s="1">
        <f t="shared" si="1088"/>
        <v>47988.2706795327</v>
      </c>
      <c r="AB350" s="1">
        <f t="shared" si="1089"/>
        <v>31992.1804530218</v>
      </c>
      <c r="AC350" s="1">
        <f>AB350/(AB350+战斗公式!$M$27)</f>
        <v>0.571368719599403</v>
      </c>
      <c r="AD350" s="1">
        <f t="shared" si="1090"/>
        <v>2349918.07745084</v>
      </c>
      <c r="AE350" s="1">
        <f t="shared" si="1091"/>
        <v>8.99719152251099</v>
      </c>
      <c r="AF350" s="1">
        <f t="shared" si="1092"/>
        <v>4.59853816547087</v>
      </c>
      <c r="AG350" s="1">
        <f t="shared" si="1093"/>
        <v>4.77414279314652</v>
      </c>
      <c r="AH350" s="1">
        <f t="shared" si="1094"/>
        <v>1.42817261132274</v>
      </c>
      <c r="AI350" s="1">
        <f t="shared" si="1095"/>
        <v>1.00000003397535</v>
      </c>
      <c r="AJ350" s="1">
        <f t="shared" si="1096"/>
        <v>1.00083251732663</v>
      </c>
      <c r="AK350" s="1">
        <f t="shared" si="1097"/>
        <v>1</v>
      </c>
      <c r="AL350" s="10">
        <f t="shared" si="1098"/>
        <v>1045712</v>
      </c>
      <c r="AM350" s="10">
        <f t="shared" si="1099"/>
        <v>68536</v>
      </c>
      <c r="AN350" s="10">
        <f t="shared" si="1100"/>
        <v>31992</v>
      </c>
      <c r="AO350" s="1">
        <f t="shared" si="1101"/>
        <v>534917</v>
      </c>
      <c r="AP350" s="1">
        <f t="shared" si="1102"/>
        <v>68536</v>
      </c>
      <c r="AR350" s="1">
        <f t="shared" ref="AR350:AX350" si="1160">ROUNDUP(AR$10*$AO350,0)</f>
        <v>534917</v>
      </c>
      <c r="AS350" s="1">
        <f t="shared" si="1160"/>
        <v>1604751</v>
      </c>
      <c r="AT350" s="1">
        <f t="shared" si="1160"/>
        <v>962851</v>
      </c>
      <c r="AU350" s="1">
        <f t="shared" si="1160"/>
        <v>267459</v>
      </c>
      <c r="AV350" s="1">
        <f t="shared" si="1160"/>
        <v>80238</v>
      </c>
      <c r="AW350" s="1">
        <f t="shared" si="1160"/>
        <v>2139668</v>
      </c>
      <c r="AX350" s="1">
        <f t="shared" si="1160"/>
        <v>4814253</v>
      </c>
      <c r="AY350" s="1">
        <f t="shared" si="1104"/>
        <v>62742722</v>
      </c>
      <c r="AZ350" s="1">
        <f t="shared" si="1105"/>
        <v>31371361</v>
      </c>
      <c r="BB350" s="1">
        <f t="shared" si="1106"/>
        <v>339</v>
      </c>
    </row>
    <row r="351" spans="2:54">
      <c r="B351" s="4">
        <v>340</v>
      </c>
      <c r="C351" s="1">
        <f t="shared" ref="C351:I351" si="1161">C$5+(C$6-C$5)*(POWER(C$7,$B351-1)-1)/(POWER(C$7,$B$3-1)-1)</f>
        <v>26862.1424171418</v>
      </c>
      <c r="D351" s="1">
        <f t="shared" si="1161"/>
        <v>8058.64272514253</v>
      </c>
      <c r="E351" s="1">
        <f t="shared" si="1161"/>
        <v>5372.42848342835</v>
      </c>
      <c r="F351" s="1">
        <f t="shared" si="1161"/>
        <v>68005.4238408652</v>
      </c>
      <c r="G351" s="1">
        <f t="shared" si="1161"/>
        <v>20401.6271522596</v>
      </c>
      <c r="H351" s="1">
        <f t="shared" si="1161"/>
        <v>13601.084768173</v>
      </c>
      <c r="I351" s="1">
        <f t="shared" si="1161"/>
        <v>0</v>
      </c>
      <c r="J351" s="1">
        <f>标准模型!$I$65/1*$B351/$B$3</f>
        <v>2.448</v>
      </c>
      <c r="K351" s="1">
        <f>J351*标准模型!$J$63</f>
        <v>2.448</v>
      </c>
      <c r="L351" s="1">
        <f t="shared" si="1081"/>
        <v>94867.566258007</v>
      </c>
      <c r="M351" s="1">
        <f t="shared" si="1082"/>
        <v>48187.827268551</v>
      </c>
      <c r="N351" s="1">
        <f t="shared" si="1083"/>
        <v>32125.218179034</v>
      </c>
      <c r="O351" s="1">
        <f t="shared" ref="O351:W351" si="1162">O$5+(O$6-O$5)*(POWER(O$7,$B351-1)-1)/(POWER(O$7,$B$3-1)-1)</f>
        <v>0.839706532268864</v>
      </c>
      <c r="P351" s="1">
        <f t="shared" si="1162"/>
        <v>0.238050289694727</v>
      </c>
      <c r="Q351" s="1">
        <f t="shared" si="1162"/>
        <v>0.461838592747875</v>
      </c>
      <c r="R351" s="1">
        <f t="shared" si="1162"/>
        <v>1.13588261290755</v>
      </c>
      <c r="S351" s="1">
        <f t="shared" si="1162"/>
        <v>0.491618491949523</v>
      </c>
      <c r="T351" s="1">
        <f t="shared" si="1162"/>
        <v>3.32485547584857</v>
      </c>
      <c r="U351" s="1">
        <f t="shared" si="1162"/>
        <v>1</v>
      </c>
      <c r="V351" s="1">
        <f t="shared" si="1162"/>
        <v>1.3704833633975</v>
      </c>
      <c r="W351" s="1">
        <f t="shared" si="1162"/>
        <v>2.08706090326036</v>
      </c>
      <c r="X351" s="1">
        <f t="shared" si="1085"/>
        <v>5.47519712845425</v>
      </c>
      <c r="Y351" s="1">
        <f t="shared" si="1086"/>
        <v>10.7191255191338</v>
      </c>
      <c r="Z351" s="1">
        <f t="shared" si="1087"/>
        <v>1016897.35041432</v>
      </c>
      <c r="AA351" s="1">
        <f t="shared" si="1088"/>
        <v>48187.827268551</v>
      </c>
      <c r="AB351" s="1">
        <f t="shared" si="1089"/>
        <v>32125.218179034</v>
      </c>
      <c r="AC351" s="1">
        <f>AB351/(AB351+战斗公式!$M$27)</f>
        <v>0.572384735798401</v>
      </c>
      <c r="AD351" s="1">
        <f t="shared" si="1090"/>
        <v>2378066.06907022</v>
      </c>
      <c r="AE351" s="1">
        <f t="shared" si="1091"/>
        <v>9.01336194802471</v>
      </c>
      <c r="AF351" s="1">
        <f t="shared" si="1092"/>
        <v>4.60391413156354</v>
      </c>
      <c r="AG351" s="1">
        <f t="shared" si="1093"/>
        <v>4.77655437642897</v>
      </c>
      <c r="AH351" s="1">
        <f t="shared" si="1094"/>
        <v>1.43276793508736</v>
      </c>
      <c r="AI351" s="1">
        <f t="shared" si="1095"/>
        <v>1.00000003227614</v>
      </c>
      <c r="AJ351" s="1">
        <f t="shared" si="1096"/>
        <v>1.00081519717271</v>
      </c>
      <c r="AK351" s="1">
        <f t="shared" si="1097"/>
        <v>1</v>
      </c>
      <c r="AL351" s="10">
        <f t="shared" si="1098"/>
        <v>1055030</v>
      </c>
      <c r="AM351" s="10">
        <f t="shared" si="1099"/>
        <v>69042</v>
      </c>
      <c r="AN351" s="10">
        <f t="shared" si="1100"/>
        <v>32125</v>
      </c>
      <c r="AO351" s="1">
        <f t="shared" si="1101"/>
        <v>539335</v>
      </c>
      <c r="AP351" s="1">
        <f t="shared" si="1102"/>
        <v>69042</v>
      </c>
      <c r="AR351" s="1">
        <f t="shared" ref="AR351:AX351" si="1163">ROUNDUP(AR$10*$AO351,0)</f>
        <v>539335</v>
      </c>
      <c r="AS351" s="1">
        <f t="shared" si="1163"/>
        <v>1618005</v>
      </c>
      <c r="AT351" s="1">
        <f t="shared" si="1163"/>
        <v>970803</v>
      </c>
      <c r="AU351" s="1">
        <f t="shared" si="1163"/>
        <v>269668</v>
      </c>
      <c r="AV351" s="1">
        <f t="shared" si="1163"/>
        <v>80901</v>
      </c>
      <c r="AW351" s="1">
        <f t="shared" si="1163"/>
        <v>2157340</v>
      </c>
      <c r="AX351" s="1">
        <f t="shared" si="1163"/>
        <v>4854015</v>
      </c>
      <c r="AY351" s="1">
        <f t="shared" si="1104"/>
        <v>63301802</v>
      </c>
      <c r="AZ351" s="1">
        <f t="shared" si="1105"/>
        <v>31650901</v>
      </c>
      <c r="BB351" s="1">
        <f t="shared" si="1106"/>
        <v>340</v>
      </c>
    </row>
    <row r="352" spans="2:54">
      <c r="B352" s="4">
        <v>341</v>
      </c>
      <c r="C352" s="1">
        <f t="shared" ref="C352:I352" si="1164">C$5+(C$6-C$5)*(POWER(C$7,$B352-1)-1)/(POWER(C$7,$B$3-1)-1)</f>
        <v>26941.1353066436</v>
      </c>
      <c r="D352" s="1">
        <f t="shared" si="1164"/>
        <v>8082.34059199309</v>
      </c>
      <c r="E352" s="1">
        <f t="shared" si="1164"/>
        <v>5388.22706132873</v>
      </c>
      <c r="F352" s="1">
        <f t="shared" si="1164"/>
        <v>68205.4058396041</v>
      </c>
      <c r="G352" s="1">
        <f t="shared" si="1164"/>
        <v>20461.6217518812</v>
      </c>
      <c r="H352" s="1">
        <f t="shared" si="1164"/>
        <v>13641.0811679208</v>
      </c>
      <c r="I352" s="1">
        <f t="shared" si="1164"/>
        <v>0</v>
      </c>
      <c r="J352" s="1">
        <f>标准模型!$I$65/1*$B352/$B$3</f>
        <v>2.4552</v>
      </c>
      <c r="K352" s="1">
        <f>J352*标准模型!$J$63</f>
        <v>2.4552</v>
      </c>
      <c r="L352" s="1">
        <f t="shared" si="1081"/>
        <v>95146.5411462477</v>
      </c>
      <c r="M352" s="1">
        <f t="shared" si="1082"/>
        <v>48387.7249653358</v>
      </c>
      <c r="N352" s="1">
        <f t="shared" si="1083"/>
        <v>32258.4833102238</v>
      </c>
      <c r="O352" s="1">
        <f t="shared" ref="O352:W352" si="1165">O$5+(O$6-O$5)*(POWER(O$7,$B352-1)-1)/(POWER(O$7,$B$3-1)-1)</f>
        <v>0.840708446090201</v>
      </c>
      <c r="P352" s="1">
        <f t="shared" si="1165"/>
        <v>0.238946622254798</v>
      </c>
      <c r="Q352" s="1">
        <f t="shared" si="1165"/>
        <v>0.462389645349611</v>
      </c>
      <c r="R352" s="1">
        <f t="shared" si="1165"/>
        <v>1.13628337843608</v>
      </c>
      <c r="S352" s="1">
        <f t="shared" si="1165"/>
        <v>0.492920979917261</v>
      </c>
      <c r="T352" s="1">
        <f t="shared" si="1165"/>
        <v>3.32876293975178</v>
      </c>
      <c r="U352" s="1">
        <f t="shared" si="1165"/>
        <v>1</v>
      </c>
      <c r="V352" s="1">
        <f t="shared" si="1165"/>
        <v>1.37157604889837</v>
      </c>
      <c r="W352" s="1">
        <f t="shared" si="1165"/>
        <v>2.09026702748864</v>
      </c>
      <c r="X352" s="1">
        <f t="shared" si="1085"/>
        <v>5.50790857882761</v>
      </c>
      <c r="Y352" s="1">
        <f t="shared" si="1086"/>
        <v>10.7899282017363</v>
      </c>
      <c r="Z352" s="1">
        <f t="shared" si="1087"/>
        <v>1026624.34761157</v>
      </c>
      <c r="AA352" s="1">
        <f t="shared" si="1088"/>
        <v>48387.7249653358</v>
      </c>
      <c r="AB352" s="1">
        <f t="shared" si="1089"/>
        <v>32258.4833102238</v>
      </c>
      <c r="AC352" s="1">
        <f>AB352/(AB352+战斗公式!$M$27)</f>
        <v>0.573397671109301</v>
      </c>
      <c r="AD352" s="1">
        <f t="shared" si="1090"/>
        <v>2406513.69691561</v>
      </c>
      <c r="AE352" s="1">
        <f t="shared" si="1091"/>
        <v>9.0295563214337</v>
      </c>
      <c r="AF352" s="1">
        <f t="shared" si="1092"/>
        <v>4.60929579844919</v>
      </c>
      <c r="AG352" s="1">
        <f t="shared" si="1093"/>
        <v>4.7789478728368</v>
      </c>
      <c r="AH352" s="1">
        <f t="shared" si="1094"/>
        <v>1.4373724494995</v>
      </c>
      <c r="AI352" s="1">
        <f t="shared" si="1095"/>
        <v>1.00000003066189</v>
      </c>
      <c r="AJ352" s="1">
        <f t="shared" si="1096"/>
        <v>1.00079822342187</v>
      </c>
      <c r="AK352" s="1">
        <f t="shared" si="1097"/>
        <v>1</v>
      </c>
      <c r="AL352" s="10">
        <f t="shared" si="1098"/>
        <v>1064411</v>
      </c>
      <c r="AM352" s="10">
        <f t="shared" si="1099"/>
        <v>69551</v>
      </c>
      <c r="AN352" s="10">
        <f t="shared" si="1100"/>
        <v>32258</v>
      </c>
      <c r="AO352" s="1">
        <f t="shared" si="1101"/>
        <v>543781</v>
      </c>
      <c r="AP352" s="1">
        <f t="shared" si="1102"/>
        <v>69551</v>
      </c>
      <c r="AR352" s="1">
        <f t="shared" ref="AR352:AX352" si="1166">ROUNDUP(AR$10*$AO352,0)</f>
        <v>543781</v>
      </c>
      <c r="AS352" s="1">
        <f t="shared" si="1166"/>
        <v>1631343</v>
      </c>
      <c r="AT352" s="1">
        <f t="shared" si="1166"/>
        <v>978806</v>
      </c>
      <c r="AU352" s="1">
        <f t="shared" si="1166"/>
        <v>271891</v>
      </c>
      <c r="AV352" s="1">
        <f t="shared" si="1166"/>
        <v>81568</v>
      </c>
      <c r="AW352" s="1">
        <f t="shared" si="1166"/>
        <v>2175124</v>
      </c>
      <c r="AX352" s="1">
        <f t="shared" si="1166"/>
        <v>4894029</v>
      </c>
      <c r="AY352" s="1">
        <f t="shared" si="1104"/>
        <v>63864662</v>
      </c>
      <c r="AZ352" s="1">
        <f t="shared" si="1105"/>
        <v>31932331</v>
      </c>
      <c r="BB352" s="1">
        <f t="shared" si="1106"/>
        <v>341</v>
      </c>
    </row>
    <row r="353" spans="2:54">
      <c r="B353" s="4">
        <v>342</v>
      </c>
      <c r="C353" s="1">
        <f t="shared" ref="C353:I353" si="1167">C$5+(C$6-C$5)*(POWER(C$7,$B353-1)-1)/(POWER(C$7,$B$3-1)-1)</f>
        <v>27020.1281171451</v>
      </c>
      <c r="D353" s="1">
        <f t="shared" si="1167"/>
        <v>8106.03843514354</v>
      </c>
      <c r="E353" s="1">
        <f t="shared" si="1167"/>
        <v>5404.02562342902</v>
      </c>
      <c r="F353" s="1">
        <f t="shared" si="1167"/>
        <v>68405.3876383421</v>
      </c>
      <c r="G353" s="1">
        <f t="shared" si="1167"/>
        <v>20521.6162915026</v>
      </c>
      <c r="H353" s="1">
        <f t="shared" si="1167"/>
        <v>13681.0775276684</v>
      </c>
      <c r="I353" s="1">
        <f t="shared" si="1167"/>
        <v>0</v>
      </c>
      <c r="J353" s="1">
        <f>标准模型!$I$65/1*$B353/$B$3</f>
        <v>2.4624</v>
      </c>
      <c r="K353" s="1">
        <f>J353*标准模型!$J$63</f>
        <v>2.4624</v>
      </c>
      <c r="L353" s="1">
        <f t="shared" si="1081"/>
        <v>95425.5157554872</v>
      </c>
      <c r="M353" s="1">
        <f t="shared" si="1082"/>
        <v>48587.9637693436</v>
      </c>
      <c r="N353" s="1">
        <f t="shared" si="1083"/>
        <v>32391.9758462291</v>
      </c>
      <c r="O353" s="1">
        <f t="shared" ref="O353:W353" si="1168">O$5+(O$6-O$5)*(POWER(O$7,$B353-1)-1)/(POWER(O$7,$B$3-1)-1)</f>
        <v>0.841710358909529</v>
      </c>
      <c r="P353" s="1">
        <f t="shared" si="1168"/>
        <v>0.23984429931371</v>
      </c>
      <c r="Q353" s="1">
        <f t="shared" si="1168"/>
        <v>0.462940697400241</v>
      </c>
      <c r="R353" s="1">
        <f t="shared" si="1168"/>
        <v>1.13668414356381</v>
      </c>
      <c r="S353" s="1">
        <f t="shared" si="1168"/>
        <v>0.494223466582388</v>
      </c>
      <c r="T353" s="1">
        <f t="shared" si="1168"/>
        <v>3.33267039974716</v>
      </c>
      <c r="U353" s="1">
        <f t="shared" si="1168"/>
        <v>1</v>
      </c>
      <c r="V353" s="1">
        <f t="shared" si="1168"/>
        <v>1.37266873330646</v>
      </c>
      <c r="W353" s="1">
        <f t="shared" si="1168"/>
        <v>2.09347314851049</v>
      </c>
      <c r="X353" s="1">
        <f t="shared" si="1085"/>
        <v>5.54078818961492</v>
      </c>
      <c r="Y353" s="1">
        <f t="shared" si="1086"/>
        <v>10.8611403169963</v>
      </c>
      <c r="Z353" s="1">
        <f t="shared" si="1087"/>
        <v>1036429.91644208</v>
      </c>
      <c r="AA353" s="1">
        <f t="shared" si="1088"/>
        <v>48587.9637693436</v>
      </c>
      <c r="AB353" s="1">
        <f t="shared" si="1089"/>
        <v>32391.9758462291</v>
      </c>
      <c r="AC353" s="1">
        <f>AB353/(AB353+战斗公式!$M$27)</f>
        <v>0.574407535117341</v>
      </c>
      <c r="AD353" s="1">
        <f t="shared" si="1090"/>
        <v>2435263.78392963</v>
      </c>
      <c r="AE353" s="1">
        <f t="shared" si="1091"/>
        <v>9.04577461673975</v>
      </c>
      <c r="AF353" s="1">
        <f t="shared" si="1092"/>
        <v>4.61468314555495</v>
      </c>
      <c r="AG353" s="1">
        <f t="shared" si="1093"/>
        <v>4.78132341802158</v>
      </c>
      <c r="AH353" s="1">
        <f t="shared" si="1094"/>
        <v>1.44198617294047</v>
      </c>
      <c r="AI353" s="1">
        <f t="shared" si="1095"/>
        <v>1.00000002912836</v>
      </c>
      <c r="AJ353" s="1">
        <f t="shared" si="1096"/>
        <v>1.00078158914605</v>
      </c>
      <c r="AK353" s="1">
        <f t="shared" si="1097"/>
        <v>1</v>
      </c>
      <c r="AL353" s="10">
        <f t="shared" si="1098"/>
        <v>1073856</v>
      </c>
      <c r="AM353" s="10">
        <f t="shared" si="1099"/>
        <v>70063</v>
      </c>
      <c r="AN353" s="10">
        <f t="shared" si="1100"/>
        <v>32392</v>
      </c>
      <c r="AO353" s="1">
        <f t="shared" si="1101"/>
        <v>548254</v>
      </c>
      <c r="AP353" s="1">
        <f t="shared" si="1102"/>
        <v>70063</v>
      </c>
      <c r="AR353" s="1">
        <f t="shared" ref="AR353:AX353" si="1169">ROUNDUP(AR$10*$AO353,0)</f>
        <v>548254</v>
      </c>
      <c r="AS353" s="1">
        <f t="shared" si="1169"/>
        <v>1644762</v>
      </c>
      <c r="AT353" s="1">
        <f t="shared" si="1169"/>
        <v>986858</v>
      </c>
      <c r="AU353" s="1">
        <f t="shared" si="1169"/>
        <v>274127</v>
      </c>
      <c r="AV353" s="1">
        <f t="shared" si="1169"/>
        <v>82239</v>
      </c>
      <c r="AW353" s="1">
        <f t="shared" si="1169"/>
        <v>2193016</v>
      </c>
      <c r="AX353" s="1">
        <f t="shared" si="1169"/>
        <v>4934286</v>
      </c>
      <c r="AY353" s="1">
        <f t="shared" si="1104"/>
        <v>64431362</v>
      </c>
      <c r="AZ353" s="1">
        <f t="shared" si="1105"/>
        <v>32215681</v>
      </c>
      <c r="BB353" s="1">
        <f t="shared" si="1106"/>
        <v>342</v>
      </c>
    </row>
    <row r="354" spans="2:54">
      <c r="B354" s="4">
        <v>343</v>
      </c>
      <c r="C354" s="1">
        <f t="shared" ref="C354:I354" si="1170">C$5+(C$6-C$5)*(POWER(C$7,$B354-1)-1)/(POWER(C$7,$B$3-1)-1)</f>
        <v>27099.120848655</v>
      </c>
      <c r="D354" s="1">
        <f t="shared" si="1170"/>
        <v>8129.7362545965</v>
      </c>
      <c r="E354" s="1">
        <f t="shared" si="1170"/>
        <v>5419.824169731</v>
      </c>
      <c r="F354" s="1">
        <f t="shared" si="1170"/>
        <v>68605.3692371013</v>
      </c>
      <c r="G354" s="1">
        <f t="shared" si="1170"/>
        <v>20581.6107711304</v>
      </c>
      <c r="H354" s="1">
        <f t="shared" si="1170"/>
        <v>13721.0738474203</v>
      </c>
      <c r="I354" s="1">
        <f t="shared" si="1170"/>
        <v>0</v>
      </c>
      <c r="J354" s="1">
        <f>标准模型!$I$65/1*$B354/$B$3</f>
        <v>2.4696</v>
      </c>
      <c r="K354" s="1">
        <f>J354*标准模型!$J$63</f>
        <v>2.4696</v>
      </c>
      <c r="L354" s="1">
        <f t="shared" si="1081"/>
        <v>95704.4900857563</v>
      </c>
      <c r="M354" s="1">
        <f t="shared" si="1082"/>
        <v>48788.5436800784</v>
      </c>
      <c r="N354" s="1">
        <f t="shared" si="1083"/>
        <v>32525.6957867189</v>
      </c>
      <c r="O354" s="1">
        <f t="shared" ref="O354:W354" si="1171">O$5+(O$6-O$5)*(POWER(O$7,$B354-1)-1)/(POWER(O$7,$B$3-1)-1)</f>
        <v>0.84271227072696</v>
      </c>
      <c r="P354" s="1">
        <f t="shared" si="1171"/>
        <v>0.24074332288821</v>
      </c>
      <c r="Q354" s="1">
        <f t="shared" si="1171"/>
        <v>0.463491748899828</v>
      </c>
      <c r="R354" s="1">
        <f t="shared" si="1171"/>
        <v>1.13708490829078</v>
      </c>
      <c r="S354" s="1">
        <f t="shared" si="1171"/>
        <v>0.495525951945048</v>
      </c>
      <c r="T354" s="1">
        <f t="shared" si="1171"/>
        <v>3.33657785583514</v>
      </c>
      <c r="U354" s="1">
        <f t="shared" si="1171"/>
        <v>1</v>
      </c>
      <c r="V354" s="1">
        <f t="shared" si="1171"/>
        <v>1.37376141662188</v>
      </c>
      <c r="W354" s="1">
        <f t="shared" si="1171"/>
        <v>2.09667926632627</v>
      </c>
      <c r="X354" s="1">
        <f t="shared" si="1085"/>
        <v>5.57383666949787</v>
      </c>
      <c r="Y354" s="1">
        <f t="shared" si="1086"/>
        <v>10.93276385887</v>
      </c>
      <c r="Z354" s="1">
        <f t="shared" si="1087"/>
        <v>1046314.59034114</v>
      </c>
      <c r="AA354" s="1">
        <f t="shared" si="1088"/>
        <v>48788.5436800784</v>
      </c>
      <c r="AB354" s="1">
        <f t="shared" si="1089"/>
        <v>32525.6957867189</v>
      </c>
      <c r="AC354" s="1">
        <f>AB354/(AB354+战斗公式!$M$27)</f>
        <v>0.575414337391687</v>
      </c>
      <c r="AD354" s="1">
        <f t="shared" si="1090"/>
        <v>2464319.17628453</v>
      </c>
      <c r="AE354" s="1">
        <f t="shared" si="1091"/>
        <v>9.06201680804488</v>
      </c>
      <c r="AF354" s="1">
        <f t="shared" si="1092"/>
        <v>4.62007615240921</v>
      </c>
      <c r="AG354" s="1">
        <f t="shared" si="1093"/>
        <v>4.78368114661747</v>
      </c>
      <c r="AH354" s="1">
        <f t="shared" si="1094"/>
        <v>1.44660912382832</v>
      </c>
      <c r="AI354" s="1">
        <f t="shared" si="1095"/>
        <v>1.0000000276715</v>
      </c>
      <c r="AJ354" s="1">
        <f t="shared" si="1096"/>
        <v>1.00076528755574</v>
      </c>
      <c r="AK354" s="1">
        <f t="shared" si="1097"/>
        <v>1</v>
      </c>
      <c r="AL354" s="10">
        <f t="shared" si="1098"/>
        <v>1083366</v>
      </c>
      <c r="AM354" s="10">
        <f t="shared" si="1099"/>
        <v>70578</v>
      </c>
      <c r="AN354" s="10">
        <f t="shared" si="1100"/>
        <v>32526</v>
      </c>
      <c r="AO354" s="1">
        <f t="shared" si="1101"/>
        <v>552754</v>
      </c>
      <c r="AP354" s="1">
        <f t="shared" si="1102"/>
        <v>70578</v>
      </c>
      <c r="AR354" s="1">
        <f t="shared" ref="AR354:AX354" si="1172">ROUNDUP(AR$10*$AO354,0)</f>
        <v>552754</v>
      </c>
      <c r="AS354" s="1">
        <f t="shared" si="1172"/>
        <v>1658262</v>
      </c>
      <c r="AT354" s="1">
        <f t="shared" si="1172"/>
        <v>994958</v>
      </c>
      <c r="AU354" s="1">
        <f t="shared" si="1172"/>
        <v>276377</v>
      </c>
      <c r="AV354" s="1">
        <f t="shared" si="1172"/>
        <v>82914</v>
      </c>
      <c r="AW354" s="1">
        <f t="shared" si="1172"/>
        <v>2211016</v>
      </c>
      <c r="AX354" s="1">
        <f t="shared" si="1172"/>
        <v>4974786</v>
      </c>
      <c r="AY354" s="1">
        <f t="shared" si="1104"/>
        <v>65001962</v>
      </c>
      <c r="AZ354" s="1">
        <f t="shared" si="1105"/>
        <v>32500981</v>
      </c>
      <c r="BB354" s="1">
        <f t="shared" si="1106"/>
        <v>343</v>
      </c>
    </row>
    <row r="355" spans="2:54">
      <c r="B355" s="4">
        <v>344</v>
      </c>
      <c r="C355" s="1">
        <f t="shared" ref="C355:I355" si="1173">C$5+(C$6-C$5)*(POWER(C$7,$B355-1)-1)/(POWER(C$7,$B$3-1)-1)</f>
        <v>27178.1135011733</v>
      </c>
      <c r="D355" s="1">
        <f t="shared" si="1173"/>
        <v>8153.43405035198</v>
      </c>
      <c r="E355" s="1">
        <f t="shared" si="1173"/>
        <v>5435.62270023465</v>
      </c>
      <c r="F355" s="1">
        <f t="shared" si="1173"/>
        <v>68805.3506358817</v>
      </c>
      <c r="G355" s="1">
        <f t="shared" si="1173"/>
        <v>20641.6051907645</v>
      </c>
      <c r="H355" s="1">
        <f t="shared" si="1173"/>
        <v>13761.0701271763</v>
      </c>
      <c r="I355" s="1">
        <f t="shared" si="1173"/>
        <v>0</v>
      </c>
      <c r="J355" s="1">
        <f>标准模型!$I$65/1*$B355/$B$3</f>
        <v>2.4768</v>
      </c>
      <c r="K355" s="1">
        <f>J355*标准模型!$J$63</f>
        <v>2.4768</v>
      </c>
      <c r="L355" s="1">
        <f t="shared" si="1081"/>
        <v>95983.464137055</v>
      </c>
      <c r="M355" s="1">
        <f t="shared" si="1082"/>
        <v>48989.4646970283</v>
      </c>
      <c r="N355" s="1">
        <f t="shared" si="1083"/>
        <v>32659.6431313522</v>
      </c>
      <c r="O355" s="1">
        <f t="shared" ref="O355:W355" si="1174">O$5+(O$6-O$5)*(POWER(O$7,$B355-1)-1)/(POWER(O$7,$B$3-1)-1)</f>
        <v>0.843714181542494</v>
      </c>
      <c r="P355" s="1">
        <f t="shared" si="1174"/>
        <v>0.241643694998072</v>
      </c>
      <c r="Q355" s="1">
        <f t="shared" si="1174"/>
        <v>0.464042799848371</v>
      </c>
      <c r="R355" s="1">
        <f t="shared" si="1174"/>
        <v>1.137485672617</v>
      </c>
      <c r="S355" s="1">
        <f t="shared" si="1174"/>
        <v>0.496828436005242</v>
      </c>
      <c r="T355" s="1">
        <f t="shared" si="1174"/>
        <v>3.34048530801572</v>
      </c>
      <c r="U355" s="1">
        <f t="shared" si="1174"/>
        <v>1</v>
      </c>
      <c r="V355" s="1">
        <f t="shared" si="1174"/>
        <v>1.37485409884463</v>
      </c>
      <c r="W355" s="1">
        <f t="shared" si="1174"/>
        <v>2.09988538093598</v>
      </c>
      <c r="X355" s="1">
        <f t="shared" si="1085"/>
        <v>5.60705472944247</v>
      </c>
      <c r="Y355" s="1">
        <f t="shared" si="1086"/>
        <v>11.0048008290666</v>
      </c>
      <c r="Z355" s="1">
        <f t="shared" si="1087"/>
        <v>1056278.90571214</v>
      </c>
      <c r="AA355" s="1">
        <f t="shared" si="1088"/>
        <v>48989.4646970283</v>
      </c>
      <c r="AB355" s="1">
        <f t="shared" si="1089"/>
        <v>32659.6431313522</v>
      </c>
      <c r="AC355" s="1">
        <f>AB355/(AB355+战斗公式!$M$27)</f>
        <v>0.576418087484921</v>
      </c>
      <c r="AD355" s="1">
        <f t="shared" si="1090"/>
        <v>2493682.74353439</v>
      </c>
      <c r="AE355" s="1">
        <f t="shared" si="1091"/>
        <v>9.07828286954058</v>
      </c>
      <c r="AF355" s="1">
        <f t="shared" si="1092"/>
        <v>4.62547479863764</v>
      </c>
      <c r="AG355" s="1">
        <f t="shared" si="1093"/>
        <v>4.78602119224889</v>
      </c>
      <c r="AH355" s="1">
        <f t="shared" si="1094"/>
        <v>1.45124132061795</v>
      </c>
      <c r="AI355" s="1">
        <f t="shared" si="1095"/>
        <v>1.00000002628748</v>
      </c>
      <c r="AJ355" s="1">
        <f t="shared" si="1096"/>
        <v>1.00074931199723</v>
      </c>
      <c r="AK355" s="1">
        <f t="shared" si="1097"/>
        <v>1</v>
      </c>
      <c r="AL355" s="10">
        <f t="shared" si="1098"/>
        <v>1092941</v>
      </c>
      <c r="AM355" s="10">
        <f t="shared" si="1099"/>
        <v>71096</v>
      </c>
      <c r="AN355" s="10">
        <f t="shared" si="1100"/>
        <v>32660</v>
      </c>
      <c r="AO355" s="1">
        <f t="shared" si="1101"/>
        <v>557282</v>
      </c>
      <c r="AP355" s="1">
        <f t="shared" si="1102"/>
        <v>71096</v>
      </c>
      <c r="AR355" s="1">
        <f t="shared" ref="AR355:AX355" si="1175">ROUNDUP(AR$10*$AO355,0)</f>
        <v>557282</v>
      </c>
      <c r="AS355" s="1">
        <f t="shared" si="1175"/>
        <v>1671846</v>
      </c>
      <c r="AT355" s="1">
        <f t="shared" si="1175"/>
        <v>1003108</v>
      </c>
      <c r="AU355" s="1">
        <f t="shared" si="1175"/>
        <v>278641</v>
      </c>
      <c r="AV355" s="1">
        <f t="shared" si="1175"/>
        <v>83593</v>
      </c>
      <c r="AW355" s="1">
        <f t="shared" si="1175"/>
        <v>2229128</v>
      </c>
      <c r="AX355" s="1">
        <f t="shared" si="1175"/>
        <v>5015538</v>
      </c>
      <c r="AY355" s="1">
        <f t="shared" si="1104"/>
        <v>65576462</v>
      </c>
      <c r="AZ355" s="1">
        <f t="shared" si="1105"/>
        <v>32788231</v>
      </c>
      <c r="BB355" s="1">
        <f t="shared" si="1106"/>
        <v>344</v>
      </c>
    </row>
    <row r="356" spans="2:54">
      <c r="B356" s="4">
        <v>345</v>
      </c>
      <c r="C356" s="1">
        <f t="shared" ref="C356:I356" si="1176">C$5+(C$6-C$5)*(POWER(C$7,$B356-1)-1)/(POWER(C$7,$B$3-1)-1)</f>
        <v>27257.1060746999</v>
      </c>
      <c r="D356" s="1">
        <f t="shared" si="1176"/>
        <v>8177.13182240998</v>
      </c>
      <c r="E356" s="1">
        <f t="shared" si="1176"/>
        <v>5451.42121493999</v>
      </c>
      <c r="F356" s="1">
        <f t="shared" si="1176"/>
        <v>69005.3318346834</v>
      </c>
      <c r="G356" s="1">
        <f t="shared" si="1176"/>
        <v>20701.599550405</v>
      </c>
      <c r="H356" s="1">
        <f t="shared" si="1176"/>
        <v>13801.0663669367</v>
      </c>
      <c r="I356" s="1">
        <f t="shared" si="1176"/>
        <v>0</v>
      </c>
      <c r="J356" s="1">
        <f>标准模型!$I$65/1*$B356/$B$3</f>
        <v>2.484</v>
      </c>
      <c r="K356" s="1">
        <f>J356*标准模型!$J$63</f>
        <v>2.484</v>
      </c>
      <c r="L356" s="1">
        <f t="shared" si="1081"/>
        <v>96262.4379093833</v>
      </c>
      <c r="M356" s="1">
        <f t="shared" si="1082"/>
        <v>49190.7268196814</v>
      </c>
      <c r="N356" s="1">
        <f t="shared" si="1083"/>
        <v>32793.8178797876</v>
      </c>
      <c r="O356" s="1">
        <f t="shared" ref="O356:W356" si="1177">O$5+(O$6-O$5)*(POWER(O$7,$B356-1)-1)/(POWER(O$7,$B$3-1)-1)</f>
        <v>0.844716091356129</v>
      </c>
      <c r="P356" s="1">
        <f t="shared" si="1177"/>
        <v>0.242545417666099</v>
      </c>
      <c r="Q356" s="1">
        <f t="shared" si="1177"/>
        <v>0.464593850245871</v>
      </c>
      <c r="R356" s="1">
        <f t="shared" si="1177"/>
        <v>1.13788643654245</v>
      </c>
      <c r="S356" s="1">
        <f t="shared" si="1177"/>
        <v>0.498130918762968</v>
      </c>
      <c r="T356" s="1">
        <f t="shared" si="1177"/>
        <v>3.3443927562889</v>
      </c>
      <c r="U356" s="1">
        <f t="shared" si="1177"/>
        <v>1</v>
      </c>
      <c r="V356" s="1">
        <f t="shared" si="1177"/>
        <v>1.37594677997472</v>
      </c>
      <c r="W356" s="1">
        <f t="shared" si="1177"/>
        <v>2.10309149233961</v>
      </c>
      <c r="X356" s="1">
        <f t="shared" si="1085"/>
        <v>5.64044308270775</v>
      </c>
      <c r="Y356" s="1">
        <f t="shared" si="1086"/>
        <v>11.077253237078</v>
      </c>
      <c r="Z356" s="1">
        <f t="shared" si="1087"/>
        <v>1066323.40194073</v>
      </c>
      <c r="AA356" s="1">
        <f t="shared" si="1088"/>
        <v>49190.7268196814</v>
      </c>
      <c r="AB356" s="1">
        <f t="shared" si="1089"/>
        <v>32793.8178797876</v>
      </c>
      <c r="AC356" s="1">
        <f>AB356/(AB356+战斗公式!$M$27)</f>
        <v>0.577418794932936</v>
      </c>
      <c r="AD356" s="1">
        <f t="shared" si="1090"/>
        <v>2523357.3787824</v>
      </c>
      <c r="AE356" s="1">
        <f t="shared" si="1091"/>
        <v>9.09457277550982</v>
      </c>
      <c r="AF356" s="1">
        <f t="shared" si="1092"/>
        <v>4.63087906396352</v>
      </c>
      <c r="AG356" s="1">
        <f t="shared" si="1093"/>
        <v>4.78834368753808</v>
      </c>
      <c r="AH356" s="1">
        <f t="shared" si="1094"/>
        <v>1.45588278180116</v>
      </c>
      <c r="AI356" s="1">
        <f t="shared" si="1095"/>
        <v>1.00000002497267</v>
      </c>
      <c r="AJ356" s="1">
        <f t="shared" si="1096"/>
        <v>1.0007336559499</v>
      </c>
      <c r="AK356" s="1">
        <f t="shared" si="1097"/>
        <v>1</v>
      </c>
      <c r="AL356" s="10">
        <f t="shared" si="1098"/>
        <v>1102582</v>
      </c>
      <c r="AM356" s="10">
        <f t="shared" si="1099"/>
        <v>71616</v>
      </c>
      <c r="AN356" s="10">
        <f t="shared" si="1100"/>
        <v>32794</v>
      </c>
      <c r="AO356" s="1">
        <f t="shared" si="1101"/>
        <v>561837</v>
      </c>
      <c r="AP356" s="1">
        <f t="shared" si="1102"/>
        <v>71616</v>
      </c>
      <c r="AR356" s="1">
        <f t="shared" ref="AR356:AX356" si="1178">ROUNDUP(AR$10*$AO356,0)</f>
        <v>561837</v>
      </c>
      <c r="AS356" s="1">
        <f t="shared" si="1178"/>
        <v>1685511</v>
      </c>
      <c r="AT356" s="1">
        <f t="shared" si="1178"/>
        <v>1011307</v>
      </c>
      <c r="AU356" s="1">
        <f t="shared" si="1178"/>
        <v>280919</v>
      </c>
      <c r="AV356" s="1">
        <f t="shared" si="1178"/>
        <v>84276</v>
      </c>
      <c r="AW356" s="1">
        <f t="shared" si="1178"/>
        <v>2247348</v>
      </c>
      <c r="AX356" s="1">
        <f t="shared" si="1178"/>
        <v>5056533</v>
      </c>
      <c r="AY356" s="1">
        <f t="shared" si="1104"/>
        <v>66154922</v>
      </c>
      <c r="AZ356" s="1">
        <f t="shared" si="1105"/>
        <v>33077461</v>
      </c>
      <c r="BB356" s="1">
        <f t="shared" si="1106"/>
        <v>345</v>
      </c>
    </row>
    <row r="357" spans="2:54">
      <c r="B357" s="4">
        <v>346</v>
      </c>
      <c r="C357" s="1">
        <f t="shared" ref="C357:I357" si="1179">C$5+(C$6-C$5)*(POWER(C$7,$B357-1)-1)/(POWER(C$7,$B$3-1)-1)</f>
        <v>27336.098569235</v>
      </c>
      <c r="D357" s="1">
        <f t="shared" si="1179"/>
        <v>8200.8295707705</v>
      </c>
      <c r="E357" s="1">
        <f t="shared" si="1179"/>
        <v>5467.219713847</v>
      </c>
      <c r="F357" s="1">
        <f t="shared" si="1179"/>
        <v>69205.3128335064</v>
      </c>
      <c r="G357" s="1">
        <f t="shared" si="1179"/>
        <v>20761.5938500519</v>
      </c>
      <c r="H357" s="1">
        <f t="shared" si="1179"/>
        <v>13841.0625667013</v>
      </c>
      <c r="I357" s="1">
        <f t="shared" si="1179"/>
        <v>0</v>
      </c>
      <c r="J357" s="1">
        <f>标准模型!$I$65/1*$B357/$B$3</f>
        <v>2.4912</v>
      </c>
      <c r="K357" s="1">
        <f>J357*标准模型!$J$63</f>
        <v>2.4912</v>
      </c>
      <c r="L357" s="1">
        <f t="shared" si="1081"/>
        <v>96541.4114027414</v>
      </c>
      <c r="M357" s="1">
        <f t="shared" si="1082"/>
        <v>49392.3300475259</v>
      </c>
      <c r="N357" s="1">
        <f t="shared" si="1083"/>
        <v>32928.2200316839</v>
      </c>
      <c r="O357" s="1">
        <f t="shared" ref="O357:W357" si="1180">O$5+(O$6-O$5)*(POWER(O$7,$B357-1)-1)/(POWER(O$7,$B$3-1)-1)</f>
        <v>0.845718000167867</v>
      </c>
      <c r="P357" s="1">
        <f t="shared" si="1180"/>
        <v>0.243448492918128</v>
      </c>
      <c r="Q357" s="1">
        <f t="shared" si="1180"/>
        <v>0.465144900092327</v>
      </c>
      <c r="R357" s="1">
        <f t="shared" si="1180"/>
        <v>1.13828720006715</v>
      </c>
      <c r="S357" s="1">
        <f t="shared" si="1180"/>
        <v>0.499433400218228</v>
      </c>
      <c r="T357" s="1">
        <f t="shared" si="1180"/>
        <v>3.34830020065468</v>
      </c>
      <c r="U357" s="1">
        <f t="shared" si="1180"/>
        <v>1</v>
      </c>
      <c r="V357" s="1">
        <f t="shared" si="1180"/>
        <v>1.37703946001214</v>
      </c>
      <c r="W357" s="1">
        <f t="shared" si="1180"/>
        <v>2.10629760053718</v>
      </c>
      <c r="X357" s="1">
        <f t="shared" si="1085"/>
        <v>5.67400244485164</v>
      </c>
      <c r="Y357" s="1">
        <f t="shared" si="1086"/>
        <v>11.150123100203</v>
      </c>
      <c r="Z357" s="1">
        <f t="shared" si="1087"/>
        <v>1076448.62140791</v>
      </c>
      <c r="AA357" s="1">
        <f t="shared" si="1088"/>
        <v>49392.3300475259</v>
      </c>
      <c r="AB357" s="1">
        <f t="shared" si="1089"/>
        <v>32928.2200316839</v>
      </c>
      <c r="AC357" s="1">
        <f>AB357/(AB357+战斗公式!$M$27)</f>
        <v>0.578416469254746</v>
      </c>
      <c r="AD357" s="1">
        <f t="shared" si="1090"/>
        <v>2553345.99884635</v>
      </c>
      <c r="AE357" s="1">
        <f t="shared" si="1091"/>
        <v>9.11088650032617</v>
      </c>
      <c r="AF357" s="1">
        <f t="shared" si="1092"/>
        <v>4.63628892820701</v>
      </c>
      <c r="AG357" s="1">
        <f t="shared" si="1093"/>
        <v>4.7906487641126</v>
      </c>
      <c r="AH357" s="1">
        <f t="shared" si="1094"/>
        <v>1.46053352590673</v>
      </c>
      <c r="AI357" s="1">
        <f t="shared" si="1095"/>
        <v>1.00000002372359</v>
      </c>
      <c r="AJ357" s="1">
        <f t="shared" si="1096"/>
        <v>1.00071831302351</v>
      </c>
      <c r="AK357" s="1">
        <f t="shared" si="1097"/>
        <v>1</v>
      </c>
      <c r="AL357" s="10">
        <f t="shared" si="1098"/>
        <v>1112288</v>
      </c>
      <c r="AM357" s="10">
        <f t="shared" si="1099"/>
        <v>72139</v>
      </c>
      <c r="AN357" s="10">
        <f t="shared" si="1100"/>
        <v>32928</v>
      </c>
      <c r="AO357" s="1">
        <f t="shared" si="1101"/>
        <v>566420</v>
      </c>
      <c r="AP357" s="1">
        <f t="shared" si="1102"/>
        <v>72139</v>
      </c>
      <c r="AR357" s="1">
        <f t="shared" ref="AR357:AX357" si="1181">ROUNDUP(AR$10*$AO357,0)</f>
        <v>566420</v>
      </c>
      <c r="AS357" s="1">
        <f t="shared" si="1181"/>
        <v>1699260</v>
      </c>
      <c r="AT357" s="1">
        <f t="shared" si="1181"/>
        <v>1019556</v>
      </c>
      <c r="AU357" s="1">
        <f t="shared" si="1181"/>
        <v>283210</v>
      </c>
      <c r="AV357" s="1">
        <f t="shared" si="1181"/>
        <v>84963</v>
      </c>
      <c r="AW357" s="1">
        <f t="shared" si="1181"/>
        <v>2265680</v>
      </c>
      <c r="AX357" s="1">
        <f t="shared" si="1181"/>
        <v>5097780</v>
      </c>
      <c r="AY357" s="1">
        <f t="shared" si="1104"/>
        <v>66737282</v>
      </c>
      <c r="AZ357" s="1">
        <f t="shared" si="1105"/>
        <v>33368641</v>
      </c>
      <c r="BB357" s="1">
        <f t="shared" si="1106"/>
        <v>346</v>
      </c>
    </row>
    <row r="358" spans="2:54">
      <c r="B358" s="4">
        <v>347</v>
      </c>
      <c r="C358" s="1">
        <f t="shared" ref="C358:I358" si="1182">C$5+(C$6-C$5)*(POWER(C$7,$B358-1)-1)/(POWER(C$7,$B$3-1)-1)</f>
        <v>27415.0909847697</v>
      </c>
      <c r="D358" s="1">
        <f t="shared" si="1182"/>
        <v>8224.52729543091</v>
      </c>
      <c r="E358" s="1">
        <f t="shared" si="1182"/>
        <v>5483.01819695394</v>
      </c>
      <c r="F358" s="1">
        <f t="shared" si="1182"/>
        <v>69405.2936323283</v>
      </c>
      <c r="G358" s="1">
        <f t="shared" si="1182"/>
        <v>20821.5880896985</v>
      </c>
      <c r="H358" s="1">
        <f t="shared" si="1182"/>
        <v>13881.0587264657</v>
      </c>
      <c r="I358" s="1">
        <f t="shared" si="1182"/>
        <v>0</v>
      </c>
      <c r="J358" s="1">
        <f>标准模型!$I$65/1*$B358/$B$3</f>
        <v>2.4984</v>
      </c>
      <c r="K358" s="1">
        <f>J358*标准模型!$J$63</f>
        <v>2.4984</v>
      </c>
      <c r="L358" s="1">
        <f t="shared" si="1081"/>
        <v>96820.384617098</v>
      </c>
      <c r="M358" s="1">
        <f t="shared" si="1082"/>
        <v>49594.274380034</v>
      </c>
      <c r="N358" s="1">
        <f t="shared" si="1083"/>
        <v>33062.8495866893</v>
      </c>
      <c r="O358" s="1">
        <f t="shared" ref="O358:W358" si="1183">O$5+(O$6-O$5)*(POWER(O$7,$B358-1)-1)/(POWER(O$7,$B$3-1)-1)</f>
        <v>0.846719907977597</v>
      </c>
      <c r="P358" s="1">
        <f t="shared" si="1183"/>
        <v>0.244352922783035</v>
      </c>
      <c r="Q358" s="1">
        <f t="shared" si="1183"/>
        <v>0.465695949387678</v>
      </c>
      <c r="R358" s="1">
        <f t="shared" si="1183"/>
        <v>1.13868796319104</v>
      </c>
      <c r="S358" s="1">
        <f t="shared" si="1183"/>
        <v>0.500735880370876</v>
      </c>
      <c r="T358" s="1">
        <f t="shared" si="1183"/>
        <v>3.35220764111263</v>
      </c>
      <c r="U358" s="1">
        <f t="shared" si="1183"/>
        <v>1</v>
      </c>
      <c r="V358" s="1">
        <f t="shared" si="1183"/>
        <v>1.37813213895676</v>
      </c>
      <c r="W358" s="1">
        <f t="shared" si="1183"/>
        <v>2.10950370552831</v>
      </c>
      <c r="X358" s="1">
        <f t="shared" si="1085"/>
        <v>5.70773353373321</v>
      </c>
      <c r="Y358" s="1">
        <f t="shared" si="1086"/>
        <v>11.2234124435629</v>
      </c>
      <c r="Z358" s="1">
        <f t="shared" si="1087"/>
        <v>1086655.10950208</v>
      </c>
      <c r="AA358" s="1">
        <f t="shared" si="1088"/>
        <v>49594.274380034</v>
      </c>
      <c r="AB358" s="1">
        <f t="shared" si="1089"/>
        <v>33062.8495866893</v>
      </c>
      <c r="AC358" s="1">
        <f>AB358/(AB358+战斗公式!$M$27)</f>
        <v>0.57941111995223</v>
      </c>
      <c r="AD358" s="1">
        <f t="shared" si="1090"/>
        <v>2583651.54442187</v>
      </c>
      <c r="AE358" s="1">
        <f t="shared" si="1091"/>
        <v>9.12722401845086</v>
      </c>
      <c r="AF358" s="1">
        <f t="shared" si="1092"/>
        <v>4.64170437128382</v>
      </c>
      <c r="AG358" s="1">
        <f t="shared" si="1093"/>
        <v>4.7929365526128</v>
      </c>
      <c r="AH358" s="1">
        <f t="shared" si="1094"/>
        <v>1.46519357150051</v>
      </c>
      <c r="AI358" s="1">
        <f t="shared" si="1095"/>
        <v>1.00000002253697</v>
      </c>
      <c r="AJ358" s="1">
        <f t="shared" si="1096"/>
        <v>1.00070327695566</v>
      </c>
      <c r="AK358" s="1">
        <f t="shared" si="1097"/>
        <v>1</v>
      </c>
      <c r="AL358" s="10">
        <f t="shared" si="1098"/>
        <v>1122060</v>
      </c>
      <c r="AM358" s="10">
        <f t="shared" si="1099"/>
        <v>72665</v>
      </c>
      <c r="AN358" s="10">
        <f t="shared" si="1100"/>
        <v>33063</v>
      </c>
      <c r="AO358" s="1">
        <f t="shared" si="1101"/>
        <v>571031</v>
      </c>
      <c r="AP358" s="1">
        <f t="shared" si="1102"/>
        <v>72665</v>
      </c>
      <c r="AR358" s="1">
        <f t="shared" ref="AR358:AX358" si="1184">ROUNDUP(AR$10*$AO358,0)</f>
        <v>571031</v>
      </c>
      <c r="AS358" s="1">
        <f t="shared" si="1184"/>
        <v>1713093</v>
      </c>
      <c r="AT358" s="1">
        <f t="shared" si="1184"/>
        <v>1027856</v>
      </c>
      <c r="AU358" s="1">
        <f t="shared" si="1184"/>
        <v>285516</v>
      </c>
      <c r="AV358" s="1">
        <f t="shared" si="1184"/>
        <v>85655</v>
      </c>
      <c r="AW358" s="1">
        <f t="shared" si="1184"/>
        <v>2284124</v>
      </c>
      <c r="AX358" s="1">
        <f t="shared" si="1184"/>
        <v>5139279</v>
      </c>
      <c r="AY358" s="1">
        <f t="shared" si="1104"/>
        <v>67323602</v>
      </c>
      <c r="AZ358" s="1">
        <f t="shared" si="1105"/>
        <v>33661801</v>
      </c>
      <c r="BB358" s="1">
        <f t="shared" si="1106"/>
        <v>347</v>
      </c>
    </row>
    <row r="359" spans="2:54">
      <c r="B359" s="4">
        <v>348</v>
      </c>
      <c r="C359" s="1">
        <f t="shared" ref="C359:I359" si="1185">C$5+(C$6-C$5)*(POWER(C$7,$B359-1)-1)/(POWER(C$7,$B$3-1)-1)</f>
        <v>27494.0833213215</v>
      </c>
      <c r="D359" s="1">
        <f t="shared" si="1185"/>
        <v>8248.22499639647</v>
      </c>
      <c r="E359" s="1">
        <f t="shared" si="1185"/>
        <v>5498.81666426431</v>
      </c>
      <c r="F359" s="1">
        <f t="shared" si="1185"/>
        <v>69605.2742311938</v>
      </c>
      <c r="G359" s="1">
        <f t="shared" si="1185"/>
        <v>20881.5822693581</v>
      </c>
      <c r="H359" s="1">
        <f t="shared" si="1185"/>
        <v>13921.0548462388</v>
      </c>
      <c r="I359" s="1">
        <f t="shared" si="1185"/>
        <v>0</v>
      </c>
      <c r="J359" s="1">
        <f>标准模型!$I$65/1*$B359/$B$3</f>
        <v>2.5056</v>
      </c>
      <c r="K359" s="1">
        <f>J359*标准模型!$J$63</f>
        <v>2.5056</v>
      </c>
      <c r="L359" s="1">
        <f t="shared" si="1081"/>
        <v>97099.3575525153</v>
      </c>
      <c r="M359" s="1">
        <f t="shared" si="1082"/>
        <v>49796.5598167256</v>
      </c>
      <c r="N359" s="1">
        <f t="shared" si="1083"/>
        <v>33197.7065444837</v>
      </c>
      <c r="O359" s="1">
        <f t="shared" ref="O359:W359" si="1186">O$5+(O$6-O$5)*(POWER(O$7,$B359-1)-1)/(POWER(O$7,$B$3-1)-1)</f>
        <v>0.84772181478554</v>
      </c>
      <c r="P359" s="1">
        <f t="shared" si="1186"/>
        <v>0.245258709292739</v>
      </c>
      <c r="Q359" s="1">
        <f t="shared" si="1186"/>
        <v>0.466246998132047</v>
      </c>
      <c r="R359" s="1">
        <f t="shared" si="1186"/>
        <v>1.13908872591422</v>
      </c>
      <c r="S359" s="1">
        <f t="shared" si="1186"/>
        <v>0.502038359221202</v>
      </c>
      <c r="T359" s="1">
        <f t="shared" si="1186"/>
        <v>3.35611507766361</v>
      </c>
      <c r="U359" s="1">
        <f t="shared" si="1186"/>
        <v>1</v>
      </c>
      <c r="V359" s="1">
        <f t="shared" si="1186"/>
        <v>1.37922481680885</v>
      </c>
      <c r="W359" s="1">
        <f t="shared" si="1186"/>
        <v>2.11270980731373</v>
      </c>
      <c r="X359" s="1">
        <f t="shared" si="1085"/>
        <v>5.74163706953153</v>
      </c>
      <c r="Y359" s="1">
        <f t="shared" si="1086"/>
        <v>11.297123300155</v>
      </c>
      <c r="Z359" s="1">
        <f t="shared" si="1087"/>
        <v>1096943.4146366</v>
      </c>
      <c r="AA359" s="1">
        <f t="shared" si="1088"/>
        <v>49796.5598167256</v>
      </c>
      <c r="AB359" s="1">
        <f t="shared" si="1089"/>
        <v>33197.7065444837</v>
      </c>
      <c r="AC359" s="1">
        <f>AB359/(AB359+战斗公式!$M$27)</f>
        <v>0.580402756510268</v>
      </c>
      <c r="AD359" s="1">
        <f t="shared" si="1090"/>
        <v>2614276.98026202</v>
      </c>
      <c r="AE359" s="1">
        <f t="shared" si="1091"/>
        <v>9.14358530444241</v>
      </c>
      <c r="AF359" s="1">
        <f t="shared" si="1092"/>
        <v>4.64712537320806</v>
      </c>
      <c r="AG359" s="1">
        <f t="shared" si="1093"/>
        <v>4.79520718269926</v>
      </c>
      <c r="AH359" s="1">
        <f t="shared" si="1094"/>
        <v>1.46986293718549</v>
      </c>
      <c r="AI359" s="1">
        <f t="shared" si="1095"/>
        <v>1.00000002140969</v>
      </c>
      <c r="AJ359" s="1">
        <f t="shared" si="1096"/>
        <v>1.00068854160915</v>
      </c>
      <c r="AK359" s="1">
        <f t="shared" si="1097"/>
        <v>1</v>
      </c>
      <c r="AL359" s="10">
        <f t="shared" si="1098"/>
        <v>1131898</v>
      </c>
      <c r="AM359" s="10">
        <f t="shared" si="1099"/>
        <v>73194</v>
      </c>
      <c r="AN359" s="10">
        <f t="shared" si="1100"/>
        <v>33198</v>
      </c>
      <c r="AO359" s="1">
        <f t="shared" si="1101"/>
        <v>575671</v>
      </c>
      <c r="AP359" s="1">
        <f t="shared" si="1102"/>
        <v>73194</v>
      </c>
      <c r="AR359" s="1">
        <f t="shared" ref="AR359:AX359" si="1187">ROUNDUP(AR$10*$AO359,0)</f>
        <v>575671</v>
      </c>
      <c r="AS359" s="1">
        <f t="shared" si="1187"/>
        <v>1727013</v>
      </c>
      <c r="AT359" s="1">
        <f t="shared" si="1187"/>
        <v>1036208</v>
      </c>
      <c r="AU359" s="1">
        <f t="shared" si="1187"/>
        <v>287836</v>
      </c>
      <c r="AV359" s="1">
        <f t="shared" si="1187"/>
        <v>86351</v>
      </c>
      <c r="AW359" s="1">
        <f t="shared" si="1187"/>
        <v>2302684</v>
      </c>
      <c r="AX359" s="1">
        <f t="shared" si="1187"/>
        <v>5181039</v>
      </c>
      <c r="AY359" s="1">
        <f t="shared" si="1104"/>
        <v>67913881</v>
      </c>
      <c r="AZ359" s="1">
        <f t="shared" si="1105"/>
        <v>33956941</v>
      </c>
      <c r="BB359" s="1">
        <f t="shared" si="1106"/>
        <v>348</v>
      </c>
    </row>
    <row r="360" spans="2:54">
      <c r="B360" s="4">
        <v>349</v>
      </c>
      <c r="C360" s="1">
        <f t="shared" ref="C360:I360" si="1188">C$5+(C$6-C$5)*(POWER(C$7,$B360-1)-1)/(POWER(C$7,$B$3-1)-1)</f>
        <v>27573.075578873</v>
      </c>
      <c r="D360" s="1">
        <f t="shared" si="1188"/>
        <v>8271.92267366191</v>
      </c>
      <c r="E360" s="1">
        <f t="shared" si="1188"/>
        <v>5514.6151157746</v>
      </c>
      <c r="F360" s="1">
        <f t="shared" si="1188"/>
        <v>69805.2546300583</v>
      </c>
      <c r="G360" s="1">
        <f t="shared" si="1188"/>
        <v>20941.5763890175</v>
      </c>
      <c r="H360" s="1">
        <f t="shared" si="1188"/>
        <v>13961.0509260117</v>
      </c>
      <c r="I360" s="1">
        <f t="shared" si="1188"/>
        <v>0</v>
      </c>
      <c r="J360" s="1">
        <f>标准模型!$I$65/1*$B360/$B$3</f>
        <v>2.5128</v>
      </c>
      <c r="K360" s="1">
        <f>J360*标准模型!$J$63</f>
        <v>2.5128</v>
      </c>
      <c r="L360" s="1">
        <f t="shared" si="1081"/>
        <v>97378.3302089313</v>
      </c>
      <c r="M360" s="1">
        <f t="shared" si="1082"/>
        <v>49999.186357057</v>
      </c>
      <c r="N360" s="1">
        <f t="shared" si="1083"/>
        <v>33332.7909047047</v>
      </c>
      <c r="O360" s="1">
        <f t="shared" ref="O360:W360" si="1189">O$5+(O$6-O$5)*(POWER(O$7,$B360-1)-1)/(POWER(O$7,$B$3-1)-1)</f>
        <v>0.848723720591474</v>
      </c>
      <c r="P360" s="1">
        <f t="shared" si="1189"/>
        <v>0.246165854482208</v>
      </c>
      <c r="Q360" s="1">
        <f t="shared" si="1189"/>
        <v>0.466798046325311</v>
      </c>
      <c r="R360" s="1">
        <f t="shared" si="1189"/>
        <v>1.13948948823659</v>
      </c>
      <c r="S360" s="1">
        <f t="shared" si="1189"/>
        <v>0.503340836768917</v>
      </c>
      <c r="T360" s="1">
        <f t="shared" si="1189"/>
        <v>3.36002251030675</v>
      </c>
      <c r="U360" s="1">
        <f t="shared" si="1189"/>
        <v>1</v>
      </c>
      <c r="V360" s="1">
        <f t="shared" si="1189"/>
        <v>1.38031749356814</v>
      </c>
      <c r="W360" s="1">
        <f t="shared" si="1189"/>
        <v>2.11591590589272</v>
      </c>
      <c r="X360" s="1">
        <f t="shared" si="1085"/>
        <v>5.77571377472869</v>
      </c>
      <c r="Y360" s="1">
        <f t="shared" si="1086"/>
        <v>11.3712577108241</v>
      </c>
      <c r="Z360" s="1">
        <f t="shared" si="1087"/>
        <v>1107314.08825549</v>
      </c>
      <c r="AA360" s="1">
        <f t="shared" si="1088"/>
        <v>49999.186357057</v>
      </c>
      <c r="AB360" s="1">
        <f t="shared" si="1089"/>
        <v>33332.7909047047</v>
      </c>
      <c r="AC360" s="1">
        <f>AB360/(AB360+战斗公式!$M$27)</f>
        <v>0.581391388396015</v>
      </c>
      <c r="AD360" s="1">
        <f t="shared" si="1090"/>
        <v>2645225.2953244</v>
      </c>
      <c r="AE360" s="1">
        <f t="shared" si="1091"/>
        <v>9.15997033293787</v>
      </c>
      <c r="AF360" s="1">
        <f t="shared" si="1092"/>
        <v>4.65255191408559</v>
      </c>
      <c r="AG360" s="1">
        <f t="shared" si="1093"/>
        <v>4.79746078306007</v>
      </c>
      <c r="AH360" s="1">
        <f t="shared" si="1094"/>
        <v>1.47454164160183</v>
      </c>
      <c r="AI360" s="1">
        <f t="shared" si="1095"/>
        <v>1.00000002033876</v>
      </c>
      <c r="AJ360" s="1">
        <f t="shared" si="1096"/>
        <v>1.00067410096958</v>
      </c>
      <c r="AK360" s="1">
        <f t="shared" si="1097"/>
        <v>1</v>
      </c>
      <c r="AL360" s="10">
        <f t="shared" si="1098"/>
        <v>1141803</v>
      </c>
      <c r="AM360" s="10">
        <f t="shared" si="1099"/>
        <v>73726</v>
      </c>
      <c r="AN360" s="10">
        <f t="shared" si="1100"/>
        <v>33333</v>
      </c>
      <c r="AO360" s="1">
        <f t="shared" si="1101"/>
        <v>580338</v>
      </c>
      <c r="AP360" s="1">
        <f t="shared" si="1102"/>
        <v>73726</v>
      </c>
      <c r="AR360" s="1">
        <f t="shared" ref="AR360:AX360" si="1190">ROUNDUP(AR$10*$AO360,0)</f>
        <v>580338</v>
      </c>
      <c r="AS360" s="1">
        <f t="shared" si="1190"/>
        <v>1741014</v>
      </c>
      <c r="AT360" s="1">
        <f t="shared" si="1190"/>
        <v>1044609</v>
      </c>
      <c r="AU360" s="1">
        <f t="shared" si="1190"/>
        <v>290169</v>
      </c>
      <c r="AV360" s="1">
        <f t="shared" si="1190"/>
        <v>87051</v>
      </c>
      <c r="AW360" s="1">
        <f t="shared" si="1190"/>
        <v>2321352</v>
      </c>
      <c r="AX360" s="1">
        <f t="shared" si="1190"/>
        <v>5223042</v>
      </c>
      <c r="AY360" s="1">
        <f t="shared" si="1104"/>
        <v>68508181</v>
      </c>
      <c r="AZ360" s="1">
        <f t="shared" si="1105"/>
        <v>34254091</v>
      </c>
      <c r="BB360" s="1">
        <f t="shared" si="1106"/>
        <v>349</v>
      </c>
    </row>
    <row r="361" spans="2:54">
      <c r="B361" s="4">
        <v>350</v>
      </c>
      <c r="C361" s="1">
        <f t="shared" ref="C361:I361" si="1191">C$5+(C$6-C$5)*(POWER(C$7,$B361-1)-1)/(POWER(C$7,$B$3-1)-1)</f>
        <v>27652.0677574417</v>
      </c>
      <c r="D361" s="1">
        <f t="shared" si="1191"/>
        <v>8295.6203272325</v>
      </c>
      <c r="E361" s="1">
        <f t="shared" si="1191"/>
        <v>5530.41355148833</v>
      </c>
      <c r="F361" s="1">
        <f t="shared" si="1191"/>
        <v>70005.2348289662</v>
      </c>
      <c r="G361" s="1">
        <f t="shared" si="1191"/>
        <v>21001.5704486899</v>
      </c>
      <c r="H361" s="1">
        <f t="shared" si="1191"/>
        <v>14001.0469657932</v>
      </c>
      <c r="I361" s="1">
        <f t="shared" si="1191"/>
        <v>0</v>
      </c>
      <c r="J361" s="1">
        <f>标准模型!$I$65/1*$B361/$B$3</f>
        <v>2.52</v>
      </c>
      <c r="K361" s="1">
        <f>J361*标准模型!$J$63</f>
        <v>2.52</v>
      </c>
      <c r="L361" s="1">
        <f t="shared" si="1081"/>
        <v>97657.3025864079</v>
      </c>
      <c r="M361" s="1">
        <f t="shared" si="1082"/>
        <v>50202.1540005483</v>
      </c>
      <c r="N361" s="1">
        <f t="shared" si="1083"/>
        <v>33468.1026670322</v>
      </c>
      <c r="O361" s="1">
        <f t="shared" ref="O361:W361" si="1192">O$5+(O$6-O$5)*(POWER(O$7,$B361-1)-1)/(POWER(O$7,$B$3-1)-1)</f>
        <v>0.849725625395622</v>
      </c>
      <c r="P361" s="1">
        <f t="shared" si="1192"/>
        <v>0.24707436038946</v>
      </c>
      <c r="Q361" s="1">
        <f t="shared" si="1192"/>
        <v>0.467349093967592</v>
      </c>
      <c r="R361" s="1">
        <f t="shared" si="1192"/>
        <v>1.13989025015825</v>
      </c>
      <c r="S361" s="1">
        <f t="shared" si="1192"/>
        <v>0.504643313014309</v>
      </c>
      <c r="T361" s="1">
        <f t="shared" si="1192"/>
        <v>3.36392993904293</v>
      </c>
      <c r="U361" s="1">
        <f t="shared" si="1192"/>
        <v>1</v>
      </c>
      <c r="V361" s="1">
        <f t="shared" si="1192"/>
        <v>1.38141016923488</v>
      </c>
      <c r="W361" s="1">
        <f t="shared" si="1192"/>
        <v>2.11912200126599</v>
      </c>
      <c r="X361" s="1">
        <f t="shared" si="1085"/>
        <v>5.80996437414151</v>
      </c>
      <c r="Y361" s="1">
        <f t="shared" si="1086"/>
        <v>11.4458177243461</v>
      </c>
      <c r="Z361" s="1">
        <f t="shared" si="1087"/>
        <v>1117767.68485534</v>
      </c>
      <c r="AA361" s="1">
        <f t="shared" si="1088"/>
        <v>50202.1540005483</v>
      </c>
      <c r="AB361" s="1">
        <f t="shared" si="1089"/>
        <v>33468.1026670322</v>
      </c>
      <c r="AC361" s="1">
        <f>AB361/(AB361+战斗公式!$M$27)</f>
        <v>0.582377025059362</v>
      </c>
      <c r="AD361" s="1">
        <f t="shared" si="1090"/>
        <v>2676499.50296489</v>
      </c>
      <c r="AE361" s="1">
        <f t="shared" si="1091"/>
        <v>9.17637907867301</v>
      </c>
      <c r="AF361" s="1">
        <f t="shared" si="1092"/>
        <v>4.65798397412043</v>
      </c>
      <c r="AG361" s="1">
        <f t="shared" si="1093"/>
        <v>4.79969748141817</v>
      </c>
      <c r="AH361" s="1">
        <f t="shared" si="1094"/>
        <v>1.479229703427</v>
      </c>
      <c r="AI361" s="1">
        <f t="shared" si="1095"/>
        <v>1.00000001932138</v>
      </c>
      <c r="AJ361" s="1">
        <f t="shared" si="1096"/>
        <v>1.0006599491428</v>
      </c>
      <c r="AK361" s="1">
        <f t="shared" si="1097"/>
        <v>1</v>
      </c>
      <c r="AL361" s="10">
        <f t="shared" si="1098"/>
        <v>1151774</v>
      </c>
      <c r="AM361" s="10">
        <f t="shared" si="1099"/>
        <v>74261</v>
      </c>
      <c r="AN361" s="10">
        <f t="shared" si="1100"/>
        <v>33468</v>
      </c>
      <c r="AO361" s="1">
        <f t="shared" si="1101"/>
        <v>585033</v>
      </c>
      <c r="AP361" s="1">
        <f t="shared" si="1102"/>
        <v>74261</v>
      </c>
      <c r="AR361" s="1">
        <f t="shared" ref="AR361:AX361" si="1193">ROUNDUP(AR$10*$AO361,0)</f>
        <v>585033</v>
      </c>
      <c r="AS361" s="1">
        <f t="shared" si="1193"/>
        <v>1755099</v>
      </c>
      <c r="AT361" s="1">
        <f t="shared" si="1193"/>
        <v>1053060</v>
      </c>
      <c r="AU361" s="1">
        <f t="shared" si="1193"/>
        <v>292517</v>
      </c>
      <c r="AV361" s="1">
        <f t="shared" si="1193"/>
        <v>87755</v>
      </c>
      <c r="AW361" s="1">
        <f t="shared" si="1193"/>
        <v>2340132</v>
      </c>
      <c r="AX361" s="1">
        <f t="shared" si="1193"/>
        <v>5265297</v>
      </c>
      <c r="AY361" s="1">
        <f t="shared" si="1104"/>
        <v>69106441</v>
      </c>
      <c r="AZ361" s="1">
        <f t="shared" si="1105"/>
        <v>34553221</v>
      </c>
      <c r="BB361" s="1">
        <f t="shared" si="1106"/>
        <v>350</v>
      </c>
    </row>
    <row r="362" spans="2:54">
      <c r="B362" s="4">
        <v>351</v>
      </c>
      <c r="C362" s="1">
        <f t="shared" ref="C362:I362" si="1194">C$5+(C$6-C$5)*(POWER(C$7,$B362-1)-1)/(POWER(C$7,$B$3-1)-1)</f>
        <v>27731.0598570099</v>
      </c>
      <c r="D362" s="1">
        <f t="shared" si="1194"/>
        <v>8319.31795710298</v>
      </c>
      <c r="E362" s="1">
        <f t="shared" si="1194"/>
        <v>5546.21197140198</v>
      </c>
      <c r="F362" s="1">
        <f t="shared" si="1194"/>
        <v>70205.2148278732</v>
      </c>
      <c r="G362" s="1">
        <f t="shared" si="1194"/>
        <v>21061.564448362</v>
      </c>
      <c r="H362" s="1">
        <f t="shared" si="1194"/>
        <v>14041.0429655746</v>
      </c>
      <c r="I362" s="1">
        <f t="shared" si="1194"/>
        <v>0</v>
      </c>
      <c r="J362" s="1">
        <f>标准模型!$I$65/1*$B362/$B$3</f>
        <v>2.5272</v>
      </c>
      <c r="K362" s="1">
        <f>J362*标准模型!$J$63</f>
        <v>2.5272</v>
      </c>
      <c r="L362" s="1">
        <f t="shared" si="1081"/>
        <v>97936.2746848831</v>
      </c>
      <c r="M362" s="1">
        <f t="shared" si="1082"/>
        <v>50405.4627466556</v>
      </c>
      <c r="N362" s="1">
        <f t="shared" si="1083"/>
        <v>33603.6418311037</v>
      </c>
      <c r="O362" s="1">
        <f t="shared" ref="O362:W362" si="1195">O$5+(O$6-O$5)*(POWER(O$7,$B362-1)-1)/(POWER(O$7,$B$3-1)-1)</f>
        <v>0.850727529197762</v>
      </c>
      <c r="P362" s="1">
        <f t="shared" si="1195"/>
        <v>0.247984229055574</v>
      </c>
      <c r="Q362" s="1">
        <f t="shared" si="1195"/>
        <v>0.467900141058769</v>
      </c>
      <c r="R362" s="1">
        <f t="shared" si="1195"/>
        <v>1.1402910116791</v>
      </c>
      <c r="S362" s="1">
        <f t="shared" si="1195"/>
        <v>0.50594578795709</v>
      </c>
      <c r="T362" s="1">
        <f t="shared" si="1195"/>
        <v>3.36783736387127</v>
      </c>
      <c r="U362" s="1">
        <f t="shared" si="1195"/>
        <v>1</v>
      </c>
      <c r="V362" s="1">
        <f t="shared" si="1195"/>
        <v>1.38250284380884</v>
      </c>
      <c r="W362" s="1">
        <f t="shared" si="1195"/>
        <v>2.12232809343284</v>
      </c>
      <c r="X362" s="1">
        <f t="shared" si="1085"/>
        <v>5.84438959490133</v>
      </c>
      <c r="Y362" s="1">
        <f t="shared" si="1086"/>
        <v>11.5208053973915</v>
      </c>
      <c r="Z362" s="1">
        <f t="shared" si="1087"/>
        <v>1128304.76199002</v>
      </c>
      <c r="AA362" s="1">
        <f t="shared" si="1088"/>
        <v>50405.4627466556</v>
      </c>
      <c r="AB362" s="1">
        <f t="shared" si="1089"/>
        <v>33603.6418311037</v>
      </c>
      <c r="AC362" s="1">
        <f>AB362/(AB362+战斗公式!$M$27)</f>
        <v>0.58335967593214</v>
      </c>
      <c r="AD362" s="1">
        <f t="shared" si="1090"/>
        <v>2708102.6410834</v>
      </c>
      <c r="AE362" s="1">
        <f t="shared" si="1091"/>
        <v>9.19281151646105</v>
      </c>
      <c r="AF362" s="1">
        <f t="shared" si="1092"/>
        <v>4.66342153360725</v>
      </c>
      <c r="AG362" s="1">
        <f t="shared" si="1093"/>
        <v>4.80191740453859</v>
      </c>
      <c r="AH362" s="1">
        <f t="shared" si="1094"/>
        <v>1.48392714137582</v>
      </c>
      <c r="AI362" s="1">
        <f t="shared" si="1095"/>
        <v>1.00000001835487</v>
      </c>
      <c r="AJ362" s="1">
        <f t="shared" si="1096"/>
        <v>1.00064608035256</v>
      </c>
      <c r="AK362" s="1">
        <f t="shared" si="1097"/>
        <v>1</v>
      </c>
      <c r="AL362" s="10">
        <f t="shared" si="1098"/>
        <v>1161814</v>
      </c>
      <c r="AM362" s="10">
        <f t="shared" si="1099"/>
        <v>74798</v>
      </c>
      <c r="AN362" s="10">
        <f t="shared" si="1100"/>
        <v>33604</v>
      </c>
      <c r="AO362" s="1">
        <f t="shared" si="1101"/>
        <v>589757</v>
      </c>
      <c r="AP362" s="1">
        <f t="shared" si="1102"/>
        <v>74798</v>
      </c>
      <c r="AR362" s="1">
        <f t="shared" ref="AR362:AX362" si="1196">ROUNDUP(AR$10*$AO362,0)</f>
        <v>589757</v>
      </c>
      <c r="AS362" s="1">
        <f t="shared" si="1196"/>
        <v>1769271</v>
      </c>
      <c r="AT362" s="1">
        <f t="shared" si="1196"/>
        <v>1061563</v>
      </c>
      <c r="AU362" s="1">
        <f t="shared" si="1196"/>
        <v>294879</v>
      </c>
      <c r="AV362" s="1">
        <f t="shared" si="1196"/>
        <v>88464</v>
      </c>
      <c r="AW362" s="1">
        <f t="shared" si="1196"/>
        <v>2359028</v>
      </c>
      <c r="AX362" s="1">
        <f t="shared" si="1196"/>
        <v>5307813</v>
      </c>
      <c r="AY362" s="1">
        <f t="shared" si="1104"/>
        <v>69708841</v>
      </c>
      <c r="AZ362" s="1">
        <f t="shared" si="1105"/>
        <v>34854421</v>
      </c>
      <c r="BB362" s="1">
        <f t="shared" si="1106"/>
        <v>351</v>
      </c>
    </row>
    <row r="363" spans="2:54">
      <c r="B363" s="4">
        <v>352</v>
      </c>
      <c r="C363" s="1">
        <f t="shared" ref="C363:I363" si="1197">C$5+(C$6-C$5)*(POWER(C$7,$B363-1)-1)/(POWER(C$7,$B$3-1)-1)</f>
        <v>27810.0518775954</v>
      </c>
      <c r="D363" s="1">
        <f t="shared" si="1197"/>
        <v>8343.01556327861</v>
      </c>
      <c r="E363" s="1">
        <f t="shared" si="1197"/>
        <v>5562.01037551907</v>
      </c>
      <c r="F363" s="1">
        <f t="shared" si="1197"/>
        <v>70405.1946268237</v>
      </c>
      <c r="G363" s="1">
        <f t="shared" si="1197"/>
        <v>21121.5583880471</v>
      </c>
      <c r="H363" s="1">
        <f t="shared" si="1197"/>
        <v>14081.0389253647</v>
      </c>
      <c r="I363" s="1">
        <f t="shared" si="1197"/>
        <v>0</v>
      </c>
      <c r="J363" s="1">
        <f>标准模型!$I$65/1*$B363/$B$3</f>
        <v>2.5344</v>
      </c>
      <c r="K363" s="1">
        <f>J363*标准模型!$J$63</f>
        <v>2.5344</v>
      </c>
      <c r="L363" s="1">
        <f t="shared" si="1081"/>
        <v>98215.246504419</v>
      </c>
      <c r="M363" s="1">
        <f t="shared" si="1082"/>
        <v>50609.112594899</v>
      </c>
      <c r="N363" s="1">
        <f t="shared" si="1083"/>
        <v>33739.4083965993</v>
      </c>
      <c r="O363" s="1">
        <f t="shared" ref="O363:W363" si="1198">O$5+(O$6-O$5)*(POWER(O$7,$B363-1)-1)/(POWER(O$7,$B$3-1)-1)</f>
        <v>0.851729431998115</v>
      </c>
      <c r="P363" s="1">
        <f t="shared" si="1198"/>
        <v>0.248895462524687</v>
      </c>
      <c r="Q363" s="1">
        <f t="shared" si="1198"/>
        <v>0.468451187598963</v>
      </c>
      <c r="R363" s="1">
        <f t="shared" si="1198"/>
        <v>1.14069177279925</v>
      </c>
      <c r="S363" s="1">
        <f t="shared" si="1198"/>
        <v>0.507248261597549</v>
      </c>
      <c r="T363" s="1">
        <f t="shared" si="1198"/>
        <v>3.37174478479265</v>
      </c>
      <c r="U363" s="1">
        <f t="shared" si="1198"/>
        <v>1</v>
      </c>
      <c r="V363" s="1">
        <f t="shared" si="1198"/>
        <v>1.38359551729025</v>
      </c>
      <c r="W363" s="1">
        <f t="shared" si="1198"/>
        <v>2.12553418239397</v>
      </c>
      <c r="X363" s="1">
        <f t="shared" si="1085"/>
        <v>5.87899016648582</v>
      </c>
      <c r="Y363" s="1">
        <f t="shared" si="1086"/>
        <v>11.5962227946096</v>
      </c>
      <c r="Z363" s="1">
        <f t="shared" si="1087"/>
        <v>1138925.88029275</v>
      </c>
      <c r="AA363" s="1">
        <f t="shared" si="1088"/>
        <v>50609.112594899</v>
      </c>
      <c r="AB363" s="1">
        <f t="shared" si="1089"/>
        <v>33739.4083965993</v>
      </c>
      <c r="AC363" s="1">
        <f>AB363/(AB363+战斗公式!$M$27)</f>
        <v>0.58433935042858</v>
      </c>
      <c r="AD363" s="1">
        <f t="shared" si="1090"/>
        <v>2740037.77231997</v>
      </c>
      <c r="AE363" s="1">
        <f t="shared" si="1091"/>
        <v>9.20926762121265</v>
      </c>
      <c r="AF363" s="1">
        <f t="shared" si="1092"/>
        <v>4.66886457293769</v>
      </c>
      <c r="AG363" s="1">
        <f t="shared" si="1093"/>
        <v>4.8041206782356</v>
      </c>
      <c r="AH363" s="1">
        <f t="shared" si="1094"/>
        <v>1.48863397420055</v>
      </c>
      <c r="AI363" s="1">
        <f t="shared" si="1095"/>
        <v>1.00000001743669</v>
      </c>
      <c r="AJ363" s="1">
        <f t="shared" si="1096"/>
        <v>1.00063248893812</v>
      </c>
      <c r="AK363" s="1">
        <f t="shared" si="1097"/>
        <v>1</v>
      </c>
      <c r="AL363" s="10">
        <f t="shared" si="1098"/>
        <v>1171920</v>
      </c>
      <c r="AM363" s="10">
        <f t="shared" si="1099"/>
        <v>75338</v>
      </c>
      <c r="AN363" s="10">
        <f t="shared" si="1100"/>
        <v>33739</v>
      </c>
      <c r="AO363" s="1">
        <f t="shared" si="1101"/>
        <v>594510</v>
      </c>
      <c r="AP363" s="1">
        <f t="shared" si="1102"/>
        <v>75338</v>
      </c>
      <c r="AR363" s="1">
        <f t="shared" ref="AR363:AX363" si="1199">ROUNDUP(AR$10*$AO363,0)</f>
        <v>594510</v>
      </c>
      <c r="AS363" s="1">
        <f t="shared" si="1199"/>
        <v>1783530</v>
      </c>
      <c r="AT363" s="1">
        <f t="shared" si="1199"/>
        <v>1070118</v>
      </c>
      <c r="AU363" s="1">
        <f t="shared" si="1199"/>
        <v>297255</v>
      </c>
      <c r="AV363" s="1">
        <f t="shared" si="1199"/>
        <v>89177</v>
      </c>
      <c r="AW363" s="1">
        <f t="shared" si="1199"/>
        <v>2378040</v>
      </c>
      <c r="AX363" s="1">
        <f t="shared" si="1199"/>
        <v>5350590</v>
      </c>
      <c r="AY363" s="1">
        <f t="shared" si="1104"/>
        <v>70315201</v>
      </c>
      <c r="AZ363" s="1">
        <f t="shared" si="1105"/>
        <v>35157601</v>
      </c>
      <c r="BB363" s="1">
        <f t="shared" si="1106"/>
        <v>352</v>
      </c>
    </row>
    <row r="364" spans="2:54">
      <c r="B364" s="4">
        <v>353</v>
      </c>
      <c r="C364" s="1">
        <f t="shared" ref="C364:I364" si="1200">C$5+(C$6-C$5)*(POWER(C$7,$B364-1)-1)/(POWER(C$7,$B$3-1)-1)</f>
        <v>27889.0438191804</v>
      </c>
      <c r="D364" s="1">
        <f t="shared" si="1200"/>
        <v>8366.71314575412</v>
      </c>
      <c r="E364" s="1">
        <f t="shared" si="1200"/>
        <v>5577.80876383608</v>
      </c>
      <c r="F364" s="1">
        <f t="shared" si="1200"/>
        <v>70605.1742257732</v>
      </c>
      <c r="G364" s="1">
        <f t="shared" si="1200"/>
        <v>21181.5522677319</v>
      </c>
      <c r="H364" s="1">
        <f t="shared" si="1200"/>
        <v>14121.0348451546</v>
      </c>
      <c r="I364" s="1">
        <f t="shared" si="1200"/>
        <v>0</v>
      </c>
      <c r="J364" s="1">
        <f>标准模型!$I$65/1*$B364/$B$3</f>
        <v>2.5416</v>
      </c>
      <c r="K364" s="1">
        <f>J364*标准模型!$J$63</f>
        <v>2.5416</v>
      </c>
      <c r="L364" s="1">
        <f t="shared" si="1081"/>
        <v>98494.2180449536</v>
      </c>
      <c r="M364" s="1">
        <f t="shared" si="1082"/>
        <v>50813.1035447347</v>
      </c>
      <c r="N364" s="1">
        <f t="shared" si="1083"/>
        <v>33875.4023631565</v>
      </c>
      <c r="O364" s="1">
        <f t="shared" ref="O364:W364" si="1201">O$5+(O$6-O$5)*(POWER(O$7,$B364-1)-1)/(POWER(O$7,$B$3-1)-1)</f>
        <v>0.852731333796459</v>
      </c>
      <c r="P364" s="1">
        <f t="shared" si="1201"/>
        <v>0.249808062844004</v>
      </c>
      <c r="Q364" s="1">
        <f t="shared" si="1201"/>
        <v>0.469002233588052</v>
      </c>
      <c r="R364" s="1">
        <f t="shared" si="1201"/>
        <v>1.14109253351858</v>
      </c>
      <c r="S364" s="1">
        <f t="shared" si="1201"/>
        <v>0.508550733935396</v>
      </c>
      <c r="T364" s="1">
        <f t="shared" si="1201"/>
        <v>3.37565220180619</v>
      </c>
      <c r="U364" s="1">
        <f t="shared" si="1201"/>
        <v>1</v>
      </c>
      <c r="V364" s="1">
        <f t="shared" si="1201"/>
        <v>1.38468818967887</v>
      </c>
      <c r="W364" s="1">
        <f t="shared" si="1201"/>
        <v>2.12874026814867</v>
      </c>
      <c r="X364" s="1">
        <f t="shared" si="1085"/>
        <v>5.9137668206986</v>
      </c>
      <c r="Y364" s="1">
        <f t="shared" si="1086"/>
        <v>11.6720719885919</v>
      </c>
      <c r="Z364" s="1">
        <f t="shared" si="1087"/>
        <v>1149631.60348077</v>
      </c>
      <c r="AA364" s="1">
        <f t="shared" si="1088"/>
        <v>50813.1035447347</v>
      </c>
      <c r="AB364" s="1">
        <f t="shared" si="1089"/>
        <v>33875.4023631565</v>
      </c>
      <c r="AC364" s="1">
        <f>AB364/(AB364+战斗公式!$M$27)</f>
        <v>0.585316057944533</v>
      </c>
      <c r="AD364" s="1">
        <f t="shared" si="1090"/>
        <v>2772307.9842021</v>
      </c>
      <c r="AE364" s="1">
        <f t="shared" si="1091"/>
        <v>9.2257473679147</v>
      </c>
      <c r="AF364" s="1">
        <f t="shared" si="1092"/>
        <v>4.67431307259296</v>
      </c>
      <c r="AG364" s="1">
        <f t="shared" si="1093"/>
        <v>4.80630742737989</v>
      </c>
      <c r="AH364" s="1">
        <f t="shared" si="1094"/>
        <v>1.49335022069092</v>
      </c>
      <c r="AI364" s="1">
        <f t="shared" si="1095"/>
        <v>1.00000001656441</v>
      </c>
      <c r="AJ364" s="1">
        <f t="shared" si="1096"/>
        <v>1.00061916935197</v>
      </c>
      <c r="AK364" s="1">
        <f t="shared" si="1097"/>
        <v>1</v>
      </c>
      <c r="AL364" s="10">
        <f t="shared" si="1098"/>
        <v>1182095</v>
      </c>
      <c r="AM364" s="10">
        <f t="shared" si="1099"/>
        <v>75882</v>
      </c>
      <c r="AN364" s="10">
        <f t="shared" si="1100"/>
        <v>33875</v>
      </c>
      <c r="AO364" s="1">
        <f t="shared" si="1101"/>
        <v>599291</v>
      </c>
      <c r="AP364" s="1">
        <f t="shared" si="1102"/>
        <v>75882</v>
      </c>
      <c r="AR364" s="1">
        <f t="shared" ref="AR364:AX364" si="1202">ROUNDUP(AR$10*$AO364,0)</f>
        <v>599291</v>
      </c>
      <c r="AS364" s="1">
        <f t="shared" si="1202"/>
        <v>1797873</v>
      </c>
      <c r="AT364" s="1">
        <f t="shared" si="1202"/>
        <v>1078724</v>
      </c>
      <c r="AU364" s="1">
        <f t="shared" si="1202"/>
        <v>299646</v>
      </c>
      <c r="AV364" s="1">
        <f t="shared" si="1202"/>
        <v>89894</v>
      </c>
      <c r="AW364" s="1">
        <f t="shared" si="1202"/>
        <v>2397164</v>
      </c>
      <c r="AX364" s="1">
        <f t="shared" si="1202"/>
        <v>5393619</v>
      </c>
      <c r="AY364" s="1">
        <f t="shared" si="1104"/>
        <v>70925701</v>
      </c>
      <c r="AZ364" s="1">
        <f t="shared" si="1105"/>
        <v>35462851</v>
      </c>
      <c r="BB364" s="1">
        <f t="shared" si="1106"/>
        <v>353</v>
      </c>
    </row>
    <row r="365" spans="2:54">
      <c r="B365" s="4">
        <v>354</v>
      </c>
      <c r="C365" s="1">
        <f t="shared" ref="C365:I365" si="1203">C$5+(C$6-C$5)*(POWER(C$7,$B365-1)-1)/(POWER(C$7,$B$3-1)-1)</f>
        <v>27968.0356817739</v>
      </c>
      <c r="D365" s="1">
        <f t="shared" si="1203"/>
        <v>8390.41070453216</v>
      </c>
      <c r="E365" s="1">
        <f t="shared" si="1203"/>
        <v>5593.60713635477</v>
      </c>
      <c r="F365" s="1">
        <f t="shared" si="1203"/>
        <v>70805.1536247439</v>
      </c>
      <c r="G365" s="1">
        <f t="shared" si="1203"/>
        <v>21241.5460874232</v>
      </c>
      <c r="H365" s="1">
        <f t="shared" si="1203"/>
        <v>14161.0307249488</v>
      </c>
      <c r="I365" s="1">
        <f t="shared" si="1203"/>
        <v>0</v>
      </c>
      <c r="J365" s="1">
        <f>标准模型!$I$65/1*$B365/$B$3</f>
        <v>2.5488</v>
      </c>
      <c r="K365" s="1">
        <f>J365*标准模型!$J$63</f>
        <v>2.5488</v>
      </c>
      <c r="L365" s="1">
        <f t="shared" si="1081"/>
        <v>98773.1893065178</v>
      </c>
      <c r="M365" s="1">
        <f t="shared" si="1082"/>
        <v>51017.4355956669</v>
      </c>
      <c r="N365" s="1">
        <f t="shared" si="1083"/>
        <v>34011.6237304446</v>
      </c>
      <c r="O365" s="1">
        <f t="shared" ref="O365:W365" si="1204">O$5+(O$6-O$5)*(POWER(O$7,$B365-1)-1)/(POWER(O$7,$B$3-1)-1)</f>
        <v>0.853733234592905</v>
      </c>
      <c r="P365" s="1">
        <f t="shared" si="1204"/>
        <v>0.2507220320638</v>
      </c>
      <c r="Q365" s="1">
        <f t="shared" si="1204"/>
        <v>0.469553279026098</v>
      </c>
      <c r="R365" s="1">
        <f t="shared" si="1204"/>
        <v>1.14149329383716</v>
      </c>
      <c r="S365" s="1">
        <f t="shared" si="1204"/>
        <v>0.509853204970777</v>
      </c>
      <c r="T365" s="1">
        <f t="shared" si="1204"/>
        <v>3.37955961491233</v>
      </c>
      <c r="U365" s="1">
        <f t="shared" si="1204"/>
        <v>1</v>
      </c>
      <c r="V365" s="1">
        <f t="shared" si="1204"/>
        <v>1.38578086097483</v>
      </c>
      <c r="W365" s="1">
        <f t="shared" si="1204"/>
        <v>2.1319463506973</v>
      </c>
      <c r="X365" s="1">
        <f t="shared" si="1085"/>
        <v>5.94872029169819</v>
      </c>
      <c r="Y365" s="1">
        <f t="shared" si="1086"/>
        <v>11.7483550599493</v>
      </c>
      <c r="Z365" s="1">
        <f t="shared" si="1087"/>
        <v>1160422.49837656</v>
      </c>
      <c r="AA365" s="1">
        <f t="shared" si="1088"/>
        <v>51017.4355956669</v>
      </c>
      <c r="AB365" s="1">
        <f t="shared" si="1089"/>
        <v>34011.6237304446</v>
      </c>
      <c r="AC365" s="1">
        <f>AB365/(AB365+战斗公式!$M$27)</f>
        <v>0.586289807857856</v>
      </c>
      <c r="AD365" s="1">
        <f t="shared" si="1090"/>
        <v>2804916.38934014</v>
      </c>
      <c r="AE365" s="1">
        <f t="shared" si="1091"/>
        <v>9.24225073164789</v>
      </c>
      <c r="AF365" s="1">
        <f t="shared" si="1092"/>
        <v>4.67976701314929</v>
      </c>
      <c r="AG365" s="1">
        <f t="shared" si="1093"/>
        <v>4.80847777590559</v>
      </c>
      <c r="AH365" s="1">
        <f t="shared" si="1094"/>
        <v>1.49807589967427</v>
      </c>
      <c r="AI365" s="1">
        <f t="shared" si="1095"/>
        <v>1.00000001573575</v>
      </c>
      <c r="AJ365" s="1">
        <f t="shared" si="1096"/>
        <v>1.00060611615754</v>
      </c>
      <c r="AK365" s="1">
        <f t="shared" si="1097"/>
        <v>1</v>
      </c>
      <c r="AL365" s="10">
        <f t="shared" si="1098"/>
        <v>1192338</v>
      </c>
      <c r="AM365" s="10">
        <f t="shared" si="1099"/>
        <v>76428</v>
      </c>
      <c r="AN365" s="10">
        <f t="shared" si="1100"/>
        <v>34012</v>
      </c>
      <c r="AO365" s="1">
        <f t="shared" si="1101"/>
        <v>604100</v>
      </c>
      <c r="AP365" s="1">
        <f t="shared" si="1102"/>
        <v>76428</v>
      </c>
      <c r="AR365" s="1">
        <f t="shared" ref="AR365:AX365" si="1205">ROUNDUP(AR$10*$AO365,0)</f>
        <v>604100</v>
      </c>
      <c r="AS365" s="1">
        <f t="shared" si="1205"/>
        <v>1812300</v>
      </c>
      <c r="AT365" s="1">
        <f t="shared" si="1205"/>
        <v>1087380</v>
      </c>
      <c r="AU365" s="1">
        <f t="shared" si="1205"/>
        <v>302050</v>
      </c>
      <c r="AV365" s="1">
        <f t="shared" si="1205"/>
        <v>90615</v>
      </c>
      <c r="AW365" s="1">
        <f t="shared" si="1205"/>
        <v>2416400</v>
      </c>
      <c r="AX365" s="1">
        <f t="shared" si="1205"/>
        <v>5436900</v>
      </c>
      <c r="AY365" s="1">
        <f t="shared" si="1104"/>
        <v>71540281</v>
      </c>
      <c r="AZ365" s="1">
        <f t="shared" si="1105"/>
        <v>35770141</v>
      </c>
      <c r="BB365" s="1">
        <f t="shared" si="1106"/>
        <v>354</v>
      </c>
    </row>
    <row r="366" spans="2:54">
      <c r="B366" s="4">
        <v>355</v>
      </c>
      <c r="C366" s="1">
        <f t="shared" ref="C366:I366" si="1206">C$5+(C$6-C$5)*(POWER(C$7,$B366-1)-1)/(POWER(C$7,$B$3-1)-1)</f>
        <v>28047.0274653757</v>
      </c>
      <c r="D366" s="1">
        <f t="shared" si="1206"/>
        <v>8414.10823961271</v>
      </c>
      <c r="E366" s="1">
        <f t="shared" si="1206"/>
        <v>5609.40549307514</v>
      </c>
      <c r="F366" s="1">
        <f t="shared" si="1206"/>
        <v>71005.1328237359</v>
      </c>
      <c r="G366" s="1">
        <f t="shared" si="1206"/>
        <v>21301.5398471208</v>
      </c>
      <c r="H366" s="1">
        <f t="shared" si="1206"/>
        <v>14201.0265647472</v>
      </c>
      <c r="I366" s="1">
        <f t="shared" si="1206"/>
        <v>0</v>
      </c>
      <c r="J366" s="1">
        <f>标准模型!$I$65/1*$B366/$B$3</f>
        <v>2.556</v>
      </c>
      <c r="K366" s="1">
        <f>J366*标准模型!$J$63</f>
        <v>2.556</v>
      </c>
      <c r="L366" s="1">
        <f t="shared" si="1081"/>
        <v>99052.1602891116</v>
      </c>
      <c r="M366" s="1">
        <f t="shared" si="1082"/>
        <v>51222.1087471836</v>
      </c>
      <c r="N366" s="1">
        <f t="shared" si="1083"/>
        <v>34148.0724981224</v>
      </c>
      <c r="O366" s="1">
        <f t="shared" ref="O366:W366" si="1207">O$5+(O$6-O$5)*(POWER(O$7,$B366-1)-1)/(POWER(O$7,$B$3-1)-1)</f>
        <v>0.854735134387455</v>
      </c>
      <c r="P366" s="1">
        <f t="shared" si="1207"/>
        <v>0.251637372237425</v>
      </c>
      <c r="Q366" s="1">
        <f t="shared" si="1207"/>
        <v>0.4701043239131</v>
      </c>
      <c r="R366" s="1">
        <f t="shared" si="1207"/>
        <v>1.14189405375498</v>
      </c>
      <c r="S366" s="1">
        <f t="shared" si="1207"/>
        <v>0.511155674703691</v>
      </c>
      <c r="T366" s="1">
        <f t="shared" si="1207"/>
        <v>3.38346702411107</v>
      </c>
      <c r="U366" s="1">
        <f t="shared" si="1207"/>
        <v>1</v>
      </c>
      <c r="V366" s="1">
        <f t="shared" si="1207"/>
        <v>1.38687353117811</v>
      </c>
      <c r="W366" s="1">
        <f t="shared" si="1207"/>
        <v>2.13515243003985</v>
      </c>
      <c r="X366" s="1">
        <f t="shared" si="1085"/>
        <v>5.98385131599046</v>
      </c>
      <c r="Y366" s="1">
        <f t="shared" si="1086"/>
        <v>11.8250740973052</v>
      </c>
      <c r="Z366" s="1">
        <f t="shared" si="1087"/>
        <v>1171299.1349169</v>
      </c>
      <c r="AA366" s="1">
        <f t="shared" si="1088"/>
        <v>51222.1087471836</v>
      </c>
      <c r="AB366" s="1">
        <f t="shared" si="1089"/>
        <v>34148.0724981224</v>
      </c>
      <c r="AC366" s="1">
        <f>AB366/(AB366+战斗公式!$M$27)</f>
        <v>0.587260609527943</v>
      </c>
      <c r="AD366" s="1">
        <f t="shared" si="1090"/>
        <v>2837866.12558899</v>
      </c>
      <c r="AE366" s="1">
        <f t="shared" si="1091"/>
        <v>9.25877768757569</v>
      </c>
      <c r="AF366" s="1">
        <f t="shared" si="1092"/>
        <v>4.68522637527393</v>
      </c>
      <c r="AG366" s="1">
        <f t="shared" si="1093"/>
        <v>4.81063184681735</v>
      </c>
      <c r="AH366" s="1">
        <f t="shared" si="1094"/>
        <v>1.50281103001559</v>
      </c>
      <c r="AI366" s="1">
        <f t="shared" si="1095"/>
        <v>1.00000001494853</v>
      </c>
      <c r="AJ366" s="1">
        <f t="shared" si="1096"/>
        <v>1.000593324027</v>
      </c>
      <c r="AK366" s="1">
        <f t="shared" si="1097"/>
        <v>1</v>
      </c>
      <c r="AL366" s="10">
        <f t="shared" si="1098"/>
        <v>1202650</v>
      </c>
      <c r="AM366" s="10">
        <f t="shared" si="1099"/>
        <v>76977</v>
      </c>
      <c r="AN366" s="10">
        <f t="shared" si="1100"/>
        <v>34148</v>
      </c>
      <c r="AO366" s="1">
        <f t="shared" si="1101"/>
        <v>608939</v>
      </c>
      <c r="AP366" s="1">
        <f t="shared" si="1102"/>
        <v>76977</v>
      </c>
      <c r="AR366" s="1">
        <f t="shared" ref="AR366:AX366" si="1208">ROUNDUP(AR$10*$AO366,0)</f>
        <v>608939</v>
      </c>
      <c r="AS366" s="1">
        <f t="shared" si="1208"/>
        <v>1826817</v>
      </c>
      <c r="AT366" s="1">
        <f t="shared" si="1208"/>
        <v>1096091</v>
      </c>
      <c r="AU366" s="1">
        <f t="shared" si="1208"/>
        <v>304470</v>
      </c>
      <c r="AV366" s="1">
        <f t="shared" si="1208"/>
        <v>91341</v>
      </c>
      <c r="AW366" s="1">
        <f t="shared" si="1208"/>
        <v>2435756</v>
      </c>
      <c r="AX366" s="1">
        <f t="shared" si="1208"/>
        <v>5480451</v>
      </c>
      <c r="AY366" s="1">
        <f t="shared" si="1104"/>
        <v>72159001</v>
      </c>
      <c r="AZ366" s="1">
        <f t="shared" si="1105"/>
        <v>36079501</v>
      </c>
      <c r="BB366" s="1">
        <f t="shared" si="1106"/>
        <v>355</v>
      </c>
    </row>
    <row r="367" spans="2:54">
      <c r="B367" s="4">
        <v>356</v>
      </c>
      <c r="C367" s="1">
        <f t="shared" ref="C367:I367" si="1209">C$5+(C$6-C$5)*(POWER(C$7,$B367-1)-1)/(POWER(C$7,$B$3-1)-1)</f>
        <v>28126.0191699859</v>
      </c>
      <c r="D367" s="1">
        <f t="shared" si="1209"/>
        <v>8437.80575099578</v>
      </c>
      <c r="E367" s="1">
        <f t="shared" si="1209"/>
        <v>5625.20383399718</v>
      </c>
      <c r="F367" s="1">
        <f t="shared" si="1209"/>
        <v>71205.1118227492</v>
      </c>
      <c r="G367" s="1">
        <f t="shared" si="1209"/>
        <v>21361.5335468248</v>
      </c>
      <c r="H367" s="1">
        <f t="shared" si="1209"/>
        <v>14241.0223645498</v>
      </c>
      <c r="I367" s="1">
        <f t="shared" si="1209"/>
        <v>0</v>
      </c>
      <c r="J367" s="1">
        <f>标准模型!$I$65/1*$B367/$B$3</f>
        <v>2.5632</v>
      </c>
      <c r="K367" s="1">
        <f>J367*标准模型!$J$63</f>
        <v>2.5632</v>
      </c>
      <c r="L367" s="1">
        <f t="shared" si="1081"/>
        <v>99331.1309927351</v>
      </c>
      <c r="M367" s="1">
        <f t="shared" si="1082"/>
        <v>51427.1229987729</v>
      </c>
      <c r="N367" s="1">
        <f t="shared" si="1083"/>
        <v>34284.7486658486</v>
      </c>
      <c r="O367" s="1">
        <f t="shared" ref="O367:W367" si="1210">O$5+(O$6-O$5)*(POWER(O$7,$B367-1)-1)/(POWER(O$7,$B$3-1)-1)</f>
        <v>0.855737033180106</v>
      </c>
      <c r="P367" s="1">
        <f t="shared" si="1210"/>
        <v>0.252554085421311</v>
      </c>
      <c r="Q367" s="1">
        <f t="shared" si="1210"/>
        <v>0.470655368249058</v>
      </c>
      <c r="R367" s="1">
        <f t="shared" si="1210"/>
        <v>1.14229481327204</v>
      </c>
      <c r="S367" s="1">
        <f t="shared" si="1210"/>
        <v>0.512458143134138</v>
      </c>
      <c r="T367" s="1">
        <f t="shared" si="1210"/>
        <v>3.38737442940241</v>
      </c>
      <c r="U367" s="1">
        <f t="shared" si="1210"/>
        <v>1</v>
      </c>
      <c r="V367" s="1">
        <f t="shared" si="1210"/>
        <v>1.38796620028873</v>
      </c>
      <c r="W367" s="1">
        <f t="shared" si="1210"/>
        <v>2.13835850617634</v>
      </c>
      <c r="X367" s="1">
        <f t="shared" si="1085"/>
        <v>6.019160632438</v>
      </c>
      <c r="Y367" s="1">
        <f t="shared" si="1086"/>
        <v>11.9022311973279</v>
      </c>
      <c r="Z367" s="1">
        <f t="shared" si="1087"/>
        <v>1182262.0861676</v>
      </c>
      <c r="AA367" s="1">
        <f t="shared" si="1088"/>
        <v>51427.1229987729</v>
      </c>
      <c r="AB367" s="1">
        <f t="shared" si="1089"/>
        <v>34284.7486658486</v>
      </c>
      <c r="AC367" s="1">
        <f>AB367/(AB367+战斗公式!$M$27)</f>
        <v>0.58822847229566</v>
      </c>
      <c r="AD367" s="1">
        <f t="shared" si="1090"/>
        <v>2871160.35622668</v>
      </c>
      <c r="AE367" s="1">
        <f t="shared" si="1091"/>
        <v>9.2753282109465</v>
      </c>
      <c r="AF367" s="1">
        <f t="shared" si="1092"/>
        <v>4.69069113972553</v>
      </c>
      <c r="AG367" s="1">
        <f t="shared" si="1093"/>
        <v>4.81276976219727</v>
      </c>
      <c r="AH367" s="1">
        <f t="shared" si="1094"/>
        <v>1.50755563061759</v>
      </c>
      <c r="AI367" s="1">
        <f t="shared" si="1095"/>
        <v>1.00000001420066</v>
      </c>
      <c r="AJ367" s="1">
        <f t="shared" si="1096"/>
        <v>1.00058078773907</v>
      </c>
      <c r="AK367" s="1">
        <f t="shared" si="1097"/>
        <v>1</v>
      </c>
      <c r="AL367" s="10">
        <f t="shared" si="1098"/>
        <v>1213031</v>
      </c>
      <c r="AM367" s="10">
        <f t="shared" si="1099"/>
        <v>77529</v>
      </c>
      <c r="AN367" s="10">
        <f t="shared" si="1100"/>
        <v>34285</v>
      </c>
      <c r="AO367" s="1">
        <f t="shared" si="1101"/>
        <v>613807</v>
      </c>
      <c r="AP367" s="1">
        <f t="shared" si="1102"/>
        <v>77529</v>
      </c>
      <c r="AR367" s="1">
        <f t="shared" ref="AR367:AX367" si="1211">ROUNDUP(AR$10*$AO367,0)</f>
        <v>613807</v>
      </c>
      <c r="AS367" s="1">
        <f t="shared" si="1211"/>
        <v>1841421</v>
      </c>
      <c r="AT367" s="1">
        <f t="shared" si="1211"/>
        <v>1104853</v>
      </c>
      <c r="AU367" s="1">
        <f t="shared" si="1211"/>
        <v>306904</v>
      </c>
      <c r="AV367" s="1">
        <f t="shared" si="1211"/>
        <v>92072</v>
      </c>
      <c r="AW367" s="1">
        <f t="shared" si="1211"/>
        <v>2455228</v>
      </c>
      <c r="AX367" s="1">
        <f t="shared" si="1211"/>
        <v>5524263</v>
      </c>
      <c r="AY367" s="1">
        <f t="shared" si="1104"/>
        <v>72781861</v>
      </c>
      <c r="AZ367" s="1">
        <f t="shared" si="1105"/>
        <v>36390931</v>
      </c>
      <c r="BB367" s="1">
        <f t="shared" si="1106"/>
        <v>356</v>
      </c>
    </row>
    <row r="368" spans="2:54">
      <c r="B368" s="4">
        <v>357</v>
      </c>
      <c r="C368" s="1">
        <f t="shared" ref="C368:I368" si="1212">C$5+(C$6-C$5)*(POWER(C$7,$B368-1)-1)/(POWER(C$7,$B$3-1)-1)</f>
        <v>28205.0107956133</v>
      </c>
      <c r="D368" s="1">
        <f t="shared" si="1212"/>
        <v>8461.503238684</v>
      </c>
      <c r="E368" s="1">
        <f t="shared" si="1212"/>
        <v>5641.00215912267</v>
      </c>
      <c r="F368" s="1">
        <f t="shared" si="1212"/>
        <v>71405.0906218059</v>
      </c>
      <c r="G368" s="1">
        <f t="shared" si="1212"/>
        <v>21421.5271865418</v>
      </c>
      <c r="H368" s="1">
        <f t="shared" si="1212"/>
        <v>14281.0181243612</v>
      </c>
      <c r="I368" s="1">
        <f t="shared" si="1212"/>
        <v>0</v>
      </c>
      <c r="J368" s="1">
        <f>标准模型!$I$65/1*$B368/$B$3</f>
        <v>2.5704</v>
      </c>
      <c r="K368" s="1">
        <f>J368*标准模型!$J$63</f>
        <v>2.5704</v>
      </c>
      <c r="L368" s="1">
        <f t="shared" si="1081"/>
        <v>99610.1014174192</v>
      </c>
      <c r="M368" s="1">
        <f t="shared" si="1082"/>
        <v>51632.4783499391</v>
      </c>
      <c r="N368" s="1">
        <f t="shared" si="1083"/>
        <v>34421.6522332927</v>
      </c>
      <c r="O368" s="1">
        <f t="shared" ref="O368:W368" si="1213">O$5+(O$6-O$5)*(POWER(O$7,$B368-1)-1)/(POWER(O$7,$B$3-1)-1)</f>
        <v>0.856738930970971</v>
      </c>
      <c r="P368" s="1">
        <f t="shared" si="1213"/>
        <v>0.253472173674972</v>
      </c>
      <c r="Q368" s="1">
        <f t="shared" si="1213"/>
        <v>0.471206412034034</v>
      </c>
      <c r="R368" s="1">
        <f t="shared" si="1213"/>
        <v>1.14269557238839</v>
      </c>
      <c r="S368" s="1">
        <f t="shared" si="1213"/>
        <v>0.513760610262263</v>
      </c>
      <c r="T368" s="1">
        <f t="shared" si="1213"/>
        <v>3.39128183078679</v>
      </c>
      <c r="U368" s="1">
        <f t="shared" si="1213"/>
        <v>1</v>
      </c>
      <c r="V368" s="1">
        <f t="shared" si="1213"/>
        <v>1.3890588683068</v>
      </c>
      <c r="W368" s="1">
        <f t="shared" si="1213"/>
        <v>2.14156457910711</v>
      </c>
      <c r="X368" s="1">
        <f t="shared" si="1085"/>
        <v>6.05464898226918</v>
      </c>
      <c r="Y368" s="1">
        <f t="shared" si="1086"/>
        <v>11.979828464762</v>
      </c>
      <c r="Z368" s="1">
        <f t="shared" si="1087"/>
        <v>1193311.92833823</v>
      </c>
      <c r="AA368" s="1">
        <f t="shared" si="1088"/>
        <v>51632.4783499391</v>
      </c>
      <c r="AB368" s="1">
        <f t="shared" si="1089"/>
        <v>34421.6522332927</v>
      </c>
      <c r="AC368" s="1">
        <f>AB368/(AB368+战斗公式!$M$27)</f>
        <v>0.589193405483265</v>
      </c>
      <c r="AD368" s="1">
        <f t="shared" si="1090"/>
        <v>2904802.270134</v>
      </c>
      <c r="AE368" s="1">
        <f t="shared" si="1091"/>
        <v>9.29190227709551</v>
      </c>
      <c r="AF368" s="1">
        <f t="shared" si="1092"/>
        <v>4.69616128735434</v>
      </c>
      <c r="AG368" s="1">
        <f t="shared" si="1093"/>
        <v>4.81489164321185</v>
      </c>
      <c r="AH368" s="1">
        <f t="shared" si="1094"/>
        <v>1.5123097204208</v>
      </c>
      <c r="AI368" s="1">
        <f t="shared" si="1095"/>
        <v>1.00000001349019</v>
      </c>
      <c r="AJ368" s="1">
        <f t="shared" si="1096"/>
        <v>1.0005685021769</v>
      </c>
      <c r="AK368" s="1">
        <f t="shared" si="1097"/>
        <v>1</v>
      </c>
      <c r="AL368" s="10">
        <f t="shared" si="1098"/>
        <v>1223482</v>
      </c>
      <c r="AM368" s="10">
        <f t="shared" si="1099"/>
        <v>78084</v>
      </c>
      <c r="AN368" s="10">
        <f t="shared" si="1100"/>
        <v>34422</v>
      </c>
      <c r="AO368" s="1">
        <f t="shared" si="1101"/>
        <v>618704</v>
      </c>
      <c r="AP368" s="1">
        <f t="shared" si="1102"/>
        <v>78084</v>
      </c>
      <c r="AR368" s="1">
        <f t="shared" ref="AR368:AX368" si="1214">ROUNDUP(AR$10*$AO368,0)</f>
        <v>618704</v>
      </c>
      <c r="AS368" s="1">
        <f t="shared" si="1214"/>
        <v>1856112</v>
      </c>
      <c r="AT368" s="1">
        <f t="shared" si="1214"/>
        <v>1113668</v>
      </c>
      <c r="AU368" s="1">
        <f t="shared" si="1214"/>
        <v>309352</v>
      </c>
      <c r="AV368" s="1">
        <f t="shared" si="1214"/>
        <v>92806</v>
      </c>
      <c r="AW368" s="1">
        <f t="shared" si="1214"/>
        <v>2474816</v>
      </c>
      <c r="AX368" s="1">
        <f t="shared" si="1214"/>
        <v>5568336</v>
      </c>
      <c r="AY368" s="1">
        <f t="shared" si="1104"/>
        <v>73408921</v>
      </c>
      <c r="AZ368" s="1">
        <f t="shared" si="1105"/>
        <v>36704460</v>
      </c>
      <c r="BB368" s="1">
        <f t="shared" si="1106"/>
        <v>357</v>
      </c>
    </row>
    <row r="369" spans="2:54">
      <c r="B369" s="4">
        <v>358</v>
      </c>
      <c r="C369" s="1">
        <f t="shared" ref="C369:I369" si="1215">C$5+(C$6-C$5)*(POWER(C$7,$B369-1)-1)/(POWER(C$7,$B$3-1)-1)</f>
        <v>28284.0023422403</v>
      </c>
      <c r="D369" s="1">
        <f t="shared" si="1215"/>
        <v>8485.2007026721</v>
      </c>
      <c r="E369" s="1">
        <f t="shared" si="1215"/>
        <v>5656.80046844807</v>
      </c>
      <c r="F369" s="1">
        <f t="shared" si="1215"/>
        <v>71605.0692208616</v>
      </c>
      <c r="G369" s="1">
        <f t="shared" si="1215"/>
        <v>21481.5207662585</v>
      </c>
      <c r="H369" s="1">
        <f t="shared" si="1215"/>
        <v>14321.0138441723</v>
      </c>
      <c r="I369" s="1">
        <f t="shared" si="1215"/>
        <v>0</v>
      </c>
      <c r="J369" s="1">
        <f>标准模型!$I$65/1*$B369/$B$3</f>
        <v>2.5776</v>
      </c>
      <c r="K369" s="1">
        <f>J369*标准模型!$J$63</f>
        <v>2.5776</v>
      </c>
      <c r="L369" s="1">
        <f t="shared" si="1081"/>
        <v>99889.0715631019</v>
      </c>
      <c r="M369" s="1">
        <f t="shared" si="1082"/>
        <v>51838.1748001382</v>
      </c>
      <c r="N369" s="1">
        <f t="shared" si="1083"/>
        <v>34558.7832000921</v>
      </c>
      <c r="O369" s="1">
        <f t="shared" ref="O369:W369" si="1216">O$5+(O$6-O$5)*(POWER(O$7,$B369-1)-1)/(POWER(O$7,$B$3-1)-1)</f>
        <v>0.857740827759828</v>
      </c>
      <c r="P369" s="1">
        <f t="shared" si="1216"/>
        <v>0.254391639061014</v>
      </c>
      <c r="Q369" s="1">
        <f t="shared" si="1216"/>
        <v>0.471757455267905</v>
      </c>
      <c r="R369" s="1">
        <f t="shared" si="1216"/>
        <v>1.14309633110393</v>
      </c>
      <c r="S369" s="1">
        <f t="shared" si="1216"/>
        <v>0.515063076087776</v>
      </c>
      <c r="T369" s="1">
        <f t="shared" si="1216"/>
        <v>3.39518922826333</v>
      </c>
      <c r="U369" s="1">
        <f t="shared" si="1216"/>
        <v>1</v>
      </c>
      <c r="V369" s="1">
        <f t="shared" si="1216"/>
        <v>1.39015153523209</v>
      </c>
      <c r="W369" s="1">
        <f t="shared" si="1216"/>
        <v>2.14477064883145</v>
      </c>
      <c r="X369" s="1">
        <f t="shared" si="1085"/>
        <v>6.09031710907056</v>
      </c>
      <c r="Y369" s="1">
        <f t="shared" si="1086"/>
        <v>12.0578680124214</v>
      </c>
      <c r="Z369" s="1">
        <f t="shared" si="1087"/>
        <v>1204449.2407912</v>
      </c>
      <c r="AA369" s="1">
        <f t="shared" si="1088"/>
        <v>51838.1748001382</v>
      </c>
      <c r="AB369" s="1">
        <f t="shared" si="1089"/>
        <v>34558.7832000921</v>
      </c>
      <c r="AC369" s="1">
        <f>AB369/(AB369+战斗公式!$M$27)</f>
        <v>0.59015541839397</v>
      </c>
      <c r="AD369" s="1">
        <f t="shared" si="1090"/>
        <v>2938795.08195865</v>
      </c>
      <c r="AE369" s="1">
        <f t="shared" si="1091"/>
        <v>9.30849986143391</v>
      </c>
      <c r="AF369" s="1">
        <f t="shared" si="1092"/>
        <v>4.70163679909838</v>
      </c>
      <c r="AG369" s="1">
        <f t="shared" si="1093"/>
        <v>4.81699761011881</v>
      </c>
      <c r="AH369" s="1">
        <f t="shared" si="1094"/>
        <v>1.51707331840361</v>
      </c>
      <c r="AI369" s="1">
        <f t="shared" si="1095"/>
        <v>1.00000001281524</v>
      </c>
      <c r="AJ369" s="1">
        <f t="shared" si="1096"/>
        <v>1.00055646232598</v>
      </c>
      <c r="AK369" s="1">
        <f t="shared" si="1097"/>
        <v>1</v>
      </c>
      <c r="AL369" s="10">
        <f t="shared" si="1098"/>
        <v>1234002</v>
      </c>
      <c r="AM369" s="10">
        <f t="shared" si="1099"/>
        <v>78642</v>
      </c>
      <c r="AN369" s="10">
        <f t="shared" si="1100"/>
        <v>34559</v>
      </c>
      <c r="AO369" s="1">
        <f t="shared" si="1101"/>
        <v>623630</v>
      </c>
      <c r="AP369" s="1">
        <f t="shared" si="1102"/>
        <v>78642</v>
      </c>
      <c r="AR369" s="1">
        <f t="shared" ref="AR369:AX369" si="1217">ROUNDUP(AR$10*$AO369,0)</f>
        <v>623630</v>
      </c>
      <c r="AS369" s="1">
        <f t="shared" si="1217"/>
        <v>1870890</v>
      </c>
      <c r="AT369" s="1">
        <f t="shared" si="1217"/>
        <v>1122534</v>
      </c>
      <c r="AU369" s="1">
        <f t="shared" si="1217"/>
        <v>311815</v>
      </c>
      <c r="AV369" s="1">
        <f t="shared" si="1217"/>
        <v>93545</v>
      </c>
      <c r="AW369" s="1">
        <f t="shared" si="1217"/>
        <v>2494520</v>
      </c>
      <c r="AX369" s="1">
        <f t="shared" si="1217"/>
        <v>5612670</v>
      </c>
      <c r="AY369" s="1">
        <f t="shared" si="1104"/>
        <v>74040121</v>
      </c>
      <c r="AZ369" s="1">
        <f t="shared" si="1105"/>
        <v>37020060</v>
      </c>
      <c r="BB369" s="1">
        <f t="shared" si="1106"/>
        <v>358</v>
      </c>
    </row>
    <row r="370" spans="2:54">
      <c r="B370" s="4">
        <v>359</v>
      </c>
      <c r="C370" s="1">
        <f t="shared" ref="C370:I370" si="1218">C$5+(C$6-C$5)*(POWER(C$7,$B370-1)-1)/(POWER(C$7,$B$3-1)-1)</f>
        <v>28362.9938098758</v>
      </c>
      <c r="D370" s="1">
        <f t="shared" si="1218"/>
        <v>8508.89814296273</v>
      </c>
      <c r="E370" s="1">
        <f t="shared" si="1218"/>
        <v>5672.59876197515</v>
      </c>
      <c r="F370" s="1">
        <f t="shared" si="1218"/>
        <v>71805.0476199386</v>
      </c>
      <c r="G370" s="1">
        <f t="shared" si="1218"/>
        <v>21541.5142859816</v>
      </c>
      <c r="H370" s="1">
        <f t="shared" si="1218"/>
        <v>14361.0095239877</v>
      </c>
      <c r="I370" s="1">
        <f t="shared" si="1218"/>
        <v>0</v>
      </c>
      <c r="J370" s="1">
        <f>标准模型!$I$65/1*$B370/$B$3</f>
        <v>2.5848</v>
      </c>
      <c r="K370" s="1">
        <f>J370*标准模型!$J$63</f>
        <v>2.5848</v>
      </c>
      <c r="L370" s="1">
        <f t="shared" si="1081"/>
        <v>100168.041429814</v>
      </c>
      <c r="M370" s="1">
        <f t="shared" si="1082"/>
        <v>52044.2123488744</v>
      </c>
      <c r="N370" s="1">
        <f t="shared" si="1083"/>
        <v>34696.1415659163</v>
      </c>
      <c r="O370" s="1">
        <f t="shared" ref="O370:W370" si="1219">O$5+(O$6-O$5)*(POWER(O$7,$B370-1)-1)/(POWER(O$7,$B$3-1)-1)</f>
        <v>0.858742723546787</v>
      </c>
      <c r="P370" s="1">
        <f t="shared" si="1219"/>
        <v>0.255312483645136</v>
      </c>
      <c r="Q370" s="1">
        <f t="shared" si="1219"/>
        <v>0.472308497950733</v>
      </c>
      <c r="R370" s="1">
        <f t="shared" si="1219"/>
        <v>1.14349708941871</v>
      </c>
      <c r="S370" s="1">
        <f t="shared" si="1219"/>
        <v>0.516365540610823</v>
      </c>
      <c r="T370" s="1">
        <f t="shared" si="1219"/>
        <v>3.39909662183247</v>
      </c>
      <c r="U370" s="1">
        <f t="shared" si="1219"/>
        <v>1</v>
      </c>
      <c r="V370" s="1">
        <f t="shared" si="1219"/>
        <v>1.3912442010647</v>
      </c>
      <c r="W370" s="1">
        <f t="shared" si="1219"/>
        <v>2.14797671534972</v>
      </c>
      <c r="X370" s="1">
        <f t="shared" si="1085"/>
        <v>6.12616575881311</v>
      </c>
      <c r="Y370" s="1">
        <f t="shared" si="1086"/>
        <v>12.1363519612608</v>
      </c>
      <c r="Z370" s="1">
        <f t="shared" si="1087"/>
        <v>1215674.60606238</v>
      </c>
      <c r="AA370" s="1">
        <f t="shared" si="1088"/>
        <v>52044.2123488744</v>
      </c>
      <c r="AB370" s="1">
        <f t="shared" si="1089"/>
        <v>34696.1415659163</v>
      </c>
      <c r="AC370" s="1">
        <f>AB370/(AB370+战斗公式!$M$27)</f>
        <v>0.591114520312246</v>
      </c>
      <c r="AD370" s="1">
        <f t="shared" si="1090"/>
        <v>2973142.03231362</v>
      </c>
      <c r="AE370" s="1">
        <f t="shared" si="1091"/>
        <v>9.32512093946385</v>
      </c>
      <c r="AF370" s="1">
        <f t="shared" si="1092"/>
        <v>4.70711765598795</v>
      </c>
      <c r="AG370" s="1">
        <f t="shared" si="1093"/>
        <v>4.81908778227397</v>
      </c>
      <c r="AH370" s="1">
        <f t="shared" si="1094"/>
        <v>1.52184644358238</v>
      </c>
      <c r="AI370" s="1">
        <f t="shared" si="1095"/>
        <v>1.00000001217403</v>
      </c>
      <c r="AJ370" s="1">
        <f t="shared" si="1096"/>
        <v>1.00054466327207</v>
      </c>
      <c r="AK370" s="1">
        <f t="shared" si="1097"/>
        <v>1</v>
      </c>
      <c r="AL370" s="10">
        <f t="shared" si="1098"/>
        <v>1244592</v>
      </c>
      <c r="AM370" s="10">
        <f t="shared" si="1099"/>
        <v>79203</v>
      </c>
      <c r="AN370" s="10">
        <f t="shared" si="1100"/>
        <v>34696</v>
      </c>
      <c r="AO370" s="1">
        <f t="shared" si="1101"/>
        <v>628585</v>
      </c>
      <c r="AP370" s="1">
        <f t="shared" si="1102"/>
        <v>79203</v>
      </c>
      <c r="AR370" s="1">
        <f t="shared" ref="AR370:AX370" si="1220">ROUNDUP(AR$10*$AO370,0)</f>
        <v>628585</v>
      </c>
      <c r="AS370" s="1">
        <f t="shared" si="1220"/>
        <v>1885755</v>
      </c>
      <c r="AT370" s="1">
        <f t="shared" si="1220"/>
        <v>1131453</v>
      </c>
      <c r="AU370" s="1">
        <f t="shared" si="1220"/>
        <v>314293</v>
      </c>
      <c r="AV370" s="1">
        <f t="shared" si="1220"/>
        <v>94288</v>
      </c>
      <c r="AW370" s="1">
        <f t="shared" si="1220"/>
        <v>2514340</v>
      </c>
      <c r="AX370" s="1">
        <f t="shared" si="1220"/>
        <v>5657265</v>
      </c>
      <c r="AY370" s="1">
        <f t="shared" si="1104"/>
        <v>74675521</v>
      </c>
      <c r="AZ370" s="1">
        <f t="shared" si="1105"/>
        <v>37337760</v>
      </c>
      <c r="BB370" s="1">
        <f t="shared" si="1106"/>
        <v>359</v>
      </c>
    </row>
    <row r="371" spans="2:54">
      <c r="B371" s="4">
        <v>360</v>
      </c>
      <c r="C371" s="1">
        <f t="shared" ref="C371:I371" si="1221">C$5+(C$6-C$5)*(POWER(C$7,$B371-1)-1)/(POWER(C$7,$B$3-1)-1)</f>
        <v>28441.9851985196</v>
      </c>
      <c r="D371" s="1">
        <f t="shared" si="1221"/>
        <v>8532.59555955587</v>
      </c>
      <c r="E371" s="1">
        <f t="shared" si="1221"/>
        <v>5688.39703970391</v>
      </c>
      <c r="F371" s="1">
        <f t="shared" si="1221"/>
        <v>72005.0258190369</v>
      </c>
      <c r="G371" s="1">
        <f t="shared" si="1221"/>
        <v>21601.5077457111</v>
      </c>
      <c r="H371" s="1">
        <f t="shared" si="1221"/>
        <v>14401.0051638074</v>
      </c>
      <c r="I371" s="1">
        <f t="shared" si="1221"/>
        <v>0</v>
      </c>
      <c r="J371" s="1">
        <f>标准模型!$I$65/1*$B371/$B$3</f>
        <v>2.592</v>
      </c>
      <c r="K371" s="1">
        <f>J371*标准模型!$J$63</f>
        <v>2.592</v>
      </c>
      <c r="L371" s="1">
        <f t="shared" si="1081"/>
        <v>100447.011017556</v>
      </c>
      <c r="M371" s="1">
        <f t="shared" si="1082"/>
        <v>52250.5909956357</v>
      </c>
      <c r="N371" s="1">
        <f t="shared" si="1083"/>
        <v>34833.7273304238</v>
      </c>
      <c r="O371" s="1">
        <f t="shared" ref="O371:W371" si="1222">O$5+(O$6-O$5)*(POWER(O$7,$B371-1)-1)/(POWER(O$7,$B$3-1)-1)</f>
        <v>0.859744618331848</v>
      </c>
      <c r="P371" s="1">
        <f t="shared" si="1222"/>
        <v>0.256234709496133</v>
      </c>
      <c r="Q371" s="1">
        <f t="shared" si="1222"/>
        <v>0.472859540082517</v>
      </c>
      <c r="R371" s="1">
        <f t="shared" si="1222"/>
        <v>1.14389784733274</v>
      </c>
      <c r="S371" s="1">
        <f t="shared" si="1222"/>
        <v>0.517668003831403</v>
      </c>
      <c r="T371" s="1">
        <f t="shared" si="1222"/>
        <v>3.40300401149421</v>
      </c>
      <c r="U371" s="1">
        <f t="shared" si="1222"/>
        <v>1</v>
      </c>
      <c r="V371" s="1">
        <f t="shared" si="1222"/>
        <v>1.39233686580465</v>
      </c>
      <c r="W371" s="1">
        <f t="shared" si="1222"/>
        <v>2.15118277866191</v>
      </c>
      <c r="X371" s="1">
        <f t="shared" si="1085"/>
        <v>6.16219567984452</v>
      </c>
      <c r="Y371" s="1">
        <f t="shared" si="1086"/>
        <v>12.2152824403681</v>
      </c>
      <c r="Z371" s="1">
        <f t="shared" si="1087"/>
        <v>1226988.60987022</v>
      </c>
      <c r="AA371" s="1">
        <f t="shared" si="1088"/>
        <v>52250.5909956357</v>
      </c>
      <c r="AB371" s="1">
        <f t="shared" si="1089"/>
        <v>34833.7273304238</v>
      </c>
      <c r="AC371" s="1">
        <f>AB371/(AB371+战斗公式!$M$27)</f>
        <v>0.592070720503387</v>
      </c>
      <c r="AD371" s="1">
        <f t="shared" si="1090"/>
        <v>3007846.38794334</v>
      </c>
      <c r="AE371" s="1">
        <f t="shared" si="1091"/>
        <v>9.34176548676751</v>
      </c>
      <c r="AF371" s="1">
        <f t="shared" si="1092"/>
        <v>4.71260383914175</v>
      </c>
      <c r="AG371" s="1">
        <f t="shared" si="1093"/>
        <v>4.82116227813797</v>
      </c>
      <c r="AH371" s="1">
        <f t="shared" si="1094"/>
        <v>1.52662911501152</v>
      </c>
      <c r="AI371" s="1">
        <f t="shared" si="1095"/>
        <v>1.00000001156489</v>
      </c>
      <c r="AJ371" s="1">
        <f t="shared" si="1096"/>
        <v>1.00053310019924</v>
      </c>
      <c r="AK371" s="1">
        <f t="shared" si="1097"/>
        <v>1</v>
      </c>
      <c r="AL371" s="10">
        <f t="shared" si="1098"/>
        <v>1255253</v>
      </c>
      <c r="AM371" s="10">
        <f t="shared" si="1099"/>
        <v>79767</v>
      </c>
      <c r="AN371" s="10">
        <f t="shared" si="1100"/>
        <v>34834</v>
      </c>
      <c r="AO371" s="1">
        <f t="shared" si="1101"/>
        <v>633570</v>
      </c>
      <c r="AP371" s="1">
        <f t="shared" si="1102"/>
        <v>79767</v>
      </c>
      <c r="AR371" s="1">
        <f t="shared" ref="AR371:AX371" si="1223">ROUNDUP(AR$10*$AO371,0)</f>
        <v>633570</v>
      </c>
      <c r="AS371" s="1">
        <f t="shared" si="1223"/>
        <v>1900710</v>
      </c>
      <c r="AT371" s="1">
        <f t="shared" si="1223"/>
        <v>1140426</v>
      </c>
      <c r="AU371" s="1">
        <f t="shared" si="1223"/>
        <v>316785</v>
      </c>
      <c r="AV371" s="1">
        <f t="shared" si="1223"/>
        <v>95036</v>
      </c>
      <c r="AW371" s="1">
        <f t="shared" si="1223"/>
        <v>2534280</v>
      </c>
      <c r="AX371" s="1">
        <f t="shared" si="1223"/>
        <v>5702130</v>
      </c>
      <c r="AY371" s="1">
        <f t="shared" si="1104"/>
        <v>75315181</v>
      </c>
      <c r="AZ371" s="1">
        <f t="shared" si="1105"/>
        <v>37657590</v>
      </c>
      <c r="BB371" s="1">
        <f t="shared" si="1106"/>
        <v>360</v>
      </c>
    </row>
    <row r="372" spans="2:54">
      <c r="B372" s="4">
        <v>361</v>
      </c>
      <c r="C372" s="1">
        <f t="shared" ref="C372:I372" si="1224">C$5+(C$6-C$5)*(POWER(C$7,$B372-1)-1)/(POWER(C$7,$B$3-1)-1)</f>
        <v>28520.9765081718</v>
      </c>
      <c r="D372" s="1">
        <f t="shared" si="1224"/>
        <v>8556.29295245153</v>
      </c>
      <c r="E372" s="1">
        <f t="shared" si="1224"/>
        <v>5704.19530163436</v>
      </c>
      <c r="F372" s="1">
        <f t="shared" si="1224"/>
        <v>72205.0038181564</v>
      </c>
      <c r="G372" s="1">
        <f t="shared" si="1224"/>
        <v>21661.5011454469</v>
      </c>
      <c r="H372" s="1">
        <f t="shared" si="1224"/>
        <v>14441.0007636313</v>
      </c>
      <c r="I372" s="1">
        <f t="shared" si="1224"/>
        <v>0</v>
      </c>
      <c r="J372" s="1">
        <f>标准模型!$I$65/1*$B372/$B$3</f>
        <v>2.5992</v>
      </c>
      <c r="K372" s="1">
        <f>J372*标准模型!$J$63</f>
        <v>2.5992</v>
      </c>
      <c r="L372" s="1">
        <f t="shared" si="1081"/>
        <v>100725.980326328</v>
      </c>
      <c r="M372" s="1">
        <f t="shared" si="1082"/>
        <v>52457.3107399105</v>
      </c>
      <c r="N372" s="1">
        <f t="shared" si="1083"/>
        <v>34971.5404932737</v>
      </c>
      <c r="O372" s="1">
        <f t="shared" ref="O372:W372" si="1225">O$5+(O$6-O$5)*(POWER(O$7,$B372-1)-1)/(POWER(O$7,$B$3-1)-1)</f>
        <v>0.860746512115012</v>
      </c>
      <c r="P372" s="1">
        <f t="shared" si="1225"/>
        <v>0.257158318685907</v>
      </c>
      <c r="Q372" s="1">
        <f t="shared" si="1225"/>
        <v>0.473410581663257</v>
      </c>
      <c r="R372" s="1">
        <f t="shared" si="1225"/>
        <v>1.144298604846</v>
      </c>
      <c r="S372" s="1">
        <f t="shared" si="1225"/>
        <v>0.518970465749516</v>
      </c>
      <c r="T372" s="1">
        <f t="shared" si="1225"/>
        <v>3.40691139724855</v>
      </c>
      <c r="U372" s="1">
        <f t="shared" si="1225"/>
        <v>1</v>
      </c>
      <c r="V372" s="1">
        <f t="shared" si="1225"/>
        <v>1.39342952945193</v>
      </c>
      <c r="W372" s="1">
        <f t="shared" si="1225"/>
        <v>2.15438883876804</v>
      </c>
      <c r="X372" s="1">
        <f t="shared" si="1085"/>
        <v>6.19840762289864</v>
      </c>
      <c r="Y372" s="1">
        <f t="shared" si="1086"/>
        <v>12.2946615869974</v>
      </c>
      <c r="Z372" s="1">
        <f t="shared" si="1087"/>
        <v>1238391.84113076</v>
      </c>
      <c r="AA372" s="1">
        <f t="shared" si="1088"/>
        <v>52457.3107399105</v>
      </c>
      <c r="AB372" s="1">
        <f t="shared" si="1089"/>
        <v>34971.5404932737</v>
      </c>
      <c r="AC372" s="1">
        <f>AB372/(AB372+战斗公式!$M$27)</f>
        <v>0.593024028213449</v>
      </c>
      <c r="AD372" s="1">
        <f t="shared" si="1090"/>
        <v>3042911.4419076</v>
      </c>
      <c r="AE372" s="1">
        <f t="shared" si="1091"/>
        <v>9.35843347900907</v>
      </c>
      <c r="AF372" s="1">
        <f t="shared" si="1092"/>
        <v>4.71809532976713</v>
      </c>
      <c r="AG372" s="1">
        <f t="shared" si="1093"/>
        <v>4.82322121528299</v>
      </c>
      <c r="AH372" s="1">
        <f t="shared" si="1094"/>
        <v>1.53142135178351</v>
      </c>
      <c r="AI372" s="1">
        <f t="shared" si="1095"/>
        <v>1.00000001098621</v>
      </c>
      <c r="AJ372" s="1">
        <f t="shared" si="1096"/>
        <v>1.00052176838787</v>
      </c>
      <c r="AK372" s="1">
        <f t="shared" si="1097"/>
        <v>1</v>
      </c>
      <c r="AL372" s="10">
        <f t="shared" si="1098"/>
        <v>1265985</v>
      </c>
      <c r="AM372" s="10">
        <f t="shared" si="1099"/>
        <v>80334</v>
      </c>
      <c r="AN372" s="10">
        <f t="shared" si="1100"/>
        <v>34972</v>
      </c>
      <c r="AO372" s="1">
        <f t="shared" si="1101"/>
        <v>638585</v>
      </c>
      <c r="AP372" s="1">
        <f t="shared" si="1102"/>
        <v>80334</v>
      </c>
      <c r="AR372" s="1">
        <f t="shared" ref="AR372:AX372" si="1226">ROUNDUP(AR$10*$AO372,0)</f>
        <v>638585</v>
      </c>
      <c r="AS372" s="1">
        <f t="shared" si="1226"/>
        <v>1915755</v>
      </c>
      <c r="AT372" s="1">
        <f t="shared" si="1226"/>
        <v>1149453</v>
      </c>
      <c r="AU372" s="1">
        <f t="shared" si="1226"/>
        <v>319293</v>
      </c>
      <c r="AV372" s="1">
        <f t="shared" si="1226"/>
        <v>95788</v>
      </c>
      <c r="AW372" s="1">
        <f t="shared" si="1226"/>
        <v>2554340</v>
      </c>
      <c r="AX372" s="1">
        <f t="shared" si="1226"/>
        <v>5747265</v>
      </c>
      <c r="AY372" s="1">
        <f t="shared" si="1104"/>
        <v>75959101</v>
      </c>
      <c r="AZ372" s="1">
        <f t="shared" si="1105"/>
        <v>37979550</v>
      </c>
      <c r="BB372" s="1">
        <f t="shared" si="1106"/>
        <v>361</v>
      </c>
    </row>
    <row r="373" spans="2:54">
      <c r="B373" s="4">
        <v>362</v>
      </c>
      <c r="C373" s="1">
        <f t="shared" ref="C373:I373" si="1227">C$5+(C$6-C$5)*(POWER(C$7,$B373-1)-1)/(POWER(C$7,$B$3-1)-1)</f>
        <v>28599.9677388411</v>
      </c>
      <c r="D373" s="1">
        <f t="shared" si="1227"/>
        <v>8579.99032165235</v>
      </c>
      <c r="E373" s="1">
        <f t="shared" si="1227"/>
        <v>5719.99354776823</v>
      </c>
      <c r="F373" s="1">
        <f t="shared" si="1227"/>
        <v>72404.9816173194</v>
      </c>
      <c r="G373" s="1">
        <f t="shared" si="1227"/>
        <v>21721.4944851958</v>
      </c>
      <c r="H373" s="1">
        <f t="shared" si="1227"/>
        <v>14480.9963234639</v>
      </c>
      <c r="I373" s="1">
        <f t="shared" si="1227"/>
        <v>0</v>
      </c>
      <c r="J373" s="1">
        <f>标准模型!$I$65/1*$B373/$B$3</f>
        <v>2.6064</v>
      </c>
      <c r="K373" s="1">
        <f>J373*标准模型!$J$63</f>
        <v>2.6064</v>
      </c>
      <c r="L373" s="1">
        <f t="shared" si="1081"/>
        <v>101004.949356161</v>
      </c>
      <c r="M373" s="1">
        <f t="shared" si="1082"/>
        <v>52664.3715812028</v>
      </c>
      <c r="N373" s="1">
        <f t="shared" si="1083"/>
        <v>35109.5810541352</v>
      </c>
      <c r="O373" s="1">
        <f t="shared" ref="O373:W373" si="1228">O$5+(O$6-O$5)*(POWER(O$7,$B373-1)-1)/(POWER(O$7,$B$3-1)-1)</f>
        <v>0.86174840489639</v>
      </c>
      <c r="P373" s="1">
        <f t="shared" si="1228"/>
        <v>0.258083313289465</v>
      </c>
      <c r="Q373" s="1">
        <f t="shared" si="1228"/>
        <v>0.473961622693014</v>
      </c>
      <c r="R373" s="1">
        <f t="shared" si="1228"/>
        <v>1.14469936195856</v>
      </c>
      <c r="S373" s="1">
        <f t="shared" si="1228"/>
        <v>0.520272926365306</v>
      </c>
      <c r="T373" s="1">
        <f t="shared" si="1228"/>
        <v>3.41081877909592</v>
      </c>
      <c r="U373" s="1">
        <f t="shared" si="1228"/>
        <v>1</v>
      </c>
      <c r="V373" s="1">
        <f t="shared" si="1228"/>
        <v>1.39452219200666</v>
      </c>
      <c r="W373" s="1">
        <f t="shared" si="1228"/>
        <v>2.15759489566845</v>
      </c>
      <c r="X373" s="1">
        <f t="shared" si="1085"/>
        <v>6.23480234110465</v>
      </c>
      <c r="Y373" s="1">
        <f t="shared" si="1086"/>
        <v>12.3744915466008</v>
      </c>
      <c r="Z373" s="1">
        <f t="shared" si="1087"/>
        <v>1249884.89197265</v>
      </c>
      <c r="AA373" s="1">
        <f t="shared" si="1088"/>
        <v>52664.3715812028</v>
      </c>
      <c r="AB373" s="1">
        <f t="shared" si="1089"/>
        <v>35109.5810541352</v>
      </c>
      <c r="AC373" s="1">
        <f>AB373/(AB373+战斗公式!$M$27)</f>
        <v>0.593974452669192</v>
      </c>
      <c r="AD373" s="1">
        <f t="shared" si="1090"/>
        <v>3078340.51376652</v>
      </c>
      <c r="AE373" s="1">
        <f t="shared" si="1091"/>
        <v>9.37512489193696</v>
      </c>
      <c r="AF373" s="1">
        <f t="shared" si="1092"/>
        <v>4.72359210916051</v>
      </c>
      <c r="AG373" s="1">
        <f t="shared" si="1093"/>
        <v>4.82526471039942</v>
      </c>
      <c r="AH373" s="1">
        <f t="shared" si="1094"/>
        <v>1.53622317302905</v>
      </c>
      <c r="AI373" s="1">
        <f t="shared" si="1095"/>
        <v>1.00000001043646</v>
      </c>
      <c r="AJ373" s="1">
        <f t="shared" si="1096"/>
        <v>1.00051066321272</v>
      </c>
      <c r="AK373" s="1">
        <f t="shared" si="1097"/>
        <v>1</v>
      </c>
      <c r="AL373" s="10">
        <f t="shared" si="1098"/>
        <v>1276788</v>
      </c>
      <c r="AM373" s="10">
        <f t="shared" si="1099"/>
        <v>80904</v>
      </c>
      <c r="AN373" s="10">
        <f t="shared" si="1100"/>
        <v>35110</v>
      </c>
      <c r="AO373" s="1">
        <f t="shared" si="1101"/>
        <v>643629</v>
      </c>
      <c r="AP373" s="1">
        <f t="shared" si="1102"/>
        <v>80904</v>
      </c>
      <c r="AR373" s="1">
        <f t="shared" ref="AR373:AX373" si="1229">ROUNDUP(AR$10*$AO373,0)</f>
        <v>643629</v>
      </c>
      <c r="AS373" s="1">
        <f t="shared" si="1229"/>
        <v>1930887</v>
      </c>
      <c r="AT373" s="1">
        <f t="shared" si="1229"/>
        <v>1158533</v>
      </c>
      <c r="AU373" s="1">
        <f t="shared" si="1229"/>
        <v>321815</v>
      </c>
      <c r="AV373" s="1">
        <f t="shared" si="1229"/>
        <v>96545</v>
      </c>
      <c r="AW373" s="1">
        <f t="shared" si="1229"/>
        <v>2574516</v>
      </c>
      <c r="AX373" s="1">
        <f t="shared" si="1229"/>
        <v>5792661</v>
      </c>
      <c r="AY373" s="1">
        <f t="shared" si="1104"/>
        <v>76607281</v>
      </c>
      <c r="AZ373" s="1">
        <f t="shared" si="1105"/>
        <v>38303640</v>
      </c>
      <c r="BB373" s="1">
        <f t="shared" si="1106"/>
        <v>362</v>
      </c>
    </row>
    <row r="374" spans="2:54">
      <c r="B374" s="4">
        <v>363</v>
      </c>
      <c r="C374" s="1">
        <f t="shared" ref="C374:I374" si="1230">C$5+(C$6-C$5)*(POWER(C$7,$B374-1)-1)/(POWER(C$7,$B$3-1)-1)</f>
        <v>28678.9588905101</v>
      </c>
      <c r="D374" s="1">
        <f t="shared" si="1230"/>
        <v>8603.68766715304</v>
      </c>
      <c r="E374" s="1">
        <f t="shared" si="1230"/>
        <v>5735.79177810203</v>
      </c>
      <c r="F374" s="1">
        <f t="shared" si="1230"/>
        <v>72604.9592164814</v>
      </c>
      <c r="G374" s="1">
        <f t="shared" si="1230"/>
        <v>21781.4877649444</v>
      </c>
      <c r="H374" s="1">
        <f t="shared" si="1230"/>
        <v>14520.9918432963</v>
      </c>
      <c r="I374" s="1">
        <f t="shared" si="1230"/>
        <v>0</v>
      </c>
      <c r="J374" s="1">
        <f>标准模型!$I$65/1*$B374/$B$3</f>
        <v>2.6136</v>
      </c>
      <c r="K374" s="1">
        <f>J374*标准模型!$J$63</f>
        <v>2.6136</v>
      </c>
      <c r="L374" s="1">
        <f t="shared" si="1081"/>
        <v>101283.918106992</v>
      </c>
      <c r="M374" s="1">
        <f t="shared" si="1082"/>
        <v>52871.7735189686</v>
      </c>
      <c r="N374" s="1">
        <f t="shared" si="1083"/>
        <v>35247.8490126458</v>
      </c>
      <c r="O374" s="1">
        <f t="shared" ref="O374:W374" si="1231">O$5+(O$6-O$5)*(POWER(O$7,$B374-1)-1)/(POWER(O$7,$B$3-1)-1)</f>
        <v>0.862750296675758</v>
      </c>
      <c r="P374" s="1">
        <f t="shared" si="1231"/>
        <v>0.259009695384929</v>
      </c>
      <c r="Q374" s="1">
        <f t="shared" si="1231"/>
        <v>0.474512663171667</v>
      </c>
      <c r="R374" s="1">
        <f t="shared" si="1231"/>
        <v>1.1451001186703</v>
      </c>
      <c r="S374" s="1">
        <f t="shared" si="1231"/>
        <v>0.521575385678486</v>
      </c>
      <c r="T374" s="1">
        <f t="shared" si="1231"/>
        <v>3.41472615703546</v>
      </c>
      <c r="U374" s="1">
        <f t="shared" si="1231"/>
        <v>1</v>
      </c>
      <c r="V374" s="1">
        <f t="shared" si="1231"/>
        <v>1.3956148534686</v>
      </c>
      <c r="W374" s="1">
        <f t="shared" si="1231"/>
        <v>2.16080094936243</v>
      </c>
      <c r="X374" s="1">
        <f t="shared" si="1085"/>
        <v>6.27138058997937</v>
      </c>
      <c r="Y374" s="1">
        <f t="shared" si="1086"/>
        <v>12.4547744728212</v>
      </c>
      <c r="Z374" s="1">
        <f t="shared" si="1087"/>
        <v>1261468.35774627</v>
      </c>
      <c r="AA374" s="1">
        <f t="shared" si="1088"/>
        <v>52871.7735189686</v>
      </c>
      <c r="AB374" s="1">
        <f t="shared" si="1089"/>
        <v>35247.8490126458</v>
      </c>
      <c r="AC374" s="1">
        <f>AB374/(AB374+战斗公式!$M$27)</f>
        <v>0.594922003077656</v>
      </c>
      <c r="AD374" s="1">
        <f t="shared" si="1090"/>
        <v>3114136.94974922</v>
      </c>
      <c r="AE374" s="1">
        <f t="shared" si="1091"/>
        <v>9.39183970137273</v>
      </c>
      <c r="AF374" s="1">
        <f t="shared" si="1092"/>
        <v>4.72909415870337</v>
      </c>
      <c r="AG374" s="1">
        <f t="shared" si="1093"/>
        <v>4.82729287930247</v>
      </c>
      <c r="AH374" s="1">
        <f t="shared" si="1094"/>
        <v>1.54103459791708</v>
      </c>
      <c r="AI374" s="1">
        <f t="shared" si="1095"/>
        <v>1.00000000991419</v>
      </c>
      <c r="AJ374" s="1">
        <f t="shared" si="1096"/>
        <v>1.00049978014108</v>
      </c>
      <c r="AK374" s="1">
        <f t="shared" si="1097"/>
        <v>1</v>
      </c>
      <c r="AL374" s="10">
        <f t="shared" si="1098"/>
        <v>1287663</v>
      </c>
      <c r="AM374" s="10">
        <f t="shared" si="1099"/>
        <v>81477</v>
      </c>
      <c r="AN374" s="10">
        <f t="shared" si="1100"/>
        <v>35248</v>
      </c>
      <c r="AO374" s="1">
        <f t="shared" si="1101"/>
        <v>648704</v>
      </c>
      <c r="AP374" s="1">
        <f t="shared" si="1102"/>
        <v>81477</v>
      </c>
      <c r="AR374" s="1">
        <f t="shared" ref="AR374:AX374" si="1232">ROUNDUP(AR$10*$AO374,0)</f>
        <v>648704</v>
      </c>
      <c r="AS374" s="1">
        <f t="shared" si="1232"/>
        <v>1946112</v>
      </c>
      <c r="AT374" s="1">
        <f t="shared" si="1232"/>
        <v>1167668</v>
      </c>
      <c r="AU374" s="1">
        <f t="shared" si="1232"/>
        <v>324352</v>
      </c>
      <c r="AV374" s="1">
        <f t="shared" si="1232"/>
        <v>97306</v>
      </c>
      <c r="AW374" s="1">
        <f t="shared" si="1232"/>
        <v>2594816</v>
      </c>
      <c r="AX374" s="1">
        <f t="shared" si="1232"/>
        <v>5838336</v>
      </c>
      <c r="AY374" s="1">
        <f t="shared" si="1104"/>
        <v>77259781</v>
      </c>
      <c r="AZ374" s="1">
        <f t="shared" si="1105"/>
        <v>38629890</v>
      </c>
      <c r="BB374" s="1">
        <f t="shared" si="1106"/>
        <v>363</v>
      </c>
    </row>
    <row r="375" spans="2:54">
      <c r="B375" s="4">
        <v>364</v>
      </c>
      <c r="C375" s="1">
        <f t="shared" ref="C375:I375" si="1233">C$5+(C$6-C$5)*(POWER(C$7,$B375-1)-1)/(POWER(C$7,$B$3-1)-1)</f>
        <v>28757.9499631875</v>
      </c>
      <c r="D375" s="1">
        <f t="shared" si="1233"/>
        <v>8627.38498895626</v>
      </c>
      <c r="E375" s="1">
        <f t="shared" si="1233"/>
        <v>5751.58999263751</v>
      </c>
      <c r="F375" s="1">
        <f t="shared" si="1233"/>
        <v>72804.9366156646</v>
      </c>
      <c r="G375" s="1">
        <f t="shared" si="1233"/>
        <v>21841.4809846994</v>
      </c>
      <c r="H375" s="1">
        <f t="shared" si="1233"/>
        <v>14560.9873231329</v>
      </c>
      <c r="I375" s="1">
        <f t="shared" si="1233"/>
        <v>0</v>
      </c>
      <c r="J375" s="1">
        <f>标准模型!$I$65/1*$B375/$B$3</f>
        <v>2.6208</v>
      </c>
      <c r="K375" s="1">
        <f>J375*标准模型!$J$63</f>
        <v>2.6208</v>
      </c>
      <c r="L375" s="1">
        <f t="shared" si="1081"/>
        <v>101562.886578852</v>
      </c>
      <c r="M375" s="1">
        <f t="shared" si="1082"/>
        <v>53079.5165527122</v>
      </c>
      <c r="N375" s="1">
        <f t="shared" si="1083"/>
        <v>35386.3443684748</v>
      </c>
      <c r="O375" s="1">
        <f t="shared" ref="O375:W375" si="1234">O$5+(O$6-O$5)*(POWER(O$7,$B375-1)-1)/(POWER(O$7,$B$3-1)-1)</f>
        <v>0.86375218745323</v>
      </c>
      <c r="P375" s="1">
        <f t="shared" si="1234"/>
        <v>0.259937467053536</v>
      </c>
      <c r="Q375" s="1">
        <f t="shared" si="1234"/>
        <v>0.475063703099276</v>
      </c>
      <c r="R375" s="1">
        <f t="shared" si="1234"/>
        <v>1.14550087498129</v>
      </c>
      <c r="S375" s="1">
        <f t="shared" si="1234"/>
        <v>0.522877843689198</v>
      </c>
      <c r="T375" s="1">
        <f t="shared" si="1234"/>
        <v>3.4186335310676</v>
      </c>
      <c r="U375" s="1">
        <f t="shared" si="1234"/>
        <v>1</v>
      </c>
      <c r="V375" s="1">
        <f t="shared" si="1234"/>
        <v>1.39670751383788</v>
      </c>
      <c r="W375" s="1">
        <f t="shared" si="1234"/>
        <v>2.16400699985033</v>
      </c>
      <c r="X375" s="1">
        <f t="shared" si="1085"/>
        <v>6.30814312745388</v>
      </c>
      <c r="Y375" s="1">
        <f t="shared" si="1086"/>
        <v>12.5355125275646</v>
      </c>
      <c r="Z375" s="1">
        <f t="shared" si="1087"/>
        <v>1273142.83704483</v>
      </c>
      <c r="AA375" s="1">
        <f t="shared" si="1088"/>
        <v>53079.5165527122</v>
      </c>
      <c r="AB375" s="1">
        <f t="shared" si="1089"/>
        <v>35386.3443684748</v>
      </c>
      <c r="AC375" s="1">
        <f>AB375/(AB375+战斗公式!$M$27)</f>
        <v>0.595866688626479</v>
      </c>
      <c r="AD375" s="1">
        <f t="shared" si="1090"/>
        <v>3150304.12295839</v>
      </c>
      <c r="AE375" s="1">
        <f t="shared" si="1091"/>
        <v>9.40857788322621</v>
      </c>
      <c r="AF375" s="1">
        <f t="shared" si="1092"/>
        <v>4.73460145986694</v>
      </c>
      <c r="AG375" s="1">
        <f t="shared" si="1093"/>
        <v>4.82930583693876</v>
      </c>
      <c r="AH375" s="1">
        <f t="shared" si="1094"/>
        <v>1.54585564565488</v>
      </c>
      <c r="AI375" s="1">
        <f t="shared" si="1095"/>
        <v>1.00000000941804</v>
      </c>
      <c r="AJ375" s="1">
        <f t="shared" si="1096"/>
        <v>1.00048911473087</v>
      </c>
      <c r="AK375" s="1">
        <f t="shared" si="1097"/>
        <v>1</v>
      </c>
      <c r="AL375" s="10">
        <f t="shared" si="1098"/>
        <v>1298609</v>
      </c>
      <c r="AM375" s="10">
        <f t="shared" si="1099"/>
        <v>82053</v>
      </c>
      <c r="AN375" s="10">
        <f t="shared" si="1100"/>
        <v>35386</v>
      </c>
      <c r="AO375" s="1">
        <f t="shared" si="1101"/>
        <v>653808</v>
      </c>
      <c r="AP375" s="1">
        <f t="shared" si="1102"/>
        <v>82053</v>
      </c>
      <c r="AR375" s="1">
        <f t="shared" ref="AR375:AX375" si="1235">ROUNDUP(AR$10*$AO375,0)</f>
        <v>653808</v>
      </c>
      <c r="AS375" s="1">
        <f t="shared" si="1235"/>
        <v>1961424</v>
      </c>
      <c r="AT375" s="1">
        <f t="shared" si="1235"/>
        <v>1176855</v>
      </c>
      <c r="AU375" s="1">
        <f t="shared" si="1235"/>
        <v>326904</v>
      </c>
      <c r="AV375" s="1">
        <f t="shared" si="1235"/>
        <v>98072</v>
      </c>
      <c r="AW375" s="1">
        <f t="shared" si="1235"/>
        <v>2615232</v>
      </c>
      <c r="AX375" s="1">
        <f t="shared" si="1235"/>
        <v>5884272</v>
      </c>
      <c r="AY375" s="1">
        <f t="shared" si="1104"/>
        <v>77916541</v>
      </c>
      <c r="AZ375" s="1">
        <f t="shared" si="1105"/>
        <v>38958270</v>
      </c>
      <c r="BB375" s="1">
        <f t="shared" si="1106"/>
        <v>364</v>
      </c>
    </row>
    <row r="376" spans="2:54">
      <c r="B376" s="4">
        <v>365</v>
      </c>
      <c r="C376" s="1">
        <f t="shared" ref="C376:I376" si="1236">C$5+(C$6-C$5)*(POWER(C$7,$B376-1)-1)/(POWER(C$7,$B$3-1)-1)</f>
        <v>28836.9409568821</v>
      </c>
      <c r="D376" s="1">
        <f t="shared" si="1236"/>
        <v>8651.08228706462</v>
      </c>
      <c r="E376" s="1">
        <f t="shared" si="1236"/>
        <v>5767.38819137642</v>
      </c>
      <c r="F376" s="1">
        <f t="shared" si="1236"/>
        <v>73004.9138148913</v>
      </c>
      <c r="G376" s="1">
        <f t="shared" si="1236"/>
        <v>21901.4741444674</v>
      </c>
      <c r="H376" s="1">
        <f t="shared" si="1236"/>
        <v>14600.9827629783</v>
      </c>
      <c r="I376" s="1">
        <f t="shared" si="1236"/>
        <v>0</v>
      </c>
      <c r="J376" s="1">
        <f>标准模型!$I$65/1*$B376/$B$3</f>
        <v>2.628</v>
      </c>
      <c r="K376" s="1">
        <f>J376*标准模型!$J$63</f>
        <v>2.628</v>
      </c>
      <c r="L376" s="1">
        <f t="shared" si="1081"/>
        <v>101841.854771773</v>
      </c>
      <c r="M376" s="1">
        <f t="shared" si="1082"/>
        <v>53287.6006819379</v>
      </c>
      <c r="N376" s="1">
        <f t="shared" si="1083"/>
        <v>35525.0671212919</v>
      </c>
      <c r="O376" s="1">
        <f t="shared" ref="O376:W376" si="1237">O$5+(O$6-O$5)*(POWER(O$7,$B376-1)-1)/(POWER(O$7,$B$3-1)-1)</f>
        <v>0.864754077228915</v>
      </c>
      <c r="P376" s="1">
        <f t="shared" si="1237"/>
        <v>0.260866630379646</v>
      </c>
      <c r="Q376" s="1">
        <f t="shared" si="1237"/>
        <v>0.475614742475903</v>
      </c>
      <c r="R376" s="1">
        <f t="shared" si="1237"/>
        <v>1.14590163089157</v>
      </c>
      <c r="S376" s="1">
        <f t="shared" si="1237"/>
        <v>0.524180300397589</v>
      </c>
      <c r="T376" s="1">
        <f t="shared" si="1237"/>
        <v>3.42254090119277</v>
      </c>
      <c r="U376" s="1">
        <f t="shared" si="1237"/>
        <v>1</v>
      </c>
      <c r="V376" s="1">
        <f t="shared" si="1237"/>
        <v>1.39780017311461</v>
      </c>
      <c r="W376" s="1">
        <f t="shared" si="1237"/>
        <v>2.16721304713253</v>
      </c>
      <c r="X376" s="1">
        <f t="shared" si="1085"/>
        <v>6.3450907138693</v>
      </c>
      <c r="Y376" s="1">
        <f t="shared" si="1086"/>
        <v>12.6167078810016</v>
      </c>
      <c r="Z376" s="1">
        <f t="shared" si="1087"/>
        <v>1284908.93171486</v>
      </c>
      <c r="AA376" s="1">
        <f t="shared" si="1088"/>
        <v>53287.6006819379</v>
      </c>
      <c r="AB376" s="1">
        <f t="shared" si="1089"/>
        <v>35525.0671212919</v>
      </c>
      <c r="AC376" s="1">
        <f>AB376/(AB376+战斗公式!$M$27)</f>
        <v>0.596808518483547</v>
      </c>
      <c r="AD376" s="1">
        <f t="shared" si="1090"/>
        <v>3186845.43354477</v>
      </c>
      <c r="AE376" s="1">
        <f t="shared" si="1091"/>
        <v>9.42533941348715</v>
      </c>
      <c r="AF376" s="1">
        <f t="shared" si="1092"/>
        <v>4.74011399420906</v>
      </c>
      <c r="AG376" s="1">
        <f t="shared" si="1093"/>
        <v>4.83130369739277</v>
      </c>
      <c r="AH376" s="1">
        <f t="shared" si="1094"/>
        <v>1.55068633548816</v>
      </c>
      <c r="AI376" s="1">
        <f t="shared" si="1095"/>
        <v>1.0000000089467</v>
      </c>
      <c r="AJ376" s="1">
        <f t="shared" si="1096"/>
        <v>1.00047866262886</v>
      </c>
      <c r="AK376" s="1">
        <f t="shared" si="1097"/>
        <v>1</v>
      </c>
      <c r="AL376" s="10">
        <f t="shared" si="1098"/>
        <v>1309628</v>
      </c>
      <c r="AM376" s="10">
        <f t="shared" si="1099"/>
        <v>82632</v>
      </c>
      <c r="AN376" s="10">
        <f t="shared" si="1100"/>
        <v>35525</v>
      </c>
      <c r="AO376" s="1">
        <f t="shared" si="1101"/>
        <v>658942</v>
      </c>
      <c r="AP376" s="1">
        <f t="shared" si="1102"/>
        <v>82632</v>
      </c>
      <c r="AR376" s="1">
        <f t="shared" ref="AR376:AX376" si="1238">ROUNDUP(AR$10*$AO376,0)</f>
        <v>658942</v>
      </c>
      <c r="AS376" s="1">
        <f t="shared" si="1238"/>
        <v>1976826</v>
      </c>
      <c r="AT376" s="1">
        <f t="shared" si="1238"/>
        <v>1186096</v>
      </c>
      <c r="AU376" s="1">
        <f t="shared" si="1238"/>
        <v>329471</v>
      </c>
      <c r="AV376" s="1">
        <f t="shared" si="1238"/>
        <v>98842</v>
      </c>
      <c r="AW376" s="1">
        <f t="shared" si="1238"/>
        <v>2635768</v>
      </c>
      <c r="AX376" s="1">
        <f t="shared" si="1238"/>
        <v>5930478</v>
      </c>
      <c r="AY376" s="1">
        <f t="shared" si="1104"/>
        <v>78577681</v>
      </c>
      <c r="AZ376" s="1">
        <f t="shared" si="1105"/>
        <v>39288840</v>
      </c>
      <c r="BB376" s="1">
        <f t="shared" si="1106"/>
        <v>365</v>
      </c>
    </row>
    <row r="377" spans="2:54">
      <c r="B377" s="4">
        <v>366</v>
      </c>
      <c r="C377" s="1">
        <f t="shared" ref="C377:I377" si="1239">C$5+(C$6-C$5)*(POWER(C$7,$B377-1)-1)/(POWER(C$7,$B$3-1)-1)</f>
        <v>28915.9318715763</v>
      </c>
      <c r="D377" s="1">
        <f t="shared" si="1239"/>
        <v>8674.77956147288</v>
      </c>
      <c r="E377" s="1">
        <f t="shared" si="1239"/>
        <v>5783.18637431525</v>
      </c>
      <c r="F377" s="1">
        <f t="shared" si="1239"/>
        <v>73204.8908141171</v>
      </c>
      <c r="G377" s="1">
        <f t="shared" si="1239"/>
        <v>21961.4672442351</v>
      </c>
      <c r="H377" s="1">
        <f t="shared" si="1239"/>
        <v>14640.9781628234</v>
      </c>
      <c r="I377" s="1">
        <f t="shared" si="1239"/>
        <v>0</v>
      </c>
      <c r="J377" s="1">
        <f>标准模型!$I$65/1*$B377/$B$3</f>
        <v>2.6352</v>
      </c>
      <c r="K377" s="1">
        <f>J377*标准模型!$J$63</f>
        <v>2.6352</v>
      </c>
      <c r="L377" s="1">
        <f t="shared" si="1081"/>
        <v>102120.822685693</v>
      </c>
      <c r="M377" s="1">
        <f t="shared" si="1082"/>
        <v>53496.0259061013</v>
      </c>
      <c r="N377" s="1">
        <f t="shared" si="1083"/>
        <v>35664.0172707342</v>
      </c>
      <c r="O377" s="1">
        <f t="shared" ref="O377:W377" si="1240">O$5+(O$6-O$5)*(POWER(O$7,$B377-1)-1)/(POWER(O$7,$B$3-1)-1)</f>
        <v>0.865755966002591</v>
      </c>
      <c r="P377" s="1">
        <f t="shared" si="1240"/>
        <v>0.261797187450745</v>
      </c>
      <c r="Q377" s="1">
        <f t="shared" si="1240"/>
        <v>0.476165781301425</v>
      </c>
      <c r="R377" s="1">
        <f t="shared" si="1240"/>
        <v>1.14630238640104</v>
      </c>
      <c r="S377" s="1">
        <f t="shared" si="1240"/>
        <v>0.525482755803368</v>
      </c>
      <c r="T377" s="1">
        <f t="shared" si="1240"/>
        <v>3.4264482674101</v>
      </c>
      <c r="U377" s="1">
        <f t="shared" si="1240"/>
        <v>1</v>
      </c>
      <c r="V377" s="1">
        <f t="shared" si="1240"/>
        <v>1.39889283129855</v>
      </c>
      <c r="W377" s="1">
        <f t="shared" si="1240"/>
        <v>2.17041909120829</v>
      </c>
      <c r="X377" s="1">
        <f t="shared" si="1085"/>
        <v>6.38222411197192</v>
      </c>
      <c r="Y377" s="1">
        <f t="shared" si="1086"/>
        <v>12.6983627115662</v>
      </c>
      <c r="Z377" s="1">
        <f t="shared" si="1087"/>
        <v>1296767.24686648</v>
      </c>
      <c r="AA377" s="1">
        <f t="shared" si="1088"/>
        <v>53496.0259061013</v>
      </c>
      <c r="AB377" s="1">
        <f t="shared" si="1089"/>
        <v>35664.0172707342</v>
      </c>
      <c r="AC377" s="1">
        <f>AB377/(AB377+战斗公式!$M$27)</f>
        <v>0.597747501796661</v>
      </c>
      <c r="AD377" s="1">
        <f t="shared" si="1090"/>
        <v>3223764.30888183</v>
      </c>
      <c r="AE377" s="1">
        <f t="shared" si="1091"/>
        <v>9.44212426821694</v>
      </c>
      <c r="AF377" s="1">
        <f t="shared" si="1092"/>
        <v>4.74563174337115</v>
      </c>
      <c r="AG377" s="1">
        <f t="shared" si="1093"/>
        <v>4.83328657389338</v>
      </c>
      <c r="AH377" s="1">
        <f t="shared" si="1094"/>
        <v>1.55552668670111</v>
      </c>
      <c r="AI377" s="1">
        <f t="shared" si="1095"/>
        <v>1.00000000849893</v>
      </c>
      <c r="AJ377" s="1">
        <f t="shared" si="1096"/>
        <v>1.0004684195689</v>
      </c>
      <c r="AK377" s="1">
        <f t="shared" si="1097"/>
        <v>1</v>
      </c>
      <c r="AL377" s="10">
        <f t="shared" si="1098"/>
        <v>1320719</v>
      </c>
      <c r="AM377" s="10">
        <f t="shared" si="1099"/>
        <v>83214</v>
      </c>
      <c r="AN377" s="10">
        <f t="shared" si="1100"/>
        <v>35664</v>
      </c>
      <c r="AO377" s="1">
        <f t="shared" si="1101"/>
        <v>664107</v>
      </c>
      <c r="AP377" s="1">
        <f t="shared" si="1102"/>
        <v>83214</v>
      </c>
      <c r="AR377" s="1">
        <f t="shared" ref="AR377:AX377" si="1241">ROUNDUP(AR$10*$AO377,0)</f>
        <v>664107</v>
      </c>
      <c r="AS377" s="1">
        <f t="shared" si="1241"/>
        <v>1992321</v>
      </c>
      <c r="AT377" s="1">
        <f t="shared" si="1241"/>
        <v>1195393</v>
      </c>
      <c r="AU377" s="1">
        <f t="shared" si="1241"/>
        <v>332054</v>
      </c>
      <c r="AV377" s="1">
        <f t="shared" si="1241"/>
        <v>99617</v>
      </c>
      <c r="AW377" s="1">
        <f t="shared" si="1241"/>
        <v>2656428</v>
      </c>
      <c r="AX377" s="1">
        <f t="shared" si="1241"/>
        <v>5976963</v>
      </c>
      <c r="AY377" s="1">
        <f t="shared" si="1104"/>
        <v>79243141</v>
      </c>
      <c r="AZ377" s="1">
        <f t="shared" si="1105"/>
        <v>39621570</v>
      </c>
      <c r="BB377" s="1">
        <f t="shared" si="1106"/>
        <v>366</v>
      </c>
    </row>
    <row r="378" spans="2:54">
      <c r="B378" s="4">
        <v>367</v>
      </c>
      <c r="C378" s="1">
        <f t="shared" ref="C378:I378" si="1242">C$5+(C$6-C$5)*(POWER(C$7,$B378-1)-1)/(POWER(C$7,$B$3-1)-1)</f>
        <v>28994.9227072876</v>
      </c>
      <c r="D378" s="1">
        <f t="shared" si="1242"/>
        <v>8698.47681218628</v>
      </c>
      <c r="E378" s="1">
        <f t="shared" si="1242"/>
        <v>5798.98454145752</v>
      </c>
      <c r="F378" s="1">
        <f t="shared" si="1242"/>
        <v>73404.8676133863</v>
      </c>
      <c r="G378" s="1">
        <f t="shared" si="1242"/>
        <v>22021.4602840159</v>
      </c>
      <c r="H378" s="1">
        <f t="shared" si="1242"/>
        <v>14680.9735226773</v>
      </c>
      <c r="I378" s="1">
        <f t="shared" si="1242"/>
        <v>0</v>
      </c>
      <c r="J378" s="1">
        <f>标准模型!$I$65/1*$B378/$B$3</f>
        <v>2.6424</v>
      </c>
      <c r="K378" s="1">
        <f>J378*标准模型!$J$63</f>
        <v>2.6424</v>
      </c>
      <c r="L378" s="1">
        <f t="shared" si="1081"/>
        <v>102399.790320674</v>
      </c>
      <c r="M378" s="1">
        <f t="shared" si="1082"/>
        <v>53704.7922247232</v>
      </c>
      <c r="N378" s="1">
        <f t="shared" si="1083"/>
        <v>35803.1948164821</v>
      </c>
      <c r="O378" s="1">
        <f t="shared" ref="O378:W378" si="1243">O$5+(O$6-O$5)*(POWER(O$7,$B378-1)-1)/(POWER(O$7,$B$3-1)-1)</f>
        <v>0.866757853774481</v>
      </c>
      <c r="P378" s="1">
        <f t="shared" si="1243"/>
        <v>0.262729140357451</v>
      </c>
      <c r="Q378" s="1">
        <f t="shared" si="1243"/>
        <v>0.476716819575964</v>
      </c>
      <c r="R378" s="1">
        <f t="shared" si="1243"/>
        <v>1.14670314150979</v>
      </c>
      <c r="S378" s="1">
        <f t="shared" si="1243"/>
        <v>0.526785209906825</v>
      </c>
      <c r="T378" s="1">
        <f t="shared" si="1243"/>
        <v>3.43035562972047</v>
      </c>
      <c r="U378" s="1">
        <f t="shared" si="1243"/>
        <v>1</v>
      </c>
      <c r="V378" s="1">
        <f t="shared" si="1243"/>
        <v>1.39998548838995</v>
      </c>
      <c r="W378" s="1">
        <f t="shared" si="1243"/>
        <v>2.17362513207834</v>
      </c>
      <c r="X378" s="1">
        <f t="shared" si="1085"/>
        <v>6.4195440869442</v>
      </c>
      <c r="Y378" s="1">
        <f t="shared" si="1086"/>
        <v>12.7804792060392</v>
      </c>
      <c r="Z378" s="1">
        <f t="shared" si="1087"/>
        <v>1308718.39089614</v>
      </c>
      <c r="AA378" s="1">
        <f t="shared" si="1088"/>
        <v>53704.7922247232</v>
      </c>
      <c r="AB378" s="1">
        <f t="shared" si="1089"/>
        <v>35803.1948164821</v>
      </c>
      <c r="AC378" s="1">
        <f>AB378/(AB378+战斗公式!$M$27)</f>
        <v>0.598683647693928</v>
      </c>
      <c r="AD378" s="1">
        <f t="shared" si="1090"/>
        <v>3261064.20377813</v>
      </c>
      <c r="AE378" s="1">
        <f t="shared" si="1091"/>
        <v>9.45893242356622</v>
      </c>
      <c r="AF378" s="1">
        <f t="shared" si="1092"/>
        <v>4.75115468908366</v>
      </c>
      <c r="AG378" s="1">
        <f t="shared" si="1093"/>
        <v>4.83525457882023</v>
      </c>
      <c r="AH378" s="1">
        <f t="shared" si="1094"/>
        <v>1.56037671861648</v>
      </c>
      <c r="AI378" s="1">
        <f t="shared" si="1095"/>
        <v>1.00000000807354</v>
      </c>
      <c r="AJ378" s="1">
        <f t="shared" si="1096"/>
        <v>1.00045838137013</v>
      </c>
      <c r="AK378" s="1">
        <f t="shared" si="1097"/>
        <v>1</v>
      </c>
      <c r="AL378" s="10">
        <f t="shared" si="1098"/>
        <v>1331884</v>
      </c>
      <c r="AM378" s="10">
        <f t="shared" si="1099"/>
        <v>83800</v>
      </c>
      <c r="AN378" s="10">
        <f t="shared" si="1100"/>
        <v>35803</v>
      </c>
      <c r="AO378" s="1">
        <f t="shared" si="1101"/>
        <v>669303</v>
      </c>
      <c r="AP378" s="1">
        <f t="shared" si="1102"/>
        <v>83800</v>
      </c>
      <c r="AR378" s="1">
        <f t="shared" ref="AR378:AX378" si="1244">ROUNDUP(AR$10*$AO378,0)</f>
        <v>669303</v>
      </c>
      <c r="AS378" s="1">
        <f t="shared" si="1244"/>
        <v>2007909</v>
      </c>
      <c r="AT378" s="1">
        <f t="shared" si="1244"/>
        <v>1204746</v>
      </c>
      <c r="AU378" s="1">
        <f t="shared" si="1244"/>
        <v>334652</v>
      </c>
      <c r="AV378" s="1">
        <f t="shared" si="1244"/>
        <v>100396</v>
      </c>
      <c r="AW378" s="1">
        <f t="shared" si="1244"/>
        <v>2677212</v>
      </c>
      <c r="AX378" s="1">
        <f t="shared" si="1244"/>
        <v>6023727</v>
      </c>
      <c r="AY378" s="1">
        <f t="shared" si="1104"/>
        <v>79913041</v>
      </c>
      <c r="AZ378" s="1">
        <f t="shared" si="1105"/>
        <v>39956520</v>
      </c>
      <c r="BB378" s="1">
        <f t="shared" si="1106"/>
        <v>367</v>
      </c>
    </row>
    <row r="379" spans="2:54">
      <c r="B379" s="4">
        <v>368</v>
      </c>
      <c r="C379" s="1">
        <f t="shared" ref="C379:I379" si="1245">C$5+(C$6-C$5)*(POWER(C$7,$B379-1)-1)/(POWER(C$7,$B$3-1)-1)</f>
        <v>29073.9134639986</v>
      </c>
      <c r="D379" s="1">
        <f t="shared" si="1245"/>
        <v>8722.17403919957</v>
      </c>
      <c r="E379" s="1">
        <f t="shared" si="1245"/>
        <v>5814.78269279971</v>
      </c>
      <c r="F379" s="1">
        <f t="shared" si="1245"/>
        <v>73604.8442126546</v>
      </c>
      <c r="G379" s="1">
        <f t="shared" si="1245"/>
        <v>22081.4532637964</v>
      </c>
      <c r="H379" s="1">
        <f t="shared" si="1245"/>
        <v>14720.9688425309</v>
      </c>
      <c r="I379" s="1">
        <f t="shared" si="1245"/>
        <v>0</v>
      </c>
      <c r="J379" s="1">
        <f>标准模型!$I$65/1*$B379/$B$3</f>
        <v>2.6496</v>
      </c>
      <c r="K379" s="1">
        <f>J379*标准模型!$J$63</f>
        <v>2.6496</v>
      </c>
      <c r="L379" s="1">
        <f t="shared" si="1081"/>
        <v>102678.757676653</v>
      </c>
      <c r="M379" s="1">
        <f t="shared" si="1082"/>
        <v>53913.8996372591</v>
      </c>
      <c r="N379" s="1">
        <f t="shared" si="1083"/>
        <v>35942.5997581727</v>
      </c>
      <c r="O379" s="1">
        <f t="shared" ref="O379:W379" si="1246">O$5+(O$6-O$5)*(POWER(O$7,$B379-1)-1)/(POWER(O$7,$B$3-1)-1)</f>
        <v>0.867759740544362</v>
      </c>
      <c r="P379" s="1">
        <f t="shared" si="1246"/>
        <v>0.263662491193517</v>
      </c>
      <c r="Q379" s="1">
        <f t="shared" si="1246"/>
        <v>0.477267857299399</v>
      </c>
      <c r="R379" s="1">
        <f t="shared" si="1246"/>
        <v>1.14710389621774</v>
      </c>
      <c r="S379" s="1">
        <f t="shared" si="1246"/>
        <v>0.52808766270767</v>
      </c>
      <c r="T379" s="1">
        <f t="shared" si="1246"/>
        <v>3.43426298812301</v>
      </c>
      <c r="U379" s="1">
        <f t="shared" si="1246"/>
        <v>1</v>
      </c>
      <c r="V379" s="1">
        <f t="shared" si="1246"/>
        <v>1.40107814438855</v>
      </c>
      <c r="W379" s="1">
        <f t="shared" si="1246"/>
        <v>2.17683116974196</v>
      </c>
      <c r="X379" s="1">
        <f t="shared" si="1085"/>
        <v>6.45705140638226</v>
      </c>
      <c r="Y379" s="1">
        <f t="shared" si="1086"/>
        <v>12.863059559506</v>
      </c>
      <c r="Z379" s="1">
        <f t="shared" si="1087"/>
        <v>1320762.97549088</v>
      </c>
      <c r="AA379" s="1">
        <f t="shared" si="1088"/>
        <v>53913.8996372591</v>
      </c>
      <c r="AB379" s="1">
        <f t="shared" si="1089"/>
        <v>35942.5997581727</v>
      </c>
      <c r="AC379" s="1">
        <f>AB379/(AB379+战斗公式!$M$27)</f>
        <v>0.599616965283062</v>
      </c>
      <c r="AD379" s="1">
        <f t="shared" si="1090"/>
        <v>3298748.60063595</v>
      </c>
      <c r="AE379" s="1">
        <f t="shared" si="1091"/>
        <v>9.47576385575362</v>
      </c>
      <c r="AF379" s="1">
        <f t="shared" si="1092"/>
        <v>4.75668281315878</v>
      </c>
      <c r="AG379" s="1">
        <f t="shared" si="1093"/>
        <v>4.83720782371013</v>
      </c>
      <c r="AH379" s="1">
        <f t="shared" si="1094"/>
        <v>1.56523645059568</v>
      </c>
      <c r="AI379" s="1">
        <f t="shared" si="1095"/>
        <v>1.00000000766942</v>
      </c>
      <c r="AJ379" s="1">
        <f t="shared" si="1096"/>
        <v>1.00044854393534</v>
      </c>
      <c r="AK379" s="1">
        <f t="shared" si="1097"/>
        <v>1</v>
      </c>
      <c r="AL379" s="10">
        <f t="shared" si="1098"/>
        <v>1343122</v>
      </c>
      <c r="AM379" s="10">
        <f t="shared" si="1099"/>
        <v>84388</v>
      </c>
      <c r="AN379" s="10">
        <f t="shared" si="1100"/>
        <v>35943</v>
      </c>
      <c r="AO379" s="1">
        <f t="shared" si="1101"/>
        <v>674528</v>
      </c>
      <c r="AP379" s="1">
        <f t="shared" si="1102"/>
        <v>84388</v>
      </c>
      <c r="AR379" s="1">
        <f t="shared" ref="AR379:AX379" si="1247">ROUNDUP(AR$10*$AO379,0)</f>
        <v>674528</v>
      </c>
      <c r="AS379" s="1">
        <f t="shared" si="1247"/>
        <v>2023584</v>
      </c>
      <c r="AT379" s="1">
        <f t="shared" si="1247"/>
        <v>1214151</v>
      </c>
      <c r="AU379" s="1">
        <f t="shared" si="1247"/>
        <v>337264</v>
      </c>
      <c r="AV379" s="1">
        <f t="shared" si="1247"/>
        <v>101180</v>
      </c>
      <c r="AW379" s="1">
        <f t="shared" si="1247"/>
        <v>2698112</v>
      </c>
      <c r="AX379" s="1">
        <f t="shared" si="1247"/>
        <v>6070752</v>
      </c>
      <c r="AY379" s="1">
        <f t="shared" si="1104"/>
        <v>80587321</v>
      </c>
      <c r="AZ379" s="1">
        <f t="shared" si="1105"/>
        <v>40293660</v>
      </c>
      <c r="BB379" s="1">
        <f t="shared" si="1106"/>
        <v>368</v>
      </c>
    </row>
    <row r="380" spans="2:54">
      <c r="B380" s="4">
        <v>369</v>
      </c>
      <c r="C380" s="1">
        <f t="shared" ref="C380:I380" si="1248">C$5+(C$6-C$5)*(POWER(C$7,$B380-1)-1)/(POWER(C$7,$B$3-1)-1)</f>
        <v>29152.9041417267</v>
      </c>
      <c r="D380" s="1">
        <f t="shared" si="1248"/>
        <v>8745.87124251801</v>
      </c>
      <c r="E380" s="1">
        <f t="shared" si="1248"/>
        <v>5830.58082834534</v>
      </c>
      <c r="F380" s="1">
        <f t="shared" si="1248"/>
        <v>73804.8206119663</v>
      </c>
      <c r="G380" s="1">
        <f t="shared" si="1248"/>
        <v>22141.4461835899</v>
      </c>
      <c r="H380" s="1">
        <f t="shared" si="1248"/>
        <v>14760.9641223933</v>
      </c>
      <c r="I380" s="1">
        <f t="shared" si="1248"/>
        <v>0</v>
      </c>
      <c r="J380" s="1">
        <f>标准模型!$I$65/1*$B380/$B$3</f>
        <v>2.6568</v>
      </c>
      <c r="K380" s="1">
        <f>J380*标准模型!$J$63</f>
        <v>2.6568</v>
      </c>
      <c r="L380" s="1">
        <f t="shared" si="1081"/>
        <v>102957.724753693</v>
      </c>
      <c r="M380" s="1">
        <f t="shared" si="1082"/>
        <v>54123.3481432298</v>
      </c>
      <c r="N380" s="1">
        <f t="shared" si="1083"/>
        <v>36082.2320954865</v>
      </c>
      <c r="O380" s="1">
        <f t="shared" ref="O380:W380" si="1249">O$5+(O$6-O$5)*(POWER(O$7,$B380-1)-1)/(POWER(O$7,$B$3-1)-1)</f>
        <v>0.868761626312457</v>
      </c>
      <c r="P380" s="1">
        <f t="shared" si="1249"/>
        <v>0.264597242055836</v>
      </c>
      <c r="Q380" s="1">
        <f t="shared" si="1249"/>
        <v>0.477818894471851</v>
      </c>
      <c r="R380" s="1">
        <f t="shared" si="1249"/>
        <v>1.14750465052498</v>
      </c>
      <c r="S380" s="1">
        <f t="shared" si="1249"/>
        <v>0.529390114206194</v>
      </c>
      <c r="T380" s="1">
        <f t="shared" si="1249"/>
        <v>3.43817034261858</v>
      </c>
      <c r="U380" s="1">
        <f t="shared" si="1249"/>
        <v>1</v>
      </c>
      <c r="V380" s="1">
        <f t="shared" si="1249"/>
        <v>1.40217079929461</v>
      </c>
      <c r="W380" s="1">
        <f t="shared" si="1249"/>
        <v>2.18003720419986</v>
      </c>
      <c r="X380" s="1">
        <f t="shared" si="1085"/>
        <v>6.49474684033043</v>
      </c>
      <c r="Y380" s="1">
        <f t="shared" si="1086"/>
        <v>12.9461059754487</v>
      </c>
      <c r="Z380" s="1">
        <f t="shared" si="1087"/>
        <v>1332901.61565239</v>
      </c>
      <c r="AA380" s="1">
        <f t="shared" si="1088"/>
        <v>54123.3481432298</v>
      </c>
      <c r="AB380" s="1">
        <f t="shared" si="1089"/>
        <v>36082.2320954865</v>
      </c>
      <c r="AC380" s="1">
        <f>AB380/(AB380+战斗公式!$M$27)</f>
        <v>0.600547463651855</v>
      </c>
      <c r="AD380" s="1">
        <f t="shared" si="1090"/>
        <v>3336821.00966982</v>
      </c>
      <c r="AE380" s="1">
        <f t="shared" si="1091"/>
        <v>9.492618541086</v>
      </c>
      <c r="AF380" s="1">
        <f t="shared" si="1092"/>
        <v>4.76221609749672</v>
      </c>
      <c r="AG380" s="1">
        <f t="shared" si="1093"/>
        <v>4.83914641926336</v>
      </c>
      <c r="AH380" s="1">
        <f t="shared" si="1094"/>
        <v>1.57010590203885</v>
      </c>
      <c r="AI380" s="1">
        <f t="shared" si="1095"/>
        <v>1.00000000728551</v>
      </c>
      <c r="AJ380" s="1">
        <f t="shared" si="1096"/>
        <v>1.00043890324925</v>
      </c>
      <c r="AK380" s="1">
        <f t="shared" si="1097"/>
        <v>1</v>
      </c>
      <c r="AL380" s="10">
        <f t="shared" si="1098"/>
        <v>1354434</v>
      </c>
      <c r="AM380" s="10">
        <f t="shared" si="1099"/>
        <v>84979</v>
      </c>
      <c r="AN380" s="10">
        <f t="shared" si="1100"/>
        <v>36082</v>
      </c>
      <c r="AO380" s="1">
        <f t="shared" si="1101"/>
        <v>679785</v>
      </c>
      <c r="AP380" s="1">
        <f t="shared" si="1102"/>
        <v>84979</v>
      </c>
      <c r="AR380" s="1">
        <f t="shared" ref="AR380:AX380" si="1250">ROUNDUP(AR$10*$AO380,0)</f>
        <v>679785</v>
      </c>
      <c r="AS380" s="1">
        <f t="shared" si="1250"/>
        <v>2039355</v>
      </c>
      <c r="AT380" s="1">
        <f t="shared" si="1250"/>
        <v>1223613</v>
      </c>
      <c r="AU380" s="1">
        <f t="shared" si="1250"/>
        <v>339893</v>
      </c>
      <c r="AV380" s="1">
        <f t="shared" si="1250"/>
        <v>101968</v>
      </c>
      <c r="AW380" s="1">
        <f t="shared" si="1250"/>
        <v>2719140</v>
      </c>
      <c r="AX380" s="1">
        <f t="shared" si="1250"/>
        <v>6118065</v>
      </c>
      <c r="AY380" s="1">
        <f t="shared" si="1104"/>
        <v>81266041</v>
      </c>
      <c r="AZ380" s="1">
        <f t="shared" si="1105"/>
        <v>40633020</v>
      </c>
      <c r="BB380" s="1">
        <f t="shared" si="1106"/>
        <v>369</v>
      </c>
    </row>
    <row r="381" spans="2:54">
      <c r="B381" s="4">
        <v>370</v>
      </c>
      <c r="C381" s="1">
        <f t="shared" ref="C381:I381" si="1251">C$5+(C$6-C$5)*(POWER(C$7,$B381-1)-1)/(POWER(C$7,$B$3-1)-1)</f>
        <v>29231.8947404632</v>
      </c>
      <c r="D381" s="1">
        <f t="shared" si="1251"/>
        <v>8769.56842213897</v>
      </c>
      <c r="E381" s="1">
        <f t="shared" si="1251"/>
        <v>5846.37894809265</v>
      </c>
      <c r="F381" s="1">
        <f t="shared" si="1251"/>
        <v>74004.7968112993</v>
      </c>
      <c r="G381" s="1">
        <f t="shared" si="1251"/>
        <v>22201.4390433898</v>
      </c>
      <c r="H381" s="1">
        <f t="shared" si="1251"/>
        <v>14800.9593622599</v>
      </c>
      <c r="I381" s="1">
        <f t="shared" si="1251"/>
        <v>0</v>
      </c>
      <c r="J381" s="1">
        <f>标准模型!$I$65/1*$B381/$B$3</f>
        <v>2.664</v>
      </c>
      <c r="K381" s="1">
        <f>J381*标准模型!$J$63</f>
        <v>2.664</v>
      </c>
      <c r="L381" s="1">
        <f t="shared" si="1081"/>
        <v>103236.691551763</v>
      </c>
      <c r="M381" s="1">
        <f t="shared" si="1082"/>
        <v>54333.137742107</v>
      </c>
      <c r="N381" s="1">
        <f t="shared" si="1083"/>
        <v>36222.0918280713</v>
      </c>
      <c r="O381" s="1">
        <f t="shared" ref="O381:W381" si="1252">O$5+(O$6-O$5)*(POWER(O$7,$B381-1)-1)/(POWER(O$7,$B$3-1)-1)</f>
        <v>0.869763511078654</v>
      </c>
      <c r="P381" s="1">
        <f t="shared" si="1252"/>
        <v>0.26553339504445</v>
      </c>
      <c r="Q381" s="1">
        <f t="shared" si="1252"/>
        <v>0.47836993109326</v>
      </c>
      <c r="R381" s="1">
        <f t="shared" si="1252"/>
        <v>1.14790540443146</v>
      </c>
      <c r="S381" s="1">
        <f t="shared" si="1252"/>
        <v>0.53069256440225</v>
      </c>
      <c r="T381" s="1">
        <f t="shared" si="1252"/>
        <v>3.44207769320675</v>
      </c>
      <c r="U381" s="1">
        <f t="shared" si="1252"/>
        <v>1</v>
      </c>
      <c r="V381" s="1">
        <f t="shared" si="1252"/>
        <v>1.403263453108</v>
      </c>
      <c r="W381" s="1">
        <f t="shared" si="1252"/>
        <v>2.18324323545169</v>
      </c>
      <c r="X381" s="1">
        <f t="shared" si="1085"/>
        <v>6.53263116126239</v>
      </c>
      <c r="Y381" s="1">
        <f t="shared" si="1086"/>
        <v>13.0296206657123</v>
      </c>
      <c r="Z381" s="1">
        <f t="shared" si="1087"/>
        <v>1345134.92970261</v>
      </c>
      <c r="AA381" s="1">
        <f t="shared" si="1088"/>
        <v>54333.137742107</v>
      </c>
      <c r="AB381" s="1">
        <f t="shared" si="1089"/>
        <v>36222.0918280713</v>
      </c>
      <c r="AC381" s="1">
        <f>AB381/(AB381+战斗公式!$M$27)</f>
        <v>0.60147515186756</v>
      </c>
      <c r="AD381" s="1">
        <f t="shared" si="1090"/>
        <v>3375284.9690707</v>
      </c>
      <c r="AE381" s="1">
        <f t="shared" si="1091"/>
        <v>9.50949645593984</v>
      </c>
      <c r="AF381" s="1">
        <f t="shared" si="1092"/>
        <v>4.76775452407931</v>
      </c>
      <c r="AG381" s="1">
        <f t="shared" si="1093"/>
        <v>4.84107047534993</v>
      </c>
      <c r="AH381" s="1">
        <f t="shared" si="1094"/>
        <v>1.57498509238489</v>
      </c>
      <c r="AI381" s="1">
        <f t="shared" si="1095"/>
        <v>1.00000000692079</v>
      </c>
      <c r="AJ381" s="1">
        <f t="shared" si="1096"/>
        <v>1.00042945537687</v>
      </c>
      <c r="AK381" s="1">
        <f t="shared" si="1097"/>
        <v>1</v>
      </c>
      <c r="AL381" s="10">
        <f t="shared" si="1098"/>
        <v>1365820</v>
      </c>
      <c r="AM381" s="10">
        <f t="shared" si="1099"/>
        <v>85574</v>
      </c>
      <c r="AN381" s="10">
        <f t="shared" si="1100"/>
        <v>36222</v>
      </c>
      <c r="AO381" s="1">
        <f t="shared" si="1101"/>
        <v>685072</v>
      </c>
      <c r="AP381" s="1">
        <f t="shared" si="1102"/>
        <v>85574</v>
      </c>
      <c r="AR381" s="1">
        <f t="shared" ref="AR381:AX381" si="1253">ROUNDUP(AR$10*$AO381,0)</f>
        <v>685072</v>
      </c>
      <c r="AS381" s="1">
        <f t="shared" si="1253"/>
        <v>2055216</v>
      </c>
      <c r="AT381" s="1">
        <f t="shared" si="1253"/>
        <v>1233130</v>
      </c>
      <c r="AU381" s="1">
        <f t="shared" si="1253"/>
        <v>342536</v>
      </c>
      <c r="AV381" s="1">
        <f t="shared" si="1253"/>
        <v>102761</v>
      </c>
      <c r="AW381" s="1">
        <f t="shared" si="1253"/>
        <v>2740288</v>
      </c>
      <c r="AX381" s="1">
        <f t="shared" si="1253"/>
        <v>6165648</v>
      </c>
      <c r="AY381" s="1">
        <f t="shared" si="1104"/>
        <v>81949201</v>
      </c>
      <c r="AZ381" s="1">
        <f t="shared" si="1105"/>
        <v>40974600</v>
      </c>
      <c r="BB381" s="1">
        <f t="shared" si="1106"/>
        <v>370</v>
      </c>
    </row>
    <row r="382" spans="2:54">
      <c r="B382" s="4">
        <v>371</v>
      </c>
      <c r="C382" s="1">
        <f t="shared" ref="C382:I382" si="1254">C$5+(C$6-C$5)*(POWER(C$7,$B382-1)-1)/(POWER(C$7,$B$3-1)-1)</f>
        <v>29310.8852602081</v>
      </c>
      <c r="D382" s="1">
        <f t="shared" si="1254"/>
        <v>8793.26557806244</v>
      </c>
      <c r="E382" s="1">
        <f t="shared" si="1254"/>
        <v>5862.17705204163</v>
      </c>
      <c r="F382" s="1">
        <f t="shared" si="1254"/>
        <v>74204.7728106535</v>
      </c>
      <c r="G382" s="1">
        <f t="shared" si="1254"/>
        <v>22261.4318431961</v>
      </c>
      <c r="H382" s="1">
        <f t="shared" si="1254"/>
        <v>14840.9545621307</v>
      </c>
      <c r="I382" s="1">
        <f t="shared" si="1254"/>
        <v>0</v>
      </c>
      <c r="J382" s="1">
        <f>标准模型!$I$65/1*$B382/$B$3</f>
        <v>2.6712</v>
      </c>
      <c r="K382" s="1">
        <f>J382*标准模型!$J$63</f>
        <v>2.6712</v>
      </c>
      <c r="L382" s="1">
        <f t="shared" si="1081"/>
        <v>103515.658070862</v>
      </c>
      <c r="M382" s="1">
        <f t="shared" si="1082"/>
        <v>54543.2684333789</v>
      </c>
      <c r="N382" s="1">
        <f t="shared" si="1083"/>
        <v>36362.1789555859</v>
      </c>
      <c r="O382" s="1">
        <f t="shared" ref="O382:W382" si="1255">O$5+(O$6-O$5)*(POWER(O$7,$B382-1)-1)/(POWER(O$7,$B$3-1)-1)</f>
        <v>0.870765394842954</v>
      </c>
      <c r="P382" s="1">
        <f t="shared" si="1255"/>
        <v>0.266470952262546</v>
      </c>
      <c r="Q382" s="1">
        <f t="shared" si="1255"/>
        <v>0.478920967163625</v>
      </c>
      <c r="R382" s="1">
        <f t="shared" si="1255"/>
        <v>1.14830615793718</v>
      </c>
      <c r="S382" s="1">
        <f t="shared" si="1255"/>
        <v>0.53199501329584</v>
      </c>
      <c r="T382" s="1">
        <f t="shared" si="1255"/>
        <v>3.44598503988752</v>
      </c>
      <c r="U382" s="1">
        <f t="shared" si="1255"/>
        <v>1</v>
      </c>
      <c r="V382" s="1">
        <f t="shared" si="1255"/>
        <v>1.40435610582873</v>
      </c>
      <c r="W382" s="1">
        <f t="shared" si="1255"/>
        <v>2.18644926349745</v>
      </c>
      <c r="X382" s="1">
        <f t="shared" si="1085"/>
        <v>6.57070514410148</v>
      </c>
      <c r="Y382" s="1">
        <f t="shared" si="1086"/>
        <v>13.113605850563</v>
      </c>
      <c r="Z382" s="1">
        <f t="shared" si="1087"/>
        <v>1357463.53930293</v>
      </c>
      <c r="AA382" s="1">
        <f t="shared" si="1088"/>
        <v>54543.2684333789</v>
      </c>
      <c r="AB382" s="1">
        <f t="shared" si="1089"/>
        <v>36362.1789555859</v>
      </c>
      <c r="AC382" s="1">
        <f>AB382/(AB382+战斗公式!$M$27)</f>
        <v>0.602400038977072</v>
      </c>
      <c r="AD382" s="1">
        <f t="shared" si="1090"/>
        <v>3414144.04521193</v>
      </c>
      <c r="AE382" s="1">
        <f t="shared" si="1091"/>
        <v>9.52639757677097</v>
      </c>
      <c r="AF382" s="1">
        <f t="shared" si="1092"/>
        <v>4.77329807497285</v>
      </c>
      <c r="AG382" s="1">
        <f t="shared" si="1093"/>
        <v>4.84298010101586</v>
      </c>
      <c r="AH382" s="1">
        <f t="shared" si="1094"/>
        <v>1.57987404111163</v>
      </c>
      <c r="AI382" s="1">
        <f t="shared" si="1095"/>
        <v>1.00000000657431</v>
      </c>
      <c r="AJ382" s="1">
        <f t="shared" si="1096"/>
        <v>1.00042019646195</v>
      </c>
      <c r="AK382" s="1">
        <f t="shared" si="1097"/>
        <v>1</v>
      </c>
      <c r="AL382" s="10">
        <f t="shared" si="1098"/>
        <v>1377280</v>
      </c>
      <c r="AM382" s="10">
        <f t="shared" si="1099"/>
        <v>86171</v>
      </c>
      <c r="AN382" s="10">
        <f t="shared" si="1100"/>
        <v>36362</v>
      </c>
      <c r="AO382" s="1">
        <f t="shared" si="1101"/>
        <v>690390</v>
      </c>
      <c r="AP382" s="1">
        <f t="shared" si="1102"/>
        <v>86171</v>
      </c>
      <c r="AR382" s="1">
        <f t="shared" ref="AR382:AX382" si="1256">ROUNDUP(AR$10*$AO382,0)</f>
        <v>690390</v>
      </c>
      <c r="AS382" s="1">
        <f t="shared" si="1256"/>
        <v>2071170</v>
      </c>
      <c r="AT382" s="1">
        <f t="shared" si="1256"/>
        <v>1242702</v>
      </c>
      <c r="AU382" s="1">
        <f t="shared" si="1256"/>
        <v>345195</v>
      </c>
      <c r="AV382" s="1">
        <f t="shared" si="1256"/>
        <v>103559</v>
      </c>
      <c r="AW382" s="1">
        <f t="shared" si="1256"/>
        <v>2761560</v>
      </c>
      <c r="AX382" s="1">
        <f t="shared" si="1256"/>
        <v>6213510</v>
      </c>
      <c r="AY382" s="1">
        <f t="shared" si="1104"/>
        <v>82636801</v>
      </c>
      <c r="AZ382" s="1">
        <f t="shared" si="1105"/>
        <v>41318400</v>
      </c>
      <c r="BB382" s="1">
        <f t="shared" si="1106"/>
        <v>371</v>
      </c>
    </row>
    <row r="383" spans="2:54">
      <c r="B383" s="4">
        <v>372</v>
      </c>
      <c r="C383" s="1">
        <f t="shared" ref="C383:I383" si="1257">C$5+(C$6-C$5)*(POWER(C$7,$B383-1)-1)/(POWER(C$7,$B$3-1)-1)</f>
        <v>29389.8757009615</v>
      </c>
      <c r="D383" s="1">
        <f t="shared" si="1257"/>
        <v>8816.96271028844</v>
      </c>
      <c r="E383" s="1">
        <f t="shared" si="1257"/>
        <v>5877.97514019229</v>
      </c>
      <c r="F383" s="1">
        <f t="shared" si="1257"/>
        <v>74404.748610029</v>
      </c>
      <c r="G383" s="1">
        <f t="shared" si="1257"/>
        <v>22321.4245830087</v>
      </c>
      <c r="H383" s="1">
        <f t="shared" si="1257"/>
        <v>14880.9497220058</v>
      </c>
      <c r="I383" s="1">
        <f t="shared" si="1257"/>
        <v>0</v>
      </c>
      <c r="J383" s="1">
        <f>标准模型!$I$65/1*$B383/$B$3</f>
        <v>2.6784</v>
      </c>
      <c r="K383" s="1">
        <f>J383*标准模型!$J$63</f>
        <v>2.6784</v>
      </c>
      <c r="L383" s="1">
        <f t="shared" si="1081"/>
        <v>103794.62431099</v>
      </c>
      <c r="M383" s="1">
        <f t="shared" si="1082"/>
        <v>54753.7402165337</v>
      </c>
      <c r="N383" s="1">
        <f t="shared" si="1083"/>
        <v>36502.4934776891</v>
      </c>
      <c r="O383" s="1">
        <f t="shared" ref="O383:W383" si="1258">O$5+(O$6-O$5)*(POWER(O$7,$B383-1)-1)/(POWER(O$7,$B$3-1)-1)</f>
        <v>0.871767277605356</v>
      </c>
      <c r="P383" s="1">
        <f t="shared" si="1258"/>
        <v>0.26740991581647</v>
      </c>
      <c r="Q383" s="1">
        <f t="shared" si="1258"/>
        <v>0.479472002682946</v>
      </c>
      <c r="R383" s="1">
        <f t="shared" si="1258"/>
        <v>1.14870691104214</v>
      </c>
      <c r="S383" s="1">
        <f t="shared" si="1258"/>
        <v>0.533297460886963</v>
      </c>
      <c r="T383" s="1">
        <f t="shared" si="1258"/>
        <v>3.44989238266089</v>
      </c>
      <c r="U383" s="1">
        <f t="shared" si="1258"/>
        <v>1</v>
      </c>
      <c r="V383" s="1">
        <f t="shared" si="1258"/>
        <v>1.40544875745678</v>
      </c>
      <c r="W383" s="1">
        <f t="shared" si="1258"/>
        <v>2.18965528833714</v>
      </c>
      <c r="X383" s="1">
        <f t="shared" si="1085"/>
        <v>6.60896956622319</v>
      </c>
      <c r="Y383" s="1">
        <f t="shared" si="1086"/>
        <v>13.1980637587052</v>
      </c>
      <c r="Z383" s="1">
        <f t="shared" si="1087"/>
        <v>1369888.0694673</v>
      </c>
      <c r="AA383" s="1">
        <f t="shared" si="1088"/>
        <v>54753.7402165337</v>
      </c>
      <c r="AB383" s="1">
        <f t="shared" si="1089"/>
        <v>36502.4934776891</v>
      </c>
      <c r="AC383" s="1">
        <f>AB383/(AB383+战斗公式!$M$27)</f>
        <v>0.603322134006754</v>
      </c>
      <c r="AD383" s="1">
        <f t="shared" si="1090"/>
        <v>3453401.8328379</v>
      </c>
      <c r="AE383" s="1">
        <f t="shared" si="1091"/>
        <v>9.54332188011158</v>
      </c>
      <c r="AF383" s="1">
        <f t="shared" si="1092"/>
        <v>4.77884673232682</v>
      </c>
      <c r="AG383" s="1">
        <f t="shared" si="1093"/>
        <v>4.84487540448929</v>
      </c>
      <c r="AH383" s="1">
        <f t="shared" si="1094"/>
        <v>1.58477276773583</v>
      </c>
      <c r="AI383" s="1">
        <f t="shared" si="1095"/>
        <v>1.00000000624516</v>
      </c>
      <c r="AJ383" s="1">
        <f t="shared" si="1096"/>
        <v>1.00041112272532</v>
      </c>
      <c r="AK383" s="1">
        <f t="shared" si="1097"/>
        <v>1</v>
      </c>
      <c r="AL383" s="10">
        <f t="shared" si="1098"/>
        <v>1388816</v>
      </c>
      <c r="AM383" s="10">
        <f t="shared" si="1099"/>
        <v>86772</v>
      </c>
      <c r="AN383" s="10">
        <f t="shared" si="1100"/>
        <v>36502</v>
      </c>
      <c r="AO383" s="1">
        <f t="shared" si="1101"/>
        <v>695739</v>
      </c>
      <c r="AP383" s="1">
        <f t="shared" si="1102"/>
        <v>86772</v>
      </c>
      <c r="AR383" s="1">
        <f t="shared" ref="AR383:AX383" si="1259">ROUNDUP(AR$10*$AO383,0)</f>
        <v>695739</v>
      </c>
      <c r="AS383" s="1">
        <f t="shared" si="1259"/>
        <v>2087217</v>
      </c>
      <c r="AT383" s="1">
        <f t="shared" si="1259"/>
        <v>1252331</v>
      </c>
      <c r="AU383" s="1">
        <f t="shared" si="1259"/>
        <v>347870</v>
      </c>
      <c r="AV383" s="1">
        <f t="shared" si="1259"/>
        <v>104361</v>
      </c>
      <c r="AW383" s="1">
        <f t="shared" si="1259"/>
        <v>2782956</v>
      </c>
      <c r="AX383" s="1">
        <f t="shared" si="1259"/>
        <v>6261651</v>
      </c>
      <c r="AY383" s="1">
        <f t="shared" si="1104"/>
        <v>83328961</v>
      </c>
      <c r="AZ383" s="1">
        <f t="shared" si="1105"/>
        <v>41664480</v>
      </c>
      <c r="BB383" s="1">
        <f t="shared" si="1106"/>
        <v>372</v>
      </c>
    </row>
    <row r="384" spans="2:54">
      <c r="B384" s="4">
        <v>373</v>
      </c>
      <c r="C384" s="1">
        <f t="shared" ref="C384:I384" si="1260">C$5+(C$6-C$5)*(POWER(C$7,$B384-1)-1)/(POWER(C$7,$B$3-1)-1)</f>
        <v>29468.8660627232</v>
      </c>
      <c r="D384" s="1">
        <f t="shared" si="1260"/>
        <v>8840.65981881695</v>
      </c>
      <c r="E384" s="1">
        <f t="shared" si="1260"/>
        <v>5893.77321254463</v>
      </c>
      <c r="F384" s="1">
        <f t="shared" si="1260"/>
        <v>74604.7242094258</v>
      </c>
      <c r="G384" s="1">
        <f t="shared" si="1260"/>
        <v>22381.4172628277</v>
      </c>
      <c r="H384" s="1">
        <f t="shared" si="1260"/>
        <v>14920.9448418851</v>
      </c>
      <c r="I384" s="1">
        <f t="shared" si="1260"/>
        <v>0</v>
      </c>
      <c r="J384" s="1">
        <f>标准模型!$I$65/1*$B384/$B$3</f>
        <v>2.6856</v>
      </c>
      <c r="K384" s="1">
        <f>J384*标准模型!$J$63</f>
        <v>2.6856</v>
      </c>
      <c r="L384" s="1">
        <f t="shared" si="1081"/>
        <v>104073.590272149</v>
      </c>
      <c r="M384" s="1">
        <f t="shared" si="1082"/>
        <v>54964.5530910595</v>
      </c>
      <c r="N384" s="1">
        <f t="shared" si="1083"/>
        <v>36643.0353940397</v>
      </c>
      <c r="O384" s="1">
        <f t="shared" ref="O384:W384" si="1261">O$5+(O$6-O$5)*(POWER(O$7,$B384-1)-1)/(POWER(O$7,$B$3-1)-1)</f>
        <v>0.87276915936586</v>
      </c>
      <c r="P384" s="1">
        <f t="shared" si="1261"/>
        <v>0.268350287815724</v>
      </c>
      <c r="Q384" s="1">
        <f t="shared" si="1261"/>
        <v>0.480023037651223</v>
      </c>
      <c r="R384" s="1">
        <f t="shared" si="1261"/>
        <v>1.14910766374634</v>
      </c>
      <c r="S384" s="1">
        <f t="shared" si="1261"/>
        <v>0.534599907175618</v>
      </c>
      <c r="T384" s="1">
        <f t="shared" si="1261"/>
        <v>3.45379972152686</v>
      </c>
      <c r="U384" s="1">
        <f t="shared" si="1261"/>
        <v>1</v>
      </c>
      <c r="V384" s="1">
        <f t="shared" si="1261"/>
        <v>1.40654140799217</v>
      </c>
      <c r="W384" s="1">
        <f t="shared" si="1261"/>
        <v>2.19286130997075</v>
      </c>
      <c r="X384" s="1">
        <f t="shared" si="1085"/>
        <v>6.64742520746125</v>
      </c>
      <c r="Y384" s="1">
        <f t="shared" si="1086"/>
        <v>13.2829966273064</v>
      </c>
      <c r="Z384" s="1">
        <f t="shared" si="1087"/>
        <v>1382409.14857663</v>
      </c>
      <c r="AA384" s="1">
        <f t="shared" si="1088"/>
        <v>54964.5530910595</v>
      </c>
      <c r="AB384" s="1">
        <f t="shared" si="1089"/>
        <v>36643.0353940397</v>
      </c>
      <c r="AC384" s="1">
        <f>AB384/(AB384+战斗公式!$M$27)</f>
        <v>0.604241445962336</v>
      </c>
      <c r="AD384" s="1">
        <f t="shared" si="1090"/>
        <v>3493061.95525735</v>
      </c>
      <c r="AE384" s="1">
        <f t="shared" si="1091"/>
        <v>9.56026934256978</v>
      </c>
      <c r="AF384" s="1">
        <f t="shared" si="1092"/>
        <v>4.78440047837342</v>
      </c>
      <c r="AG384" s="1">
        <f t="shared" si="1093"/>
        <v>4.84675649318668</v>
      </c>
      <c r="AH384" s="1">
        <f t="shared" si="1094"/>
        <v>1.58968129181327</v>
      </c>
      <c r="AI384" s="1">
        <f t="shared" si="1095"/>
        <v>1.00000000593246</v>
      </c>
      <c r="AJ384" s="1">
        <f t="shared" si="1096"/>
        <v>1.00040223046342</v>
      </c>
      <c r="AK384" s="1">
        <f t="shared" si="1097"/>
        <v>1</v>
      </c>
      <c r="AL384" s="10">
        <f t="shared" si="1098"/>
        <v>1400426</v>
      </c>
      <c r="AM384" s="10">
        <f t="shared" si="1099"/>
        <v>87376</v>
      </c>
      <c r="AN384" s="10">
        <f t="shared" si="1100"/>
        <v>36643</v>
      </c>
      <c r="AO384" s="1">
        <f t="shared" si="1101"/>
        <v>701120</v>
      </c>
      <c r="AP384" s="1">
        <f t="shared" si="1102"/>
        <v>87376</v>
      </c>
      <c r="AR384" s="1">
        <f t="shared" ref="AR384:AX384" si="1262">ROUNDUP(AR$10*$AO384,0)</f>
        <v>701120</v>
      </c>
      <c r="AS384" s="1">
        <f t="shared" si="1262"/>
        <v>2103360</v>
      </c>
      <c r="AT384" s="1">
        <f t="shared" si="1262"/>
        <v>1262016</v>
      </c>
      <c r="AU384" s="1">
        <f t="shared" si="1262"/>
        <v>350560</v>
      </c>
      <c r="AV384" s="1">
        <f t="shared" si="1262"/>
        <v>105168</v>
      </c>
      <c r="AW384" s="1">
        <f t="shared" si="1262"/>
        <v>2804480</v>
      </c>
      <c r="AX384" s="1">
        <f t="shared" si="1262"/>
        <v>6310080</v>
      </c>
      <c r="AY384" s="1">
        <f t="shared" si="1104"/>
        <v>84025560</v>
      </c>
      <c r="AZ384" s="1">
        <f t="shared" si="1105"/>
        <v>42012780</v>
      </c>
      <c r="BB384" s="1">
        <f t="shared" si="1106"/>
        <v>373</v>
      </c>
    </row>
    <row r="385" spans="2:54">
      <c r="B385" s="4">
        <v>374</v>
      </c>
      <c r="C385" s="1">
        <f t="shared" ref="C385:I385" si="1263">C$5+(C$6-C$5)*(POWER(C$7,$B385-1)-1)/(POWER(C$7,$B$3-1)-1)</f>
        <v>29547.8563454933</v>
      </c>
      <c r="D385" s="1">
        <f t="shared" si="1263"/>
        <v>8864.35690364798</v>
      </c>
      <c r="E385" s="1">
        <f t="shared" si="1263"/>
        <v>5909.57126909865</v>
      </c>
      <c r="F385" s="1">
        <f t="shared" si="1263"/>
        <v>74804.6996088437</v>
      </c>
      <c r="G385" s="1">
        <f t="shared" si="1263"/>
        <v>22441.4098826531</v>
      </c>
      <c r="H385" s="1">
        <f t="shared" si="1263"/>
        <v>14960.9399217687</v>
      </c>
      <c r="I385" s="1">
        <f t="shared" si="1263"/>
        <v>0</v>
      </c>
      <c r="J385" s="1">
        <f>标准模型!$I$65/1*$B385/$B$3</f>
        <v>2.6928</v>
      </c>
      <c r="K385" s="1">
        <f>J385*标准模型!$J$63</f>
        <v>2.6928</v>
      </c>
      <c r="L385" s="1">
        <f t="shared" si="1081"/>
        <v>104352.555954337</v>
      </c>
      <c r="M385" s="1">
        <f t="shared" si="1082"/>
        <v>55175.7070564444</v>
      </c>
      <c r="N385" s="1">
        <f t="shared" si="1083"/>
        <v>36783.8047042963</v>
      </c>
      <c r="O385" s="1">
        <f t="shared" ref="O385:W385" si="1264">O$5+(O$6-O$5)*(POWER(O$7,$B385-1)-1)/(POWER(O$7,$B$3-1)-1)</f>
        <v>0.873771040124468</v>
      </c>
      <c r="P385" s="1">
        <f t="shared" si="1264"/>
        <v>0.269292070372977</v>
      </c>
      <c r="Q385" s="1">
        <f t="shared" si="1264"/>
        <v>0.480574072068457</v>
      </c>
      <c r="R385" s="1">
        <f t="shared" si="1264"/>
        <v>1.14950841604979</v>
      </c>
      <c r="S385" s="1">
        <f t="shared" si="1264"/>
        <v>0.535902352161808</v>
      </c>
      <c r="T385" s="1">
        <f t="shared" si="1264"/>
        <v>3.45770705648542</v>
      </c>
      <c r="U385" s="1">
        <f t="shared" si="1264"/>
        <v>1</v>
      </c>
      <c r="V385" s="1">
        <f t="shared" si="1264"/>
        <v>1.40763405743489</v>
      </c>
      <c r="W385" s="1">
        <f t="shared" si="1264"/>
        <v>2.1960673283983</v>
      </c>
      <c r="X385" s="1">
        <f t="shared" si="1085"/>
        <v>6.68607285011391</v>
      </c>
      <c r="Y385" s="1">
        <f t="shared" si="1086"/>
        <v>13.3684067020228</v>
      </c>
      <c r="Z385" s="1">
        <f t="shared" si="1087"/>
        <v>1395027.40839317</v>
      </c>
      <c r="AA385" s="1">
        <f t="shared" si="1088"/>
        <v>55175.7070564444</v>
      </c>
      <c r="AB385" s="1">
        <f t="shared" si="1089"/>
        <v>36783.8047042963</v>
      </c>
      <c r="AC385" s="1">
        <f>AB385/(AB385+战斗公式!$M$27)</f>
        <v>0.605157983828813</v>
      </c>
      <c r="AD385" s="1">
        <f t="shared" si="1090"/>
        <v>3533128.06453796</v>
      </c>
      <c r="AE385" s="1">
        <f t="shared" si="1091"/>
        <v>9.57723994082895</v>
      </c>
      <c r="AF385" s="1">
        <f t="shared" si="1092"/>
        <v>4.78995929542701</v>
      </c>
      <c r="AG385" s="1">
        <f t="shared" si="1093"/>
        <v>4.84862347371883</v>
      </c>
      <c r="AH385" s="1">
        <f t="shared" si="1094"/>
        <v>1.59459963293887</v>
      </c>
      <c r="AI385" s="1">
        <f t="shared" si="1095"/>
        <v>1.0000000056354</v>
      </c>
      <c r="AJ385" s="1">
        <f t="shared" si="1096"/>
        <v>1.00039351604677</v>
      </c>
      <c r="AK385" s="1">
        <f t="shared" si="1097"/>
        <v>1</v>
      </c>
      <c r="AL385" s="10">
        <f t="shared" si="1098"/>
        <v>1412113</v>
      </c>
      <c r="AM385" s="10">
        <f t="shared" si="1099"/>
        <v>87983</v>
      </c>
      <c r="AN385" s="10">
        <f t="shared" si="1100"/>
        <v>36784</v>
      </c>
      <c r="AO385" s="1">
        <f t="shared" si="1101"/>
        <v>706532</v>
      </c>
      <c r="AP385" s="1">
        <f t="shared" si="1102"/>
        <v>87983</v>
      </c>
      <c r="AR385" s="1">
        <f t="shared" ref="AR385:AX385" si="1265">ROUNDUP(AR$10*$AO385,0)</f>
        <v>706532</v>
      </c>
      <c r="AS385" s="1">
        <f t="shared" si="1265"/>
        <v>2119596</v>
      </c>
      <c r="AT385" s="1">
        <f t="shared" si="1265"/>
        <v>1271758</v>
      </c>
      <c r="AU385" s="1">
        <f t="shared" si="1265"/>
        <v>353266</v>
      </c>
      <c r="AV385" s="1">
        <f t="shared" si="1265"/>
        <v>105980</v>
      </c>
      <c r="AW385" s="1">
        <f t="shared" si="1265"/>
        <v>2826128</v>
      </c>
      <c r="AX385" s="1">
        <f t="shared" si="1265"/>
        <v>6358788</v>
      </c>
      <c r="AY385" s="1">
        <f t="shared" si="1104"/>
        <v>84726780</v>
      </c>
      <c r="AZ385" s="1">
        <f t="shared" si="1105"/>
        <v>42363390</v>
      </c>
      <c r="BB385" s="1">
        <f t="shared" si="1106"/>
        <v>374</v>
      </c>
    </row>
    <row r="386" spans="2:54">
      <c r="B386" s="4">
        <v>375</v>
      </c>
      <c r="C386" s="1">
        <f t="shared" ref="C386:I386" si="1266">C$5+(C$6-C$5)*(POWER(C$7,$B386-1)-1)/(POWER(C$7,$B$3-1)-1)</f>
        <v>29626.8465492805</v>
      </c>
      <c r="D386" s="1">
        <f t="shared" si="1266"/>
        <v>8888.05396478416</v>
      </c>
      <c r="E386" s="1">
        <f t="shared" si="1266"/>
        <v>5925.36930985611</v>
      </c>
      <c r="F386" s="1">
        <f t="shared" si="1266"/>
        <v>75004.6748083052</v>
      </c>
      <c r="G386" s="1">
        <f t="shared" si="1266"/>
        <v>22501.4024424916</v>
      </c>
      <c r="H386" s="1">
        <f t="shared" si="1266"/>
        <v>15000.934961661</v>
      </c>
      <c r="I386" s="1">
        <f t="shared" si="1266"/>
        <v>0</v>
      </c>
      <c r="J386" s="1">
        <f>标准模型!$I$65/1*$B386/$B$3</f>
        <v>2.7</v>
      </c>
      <c r="K386" s="1">
        <f>J386*标准模型!$J$63</f>
        <v>2.7</v>
      </c>
      <c r="L386" s="1">
        <f t="shared" si="1081"/>
        <v>104631.521357586</v>
      </c>
      <c r="M386" s="1">
        <f t="shared" si="1082"/>
        <v>55387.202112193</v>
      </c>
      <c r="N386" s="1">
        <f t="shared" si="1083"/>
        <v>36924.8014081286</v>
      </c>
      <c r="O386" s="1">
        <f t="shared" ref="O386:W386" si="1267">O$5+(O$6-O$5)*(POWER(O$7,$B386-1)-1)/(POWER(O$7,$B$3-1)-1)</f>
        <v>0.874772919881288</v>
      </c>
      <c r="P386" s="1">
        <f t="shared" si="1267"/>
        <v>0.270235265604066</v>
      </c>
      <c r="Q386" s="1">
        <f t="shared" si="1267"/>
        <v>0.481125105934709</v>
      </c>
      <c r="R386" s="1">
        <f t="shared" si="1267"/>
        <v>1.14990916795252</v>
      </c>
      <c r="S386" s="1">
        <f t="shared" si="1267"/>
        <v>0.537204795845675</v>
      </c>
      <c r="T386" s="1">
        <f t="shared" si="1267"/>
        <v>3.46161438753702</v>
      </c>
      <c r="U386" s="1">
        <f t="shared" si="1267"/>
        <v>1</v>
      </c>
      <c r="V386" s="1">
        <f t="shared" si="1267"/>
        <v>1.40872670578506</v>
      </c>
      <c r="W386" s="1">
        <f t="shared" si="1267"/>
        <v>2.19927334362012</v>
      </c>
      <c r="X386" s="1">
        <f t="shared" si="1085"/>
        <v>6.7249132789535</v>
      </c>
      <c r="Y386" s="1">
        <f t="shared" si="1086"/>
        <v>13.4542962370326</v>
      </c>
      <c r="Z386" s="1">
        <f t="shared" si="1087"/>
        <v>1407743.48407636</v>
      </c>
      <c r="AA386" s="1">
        <f t="shared" si="1088"/>
        <v>55387.202112193</v>
      </c>
      <c r="AB386" s="1">
        <f t="shared" si="1089"/>
        <v>36924.8014081286</v>
      </c>
      <c r="AC386" s="1">
        <f>AB386/(AB386+战斗公式!$M$27)</f>
        <v>0.606071756570422</v>
      </c>
      <c r="AD386" s="1">
        <f t="shared" si="1090"/>
        <v>3573603.84170581</v>
      </c>
      <c r="AE386" s="1">
        <f t="shared" si="1091"/>
        <v>9.59423365165002</v>
      </c>
      <c r="AF386" s="1">
        <f t="shared" si="1092"/>
        <v>4.79552316588459</v>
      </c>
      <c r="AG386" s="1">
        <f t="shared" si="1093"/>
        <v>4.85047645189699</v>
      </c>
      <c r="AH386" s="1">
        <f t="shared" si="1094"/>
        <v>1.59952781074671</v>
      </c>
      <c r="AI386" s="1">
        <f t="shared" si="1095"/>
        <v>1.00000000535319</v>
      </c>
      <c r="AJ386" s="1">
        <f t="shared" si="1096"/>
        <v>1.00038497591844</v>
      </c>
      <c r="AK386" s="1">
        <f t="shared" si="1097"/>
        <v>1</v>
      </c>
      <c r="AL386" s="10">
        <f t="shared" si="1098"/>
        <v>1423875</v>
      </c>
      <c r="AM386" s="10">
        <f t="shared" si="1099"/>
        <v>88593</v>
      </c>
      <c r="AN386" s="10">
        <f t="shared" si="1100"/>
        <v>36925</v>
      </c>
      <c r="AO386" s="1">
        <f t="shared" si="1101"/>
        <v>711975</v>
      </c>
      <c r="AP386" s="1">
        <f t="shared" si="1102"/>
        <v>88593</v>
      </c>
      <c r="AR386" s="1">
        <f t="shared" ref="AR386:AX386" si="1268">ROUNDUP(AR$10*$AO386,0)</f>
        <v>711975</v>
      </c>
      <c r="AS386" s="1">
        <f t="shared" si="1268"/>
        <v>2135925</v>
      </c>
      <c r="AT386" s="1">
        <f t="shared" si="1268"/>
        <v>1281555</v>
      </c>
      <c r="AU386" s="1">
        <f t="shared" si="1268"/>
        <v>355988</v>
      </c>
      <c r="AV386" s="1">
        <f t="shared" si="1268"/>
        <v>106797</v>
      </c>
      <c r="AW386" s="1">
        <f t="shared" si="1268"/>
        <v>2847900</v>
      </c>
      <c r="AX386" s="1">
        <f t="shared" si="1268"/>
        <v>6407775</v>
      </c>
      <c r="AY386" s="1">
        <f t="shared" si="1104"/>
        <v>85432500</v>
      </c>
      <c r="AZ386" s="1">
        <f t="shared" si="1105"/>
        <v>42716250</v>
      </c>
      <c r="BB386" s="1">
        <f t="shared" si="1106"/>
        <v>375</v>
      </c>
    </row>
    <row r="387" spans="2:54">
      <c r="B387" s="4">
        <v>376</v>
      </c>
      <c r="C387" s="1">
        <f t="shared" ref="C387:I387" si="1269">C$5+(C$6-C$5)*(POWER(C$7,$B387-1)-1)/(POWER(C$7,$B$3-1)-1)</f>
        <v>29705.8366740762</v>
      </c>
      <c r="D387" s="1">
        <f t="shared" si="1269"/>
        <v>8911.75100222286</v>
      </c>
      <c r="E387" s="1">
        <f t="shared" si="1269"/>
        <v>5941.16733481524</v>
      </c>
      <c r="F387" s="1">
        <f t="shared" si="1269"/>
        <v>75204.6498077879</v>
      </c>
      <c r="G387" s="1">
        <f t="shared" si="1269"/>
        <v>22561.3949423364</v>
      </c>
      <c r="H387" s="1">
        <f t="shared" si="1269"/>
        <v>15040.9299615576</v>
      </c>
      <c r="I387" s="1">
        <f t="shared" si="1269"/>
        <v>0</v>
      </c>
      <c r="J387" s="1">
        <f>标准模型!$I$65/1*$B387/$B$3</f>
        <v>2.7072</v>
      </c>
      <c r="K387" s="1">
        <f>J387*标准模型!$J$63</f>
        <v>2.7072</v>
      </c>
      <c r="L387" s="1">
        <f t="shared" si="1081"/>
        <v>104910.486481864</v>
      </c>
      <c r="M387" s="1">
        <f t="shared" si="1082"/>
        <v>55599.038257777</v>
      </c>
      <c r="N387" s="1">
        <f t="shared" si="1083"/>
        <v>37066.0255051846</v>
      </c>
      <c r="O387" s="1">
        <f t="shared" ref="O387:W387" si="1270">O$5+(O$6-O$5)*(POWER(O$7,$B387-1)-1)/(POWER(O$7,$B$3-1)-1)</f>
        <v>0.875774798636212</v>
      </c>
      <c r="P387" s="1">
        <f t="shared" si="1270"/>
        <v>0.271179875628002</v>
      </c>
      <c r="Q387" s="1">
        <f t="shared" si="1270"/>
        <v>0.481676139249916</v>
      </c>
      <c r="R387" s="1">
        <f t="shared" si="1270"/>
        <v>1.15030991945448</v>
      </c>
      <c r="S387" s="1">
        <f t="shared" si="1270"/>
        <v>0.538507238227075</v>
      </c>
      <c r="T387" s="1">
        <f t="shared" si="1270"/>
        <v>3.46552171468123</v>
      </c>
      <c r="U387" s="1">
        <f t="shared" si="1270"/>
        <v>1</v>
      </c>
      <c r="V387" s="1">
        <f t="shared" si="1270"/>
        <v>1.40981935304257</v>
      </c>
      <c r="W387" s="1">
        <f t="shared" si="1270"/>
        <v>2.20247935563588</v>
      </c>
      <c r="X387" s="1">
        <f t="shared" si="1085"/>
        <v>6.76394728122183</v>
      </c>
      <c r="Y387" s="1">
        <f t="shared" si="1086"/>
        <v>13.540667495036</v>
      </c>
      <c r="Z387" s="1">
        <f t="shared" si="1087"/>
        <v>1420558.01419339</v>
      </c>
      <c r="AA387" s="1">
        <f t="shared" si="1088"/>
        <v>55599.038257777</v>
      </c>
      <c r="AB387" s="1">
        <f t="shared" si="1089"/>
        <v>37066.0255051846</v>
      </c>
      <c r="AC387" s="1">
        <f>AB387/(AB387+战斗公式!$M$27)</f>
        <v>0.606982773130333</v>
      </c>
      <c r="AD387" s="1">
        <f t="shared" si="1090"/>
        <v>3614492.99693034</v>
      </c>
      <c r="AE387" s="1">
        <f t="shared" si="1091"/>
        <v>9.61125045186298</v>
      </c>
      <c r="AF387" s="1">
        <f t="shared" si="1092"/>
        <v>4.80109207222267</v>
      </c>
      <c r="AG387" s="1">
        <f t="shared" si="1093"/>
        <v>4.85231553273882</v>
      </c>
      <c r="AH387" s="1">
        <f t="shared" si="1094"/>
        <v>1.60446584491018</v>
      </c>
      <c r="AI387" s="1">
        <f t="shared" si="1095"/>
        <v>1.00000000508509</v>
      </c>
      <c r="AJ387" s="1">
        <f t="shared" si="1096"/>
        <v>1.00037660659269</v>
      </c>
      <c r="AK387" s="1">
        <f t="shared" si="1097"/>
        <v>1</v>
      </c>
      <c r="AL387" s="10">
        <f t="shared" si="1098"/>
        <v>1435714</v>
      </c>
      <c r="AM387" s="10">
        <f t="shared" si="1099"/>
        <v>89207</v>
      </c>
      <c r="AN387" s="10">
        <f t="shared" si="1100"/>
        <v>37066</v>
      </c>
      <c r="AO387" s="1">
        <f t="shared" si="1101"/>
        <v>717450</v>
      </c>
      <c r="AP387" s="1">
        <f t="shared" si="1102"/>
        <v>89207</v>
      </c>
      <c r="AR387" s="1">
        <f t="shared" ref="AR387:AX387" si="1271">ROUNDUP(AR$10*$AO387,0)</f>
        <v>717450</v>
      </c>
      <c r="AS387" s="1">
        <f t="shared" si="1271"/>
        <v>2152350</v>
      </c>
      <c r="AT387" s="1">
        <f t="shared" si="1271"/>
        <v>1291410</v>
      </c>
      <c r="AU387" s="1">
        <f t="shared" si="1271"/>
        <v>358725</v>
      </c>
      <c r="AV387" s="1">
        <f t="shared" si="1271"/>
        <v>107618</v>
      </c>
      <c r="AW387" s="1">
        <f t="shared" si="1271"/>
        <v>2869800</v>
      </c>
      <c r="AX387" s="1">
        <f t="shared" si="1271"/>
        <v>6457050</v>
      </c>
      <c r="AY387" s="1">
        <f t="shared" si="1104"/>
        <v>86142840</v>
      </c>
      <c r="AZ387" s="1">
        <f t="shared" si="1105"/>
        <v>43071420</v>
      </c>
      <c r="BB387" s="1">
        <f t="shared" si="1106"/>
        <v>376</v>
      </c>
    </row>
    <row r="388" spans="2:54">
      <c r="B388" s="4">
        <v>377</v>
      </c>
      <c r="C388" s="1">
        <f t="shared" ref="C388:I388" si="1272">C$5+(C$6-C$5)*(POWER(C$7,$B388-1)-1)/(POWER(C$7,$B$3-1)-1)</f>
        <v>29784.8267198715</v>
      </c>
      <c r="D388" s="1">
        <f t="shared" si="1272"/>
        <v>8935.44801596145</v>
      </c>
      <c r="E388" s="1">
        <f t="shared" si="1272"/>
        <v>5956.9653439743</v>
      </c>
      <c r="F388" s="1">
        <f t="shared" si="1272"/>
        <v>75404.6246072696</v>
      </c>
      <c r="G388" s="1">
        <f t="shared" si="1272"/>
        <v>22621.3873821809</v>
      </c>
      <c r="H388" s="1">
        <f t="shared" si="1272"/>
        <v>15080.9249214539</v>
      </c>
      <c r="I388" s="1">
        <f t="shared" si="1272"/>
        <v>0</v>
      </c>
      <c r="J388" s="1">
        <f>标准模型!$I$65/1*$B388/$B$3</f>
        <v>2.7144</v>
      </c>
      <c r="K388" s="1">
        <f>J388*标准模型!$J$63</f>
        <v>2.7144</v>
      </c>
      <c r="L388" s="1">
        <f t="shared" si="1081"/>
        <v>105189.451327141</v>
      </c>
      <c r="M388" s="1">
        <f t="shared" si="1082"/>
        <v>55811.2154926681</v>
      </c>
      <c r="N388" s="1">
        <f t="shared" si="1083"/>
        <v>37207.4769951121</v>
      </c>
      <c r="O388" s="1">
        <f t="shared" ref="O388:W388" si="1273">O$5+(O$6-O$5)*(POWER(O$7,$B388-1)-1)/(POWER(O$7,$B$3-1)-1)</f>
        <v>0.876776676389126</v>
      </c>
      <c r="P388" s="1">
        <f t="shared" si="1273"/>
        <v>0.272125902566974</v>
      </c>
      <c r="Q388" s="1">
        <f t="shared" si="1273"/>
        <v>0.482227172014019</v>
      </c>
      <c r="R388" s="1">
        <f t="shared" si="1273"/>
        <v>1.15071067055565</v>
      </c>
      <c r="S388" s="1">
        <f t="shared" si="1273"/>
        <v>0.539809679305864</v>
      </c>
      <c r="T388" s="1">
        <f t="shared" si="1273"/>
        <v>3.46942903791759</v>
      </c>
      <c r="U388" s="1">
        <f t="shared" si="1273"/>
        <v>1</v>
      </c>
      <c r="V388" s="1">
        <f t="shared" si="1273"/>
        <v>1.41091199920729</v>
      </c>
      <c r="W388" s="1">
        <f t="shared" si="1273"/>
        <v>2.2056853644452</v>
      </c>
      <c r="X388" s="1">
        <f t="shared" si="1085"/>
        <v>6.80317564664324</v>
      </c>
      <c r="Y388" s="1">
        <f t="shared" si="1086"/>
        <v>13.6275227472972</v>
      </c>
      <c r="Z388" s="1">
        <f t="shared" si="1087"/>
        <v>1433471.64073632</v>
      </c>
      <c r="AA388" s="1">
        <f t="shared" si="1088"/>
        <v>55811.2154926681</v>
      </c>
      <c r="AB388" s="1">
        <f t="shared" si="1089"/>
        <v>37207.4769951121</v>
      </c>
      <c r="AC388" s="1">
        <f>AB388/(AB388+战斗公式!$M$27)</f>
        <v>0.607891042430705</v>
      </c>
      <c r="AD388" s="1">
        <f t="shared" si="1090"/>
        <v>3655799.26972975</v>
      </c>
      <c r="AE388" s="1">
        <f t="shared" si="1091"/>
        <v>9.62829031837182</v>
      </c>
      <c r="AF388" s="1">
        <f t="shared" si="1092"/>
        <v>4.80666599699859</v>
      </c>
      <c r="AG388" s="1">
        <f t="shared" si="1093"/>
        <v>4.85414082047433</v>
      </c>
      <c r="AH388" s="1">
        <f t="shared" si="1094"/>
        <v>1.60941375514197</v>
      </c>
      <c r="AI388" s="1">
        <f t="shared" si="1095"/>
        <v>1.00000000483039</v>
      </c>
      <c r="AJ388" s="1">
        <f t="shared" si="1096"/>
        <v>1.00036840465345</v>
      </c>
      <c r="AK388" s="1">
        <f t="shared" si="1097"/>
        <v>1</v>
      </c>
      <c r="AL388" s="10">
        <f t="shared" si="1098"/>
        <v>1447630</v>
      </c>
      <c r="AM388" s="10">
        <f t="shared" si="1099"/>
        <v>89823</v>
      </c>
      <c r="AN388" s="10">
        <f t="shared" si="1100"/>
        <v>37207</v>
      </c>
      <c r="AO388" s="1">
        <f t="shared" si="1101"/>
        <v>722957</v>
      </c>
      <c r="AP388" s="1">
        <f t="shared" si="1102"/>
        <v>89823</v>
      </c>
      <c r="AR388" s="1">
        <f t="shared" ref="AR388:AX388" si="1274">ROUNDUP(AR$10*$AO388,0)</f>
        <v>722957</v>
      </c>
      <c r="AS388" s="1">
        <f t="shared" si="1274"/>
        <v>2168871</v>
      </c>
      <c r="AT388" s="1">
        <f t="shared" si="1274"/>
        <v>1301323</v>
      </c>
      <c r="AU388" s="1">
        <f t="shared" si="1274"/>
        <v>361479</v>
      </c>
      <c r="AV388" s="1">
        <f t="shared" si="1274"/>
        <v>108444</v>
      </c>
      <c r="AW388" s="1">
        <f t="shared" si="1274"/>
        <v>2891828</v>
      </c>
      <c r="AX388" s="1">
        <f t="shared" si="1274"/>
        <v>6506613</v>
      </c>
      <c r="AY388" s="1">
        <f t="shared" si="1104"/>
        <v>86857800</v>
      </c>
      <c r="AZ388" s="1">
        <f t="shared" si="1105"/>
        <v>43428900</v>
      </c>
      <c r="BB388" s="1">
        <f t="shared" si="1106"/>
        <v>377</v>
      </c>
    </row>
    <row r="389" spans="2:54">
      <c r="B389" s="4">
        <v>378</v>
      </c>
      <c r="C389" s="1">
        <f t="shared" ref="C389:I389" si="1275">C$5+(C$6-C$5)*(POWER(C$7,$B389-1)-1)/(POWER(C$7,$B$3-1)-1)</f>
        <v>29863.8166866839</v>
      </c>
      <c r="D389" s="1">
        <f t="shared" si="1275"/>
        <v>8959.14500600518</v>
      </c>
      <c r="E389" s="1">
        <f t="shared" si="1275"/>
        <v>5972.76333733679</v>
      </c>
      <c r="F389" s="1">
        <f t="shared" si="1275"/>
        <v>75604.5992067948</v>
      </c>
      <c r="G389" s="1">
        <f t="shared" si="1275"/>
        <v>22681.3797620384</v>
      </c>
      <c r="H389" s="1">
        <f t="shared" si="1275"/>
        <v>15120.919841359</v>
      </c>
      <c r="I389" s="1">
        <f t="shared" si="1275"/>
        <v>0</v>
      </c>
      <c r="J389" s="1">
        <f>标准模型!$I$65/1*$B389/$B$3</f>
        <v>2.7216</v>
      </c>
      <c r="K389" s="1">
        <f>J389*标准模型!$J$63</f>
        <v>2.7216</v>
      </c>
      <c r="L389" s="1">
        <f t="shared" si="1081"/>
        <v>105468.415893479</v>
      </c>
      <c r="M389" s="1">
        <f t="shared" si="1082"/>
        <v>56023.7338163873</v>
      </c>
      <c r="N389" s="1">
        <f t="shared" si="1083"/>
        <v>37349.1558775916</v>
      </c>
      <c r="O389" s="1">
        <f t="shared" ref="O389:W389" si="1276">O$5+(O$6-O$5)*(POWER(O$7,$B389-1)-1)/(POWER(O$7,$B$3-1)-1)</f>
        <v>0.877778553140254</v>
      </c>
      <c r="P389" s="1">
        <f t="shared" si="1276"/>
        <v>0.273073348546354</v>
      </c>
      <c r="Q389" s="1">
        <f t="shared" si="1276"/>
        <v>0.48277820422714</v>
      </c>
      <c r="R389" s="1">
        <f t="shared" si="1276"/>
        <v>1.1511114212561</v>
      </c>
      <c r="S389" s="1">
        <f t="shared" si="1276"/>
        <v>0.541112119082331</v>
      </c>
      <c r="T389" s="1">
        <f t="shared" si="1276"/>
        <v>3.47333635724699</v>
      </c>
      <c r="U389" s="1">
        <f t="shared" si="1276"/>
        <v>1</v>
      </c>
      <c r="V389" s="1">
        <f t="shared" si="1276"/>
        <v>1.41200464427946</v>
      </c>
      <c r="W389" s="1">
        <f t="shared" si="1276"/>
        <v>2.20889137004881</v>
      </c>
      <c r="X389" s="1">
        <f t="shared" si="1085"/>
        <v>6.84259916744253</v>
      </c>
      <c r="Y389" s="1">
        <f t="shared" si="1086"/>
        <v>13.7148642736966</v>
      </c>
      <c r="Z389" s="1">
        <f t="shared" si="1087"/>
        <v>1446485.00914085</v>
      </c>
      <c r="AA389" s="1">
        <f t="shared" si="1088"/>
        <v>56023.7338163873</v>
      </c>
      <c r="AB389" s="1">
        <f t="shared" si="1089"/>
        <v>37349.1558775916</v>
      </c>
      <c r="AC389" s="1">
        <f>AB389/(AB389+战斗公式!$M$27)</f>
        <v>0.608796573372801</v>
      </c>
      <c r="AD389" s="1">
        <f t="shared" si="1090"/>
        <v>3697526.42918256</v>
      </c>
      <c r="AE389" s="1">
        <f t="shared" si="1091"/>
        <v>9.64535322816174</v>
      </c>
      <c r="AF389" s="1">
        <f t="shared" si="1092"/>
        <v>4.81224492285257</v>
      </c>
      <c r="AG389" s="1">
        <f t="shared" si="1093"/>
        <v>4.85595241855182</v>
      </c>
      <c r="AH389" s="1">
        <f t="shared" si="1094"/>
        <v>1.61437156119422</v>
      </c>
      <c r="AI389" s="1">
        <f t="shared" si="1095"/>
        <v>1.00000000458843</v>
      </c>
      <c r="AJ389" s="1">
        <f t="shared" si="1096"/>
        <v>1.00036036675299</v>
      </c>
      <c r="AK389" s="1">
        <f t="shared" si="1097"/>
        <v>1</v>
      </c>
      <c r="AL389" s="10">
        <f t="shared" si="1098"/>
        <v>1459623</v>
      </c>
      <c r="AM389" s="10">
        <f t="shared" si="1099"/>
        <v>90443</v>
      </c>
      <c r="AN389" s="10">
        <f t="shared" si="1100"/>
        <v>37349</v>
      </c>
      <c r="AO389" s="1">
        <f t="shared" si="1101"/>
        <v>728495</v>
      </c>
      <c r="AP389" s="1">
        <f t="shared" si="1102"/>
        <v>90443</v>
      </c>
      <c r="AR389" s="1">
        <f t="shared" ref="AR389:AX389" si="1277">ROUNDUP(AR$10*$AO389,0)</f>
        <v>728495</v>
      </c>
      <c r="AS389" s="1">
        <f t="shared" si="1277"/>
        <v>2185485</v>
      </c>
      <c r="AT389" s="1">
        <f t="shared" si="1277"/>
        <v>1311291</v>
      </c>
      <c r="AU389" s="1">
        <f t="shared" si="1277"/>
        <v>364248</v>
      </c>
      <c r="AV389" s="1">
        <f t="shared" si="1277"/>
        <v>109275</v>
      </c>
      <c r="AW389" s="1">
        <f t="shared" si="1277"/>
        <v>2913980</v>
      </c>
      <c r="AX389" s="1">
        <f t="shared" si="1277"/>
        <v>6556455</v>
      </c>
      <c r="AY389" s="1">
        <f t="shared" si="1104"/>
        <v>87577380</v>
      </c>
      <c r="AZ389" s="1">
        <f t="shared" si="1105"/>
        <v>43788690</v>
      </c>
      <c r="BB389" s="1">
        <f t="shared" si="1106"/>
        <v>378</v>
      </c>
    </row>
    <row r="390" spans="2:54">
      <c r="B390" s="4">
        <v>379</v>
      </c>
      <c r="C390" s="1">
        <f t="shared" ref="C390:I390" si="1278">C$5+(C$6-C$5)*(POWER(C$7,$B390-1)-1)/(POWER(C$7,$B$3-1)-1)</f>
        <v>29942.8065745136</v>
      </c>
      <c r="D390" s="1">
        <f t="shared" si="1278"/>
        <v>8982.84197235407</v>
      </c>
      <c r="E390" s="1">
        <f t="shared" si="1278"/>
        <v>5988.56131490271</v>
      </c>
      <c r="F390" s="1">
        <f t="shared" si="1278"/>
        <v>75804.5736063635</v>
      </c>
      <c r="G390" s="1">
        <f t="shared" si="1278"/>
        <v>22741.372081909</v>
      </c>
      <c r="H390" s="1">
        <f t="shared" si="1278"/>
        <v>15160.9147212727</v>
      </c>
      <c r="I390" s="1">
        <f t="shared" si="1278"/>
        <v>0</v>
      </c>
      <c r="J390" s="1">
        <f>标准模型!$I$65/1*$B390/$B$3</f>
        <v>2.7288</v>
      </c>
      <c r="K390" s="1">
        <f>J390*标准模型!$J$63</f>
        <v>2.7288</v>
      </c>
      <c r="L390" s="1">
        <f t="shared" si="1081"/>
        <v>105747.380180877</v>
      </c>
      <c r="M390" s="1">
        <f t="shared" si="1082"/>
        <v>56236.5932284229</v>
      </c>
      <c r="N390" s="1">
        <f t="shared" si="1083"/>
        <v>37491.0621522819</v>
      </c>
      <c r="O390" s="1">
        <f t="shared" ref="O390:W390" si="1279">O$5+(O$6-O$5)*(POWER(O$7,$B390-1)-1)/(POWER(O$7,$B$3-1)-1)</f>
        <v>0.878780428889596</v>
      </c>
      <c r="P390" s="1">
        <f t="shared" si="1279"/>
        <v>0.274022215694703</v>
      </c>
      <c r="Q390" s="1">
        <f t="shared" si="1279"/>
        <v>0.483329235889278</v>
      </c>
      <c r="R390" s="1">
        <f t="shared" si="1279"/>
        <v>1.15151217155584</v>
      </c>
      <c r="S390" s="1">
        <f t="shared" si="1279"/>
        <v>0.542414557556475</v>
      </c>
      <c r="T390" s="1">
        <f t="shared" si="1279"/>
        <v>3.47724367266943</v>
      </c>
      <c r="U390" s="1">
        <f t="shared" si="1279"/>
        <v>1</v>
      </c>
      <c r="V390" s="1">
        <f t="shared" si="1279"/>
        <v>1.41309728825908</v>
      </c>
      <c r="W390" s="1">
        <f t="shared" si="1279"/>
        <v>2.21209737244671</v>
      </c>
      <c r="X390" s="1">
        <f t="shared" si="1085"/>
        <v>6.8822186383322</v>
      </c>
      <c r="Y390" s="1">
        <f t="shared" si="1086"/>
        <v>13.8026943627129</v>
      </c>
      <c r="Z390" s="1">
        <f t="shared" si="1087"/>
        <v>1459598.76829425</v>
      </c>
      <c r="AA390" s="1">
        <f t="shared" si="1088"/>
        <v>56236.5932284229</v>
      </c>
      <c r="AB390" s="1">
        <f t="shared" si="1089"/>
        <v>37491.0621522819</v>
      </c>
      <c r="AC390" s="1">
        <f>AB390/(AB390+战斗公式!$M$27)</f>
        <v>0.609699374836553</v>
      </c>
      <c r="AD390" s="1">
        <f t="shared" si="1090"/>
        <v>3739678.27410732</v>
      </c>
      <c r="AE390" s="1">
        <f t="shared" si="1091"/>
        <v>9.66243915828564</v>
      </c>
      <c r="AF390" s="1">
        <f t="shared" si="1092"/>
        <v>4.81782883250297</v>
      </c>
      <c r="AG390" s="1">
        <f t="shared" si="1093"/>
        <v>4.85775042964374</v>
      </c>
      <c r="AH390" s="1">
        <f t="shared" si="1094"/>
        <v>1.61933928285858</v>
      </c>
      <c r="AI390" s="1">
        <f t="shared" si="1095"/>
        <v>1.00000000435857</v>
      </c>
      <c r="AJ390" s="1">
        <f t="shared" si="1096"/>
        <v>1.00035248961054</v>
      </c>
      <c r="AK390" s="1">
        <f t="shared" si="1097"/>
        <v>1</v>
      </c>
      <c r="AL390" s="10">
        <f t="shared" si="1098"/>
        <v>1471693</v>
      </c>
      <c r="AM390" s="10">
        <f t="shared" si="1099"/>
        <v>91066</v>
      </c>
      <c r="AN390" s="10">
        <f t="shared" si="1100"/>
        <v>37491</v>
      </c>
      <c r="AO390" s="1">
        <f t="shared" si="1101"/>
        <v>734066</v>
      </c>
      <c r="AP390" s="1">
        <f t="shared" si="1102"/>
        <v>91066</v>
      </c>
      <c r="AR390" s="1">
        <f t="shared" ref="AR390:AX390" si="1280">ROUNDUP(AR$10*$AO390,0)</f>
        <v>734066</v>
      </c>
      <c r="AS390" s="1">
        <f t="shared" si="1280"/>
        <v>2202198</v>
      </c>
      <c r="AT390" s="1">
        <f t="shared" si="1280"/>
        <v>1321319</v>
      </c>
      <c r="AU390" s="1">
        <f t="shared" si="1280"/>
        <v>367033</v>
      </c>
      <c r="AV390" s="1">
        <f t="shared" si="1280"/>
        <v>110110</v>
      </c>
      <c r="AW390" s="1">
        <f t="shared" si="1280"/>
        <v>2936264</v>
      </c>
      <c r="AX390" s="1">
        <f t="shared" si="1280"/>
        <v>6606594</v>
      </c>
      <c r="AY390" s="1">
        <f t="shared" si="1104"/>
        <v>88301580</v>
      </c>
      <c r="AZ390" s="1">
        <f t="shared" si="1105"/>
        <v>44150790</v>
      </c>
      <c r="BB390" s="1">
        <f t="shared" si="1106"/>
        <v>379</v>
      </c>
    </row>
    <row r="391" spans="2:54">
      <c r="B391" s="4">
        <v>380</v>
      </c>
      <c r="C391" s="1">
        <f t="shared" ref="C391:I391" si="1281">C$5+(C$6-C$5)*(POWER(C$7,$B391-1)-1)/(POWER(C$7,$B$3-1)-1)</f>
        <v>30021.7963833428</v>
      </c>
      <c r="D391" s="1">
        <f t="shared" si="1281"/>
        <v>9006.53891500284</v>
      </c>
      <c r="E391" s="1">
        <f t="shared" si="1281"/>
        <v>6004.35927666856</v>
      </c>
      <c r="F391" s="1">
        <f t="shared" si="1281"/>
        <v>76004.5478059312</v>
      </c>
      <c r="G391" s="1">
        <f t="shared" si="1281"/>
        <v>22801.3643417793</v>
      </c>
      <c r="H391" s="1">
        <f t="shared" si="1281"/>
        <v>15200.9095611862</v>
      </c>
      <c r="I391" s="1">
        <f t="shared" si="1281"/>
        <v>0</v>
      </c>
      <c r="J391" s="1">
        <f>标准模型!$I$65/1*$B391/$B$3</f>
        <v>2.736</v>
      </c>
      <c r="K391" s="1">
        <f>J391*标准模型!$J$63</f>
        <v>2.736</v>
      </c>
      <c r="L391" s="1">
        <f t="shared" si="1081"/>
        <v>106026.344189274</v>
      </c>
      <c r="M391" s="1">
        <f t="shared" si="1082"/>
        <v>56449.79372823</v>
      </c>
      <c r="N391" s="1">
        <f t="shared" si="1083"/>
        <v>37633.19581882</v>
      </c>
      <c r="O391" s="1">
        <f t="shared" ref="O391:W391" si="1282">O$5+(O$6-O$5)*(POWER(O$7,$B391-1)-1)/(POWER(O$7,$B$3-1)-1)</f>
        <v>0.87978230363693</v>
      </c>
      <c r="P391" s="1">
        <f t="shared" si="1282"/>
        <v>0.274972506143775</v>
      </c>
      <c r="Q391" s="1">
        <f t="shared" si="1282"/>
        <v>0.483880267000311</v>
      </c>
      <c r="R391" s="1">
        <f t="shared" si="1282"/>
        <v>1.15191292145477</v>
      </c>
      <c r="S391" s="1">
        <f t="shared" si="1282"/>
        <v>0.543716994728008</v>
      </c>
      <c r="T391" s="1">
        <f t="shared" si="1282"/>
        <v>3.48115098418403</v>
      </c>
      <c r="U391" s="1">
        <f t="shared" si="1282"/>
        <v>1</v>
      </c>
      <c r="V391" s="1">
        <f t="shared" si="1282"/>
        <v>1.41418993114592</v>
      </c>
      <c r="W391" s="1">
        <f t="shared" si="1282"/>
        <v>2.21530337163817</v>
      </c>
      <c r="X391" s="1">
        <f t="shared" si="1085"/>
        <v>6.92203485651851</v>
      </c>
      <c r="Y391" s="1">
        <f t="shared" si="1086"/>
        <v>13.8910153114474</v>
      </c>
      <c r="Z391" s="1">
        <f t="shared" si="1087"/>
        <v>1472813.57054999</v>
      </c>
      <c r="AA391" s="1">
        <f t="shared" si="1088"/>
        <v>56449.79372823</v>
      </c>
      <c r="AB391" s="1">
        <f t="shared" si="1089"/>
        <v>37633.19581882</v>
      </c>
      <c r="AC391" s="1">
        <f>AB391/(AB391+战斗公式!$M$27)</f>
        <v>0.610599455680481</v>
      </c>
      <c r="AD391" s="1">
        <f t="shared" si="1090"/>
        <v>3782258.63326347</v>
      </c>
      <c r="AE391" s="1">
        <f t="shared" si="1091"/>
        <v>9.6795480858637</v>
      </c>
      <c r="AF391" s="1">
        <f t="shared" si="1092"/>
        <v>4.82341770874589</v>
      </c>
      <c r="AG391" s="1">
        <f t="shared" si="1093"/>
        <v>4.85953495565246</v>
      </c>
      <c r="AH391" s="1">
        <f t="shared" si="1094"/>
        <v>1.62431693996627</v>
      </c>
      <c r="AI391" s="1">
        <f t="shared" si="1095"/>
        <v>1.0000000041402</v>
      </c>
      <c r="AJ391" s="1">
        <f t="shared" si="1096"/>
        <v>1.00034477001094</v>
      </c>
      <c r="AK391" s="1">
        <f t="shared" si="1097"/>
        <v>1</v>
      </c>
      <c r="AL391" s="10">
        <f t="shared" si="1098"/>
        <v>1483842</v>
      </c>
      <c r="AM391" s="10">
        <f t="shared" si="1099"/>
        <v>91692</v>
      </c>
      <c r="AN391" s="10">
        <f t="shared" si="1100"/>
        <v>37633</v>
      </c>
      <c r="AO391" s="1">
        <f t="shared" si="1101"/>
        <v>739668</v>
      </c>
      <c r="AP391" s="1">
        <f t="shared" si="1102"/>
        <v>91692</v>
      </c>
      <c r="AR391" s="1">
        <f t="shared" ref="AR391:AX391" si="1283">ROUNDUP(AR$10*$AO391,0)</f>
        <v>739668</v>
      </c>
      <c r="AS391" s="1">
        <f t="shared" si="1283"/>
        <v>2219004</v>
      </c>
      <c r="AT391" s="1">
        <f t="shared" si="1283"/>
        <v>1331403</v>
      </c>
      <c r="AU391" s="1">
        <f t="shared" si="1283"/>
        <v>369834</v>
      </c>
      <c r="AV391" s="1">
        <f t="shared" si="1283"/>
        <v>110951</v>
      </c>
      <c r="AW391" s="1">
        <f t="shared" si="1283"/>
        <v>2958672</v>
      </c>
      <c r="AX391" s="1">
        <f t="shared" si="1283"/>
        <v>6657012</v>
      </c>
      <c r="AY391" s="1">
        <f t="shared" si="1104"/>
        <v>89030520</v>
      </c>
      <c r="AZ391" s="1">
        <f t="shared" si="1105"/>
        <v>44515260</v>
      </c>
      <c r="BB391" s="1">
        <f t="shared" si="1106"/>
        <v>380</v>
      </c>
    </row>
    <row r="392" spans="2:54">
      <c r="B392" s="4">
        <v>381</v>
      </c>
      <c r="C392" s="1">
        <f t="shared" ref="C392:I392" si="1284">C$5+(C$6-C$5)*(POWER(C$7,$B392-1)-1)/(POWER(C$7,$B$3-1)-1)</f>
        <v>30100.7861131892</v>
      </c>
      <c r="D392" s="1">
        <f t="shared" si="1284"/>
        <v>9030.23583395677</v>
      </c>
      <c r="E392" s="1">
        <f t="shared" si="1284"/>
        <v>6020.15722263784</v>
      </c>
      <c r="F392" s="1">
        <f t="shared" si="1284"/>
        <v>76204.5218055423</v>
      </c>
      <c r="G392" s="1">
        <f t="shared" si="1284"/>
        <v>22861.3565416627</v>
      </c>
      <c r="H392" s="1">
        <f t="shared" si="1284"/>
        <v>15240.9043611085</v>
      </c>
      <c r="I392" s="1">
        <f t="shared" si="1284"/>
        <v>0</v>
      </c>
      <c r="J392" s="1">
        <f>标准模型!$I$65/1*$B392/$B$3</f>
        <v>2.7432</v>
      </c>
      <c r="K392" s="1">
        <f>J392*标准模型!$J$63</f>
        <v>2.7432</v>
      </c>
      <c r="L392" s="1">
        <f t="shared" si="1081"/>
        <v>106305.307918732</v>
      </c>
      <c r="M392" s="1">
        <f t="shared" si="1082"/>
        <v>56663.3353153297</v>
      </c>
      <c r="N392" s="1">
        <f t="shared" si="1083"/>
        <v>37775.5568768864</v>
      </c>
      <c r="O392" s="1">
        <f t="shared" ref="O392:W392" si="1285">O$5+(O$6-O$5)*(POWER(O$7,$B392-1)-1)/(POWER(O$7,$B$3-1)-1)</f>
        <v>0.880784177382476</v>
      </c>
      <c r="P392" s="1">
        <f t="shared" si="1285"/>
        <v>0.27592422202852</v>
      </c>
      <c r="Q392" s="1">
        <f t="shared" si="1285"/>
        <v>0.484431297560362</v>
      </c>
      <c r="R392" s="1">
        <f t="shared" si="1285"/>
        <v>1.15231367095299</v>
      </c>
      <c r="S392" s="1">
        <f t="shared" si="1285"/>
        <v>0.545019430597219</v>
      </c>
      <c r="T392" s="1">
        <f t="shared" si="1285"/>
        <v>3.48505829179166</v>
      </c>
      <c r="U392" s="1">
        <f t="shared" si="1285"/>
        <v>1</v>
      </c>
      <c r="V392" s="1">
        <f t="shared" si="1285"/>
        <v>1.41528257294021</v>
      </c>
      <c r="W392" s="1">
        <f t="shared" si="1285"/>
        <v>2.21850936762393</v>
      </c>
      <c r="X392" s="1">
        <f t="shared" si="1085"/>
        <v>6.9620486217306</v>
      </c>
      <c r="Y392" s="1">
        <f t="shared" si="1086"/>
        <v>13.9798294257039</v>
      </c>
      <c r="Z392" s="1">
        <f t="shared" si="1087"/>
        <v>1486130.0717508</v>
      </c>
      <c r="AA392" s="1">
        <f t="shared" si="1088"/>
        <v>56663.3353153297</v>
      </c>
      <c r="AB392" s="1">
        <f t="shared" si="1089"/>
        <v>37775.5568768864</v>
      </c>
      <c r="AC392" s="1">
        <f>AB392/(AB392+战斗公式!$M$27)</f>
        <v>0.611496824742025</v>
      </c>
      <c r="AD392" s="1">
        <f t="shared" si="1090"/>
        <v>3825271.36557887</v>
      </c>
      <c r="AE392" s="1">
        <f t="shared" si="1091"/>
        <v>9.69667998809857</v>
      </c>
      <c r="AF392" s="1">
        <f t="shared" si="1092"/>
        <v>4.82901153445976</v>
      </c>
      <c r="AG392" s="1">
        <f t="shared" si="1093"/>
        <v>4.86130609771612</v>
      </c>
      <c r="AH392" s="1">
        <f t="shared" si="1094"/>
        <v>1.62930455238817</v>
      </c>
      <c r="AI392" s="1">
        <f t="shared" si="1095"/>
        <v>1.00000000393275</v>
      </c>
      <c r="AJ392" s="1">
        <f t="shared" si="1096"/>
        <v>1.00033720480333</v>
      </c>
      <c r="AK392" s="1">
        <f t="shared" si="1097"/>
        <v>1</v>
      </c>
      <c r="AL392" s="10">
        <f t="shared" si="1098"/>
        <v>1496069</v>
      </c>
      <c r="AM392" s="10">
        <f t="shared" si="1099"/>
        <v>92322</v>
      </c>
      <c r="AN392" s="10">
        <f t="shared" si="1100"/>
        <v>37776</v>
      </c>
      <c r="AO392" s="1">
        <f t="shared" si="1101"/>
        <v>745303</v>
      </c>
      <c r="AP392" s="1">
        <f t="shared" si="1102"/>
        <v>92322</v>
      </c>
      <c r="AR392" s="1">
        <f t="shared" ref="AR392:AX392" si="1286">ROUNDUP(AR$10*$AO392,0)</f>
        <v>745303</v>
      </c>
      <c r="AS392" s="1">
        <f t="shared" si="1286"/>
        <v>2235909</v>
      </c>
      <c r="AT392" s="1">
        <f t="shared" si="1286"/>
        <v>1341546</v>
      </c>
      <c r="AU392" s="1">
        <f t="shared" si="1286"/>
        <v>372652</v>
      </c>
      <c r="AV392" s="1">
        <f t="shared" si="1286"/>
        <v>111796</v>
      </c>
      <c r="AW392" s="1">
        <f t="shared" si="1286"/>
        <v>2981212</v>
      </c>
      <c r="AX392" s="1">
        <f t="shared" si="1286"/>
        <v>6707727</v>
      </c>
      <c r="AY392" s="1">
        <f t="shared" si="1104"/>
        <v>89764140</v>
      </c>
      <c r="AZ392" s="1">
        <f t="shared" si="1105"/>
        <v>44882070</v>
      </c>
      <c r="BB392" s="1">
        <f t="shared" si="1106"/>
        <v>381</v>
      </c>
    </row>
    <row r="393" spans="2:54">
      <c r="B393" s="4">
        <v>382</v>
      </c>
      <c r="C393" s="1">
        <f t="shared" ref="C393:I393" si="1287">C$5+(C$6-C$5)*(POWER(C$7,$B393-1)-1)/(POWER(C$7,$B$3-1)-1)</f>
        <v>30179.7757640352</v>
      </c>
      <c r="D393" s="1">
        <f t="shared" si="1287"/>
        <v>9053.93272921057</v>
      </c>
      <c r="E393" s="1">
        <f t="shared" si="1287"/>
        <v>6035.95515280705</v>
      </c>
      <c r="F393" s="1">
        <f t="shared" si="1287"/>
        <v>76404.4956051525</v>
      </c>
      <c r="G393" s="1">
        <f t="shared" si="1287"/>
        <v>22921.3486815458</v>
      </c>
      <c r="H393" s="1">
        <f t="shared" si="1287"/>
        <v>15280.8991210305</v>
      </c>
      <c r="I393" s="1">
        <f t="shared" si="1287"/>
        <v>0</v>
      </c>
      <c r="J393" s="1">
        <f>标准模型!$I$65/1*$B393/$B$3</f>
        <v>2.7504</v>
      </c>
      <c r="K393" s="1">
        <f>J393*标准模型!$J$63</f>
        <v>2.7504</v>
      </c>
      <c r="L393" s="1">
        <f t="shared" si="1081"/>
        <v>106584.271369188</v>
      </c>
      <c r="M393" s="1">
        <f t="shared" si="1082"/>
        <v>56877.2179891771</v>
      </c>
      <c r="N393" s="1">
        <f t="shared" si="1083"/>
        <v>37918.1453261181</v>
      </c>
      <c r="O393" s="1">
        <f t="shared" ref="O393:W393" si="1288">O$5+(O$6-O$5)*(POWER(O$7,$B393-1)-1)/(POWER(O$7,$B$3-1)-1)</f>
        <v>0.881786050126015</v>
      </c>
      <c r="P393" s="1">
        <f t="shared" si="1288"/>
        <v>0.276877365487092</v>
      </c>
      <c r="Q393" s="1">
        <f t="shared" si="1288"/>
        <v>0.484982327569308</v>
      </c>
      <c r="R393" s="1">
        <f t="shared" si="1288"/>
        <v>1.15271442005041</v>
      </c>
      <c r="S393" s="1">
        <f t="shared" si="1288"/>
        <v>0.546321865163819</v>
      </c>
      <c r="T393" s="1">
        <f t="shared" si="1288"/>
        <v>3.48896559549146</v>
      </c>
      <c r="U393" s="1">
        <f t="shared" si="1288"/>
        <v>1</v>
      </c>
      <c r="V393" s="1">
        <f t="shared" si="1288"/>
        <v>1.4163752136417</v>
      </c>
      <c r="W393" s="1">
        <f t="shared" si="1288"/>
        <v>2.22171536040325</v>
      </c>
      <c r="X393" s="1">
        <f t="shared" si="1085"/>
        <v>7.00226073619621</v>
      </c>
      <c r="Y393" s="1">
        <f t="shared" si="1086"/>
        <v>14.0691390199428</v>
      </c>
      <c r="Z393" s="1">
        <f t="shared" si="1087"/>
        <v>1499548.93123242</v>
      </c>
      <c r="AA393" s="1">
        <f t="shared" si="1088"/>
        <v>56877.2179891771</v>
      </c>
      <c r="AB393" s="1">
        <f t="shared" si="1089"/>
        <v>37918.1453261181</v>
      </c>
      <c r="AC393" s="1">
        <f>AB393/(AB393+战斗公式!$M$27)</f>
        <v>0.612391490836913</v>
      </c>
      <c r="AD393" s="1">
        <f t="shared" si="1090"/>
        <v>3868720.36031974</v>
      </c>
      <c r="AE393" s="1">
        <f t="shared" si="1091"/>
        <v>9.71383484225399</v>
      </c>
      <c r="AF393" s="1">
        <f t="shared" si="1092"/>
        <v>4.83461029259814</v>
      </c>
      <c r="AG393" s="1">
        <f t="shared" si="1093"/>
        <v>4.8630639562143</v>
      </c>
      <c r="AH393" s="1">
        <f t="shared" si="1094"/>
        <v>1.63430214003492</v>
      </c>
      <c r="AI393" s="1">
        <f t="shared" si="1095"/>
        <v>1.00000000373567</v>
      </c>
      <c r="AJ393" s="1">
        <f t="shared" si="1096"/>
        <v>1.00032979089988</v>
      </c>
      <c r="AK393" s="1">
        <f t="shared" si="1097"/>
        <v>1</v>
      </c>
      <c r="AL393" s="10">
        <f t="shared" si="1098"/>
        <v>1508374</v>
      </c>
      <c r="AM393" s="10">
        <f t="shared" si="1099"/>
        <v>92955</v>
      </c>
      <c r="AN393" s="10">
        <f t="shared" si="1100"/>
        <v>37918</v>
      </c>
      <c r="AO393" s="1">
        <f t="shared" si="1101"/>
        <v>750971</v>
      </c>
      <c r="AP393" s="1">
        <f t="shared" si="1102"/>
        <v>92955</v>
      </c>
      <c r="AR393" s="1">
        <f t="shared" ref="AR393:AX393" si="1289">ROUNDUP(AR$10*$AO393,0)</f>
        <v>750971</v>
      </c>
      <c r="AS393" s="1">
        <f t="shared" si="1289"/>
        <v>2252913</v>
      </c>
      <c r="AT393" s="1">
        <f t="shared" si="1289"/>
        <v>1351748</v>
      </c>
      <c r="AU393" s="1">
        <f t="shared" si="1289"/>
        <v>375486</v>
      </c>
      <c r="AV393" s="1">
        <f t="shared" si="1289"/>
        <v>112646</v>
      </c>
      <c r="AW393" s="1">
        <f t="shared" si="1289"/>
        <v>3003884</v>
      </c>
      <c r="AX393" s="1">
        <f t="shared" si="1289"/>
        <v>6758739</v>
      </c>
      <c r="AY393" s="1">
        <f t="shared" si="1104"/>
        <v>90502440</v>
      </c>
      <c r="AZ393" s="1">
        <f t="shared" si="1105"/>
        <v>45251220</v>
      </c>
      <c r="BB393" s="1">
        <f t="shared" si="1106"/>
        <v>382</v>
      </c>
    </row>
    <row r="394" spans="2:54">
      <c r="B394" s="4">
        <v>383</v>
      </c>
      <c r="C394" s="1">
        <f t="shared" ref="C394:I394" si="1290">C$5+(C$6-C$5)*(POWER(C$7,$B394-1)-1)/(POWER(C$7,$B$3-1)-1)</f>
        <v>30258.7653358984</v>
      </c>
      <c r="D394" s="1">
        <f t="shared" si="1290"/>
        <v>9077.62960076953</v>
      </c>
      <c r="E394" s="1">
        <f t="shared" si="1290"/>
        <v>6051.75306717969</v>
      </c>
      <c r="F394" s="1">
        <f t="shared" si="1290"/>
        <v>76604.4692048062</v>
      </c>
      <c r="G394" s="1">
        <f t="shared" si="1290"/>
        <v>22981.3407614419</v>
      </c>
      <c r="H394" s="1">
        <f t="shared" si="1290"/>
        <v>15320.8938409612</v>
      </c>
      <c r="I394" s="1">
        <f t="shared" si="1290"/>
        <v>0</v>
      </c>
      <c r="J394" s="1">
        <f>标准模型!$I$65/1*$B394/$B$3</f>
        <v>2.7576</v>
      </c>
      <c r="K394" s="1">
        <f>J394*标准模型!$J$63</f>
        <v>2.7576</v>
      </c>
      <c r="L394" s="1">
        <f t="shared" si="1081"/>
        <v>106863.234540705</v>
      </c>
      <c r="M394" s="1">
        <f t="shared" si="1082"/>
        <v>57091.4417492935</v>
      </c>
      <c r="N394" s="1">
        <f t="shared" si="1083"/>
        <v>38060.9611661956</v>
      </c>
      <c r="O394" s="1">
        <f t="shared" ref="O394:W394" si="1291">O$5+(O$6-O$5)*(POWER(O$7,$B394-1)-1)/(POWER(O$7,$B$3-1)-1)</f>
        <v>0.882787921867766</v>
      </c>
      <c r="P394" s="1">
        <f t="shared" si="1291"/>
        <v>0.277831938660852</v>
      </c>
      <c r="Q394" s="1">
        <f t="shared" si="1291"/>
        <v>0.485533357027272</v>
      </c>
      <c r="R394" s="1">
        <f t="shared" si="1291"/>
        <v>1.15311516874711</v>
      </c>
      <c r="S394" s="1">
        <f t="shared" si="1291"/>
        <v>0.547624298428096</v>
      </c>
      <c r="T394" s="1">
        <f t="shared" si="1291"/>
        <v>3.49287289528429</v>
      </c>
      <c r="U394" s="1">
        <f t="shared" si="1291"/>
        <v>1</v>
      </c>
      <c r="V394" s="1">
        <f t="shared" si="1291"/>
        <v>1.41746785325066</v>
      </c>
      <c r="W394" s="1">
        <f t="shared" si="1291"/>
        <v>2.22492134997685</v>
      </c>
      <c r="X394" s="1">
        <f t="shared" si="1085"/>
        <v>7.04267200467852</v>
      </c>
      <c r="Y394" s="1">
        <f t="shared" si="1086"/>
        <v>14.1589464173784</v>
      </c>
      <c r="Z394" s="1">
        <f t="shared" si="1087"/>
        <v>1513070.81184958</v>
      </c>
      <c r="AA394" s="1">
        <f t="shared" si="1088"/>
        <v>57091.4417492935</v>
      </c>
      <c r="AB394" s="1">
        <f t="shared" si="1089"/>
        <v>38060.9611661956</v>
      </c>
      <c r="AC394" s="1">
        <f>AB394/(AB394+战斗公式!$M$27)</f>
        <v>0.613283462759634</v>
      </c>
      <c r="AD394" s="1">
        <f t="shared" si="1090"/>
        <v>3912609.53732921</v>
      </c>
      <c r="AE394" s="1">
        <f t="shared" si="1091"/>
        <v>9.73101262567523</v>
      </c>
      <c r="AF394" s="1">
        <f t="shared" si="1092"/>
        <v>4.84021396619602</v>
      </c>
      <c r="AG394" s="1">
        <f t="shared" si="1093"/>
        <v>4.86480863077375</v>
      </c>
      <c r="AH394" s="1">
        <f t="shared" si="1094"/>
        <v>1.63930972285696</v>
      </c>
      <c r="AI394" s="1">
        <f t="shared" si="1095"/>
        <v>1.00000000354845</v>
      </c>
      <c r="AJ394" s="1">
        <f t="shared" si="1096"/>
        <v>1.00032252527449</v>
      </c>
      <c r="AK394" s="1">
        <f t="shared" si="1097"/>
        <v>1</v>
      </c>
      <c r="AL394" s="10">
        <f t="shared" si="1098"/>
        <v>1520759</v>
      </c>
      <c r="AM394" s="10">
        <f t="shared" si="1099"/>
        <v>93591</v>
      </c>
      <c r="AN394" s="10">
        <f t="shared" si="1100"/>
        <v>38061</v>
      </c>
      <c r="AO394" s="1">
        <f t="shared" si="1101"/>
        <v>756671</v>
      </c>
      <c r="AP394" s="1">
        <f t="shared" si="1102"/>
        <v>93591</v>
      </c>
      <c r="AR394" s="1">
        <f t="shared" ref="AR394:AX394" si="1292">ROUNDUP(AR$10*$AO394,0)</f>
        <v>756671</v>
      </c>
      <c r="AS394" s="1">
        <f t="shared" si="1292"/>
        <v>2270013</v>
      </c>
      <c r="AT394" s="1">
        <f t="shared" si="1292"/>
        <v>1362008</v>
      </c>
      <c r="AU394" s="1">
        <f t="shared" si="1292"/>
        <v>378336</v>
      </c>
      <c r="AV394" s="1">
        <f t="shared" si="1292"/>
        <v>113501</v>
      </c>
      <c r="AW394" s="1">
        <f t="shared" si="1292"/>
        <v>3026684</v>
      </c>
      <c r="AX394" s="1">
        <f t="shared" si="1292"/>
        <v>6810039</v>
      </c>
      <c r="AY394" s="1">
        <f t="shared" si="1104"/>
        <v>91245540</v>
      </c>
      <c r="AZ394" s="1">
        <f t="shared" si="1105"/>
        <v>45622770</v>
      </c>
      <c r="BB394" s="1">
        <f t="shared" si="1106"/>
        <v>383</v>
      </c>
    </row>
    <row r="395" spans="2:54">
      <c r="B395" s="4">
        <v>384</v>
      </c>
      <c r="C395" s="1">
        <f t="shared" ref="C395:I395" si="1293">C$5+(C$6-C$5)*(POWER(C$7,$B395-1)-1)/(POWER(C$7,$B$3-1)-1)</f>
        <v>30337.7548287788</v>
      </c>
      <c r="D395" s="1">
        <f t="shared" si="1293"/>
        <v>9101.32644863364</v>
      </c>
      <c r="E395" s="1">
        <f t="shared" si="1293"/>
        <v>6067.55096575576</v>
      </c>
      <c r="F395" s="1">
        <f t="shared" si="1293"/>
        <v>76804.4426045033</v>
      </c>
      <c r="G395" s="1">
        <f t="shared" si="1293"/>
        <v>23041.332781351</v>
      </c>
      <c r="H395" s="1">
        <f t="shared" si="1293"/>
        <v>15360.8885209007</v>
      </c>
      <c r="I395" s="1">
        <f t="shared" si="1293"/>
        <v>0</v>
      </c>
      <c r="J395" s="1">
        <f>标准模型!$I$65/1*$B395/$B$3</f>
        <v>2.7648</v>
      </c>
      <c r="K395" s="1">
        <f>J395*标准模型!$J$63</f>
        <v>2.7648</v>
      </c>
      <c r="L395" s="1">
        <f t="shared" si="1081"/>
        <v>107142.197433282</v>
      </c>
      <c r="M395" s="1">
        <f t="shared" si="1082"/>
        <v>57306.0065951669</v>
      </c>
      <c r="N395" s="1">
        <f t="shared" si="1083"/>
        <v>38204.0043967779</v>
      </c>
      <c r="O395" s="1">
        <f t="shared" ref="O395:W395" si="1294">O$5+(O$6-O$5)*(POWER(O$7,$B395-1)-1)/(POWER(O$7,$B$3-1)-1)</f>
        <v>0.883789792607732</v>
      </c>
      <c r="P395" s="1">
        <f t="shared" si="1294"/>
        <v>0.278787943694373</v>
      </c>
      <c r="Q395" s="1">
        <f t="shared" si="1294"/>
        <v>0.486084385934253</v>
      </c>
      <c r="R395" s="1">
        <f t="shared" si="1294"/>
        <v>1.15351591704309</v>
      </c>
      <c r="S395" s="1">
        <f t="shared" si="1294"/>
        <v>0.548926730390052</v>
      </c>
      <c r="T395" s="1">
        <f t="shared" si="1294"/>
        <v>3.49678019117015</v>
      </c>
      <c r="U395" s="1">
        <f t="shared" si="1294"/>
        <v>1</v>
      </c>
      <c r="V395" s="1">
        <f t="shared" si="1294"/>
        <v>1.41856049176707</v>
      </c>
      <c r="W395" s="1">
        <f t="shared" si="1294"/>
        <v>2.22812733634474</v>
      </c>
      <c r="X395" s="1">
        <f t="shared" si="1085"/>
        <v>7.08328323445959</v>
      </c>
      <c r="Y395" s="1">
        <f t="shared" si="1086"/>
        <v>14.2492539499514</v>
      </c>
      <c r="Z395" s="1">
        <f t="shared" si="1087"/>
        <v>1526696.37998266</v>
      </c>
      <c r="AA395" s="1">
        <f t="shared" si="1088"/>
        <v>57306.0065951669</v>
      </c>
      <c r="AB395" s="1">
        <f t="shared" si="1089"/>
        <v>38204.0043967779</v>
      </c>
      <c r="AC395" s="1">
        <f>AB395/(AB395+战斗公式!$M$27)</f>
        <v>0.614172749282952</v>
      </c>
      <c r="AD395" s="1">
        <f t="shared" si="1090"/>
        <v>3956942.84720777</v>
      </c>
      <c r="AE395" s="1">
        <f t="shared" si="1091"/>
        <v>9.74821331577305</v>
      </c>
      <c r="AF395" s="1">
        <f t="shared" si="1092"/>
        <v>4.84582253836431</v>
      </c>
      <c r="AG395" s="1">
        <f t="shared" si="1093"/>
        <v>4.866540220274</v>
      </c>
      <c r="AH395" s="1">
        <f t="shared" si="1094"/>
        <v>1.64432732084464</v>
      </c>
      <c r="AI395" s="1">
        <f t="shared" si="1095"/>
        <v>1.00000000337059</v>
      </c>
      <c r="AJ395" s="1">
        <f t="shared" si="1096"/>
        <v>1.00031540496161</v>
      </c>
      <c r="AK395" s="1">
        <f t="shared" si="1097"/>
        <v>1</v>
      </c>
      <c r="AL395" s="10">
        <f t="shared" si="1098"/>
        <v>1533224</v>
      </c>
      <c r="AM395" s="10">
        <f t="shared" si="1099"/>
        <v>94230</v>
      </c>
      <c r="AN395" s="10">
        <f t="shared" si="1100"/>
        <v>38204</v>
      </c>
      <c r="AO395" s="1">
        <f t="shared" si="1101"/>
        <v>762404</v>
      </c>
      <c r="AP395" s="1">
        <f t="shared" si="1102"/>
        <v>94230</v>
      </c>
      <c r="AR395" s="1">
        <f t="shared" ref="AR395:AX395" si="1295">ROUNDUP(AR$10*$AO395,0)</f>
        <v>762404</v>
      </c>
      <c r="AS395" s="1">
        <f t="shared" si="1295"/>
        <v>2287212</v>
      </c>
      <c r="AT395" s="1">
        <f t="shared" si="1295"/>
        <v>1372328</v>
      </c>
      <c r="AU395" s="1">
        <f t="shared" si="1295"/>
        <v>381202</v>
      </c>
      <c r="AV395" s="1">
        <f t="shared" si="1295"/>
        <v>114361</v>
      </c>
      <c r="AW395" s="1">
        <f t="shared" si="1295"/>
        <v>3049616</v>
      </c>
      <c r="AX395" s="1">
        <f t="shared" si="1295"/>
        <v>6861636</v>
      </c>
      <c r="AY395" s="1">
        <f t="shared" si="1104"/>
        <v>91993440</v>
      </c>
      <c r="AZ395" s="1">
        <f t="shared" si="1105"/>
        <v>45996720</v>
      </c>
      <c r="BB395" s="1">
        <f t="shared" si="1106"/>
        <v>384</v>
      </c>
    </row>
    <row r="396" spans="2:54">
      <c r="B396" s="4">
        <v>385</v>
      </c>
      <c r="C396" s="1">
        <f t="shared" ref="C396:I396" si="1296">C$5+(C$6-C$5)*(POWER(C$7,$B396-1)-1)/(POWER(C$7,$B$3-1)-1)</f>
        <v>30416.7442426588</v>
      </c>
      <c r="D396" s="1">
        <f t="shared" si="1296"/>
        <v>9125.02327279764</v>
      </c>
      <c r="E396" s="1">
        <f t="shared" si="1296"/>
        <v>6083.34884853176</v>
      </c>
      <c r="F396" s="1">
        <f t="shared" si="1296"/>
        <v>77004.4158041995</v>
      </c>
      <c r="G396" s="1">
        <f t="shared" si="1296"/>
        <v>23101.3247412598</v>
      </c>
      <c r="H396" s="1">
        <f t="shared" si="1296"/>
        <v>15400.8831608399</v>
      </c>
      <c r="I396" s="1">
        <f t="shared" si="1296"/>
        <v>0</v>
      </c>
      <c r="J396" s="1">
        <f>标准模型!$I$65/1*$B396/$B$3</f>
        <v>2.772</v>
      </c>
      <c r="K396" s="1">
        <f>J396*标准模型!$J$63</f>
        <v>2.772</v>
      </c>
      <c r="L396" s="1">
        <f t="shared" ref="L396:L459" si="1297">C396*(1+I396)+F396</f>
        <v>107421.160046858</v>
      </c>
      <c r="M396" s="1">
        <f t="shared" ref="M396:M459" si="1298">D396*(1+J396)+G396</f>
        <v>57520.9125262525</v>
      </c>
      <c r="N396" s="1">
        <f t="shared" ref="N396:N459" si="1299">E396*(1+K396)+H396</f>
        <v>38347.2750175017</v>
      </c>
      <c r="O396" s="1">
        <f t="shared" ref="O396:W396" si="1300">O$5+(O$6-O$5)*(POWER(O$7,$B396-1)-1)/(POWER(O$7,$B$3-1)-1)</f>
        <v>0.884791662345689</v>
      </c>
      <c r="P396" s="1">
        <f t="shared" si="1300"/>
        <v>0.279745382735445</v>
      </c>
      <c r="Q396" s="1">
        <f t="shared" si="1300"/>
        <v>0.486635414290129</v>
      </c>
      <c r="R396" s="1">
        <f t="shared" si="1300"/>
        <v>1.15391666493828</v>
      </c>
      <c r="S396" s="1">
        <f t="shared" si="1300"/>
        <v>0.550229161049395</v>
      </c>
      <c r="T396" s="1">
        <f t="shared" si="1300"/>
        <v>3.50068748314819</v>
      </c>
      <c r="U396" s="1">
        <f t="shared" si="1300"/>
        <v>1</v>
      </c>
      <c r="V396" s="1">
        <f t="shared" si="1300"/>
        <v>1.41965312919068</v>
      </c>
      <c r="W396" s="1">
        <f t="shared" si="1300"/>
        <v>2.2313333195062</v>
      </c>
      <c r="X396" s="1">
        <f t="shared" ref="X396:X459" si="1301">(1+S396*(T396-1))*U396*W396*(O396+P396)*R396</f>
        <v>7.12409523534634</v>
      </c>
      <c r="Y396" s="1">
        <f t="shared" ref="Y396:Y459" si="1302">(1+S396*(T396-1))*(O396+P396+Q396)*U396*V396*W396*R396</f>
        <v>14.3400639583536</v>
      </c>
      <c r="Z396" s="1">
        <f t="shared" ref="Z396:Z459" si="1303">Y396*L396</f>
        <v>1540426.30555249</v>
      </c>
      <c r="AA396" s="1">
        <f t="shared" ref="AA396:AA459" si="1304">M396</f>
        <v>57520.9125262525</v>
      </c>
      <c r="AB396" s="1">
        <f t="shared" ref="AB396:AB459" si="1305">N396</f>
        <v>38347.2750175017</v>
      </c>
      <c r="AC396" s="1">
        <f>AB396/(AB396+战斗公式!$M$27)</f>
        <v>0.615059359157832</v>
      </c>
      <c r="AD396" s="1">
        <f t="shared" ref="AD396:AD459" si="1306">Z396/(1-AC396)</f>
        <v>4001724.27151979</v>
      </c>
      <c r="AE396" s="1">
        <f t="shared" ref="AE396:AE459" si="1307">AD396/AA396/X396</f>
        <v>9.76543689002298</v>
      </c>
      <c r="AF396" s="1">
        <f t="shared" ref="AF396:AF459" si="1308">AD396/AA396/Y396</f>
        <v>4.85143599228936</v>
      </c>
      <c r="AG396" s="1">
        <f t="shared" ref="AG396:AG459" si="1309">AG$5+(AG$6-AG$5)*(POWER(AG$7,$B396-1)-1)/(POWER(AG$7,$B$3-1)-1)</f>
        <v>4.86825882285299</v>
      </c>
      <c r="AH396" s="1">
        <f t="shared" ref="AH396:AH459" si="1310">$AH$5+($AH$6-$AH$5)*(POWER($AH$7,$B396-1)-1)/(POWER($AH$7,$B$3-1)-1)</f>
        <v>1.6493549540283</v>
      </c>
      <c r="AI396" s="1">
        <f t="shared" ref="AI396:AI459" si="1311">$AI$5+($AI$6-$AI$5)*(POWER($AI$7,$B396-1)-1)/(POWER($AI$7,$B$3-1)-1)</f>
        <v>1.00000000320162</v>
      </c>
      <c r="AJ396" s="1">
        <f t="shared" ref="AJ396:AJ459" si="1312">$AJ$5+($AJ$6-$AJ$5)*(POWER($AJ$7,$B396-1)-1)/(POWER($AJ$7,$B$3-1)-1)</f>
        <v>1.00030842705499</v>
      </c>
      <c r="AK396" s="1">
        <f t="shared" ref="AK396:AK459" si="1313">$AK$5+($AK$6-$AK$5)*(POWER($AK$7,$B396-1)-1)/(POWER($AK$7,$B$3-1)-1)</f>
        <v>1</v>
      </c>
      <c r="AL396" s="10">
        <f t="shared" ref="AL396:AL459" si="1314">ROUND(Z396/AF396*AG396,0)</f>
        <v>1545768</v>
      </c>
      <c r="AM396" s="10">
        <f t="shared" ref="AM396:AM459" si="1315">ROUND(AA396*AH396,0)</f>
        <v>94872</v>
      </c>
      <c r="AN396" s="10">
        <f t="shared" ref="AN396:AN459" si="1316">ROUND(AB396,0)</f>
        <v>38347</v>
      </c>
      <c r="AO396" s="1">
        <f t="shared" ref="AO396:AO459" si="1317">ROUND(Z396/$AE396*AG396*AJ396,0)</f>
        <v>768169</v>
      </c>
      <c r="AP396" s="1">
        <f t="shared" ref="AP396:AP459" si="1318">ROUND(AM396*AK396,0)</f>
        <v>94872</v>
      </c>
      <c r="AR396" s="1">
        <f t="shared" ref="AR396:AX396" si="1319">ROUNDUP(AR$10*$AO396,0)</f>
        <v>768169</v>
      </c>
      <c r="AS396" s="1">
        <f t="shared" si="1319"/>
        <v>2304507</v>
      </c>
      <c r="AT396" s="1">
        <f t="shared" si="1319"/>
        <v>1382705</v>
      </c>
      <c r="AU396" s="1">
        <f t="shared" si="1319"/>
        <v>384085</v>
      </c>
      <c r="AV396" s="1">
        <f t="shared" si="1319"/>
        <v>115226</v>
      </c>
      <c r="AW396" s="1">
        <f t="shared" si="1319"/>
        <v>3072676</v>
      </c>
      <c r="AX396" s="1">
        <f t="shared" si="1319"/>
        <v>6913521</v>
      </c>
      <c r="AY396" s="1">
        <f t="shared" ref="AY396:AY459" si="1320">ROUND(AL396*$AY$10*AI396,0)</f>
        <v>92746080</v>
      </c>
      <c r="AZ396" s="1">
        <f t="shared" ref="AZ396:AZ459" si="1321">ROUND(AL396*$AZ$10*AI396,0)</f>
        <v>46373040</v>
      </c>
      <c r="BB396" s="1">
        <f t="shared" ref="BB396:BB459" si="1322">B396</f>
        <v>385</v>
      </c>
    </row>
    <row r="397" spans="2:54">
      <c r="B397" s="4">
        <v>386</v>
      </c>
      <c r="C397" s="1">
        <f t="shared" ref="C397:I397" si="1323">C$5+(C$6-C$5)*(POWER(C$7,$B397-1)-1)/(POWER(C$7,$B$3-1)-1)</f>
        <v>30495.7335775559</v>
      </c>
      <c r="D397" s="1">
        <f t="shared" si="1323"/>
        <v>9148.72007326678</v>
      </c>
      <c r="E397" s="1">
        <f t="shared" si="1323"/>
        <v>6099.14671551119</v>
      </c>
      <c r="F397" s="1">
        <f t="shared" si="1323"/>
        <v>77204.3888039391</v>
      </c>
      <c r="G397" s="1">
        <f t="shared" si="1323"/>
        <v>23161.3166411817</v>
      </c>
      <c r="H397" s="1">
        <f t="shared" si="1323"/>
        <v>15440.8777607878</v>
      </c>
      <c r="I397" s="1">
        <f t="shared" si="1323"/>
        <v>0</v>
      </c>
      <c r="J397" s="1">
        <f>标准模型!$I$65/1*$B397/$B$3</f>
        <v>2.7792</v>
      </c>
      <c r="K397" s="1">
        <f>J397*标准模型!$J$63</f>
        <v>2.7792</v>
      </c>
      <c r="L397" s="1">
        <f t="shared" si="1297"/>
        <v>107700.122381495</v>
      </c>
      <c r="M397" s="1">
        <f t="shared" si="1298"/>
        <v>57736.1595420716</v>
      </c>
      <c r="N397" s="1">
        <f t="shared" si="1299"/>
        <v>38490.7730280477</v>
      </c>
      <c r="O397" s="1">
        <f t="shared" ref="O397:W397" si="1324">O$5+(O$6-O$5)*(POWER(O$7,$B397-1)-1)/(POWER(O$7,$B$3-1)-1)</f>
        <v>0.885793531081859</v>
      </c>
      <c r="P397" s="1">
        <f t="shared" si="1324"/>
        <v>0.280704257935077</v>
      </c>
      <c r="Q397" s="1">
        <f t="shared" si="1324"/>
        <v>0.487186442095023</v>
      </c>
      <c r="R397" s="1">
        <f t="shared" si="1324"/>
        <v>1.15431741243274</v>
      </c>
      <c r="S397" s="1">
        <f t="shared" si="1324"/>
        <v>0.551531590406417</v>
      </c>
      <c r="T397" s="1">
        <f t="shared" si="1324"/>
        <v>3.50459477121925</v>
      </c>
      <c r="U397" s="1">
        <f t="shared" si="1324"/>
        <v>1</v>
      </c>
      <c r="V397" s="1">
        <f t="shared" si="1324"/>
        <v>1.42074576552175</v>
      </c>
      <c r="W397" s="1">
        <f t="shared" si="1324"/>
        <v>2.23453929946195</v>
      </c>
      <c r="X397" s="1">
        <f t="shared" si="1301"/>
        <v>7.16510881970016</v>
      </c>
      <c r="Y397" s="1">
        <f t="shared" si="1302"/>
        <v>14.4313787921096</v>
      </c>
      <c r="Z397" s="1">
        <f t="shared" si="1303"/>
        <v>1554261.26204392</v>
      </c>
      <c r="AA397" s="1">
        <f t="shared" si="1304"/>
        <v>57736.1595420716</v>
      </c>
      <c r="AB397" s="1">
        <f t="shared" si="1305"/>
        <v>38490.7730280477</v>
      </c>
      <c r="AC397" s="1">
        <f>AB397/(AB397+战斗公式!$M$27)</f>
        <v>0.615943301113781</v>
      </c>
      <c r="AD397" s="1">
        <f t="shared" si="1306"/>
        <v>4046957.82302806</v>
      </c>
      <c r="AE397" s="1">
        <f t="shared" si="1307"/>
        <v>9.78268332598093</v>
      </c>
      <c r="AF397" s="1">
        <f t="shared" si="1308"/>
        <v>4.85705431123766</v>
      </c>
      <c r="AG397" s="1">
        <f t="shared" si="1309"/>
        <v>4.86996453591265</v>
      </c>
      <c r="AH397" s="1">
        <f t="shared" si="1310"/>
        <v>1.65439264247833</v>
      </c>
      <c r="AI397" s="1">
        <f t="shared" si="1311"/>
        <v>1.0000000030411</v>
      </c>
      <c r="AJ397" s="1">
        <f t="shared" si="1312"/>
        <v>1.00030158870651</v>
      </c>
      <c r="AK397" s="1">
        <f t="shared" si="1313"/>
        <v>1</v>
      </c>
      <c r="AL397" s="10">
        <f t="shared" si="1314"/>
        <v>1558393</v>
      </c>
      <c r="AM397" s="10">
        <f t="shared" si="1315"/>
        <v>95518</v>
      </c>
      <c r="AN397" s="10">
        <f t="shared" si="1316"/>
        <v>38491</v>
      </c>
      <c r="AO397" s="1">
        <f t="shared" si="1317"/>
        <v>773968</v>
      </c>
      <c r="AP397" s="1">
        <f t="shared" si="1318"/>
        <v>95518</v>
      </c>
      <c r="AR397" s="1">
        <f t="shared" ref="AR397:AX397" si="1325">ROUNDUP(AR$10*$AO397,0)</f>
        <v>773968</v>
      </c>
      <c r="AS397" s="1">
        <f t="shared" si="1325"/>
        <v>2321904</v>
      </c>
      <c r="AT397" s="1">
        <f t="shared" si="1325"/>
        <v>1393143</v>
      </c>
      <c r="AU397" s="1">
        <f t="shared" si="1325"/>
        <v>386984</v>
      </c>
      <c r="AV397" s="1">
        <f t="shared" si="1325"/>
        <v>116096</v>
      </c>
      <c r="AW397" s="1">
        <f t="shared" si="1325"/>
        <v>3095872</v>
      </c>
      <c r="AX397" s="1">
        <f t="shared" si="1325"/>
        <v>6965712</v>
      </c>
      <c r="AY397" s="1">
        <f t="shared" si="1320"/>
        <v>93503580</v>
      </c>
      <c r="AZ397" s="1">
        <f t="shared" si="1321"/>
        <v>46751790</v>
      </c>
      <c r="BB397" s="1">
        <f t="shared" si="1322"/>
        <v>386</v>
      </c>
    </row>
    <row r="398" spans="2:54">
      <c r="B398" s="4">
        <v>387</v>
      </c>
      <c r="C398" s="1">
        <f t="shared" ref="C398:I398" si="1326">C$5+(C$6-C$5)*(POWER(C$7,$B398-1)-1)/(POWER(C$7,$B$3-1)-1)</f>
        <v>30574.7228334615</v>
      </c>
      <c r="D398" s="1">
        <f t="shared" si="1326"/>
        <v>9172.41685003845</v>
      </c>
      <c r="E398" s="1">
        <f t="shared" si="1326"/>
        <v>6114.9445666923</v>
      </c>
      <c r="F398" s="1">
        <f t="shared" si="1326"/>
        <v>77404.3616037</v>
      </c>
      <c r="G398" s="1">
        <f t="shared" si="1326"/>
        <v>23221.30848111</v>
      </c>
      <c r="H398" s="1">
        <f t="shared" si="1326"/>
        <v>15480.87232074</v>
      </c>
      <c r="I398" s="1">
        <f t="shared" si="1326"/>
        <v>0</v>
      </c>
      <c r="J398" s="1">
        <f>标准模型!$I$65/1*$B398/$B$3</f>
        <v>2.7864</v>
      </c>
      <c r="K398" s="1">
        <f>J398*标准模型!$J$63</f>
        <v>2.7864</v>
      </c>
      <c r="L398" s="1">
        <f t="shared" si="1297"/>
        <v>107979.084437161</v>
      </c>
      <c r="M398" s="1">
        <f t="shared" si="1298"/>
        <v>57951.7476420956</v>
      </c>
      <c r="N398" s="1">
        <f t="shared" si="1299"/>
        <v>38634.4984280637</v>
      </c>
      <c r="O398" s="1">
        <f t="shared" ref="O398:W398" si="1327">O$5+(O$6-O$5)*(POWER(O$7,$B398-1)-1)/(POWER(O$7,$B$3-1)-1)</f>
        <v>0.886795398816132</v>
      </c>
      <c r="P398" s="1">
        <f t="shared" si="1327"/>
        <v>0.28166457144751</v>
      </c>
      <c r="Q398" s="1">
        <f t="shared" si="1327"/>
        <v>0.487737469348873</v>
      </c>
      <c r="R398" s="1">
        <f t="shared" si="1327"/>
        <v>1.15471815952645</v>
      </c>
      <c r="S398" s="1">
        <f t="shared" si="1327"/>
        <v>0.552834018460972</v>
      </c>
      <c r="T398" s="1">
        <f t="shared" si="1327"/>
        <v>3.50850205538292</v>
      </c>
      <c r="U398" s="1">
        <f t="shared" si="1327"/>
        <v>1</v>
      </c>
      <c r="V398" s="1">
        <f t="shared" si="1327"/>
        <v>1.42183840076016</v>
      </c>
      <c r="W398" s="1">
        <f t="shared" si="1327"/>
        <v>2.23774527621162</v>
      </c>
      <c r="X398" s="1">
        <f t="shared" si="1301"/>
        <v>7.20632480241618</v>
      </c>
      <c r="Y398" s="1">
        <f t="shared" si="1302"/>
        <v>14.5232008095383</v>
      </c>
      <c r="Z398" s="1">
        <f t="shared" si="1303"/>
        <v>1568201.92651099</v>
      </c>
      <c r="AA398" s="1">
        <f t="shared" si="1304"/>
        <v>57951.7476420956</v>
      </c>
      <c r="AB398" s="1">
        <f t="shared" si="1305"/>
        <v>38634.4984280637</v>
      </c>
      <c r="AC398" s="1">
        <f>AB398/(AB398+战斗公式!$M$27)</f>
        <v>0.6168245838583</v>
      </c>
      <c r="AD398" s="1">
        <f t="shared" si="1306"/>
        <v>4092647.54587247</v>
      </c>
      <c r="AE398" s="1">
        <f t="shared" si="1307"/>
        <v>9.79995260126416</v>
      </c>
      <c r="AF398" s="1">
        <f t="shared" si="1308"/>
        <v>4.86267747854943</v>
      </c>
      <c r="AG398" s="1">
        <f t="shared" si="1309"/>
        <v>4.87165745612436</v>
      </c>
      <c r="AH398" s="1">
        <f t="shared" si="1310"/>
        <v>1.65944040630526</v>
      </c>
      <c r="AI398" s="1">
        <f t="shared" si="1311"/>
        <v>1.0000000028886</v>
      </c>
      <c r="AJ398" s="1">
        <f t="shared" si="1312"/>
        <v>1.00029488712499</v>
      </c>
      <c r="AK398" s="1">
        <f t="shared" si="1313"/>
        <v>1</v>
      </c>
      <c r="AL398" s="10">
        <f t="shared" si="1314"/>
        <v>1571098</v>
      </c>
      <c r="AM398" s="10">
        <f t="shared" si="1315"/>
        <v>96167</v>
      </c>
      <c r="AN398" s="10">
        <f t="shared" si="1316"/>
        <v>38634</v>
      </c>
      <c r="AO398" s="1">
        <f t="shared" si="1317"/>
        <v>779799</v>
      </c>
      <c r="AP398" s="1">
        <f t="shared" si="1318"/>
        <v>96167</v>
      </c>
      <c r="AR398" s="1">
        <f t="shared" ref="AR398:AX398" si="1328">ROUNDUP(AR$10*$AO398,0)</f>
        <v>779799</v>
      </c>
      <c r="AS398" s="1">
        <f t="shared" si="1328"/>
        <v>2339397</v>
      </c>
      <c r="AT398" s="1">
        <f t="shared" si="1328"/>
        <v>1403639</v>
      </c>
      <c r="AU398" s="1">
        <f t="shared" si="1328"/>
        <v>389900</v>
      </c>
      <c r="AV398" s="1">
        <f t="shared" si="1328"/>
        <v>116970</v>
      </c>
      <c r="AW398" s="1">
        <f t="shared" si="1328"/>
        <v>3119196</v>
      </c>
      <c r="AX398" s="1">
        <f t="shared" si="1328"/>
        <v>7018191</v>
      </c>
      <c r="AY398" s="1">
        <f t="shared" si="1320"/>
        <v>94265880</v>
      </c>
      <c r="AZ398" s="1">
        <f t="shared" si="1321"/>
        <v>47132940</v>
      </c>
      <c r="BB398" s="1">
        <f t="shared" si="1322"/>
        <v>387</v>
      </c>
    </row>
    <row r="399" spans="2:54">
      <c r="B399" s="4">
        <v>388</v>
      </c>
      <c r="C399" s="1">
        <f t="shared" ref="C399:I399" si="1329">C$5+(C$6-C$5)*(POWER(C$7,$B399-1)-1)/(POWER(C$7,$B$3-1)-1)</f>
        <v>30653.7120103754</v>
      </c>
      <c r="D399" s="1">
        <f t="shared" si="1329"/>
        <v>9196.11360311263</v>
      </c>
      <c r="E399" s="1">
        <f t="shared" si="1329"/>
        <v>6130.74240207509</v>
      </c>
      <c r="F399" s="1">
        <f t="shared" si="1329"/>
        <v>77604.3342034821</v>
      </c>
      <c r="G399" s="1">
        <f t="shared" si="1329"/>
        <v>23281.3002610446</v>
      </c>
      <c r="H399" s="1">
        <f t="shared" si="1329"/>
        <v>15520.8668406964</v>
      </c>
      <c r="I399" s="1">
        <f t="shared" si="1329"/>
        <v>0</v>
      </c>
      <c r="J399" s="1">
        <f>标准模型!$I$65/1*$B399/$B$3</f>
        <v>2.7936</v>
      </c>
      <c r="K399" s="1">
        <f>J399*标准模型!$J$63</f>
        <v>2.7936</v>
      </c>
      <c r="L399" s="1">
        <f t="shared" si="1297"/>
        <v>108258.046213858</v>
      </c>
      <c r="M399" s="1">
        <f t="shared" si="1298"/>
        <v>58167.6768258127</v>
      </c>
      <c r="N399" s="1">
        <f t="shared" si="1299"/>
        <v>38778.4512172085</v>
      </c>
      <c r="O399" s="1">
        <f t="shared" ref="O399:W399" si="1330">O$5+(O$6-O$5)*(POWER(O$7,$B399-1)-1)/(POWER(O$7,$B$3-1)-1)</f>
        <v>0.887797265548508</v>
      </c>
      <c r="P399" s="1">
        <f t="shared" si="1330"/>
        <v>0.282626325430211</v>
      </c>
      <c r="Q399" s="1">
        <f t="shared" si="1330"/>
        <v>0.488288496051679</v>
      </c>
      <c r="R399" s="1">
        <f t="shared" si="1330"/>
        <v>1.1551189062194</v>
      </c>
      <c r="S399" s="1">
        <f t="shared" si="1330"/>
        <v>0.55413644521306</v>
      </c>
      <c r="T399" s="1">
        <f t="shared" si="1330"/>
        <v>3.51240933563918</v>
      </c>
      <c r="U399" s="1">
        <f t="shared" si="1330"/>
        <v>1</v>
      </c>
      <c r="V399" s="1">
        <f t="shared" si="1330"/>
        <v>1.42293103490589</v>
      </c>
      <c r="W399" s="1">
        <f t="shared" si="1330"/>
        <v>2.24095124975522</v>
      </c>
      <c r="X399" s="1">
        <f t="shared" si="1301"/>
        <v>7.24774400094504</v>
      </c>
      <c r="Y399" s="1">
        <f t="shared" si="1302"/>
        <v>14.6155323778159</v>
      </c>
      <c r="Z399" s="1">
        <f t="shared" si="1303"/>
        <v>1582248.97959773</v>
      </c>
      <c r="AA399" s="1">
        <f t="shared" si="1304"/>
        <v>58167.6768258127</v>
      </c>
      <c r="AB399" s="1">
        <f t="shared" si="1305"/>
        <v>38778.4512172085</v>
      </c>
      <c r="AC399" s="1">
        <f>AB399/(AB399+战斗公式!$M$27)</f>
        <v>0.617703216077091</v>
      </c>
      <c r="AD399" s="1">
        <f t="shared" si="1306"/>
        <v>4138797.51579806</v>
      </c>
      <c r="AE399" s="1">
        <f t="shared" si="1307"/>
        <v>9.81724469356139</v>
      </c>
      <c r="AF399" s="1">
        <f t="shared" si="1308"/>
        <v>4.86830547764158</v>
      </c>
      <c r="AG399" s="1">
        <f t="shared" si="1309"/>
        <v>4.87333767943448</v>
      </c>
      <c r="AH399" s="1">
        <f t="shared" si="1310"/>
        <v>1.66449826565984</v>
      </c>
      <c r="AI399" s="1">
        <f t="shared" si="1311"/>
        <v>1.00000000274373</v>
      </c>
      <c r="AJ399" s="1">
        <f t="shared" si="1312"/>
        <v>1.0002883195751</v>
      </c>
      <c r="AK399" s="1">
        <f t="shared" si="1313"/>
        <v>1</v>
      </c>
      <c r="AL399" s="10">
        <f t="shared" si="1314"/>
        <v>1583884</v>
      </c>
      <c r="AM399" s="10">
        <f t="shared" si="1315"/>
        <v>96820</v>
      </c>
      <c r="AN399" s="10">
        <f t="shared" si="1316"/>
        <v>38778</v>
      </c>
      <c r="AO399" s="1">
        <f t="shared" si="1317"/>
        <v>785664</v>
      </c>
      <c r="AP399" s="1">
        <f t="shared" si="1318"/>
        <v>96820</v>
      </c>
      <c r="AR399" s="1">
        <f t="shared" ref="AR399:AX399" si="1331">ROUNDUP(AR$10*$AO399,0)</f>
        <v>785664</v>
      </c>
      <c r="AS399" s="1">
        <f t="shared" si="1331"/>
        <v>2356992</v>
      </c>
      <c r="AT399" s="1">
        <f t="shared" si="1331"/>
        <v>1414196</v>
      </c>
      <c r="AU399" s="1">
        <f t="shared" si="1331"/>
        <v>392832</v>
      </c>
      <c r="AV399" s="1">
        <f t="shared" si="1331"/>
        <v>117850</v>
      </c>
      <c r="AW399" s="1">
        <f t="shared" si="1331"/>
        <v>3142656</v>
      </c>
      <c r="AX399" s="1">
        <f t="shared" si="1331"/>
        <v>7070976</v>
      </c>
      <c r="AY399" s="1">
        <f t="shared" si="1320"/>
        <v>95033040</v>
      </c>
      <c r="AZ399" s="1">
        <f t="shared" si="1321"/>
        <v>47516520</v>
      </c>
      <c r="BB399" s="1">
        <f t="shared" si="1322"/>
        <v>388</v>
      </c>
    </row>
    <row r="400" spans="2:54">
      <c r="B400" s="4">
        <v>389</v>
      </c>
      <c r="C400" s="1">
        <f t="shared" ref="C400:I400" si="1332">C$5+(C$6-C$5)*(POWER(C$7,$B400-1)-1)/(POWER(C$7,$B$3-1)-1)</f>
        <v>30732.7011083065</v>
      </c>
      <c r="D400" s="1">
        <f t="shared" si="1332"/>
        <v>9219.81033249196</v>
      </c>
      <c r="E400" s="1">
        <f t="shared" si="1332"/>
        <v>6146.54022166131</v>
      </c>
      <c r="F400" s="1">
        <f t="shared" si="1332"/>
        <v>77804.3066033077</v>
      </c>
      <c r="G400" s="1">
        <f t="shared" si="1332"/>
        <v>23341.2919809923</v>
      </c>
      <c r="H400" s="1">
        <f t="shared" si="1332"/>
        <v>15560.8613206615</v>
      </c>
      <c r="I400" s="1">
        <f t="shared" si="1332"/>
        <v>0</v>
      </c>
      <c r="J400" s="1">
        <f>标准模型!$I$65/1*$B400/$B$3</f>
        <v>2.8008</v>
      </c>
      <c r="K400" s="1">
        <f>J400*标准模型!$J$63</f>
        <v>2.8008</v>
      </c>
      <c r="L400" s="1">
        <f t="shared" si="1297"/>
        <v>108537.007711614</v>
      </c>
      <c r="M400" s="1">
        <f t="shared" si="1298"/>
        <v>58383.9470927278</v>
      </c>
      <c r="N400" s="1">
        <f t="shared" si="1299"/>
        <v>38922.6313951518</v>
      </c>
      <c r="O400" s="1">
        <f t="shared" ref="O400:W400" si="1333">O$5+(O$6-O$5)*(POWER(O$7,$B400-1)-1)/(POWER(O$7,$B$3-1)-1)</f>
        <v>0.888799131279097</v>
      </c>
      <c r="P400" s="1">
        <f t="shared" si="1333"/>
        <v>0.283589522043885</v>
      </c>
      <c r="Q400" s="1">
        <f t="shared" si="1333"/>
        <v>0.488839522203503</v>
      </c>
      <c r="R400" s="1">
        <f t="shared" si="1333"/>
        <v>1.15551965251164</v>
      </c>
      <c r="S400" s="1">
        <f t="shared" si="1333"/>
        <v>0.555438870662826</v>
      </c>
      <c r="T400" s="1">
        <f t="shared" si="1333"/>
        <v>3.51631661198848</v>
      </c>
      <c r="U400" s="1">
        <f t="shared" si="1333"/>
        <v>1</v>
      </c>
      <c r="V400" s="1">
        <f t="shared" si="1333"/>
        <v>1.42402366795908</v>
      </c>
      <c r="W400" s="1">
        <f t="shared" si="1333"/>
        <v>2.24415722009311</v>
      </c>
      <c r="X400" s="1">
        <f t="shared" si="1301"/>
        <v>7.28936723529939</v>
      </c>
      <c r="Y400" s="1">
        <f t="shared" si="1302"/>
        <v>14.7083758730022</v>
      </c>
      <c r="Z400" s="1">
        <f t="shared" si="1303"/>
        <v>1596403.10555336</v>
      </c>
      <c r="AA400" s="1">
        <f t="shared" si="1304"/>
        <v>58383.9470927278</v>
      </c>
      <c r="AB400" s="1">
        <f t="shared" si="1305"/>
        <v>38922.6313951518</v>
      </c>
      <c r="AC400" s="1">
        <f>AB400/(AB400+战斗公式!$M$27)</f>
        <v>0.618579206433996</v>
      </c>
      <c r="AD400" s="1">
        <f t="shared" si="1306"/>
        <v>4185411.84036707</v>
      </c>
      <c r="AE400" s="1">
        <f t="shared" si="1307"/>
        <v>9.83455958063251</v>
      </c>
      <c r="AF400" s="1">
        <f t="shared" si="1308"/>
        <v>4.87393829200736</v>
      </c>
      <c r="AG400" s="1">
        <f t="shared" si="1309"/>
        <v>4.87500530106977</v>
      </c>
      <c r="AH400" s="1">
        <f t="shared" si="1310"/>
        <v>1.66956624073313</v>
      </c>
      <c r="AI400" s="1">
        <f t="shared" si="1311"/>
        <v>1.0000000026061</v>
      </c>
      <c r="AJ400" s="1">
        <f t="shared" si="1312"/>
        <v>1.00028188337621</v>
      </c>
      <c r="AK400" s="1">
        <f t="shared" si="1313"/>
        <v>1</v>
      </c>
      <c r="AL400" s="10">
        <f t="shared" si="1314"/>
        <v>1596753</v>
      </c>
      <c r="AM400" s="10">
        <f t="shared" si="1315"/>
        <v>97476</v>
      </c>
      <c r="AN400" s="10">
        <f t="shared" si="1316"/>
        <v>38923</v>
      </c>
      <c r="AO400" s="1">
        <f t="shared" si="1317"/>
        <v>791562</v>
      </c>
      <c r="AP400" s="1">
        <f t="shared" si="1318"/>
        <v>97476</v>
      </c>
      <c r="AR400" s="1">
        <f t="shared" ref="AR400:AX400" si="1334">ROUNDUP(AR$10*$AO400,0)</f>
        <v>791562</v>
      </c>
      <c r="AS400" s="1">
        <f t="shared" si="1334"/>
        <v>2374686</v>
      </c>
      <c r="AT400" s="1">
        <f t="shared" si="1334"/>
        <v>1424812</v>
      </c>
      <c r="AU400" s="1">
        <f t="shared" si="1334"/>
        <v>395781</v>
      </c>
      <c r="AV400" s="1">
        <f t="shared" si="1334"/>
        <v>118735</v>
      </c>
      <c r="AW400" s="1">
        <f t="shared" si="1334"/>
        <v>3166248</v>
      </c>
      <c r="AX400" s="1">
        <f t="shared" si="1334"/>
        <v>7124058</v>
      </c>
      <c r="AY400" s="1">
        <f t="shared" si="1320"/>
        <v>95805180</v>
      </c>
      <c r="AZ400" s="1">
        <f t="shared" si="1321"/>
        <v>47902590</v>
      </c>
      <c r="BB400" s="1">
        <f t="shared" si="1322"/>
        <v>389</v>
      </c>
    </row>
    <row r="401" spans="2:54">
      <c r="B401" s="4">
        <v>390</v>
      </c>
      <c r="C401" s="1">
        <f t="shared" ref="C401:I401" si="1335">C$5+(C$6-C$5)*(POWER(C$7,$B401-1)-1)/(POWER(C$7,$B$3-1)-1)</f>
        <v>30811.690127246</v>
      </c>
      <c r="D401" s="1">
        <f t="shared" si="1335"/>
        <v>9243.50703817382</v>
      </c>
      <c r="E401" s="1">
        <f t="shared" si="1335"/>
        <v>6162.33802544921</v>
      </c>
      <c r="F401" s="1">
        <f t="shared" si="1335"/>
        <v>78004.2788031545</v>
      </c>
      <c r="G401" s="1">
        <f t="shared" si="1335"/>
        <v>23401.2836409464</v>
      </c>
      <c r="H401" s="1">
        <f t="shared" si="1335"/>
        <v>15600.8557606309</v>
      </c>
      <c r="I401" s="1">
        <f t="shared" si="1335"/>
        <v>0</v>
      </c>
      <c r="J401" s="1">
        <f>标准模型!$I$65/1*$B401/$B$3</f>
        <v>2.808</v>
      </c>
      <c r="K401" s="1">
        <f>J401*标准模型!$J$63</f>
        <v>2.808</v>
      </c>
      <c r="L401" s="1">
        <f t="shared" si="1297"/>
        <v>108815.968930401</v>
      </c>
      <c r="M401" s="1">
        <f t="shared" si="1298"/>
        <v>58600.5584423122</v>
      </c>
      <c r="N401" s="1">
        <f t="shared" si="1299"/>
        <v>39067.0389615415</v>
      </c>
      <c r="O401" s="1">
        <f t="shared" ref="O401:W401" si="1336">O$5+(O$6-O$5)*(POWER(O$7,$B401-1)-1)/(POWER(O$7,$B$3-1)-1)</f>
        <v>0.889800996007788</v>
      </c>
      <c r="P401" s="1">
        <f t="shared" si="1336"/>
        <v>0.284554163452481</v>
      </c>
      <c r="Q401" s="1">
        <f t="shared" si="1336"/>
        <v>0.489390547804284</v>
      </c>
      <c r="R401" s="1">
        <f t="shared" si="1336"/>
        <v>1.15592039840312</v>
      </c>
      <c r="S401" s="1">
        <f t="shared" si="1336"/>
        <v>0.556741294810125</v>
      </c>
      <c r="T401" s="1">
        <f t="shared" si="1336"/>
        <v>3.52022388443037</v>
      </c>
      <c r="U401" s="1">
        <f t="shared" si="1336"/>
        <v>1</v>
      </c>
      <c r="V401" s="1">
        <f t="shared" si="1336"/>
        <v>1.4251162999196</v>
      </c>
      <c r="W401" s="1">
        <f t="shared" si="1336"/>
        <v>2.24736318722492</v>
      </c>
      <c r="X401" s="1">
        <f t="shared" si="1301"/>
        <v>7.33119532804829</v>
      </c>
      <c r="Y401" s="1">
        <f t="shared" si="1302"/>
        <v>14.8017336800386</v>
      </c>
      <c r="Z401" s="1">
        <f t="shared" si="1303"/>
        <v>1610664.99224314</v>
      </c>
      <c r="AA401" s="1">
        <f t="shared" si="1304"/>
        <v>58600.5584423122</v>
      </c>
      <c r="AB401" s="1">
        <f t="shared" si="1305"/>
        <v>39067.0389615415</v>
      </c>
      <c r="AC401" s="1">
        <f>AB401/(AB401+战斗公式!$M$27)</f>
        <v>0.619452563570722</v>
      </c>
      <c r="AD401" s="1">
        <f t="shared" si="1306"/>
        <v>4232494.65915787</v>
      </c>
      <c r="AE401" s="1">
        <f t="shared" si="1307"/>
        <v>9.85189724029993</v>
      </c>
      <c r="AF401" s="1">
        <f t="shared" si="1308"/>
        <v>4.87957590521319</v>
      </c>
      <c r="AG401" s="1">
        <f t="shared" si="1309"/>
        <v>4.8766604155428</v>
      </c>
      <c r="AH401" s="1">
        <f t="shared" si="1310"/>
        <v>1.67464435175656</v>
      </c>
      <c r="AI401" s="1">
        <f t="shared" si="1311"/>
        <v>1.00000000247536</v>
      </c>
      <c r="AJ401" s="1">
        <f t="shared" si="1312"/>
        <v>1.0002755759013</v>
      </c>
      <c r="AK401" s="1">
        <f t="shared" si="1313"/>
        <v>1</v>
      </c>
      <c r="AL401" s="10">
        <f t="shared" si="1314"/>
        <v>1609703</v>
      </c>
      <c r="AM401" s="10">
        <f t="shared" si="1315"/>
        <v>98135</v>
      </c>
      <c r="AN401" s="10">
        <f t="shared" si="1316"/>
        <v>39067</v>
      </c>
      <c r="AO401" s="1">
        <f t="shared" si="1317"/>
        <v>797494</v>
      </c>
      <c r="AP401" s="1">
        <f t="shared" si="1318"/>
        <v>98135</v>
      </c>
      <c r="AR401" s="1">
        <f t="shared" ref="AR401:AX401" si="1337">ROUNDUP(AR$10*$AO401,0)</f>
        <v>797494</v>
      </c>
      <c r="AS401" s="1">
        <f t="shared" si="1337"/>
        <v>2392482</v>
      </c>
      <c r="AT401" s="1">
        <f t="shared" si="1337"/>
        <v>1435490</v>
      </c>
      <c r="AU401" s="1">
        <f t="shared" si="1337"/>
        <v>398747</v>
      </c>
      <c r="AV401" s="1">
        <f t="shared" si="1337"/>
        <v>119625</v>
      </c>
      <c r="AW401" s="1">
        <f t="shared" si="1337"/>
        <v>3189976</v>
      </c>
      <c r="AX401" s="1">
        <f t="shared" si="1337"/>
        <v>7177446</v>
      </c>
      <c r="AY401" s="1">
        <f t="shared" si="1320"/>
        <v>96582180</v>
      </c>
      <c r="AZ401" s="1">
        <f t="shared" si="1321"/>
        <v>48291090</v>
      </c>
      <c r="BB401" s="1">
        <f t="shared" si="1322"/>
        <v>390</v>
      </c>
    </row>
    <row r="402" spans="2:54">
      <c r="B402" s="4">
        <v>391</v>
      </c>
      <c r="C402" s="1">
        <f t="shared" ref="C402:I402" si="1338">C$5+(C$6-C$5)*(POWER(C$7,$B402-1)-1)/(POWER(C$7,$B$3-1)-1)</f>
        <v>30890.6790671939</v>
      </c>
      <c r="D402" s="1">
        <f t="shared" si="1338"/>
        <v>9267.20372015818</v>
      </c>
      <c r="E402" s="1">
        <f t="shared" si="1338"/>
        <v>6178.13581343879</v>
      </c>
      <c r="F402" s="1">
        <f t="shared" si="1338"/>
        <v>78204.2508030226</v>
      </c>
      <c r="G402" s="1">
        <f t="shared" si="1338"/>
        <v>23461.2752409068</v>
      </c>
      <c r="H402" s="1">
        <f t="shared" si="1338"/>
        <v>15640.8501606045</v>
      </c>
      <c r="I402" s="1">
        <f t="shared" si="1338"/>
        <v>0</v>
      </c>
      <c r="J402" s="1">
        <f>标准模型!$I$65/1*$B402/$B$3</f>
        <v>2.8152</v>
      </c>
      <c r="K402" s="1">
        <f>J402*标准模型!$J$63</f>
        <v>2.8152</v>
      </c>
      <c r="L402" s="1">
        <f t="shared" si="1297"/>
        <v>109094.929870217</v>
      </c>
      <c r="M402" s="1">
        <f t="shared" si="1298"/>
        <v>58817.5108740543</v>
      </c>
      <c r="N402" s="1">
        <f t="shared" si="1299"/>
        <v>39211.6739160362</v>
      </c>
      <c r="O402" s="1">
        <f t="shared" ref="O402:W402" si="1339">O$5+(O$6-O$5)*(POWER(O$7,$B402-1)-1)/(POWER(O$7,$B$3-1)-1)</f>
        <v>0.890802859734582</v>
      </c>
      <c r="P402" s="1">
        <f t="shared" si="1339"/>
        <v>0.285520251823189</v>
      </c>
      <c r="Q402" s="1">
        <f t="shared" si="1339"/>
        <v>0.48994157285402</v>
      </c>
      <c r="R402" s="1">
        <f t="shared" si="1339"/>
        <v>1.15632114389383</v>
      </c>
      <c r="S402" s="1">
        <f t="shared" si="1339"/>
        <v>0.558043717654957</v>
      </c>
      <c r="T402" s="1">
        <f t="shared" si="1339"/>
        <v>3.52413115296487</v>
      </c>
      <c r="U402" s="1">
        <f t="shared" si="1339"/>
        <v>1</v>
      </c>
      <c r="V402" s="1">
        <f t="shared" si="1339"/>
        <v>1.42620893078746</v>
      </c>
      <c r="W402" s="1">
        <f t="shared" si="1339"/>
        <v>2.25056915115066</v>
      </c>
      <c r="X402" s="1">
        <f t="shared" si="1301"/>
        <v>7.37322910433559</v>
      </c>
      <c r="Y402" s="1">
        <f t="shared" si="1302"/>
        <v>14.8956081928029</v>
      </c>
      <c r="Z402" s="1">
        <f t="shared" si="1303"/>
        <v>1625035.33116805</v>
      </c>
      <c r="AA402" s="1">
        <f t="shared" si="1304"/>
        <v>58817.5108740543</v>
      </c>
      <c r="AB402" s="1">
        <f t="shared" si="1305"/>
        <v>39211.6739160362</v>
      </c>
      <c r="AC402" s="1">
        <f>AB402/(AB402+战斗公式!$M$27)</f>
        <v>0.620323296106996</v>
      </c>
      <c r="AD402" s="1">
        <f t="shared" si="1306"/>
        <v>4280050.14399303</v>
      </c>
      <c r="AE402" s="1">
        <f t="shared" si="1307"/>
        <v>9.86925765045634</v>
      </c>
      <c r="AF402" s="1">
        <f t="shared" si="1308"/>
        <v>4.885218300901</v>
      </c>
      <c r="AG402" s="1">
        <f t="shared" si="1309"/>
        <v>4.87830311665728</v>
      </c>
      <c r="AH402" s="1">
        <f t="shared" si="1310"/>
        <v>1.67973261900204</v>
      </c>
      <c r="AI402" s="1">
        <f t="shared" si="1311"/>
        <v>1.00000000235115</v>
      </c>
      <c r="AJ402" s="1">
        <f t="shared" si="1312"/>
        <v>1.00026939457588</v>
      </c>
      <c r="AK402" s="1">
        <f t="shared" si="1313"/>
        <v>1</v>
      </c>
      <c r="AL402" s="10">
        <f t="shared" si="1314"/>
        <v>1622735</v>
      </c>
      <c r="AM402" s="10">
        <f t="shared" si="1315"/>
        <v>98798</v>
      </c>
      <c r="AN402" s="10">
        <f t="shared" si="1316"/>
        <v>39212</v>
      </c>
      <c r="AO402" s="1">
        <f t="shared" si="1317"/>
        <v>803460</v>
      </c>
      <c r="AP402" s="1">
        <f t="shared" si="1318"/>
        <v>98798</v>
      </c>
      <c r="AR402" s="1">
        <f t="shared" ref="AR402:AX402" si="1340">ROUNDUP(AR$10*$AO402,0)</f>
        <v>803460</v>
      </c>
      <c r="AS402" s="1">
        <f t="shared" si="1340"/>
        <v>2410380</v>
      </c>
      <c r="AT402" s="1">
        <f t="shared" si="1340"/>
        <v>1446228</v>
      </c>
      <c r="AU402" s="1">
        <f t="shared" si="1340"/>
        <v>401730</v>
      </c>
      <c r="AV402" s="1">
        <f t="shared" si="1340"/>
        <v>120519</v>
      </c>
      <c r="AW402" s="1">
        <f t="shared" si="1340"/>
        <v>3213840</v>
      </c>
      <c r="AX402" s="1">
        <f t="shared" si="1340"/>
        <v>7231140</v>
      </c>
      <c r="AY402" s="1">
        <f t="shared" si="1320"/>
        <v>97364100</v>
      </c>
      <c r="AZ402" s="1">
        <f t="shared" si="1321"/>
        <v>48682050</v>
      </c>
      <c r="BB402" s="1">
        <f t="shared" si="1322"/>
        <v>391</v>
      </c>
    </row>
    <row r="403" spans="2:54">
      <c r="B403" s="4">
        <v>392</v>
      </c>
      <c r="C403" s="1">
        <f t="shared" ref="C403:I403" si="1341">C$5+(C$6-C$5)*(POWER(C$7,$B403-1)-1)/(POWER(C$7,$B$3-1)-1)</f>
        <v>30969.6679281502</v>
      </c>
      <c r="D403" s="1">
        <f t="shared" si="1341"/>
        <v>9290.90037844507</v>
      </c>
      <c r="E403" s="1">
        <f t="shared" si="1341"/>
        <v>6193.93358563005</v>
      </c>
      <c r="F403" s="1">
        <f t="shared" si="1341"/>
        <v>78404.222602912</v>
      </c>
      <c r="G403" s="1">
        <f t="shared" si="1341"/>
        <v>23521.2667808736</v>
      </c>
      <c r="H403" s="1">
        <f t="shared" si="1341"/>
        <v>15680.8445205824</v>
      </c>
      <c r="I403" s="1">
        <f t="shared" si="1341"/>
        <v>0</v>
      </c>
      <c r="J403" s="1">
        <f>标准模型!$I$65/1*$B403/$B$3</f>
        <v>2.8224</v>
      </c>
      <c r="K403" s="1">
        <f>J403*标准模型!$J$63</f>
        <v>2.8224</v>
      </c>
      <c r="L403" s="1">
        <f t="shared" si="1297"/>
        <v>109373.890531062</v>
      </c>
      <c r="M403" s="1">
        <f t="shared" si="1298"/>
        <v>59034.804387442</v>
      </c>
      <c r="N403" s="1">
        <f t="shared" si="1299"/>
        <v>39356.5362582947</v>
      </c>
      <c r="O403" s="1">
        <f t="shared" ref="O403:W403" si="1342">O$5+(O$6-O$5)*(POWER(O$7,$B403-1)-1)/(POWER(O$7,$B$3-1)-1)</f>
        <v>0.891804722459479</v>
      </c>
      <c r="P403" s="1">
        <f t="shared" si="1342"/>
        <v>0.286487789326454</v>
      </c>
      <c r="Q403" s="1">
        <f t="shared" si="1342"/>
        <v>0.490492597352713</v>
      </c>
      <c r="R403" s="1">
        <f t="shared" si="1342"/>
        <v>1.15672188898379</v>
      </c>
      <c r="S403" s="1">
        <f t="shared" si="1342"/>
        <v>0.559346139197323</v>
      </c>
      <c r="T403" s="1">
        <f t="shared" si="1342"/>
        <v>3.52803841759197</v>
      </c>
      <c r="U403" s="1">
        <f t="shared" si="1342"/>
        <v>1</v>
      </c>
      <c r="V403" s="1">
        <f t="shared" si="1342"/>
        <v>1.42730156056265</v>
      </c>
      <c r="W403" s="1">
        <f t="shared" si="1342"/>
        <v>2.25377511187033</v>
      </c>
      <c r="X403" s="1">
        <f t="shared" si="1301"/>
        <v>7.41546939188227</v>
      </c>
      <c r="Y403" s="1">
        <f t="shared" si="1302"/>
        <v>14.990001814126</v>
      </c>
      <c r="Z403" s="1">
        <f t="shared" si="1303"/>
        <v>1639514.81747864</v>
      </c>
      <c r="AA403" s="1">
        <f t="shared" si="1304"/>
        <v>59034.804387442</v>
      </c>
      <c r="AB403" s="1">
        <f t="shared" si="1305"/>
        <v>39356.5362582947</v>
      </c>
      <c r="AC403" s="1">
        <f>AB403/(AB403+战斗公式!$M$27)</f>
        <v>0.62119141264043</v>
      </c>
      <c r="AD403" s="1">
        <f t="shared" si="1306"/>
        <v>4328082.49914988</v>
      </c>
      <c r="AE403" s="1">
        <f t="shared" si="1307"/>
        <v>9.88664078906158</v>
      </c>
      <c r="AF403" s="1">
        <f t="shared" si="1308"/>
        <v>4.89086546278683</v>
      </c>
      <c r="AG403" s="1">
        <f t="shared" si="1309"/>
        <v>4.8799334975134</v>
      </c>
      <c r="AH403" s="1">
        <f t="shared" si="1310"/>
        <v>1.68483106278202</v>
      </c>
      <c r="AI403" s="1">
        <f t="shared" si="1311"/>
        <v>1.00000000223315</v>
      </c>
      <c r="AJ403" s="1">
        <f t="shared" si="1312"/>
        <v>1.00026333687698</v>
      </c>
      <c r="AK403" s="1">
        <f t="shared" si="1313"/>
        <v>1</v>
      </c>
      <c r="AL403" s="10">
        <f t="shared" si="1314"/>
        <v>1635850</v>
      </c>
      <c r="AM403" s="10">
        <f t="shared" si="1315"/>
        <v>99464</v>
      </c>
      <c r="AN403" s="10">
        <f t="shared" si="1316"/>
        <v>39357</v>
      </c>
      <c r="AO403" s="1">
        <f t="shared" si="1317"/>
        <v>809459</v>
      </c>
      <c r="AP403" s="1">
        <f t="shared" si="1318"/>
        <v>99464</v>
      </c>
      <c r="AR403" s="1">
        <f t="shared" ref="AR403:AX403" si="1343">ROUNDUP(AR$10*$AO403,0)</f>
        <v>809459</v>
      </c>
      <c r="AS403" s="1">
        <f t="shared" si="1343"/>
        <v>2428377</v>
      </c>
      <c r="AT403" s="1">
        <f t="shared" si="1343"/>
        <v>1457027</v>
      </c>
      <c r="AU403" s="1">
        <f t="shared" si="1343"/>
        <v>404730</v>
      </c>
      <c r="AV403" s="1">
        <f t="shared" si="1343"/>
        <v>121419</v>
      </c>
      <c r="AW403" s="1">
        <f t="shared" si="1343"/>
        <v>3237836</v>
      </c>
      <c r="AX403" s="1">
        <f t="shared" si="1343"/>
        <v>7285131</v>
      </c>
      <c r="AY403" s="1">
        <f t="shared" si="1320"/>
        <v>98151000</v>
      </c>
      <c r="AZ403" s="1">
        <f t="shared" si="1321"/>
        <v>49075500</v>
      </c>
      <c r="BB403" s="1">
        <f t="shared" si="1322"/>
        <v>392</v>
      </c>
    </row>
    <row r="404" spans="2:54">
      <c r="B404" s="4">
        <v>393</v>
      </c>
      <c r="C404" s="1">
        <f t="shared" ref="C404:I404" si="1344">C$5+(C$6-C$5)*(POWER(C$7,$B404-1)-1)/(POWER(C$7,$B$3-1)-1)</f>
        <v>31048.6567101237</v>
      </c>
      <c r="D404" s="1">
        <f t="shared" si="1344"/>
        <v>9314.59701303711</v>
      </c>
      <c r="E404" s="1">
        <f t="shared" si="1344"/>
        <v>6209.73134202474</v>
      </c>
      <c r="F404" s="1">
        <f t="shared" si="1344"/>
        <v>78604.1942028448</v>
      </c>
      <c r="G404" s="1">
        <f t="shared" si="1344"/>
        <v>23581.2582608534</v>
      </c>
      <c r="H404" s="1">
        <f t="shared" si="1344"/>
        <v>15720.838840569</v>
      </c>
      <c r="I404" s="1">
        <f t="shared" si="1344"/>
        <v>0</v>
      </c>
      <c r="J404" s="1">
        <f>标准模型!$I$65/1*$B404/$B$3</f>
        <v>2.8296</v>
      </c>
      <c r="K404" s="1">
        <f>J404*标准模型!$J$63</f>
        <v>2.8296</v>
      </c>
      <c r="L404" s="1">
        <f t="shared" si="1297"/>
        <v>109652.850912968</v>
      </c>
      <c r="M404" s="1">
        <f t="shared" si="1298"/>
        <v>59252.4389819803</v>
      </c>
      <c r="N404" s="1">
        <f t="shared" si="1299"/>
        <v>39501.6259879869</v>
      </c>
      <c r="O404" s="1">
        <f t="shared" ref="O404:W404" si="1345">O$5+(O$6-O$5)*(POWER(O$7,$B404-1)-1)/(POWER(O$7,$B$3-1)-1)</f>
        <v>0.892806584182589</v>
      </c>
      <c r="P404" s="1">
        <f t="shared" si="1345"/>
        <v>0.287456778135973</v>
      </c>
      <c r="Q404" s="1">
        <f t="shared" si="1345"/>
        <v>0.491043621300424</v>
      </c>
      <c r="R404" s="1">
        <f t="shared" si="1345"/>
        <v>1.15712263367304</v>
      </c>
      <c r="S404" s="1">
        <f t="shared" si="1345"/>
        <v>0.560648559437366</v>
      </c>
      <c r="T404" s="1">
        <f t="shared" si="1345"/>
        <v>3.5319456783121</v>
      </c>
      <c r="U404" s="1">
        <f t="shared" si="1345"/>
        <v>1</v>
      </c>
      <c r="V404" s="1">
        <f t="shared" si="1345"/>
        <v>1.42839418924529</v>
      </c>
      <c r="W404" s="1">
        <f t="shared" si="1345"/>
        <v>2.25698106938428</v>
      </c>
      <c r="X404" s="1">
        <f t="shared" si="1301"/>
        <v>7.45791702099684</v>
      </c>
      <c r="Y404" s="1">
        <f t="shared" si="1302"/>
        <v>15.084916955828</v>
      </c>
      <c r="Z404" s="1">
        <f t="shared" si="1303"/>
        <v>1654104.14999192</v>
      </c>
      <c r="AA404" s="1">
        <f t="shared" si="1304"/>
        <v>59252.4389819803</v>
      </c>
      <c r="AB404" s="1">
        <f t="shared" si="1305"/>
        <v>39501.6259879869</v>
      </c>
      <c r="AC404" s="1">
        <f>AB404/(AB404+战斗公式!$M$27)</f>
        <v>0.622056921746535</v>
      </c>
      <c r="AD404" s="1">
        <f t="shared" si="1306"/>
        <v>4376595.96158182</v>
      </c>
      <c r="AE404" s="1">
        <f t="shared" si="1307"/>
        <v>9.90404663414476</v>
      </c>
      <c r="AF404" s="1">
        <f t="shared" si="1308"/>
        <v>4.89651737466131</v>
      </c>
      <c r="AG404" s="1">
        <f t="shared" si="1309"/>
        <v>4.88155165051311</v>
      </c>
      <c r="AH404" s="1">
        <f t="shared" si="1310"/>
        <v>1.68993970344955</v>
      </c>
      <c r="AI404" s="1">
        <f t="shared" si="1311"/>
        <v>1.00000000212105</v>
      </c>
      <c r="AJ404" s="1">
        <f t="shared" si="1312"/>
        <v>1.00025740033205</v>
      </c>
      <c r="AK404" s="1">
        <f t="shared" si="1313"/>
        <v>1</v>
      </c>
      <c r="AL404" s="10">
        <f t="shared" si="1314"/>
        <v>1649049</v>
      </c>
      <c r="AM404" s="10">
        <f t="shared" si="1315"/>
        <v>100133</v>
      </c>
      <c r="AN404" s="10">
        <f t="shared" si="1316"/>
        <v>39502</v>
      </c>
      <c r="AO404" s="1">
        <f t="shared" si="1317"/>
        <v>815492</v>
      </c>
      <c r="AP404" s="1">
        <f t="shared" si="1318"/>
        <v>100133</v>
      </c>
      <c r="AR404" s="1">
        <f t="shared" ref="AR404:AX404" si="1346">ROUNDUP(AR$10*$AO404,0)</f>
        <v>815492</v>
      </c>
      <c r="AS404" s="1">
        <f t="shared" si="1346"/>
        <v>2446476</v>
      </c>
      <c r="AT404" s="1">
        <f t="shared" si="1346"/>
        <v>1467886</v>
      </c>
      <c r="AU404" s="1">
        <f t="shared" si="1346"/>
        <v>407746</v>
      </c>
      <c r="AV404" s="1">
        <f t="shared" si="1346"/>
        <v>122324</v>
      </c>
      <c r="AW404" s="1">
        <f t="shared" si="1346"/>
        <v>3261968</v>
      </c>
      <c r="AX404" s="1">
        <f t="shared" si="1346"/>
        <v>7339428</v>
      </c>
      <c r="AY404" s="1">
        <f t="shared" si="1320"/>
        <v>98942940</v>
      </c>
      <c r="AZ404" s="1">
        <f t="shared" si="1321"/>
        <v>49471470</v>
      </c>
      <c r="BB404" s="1">
        <f t="shared" si="1322"/>
        <v>393</v>
      </c>
    </row>
    <row r="405" spans="2:54">
      <c r="B405" s="4">
        <v>394</v>
      </c>
      <c r="C405" s="1">
        <f t="shared" ref="C405:I405" si="1347">C$5+(C$6-C$5)*(POWER(C$7,$B405-1)-1)/(POWER(C$7,$B$3-1)-1)</f>
        <v>31127.6454131055</v>
      </c>
      <c r="D405" s="1">
        <f t="shared" si="1347"/>
        <v>9338.29362393166</v>
      </c>
      <c r="E405" s="1">
        <f t="shared" si="1347"/>
        <v>6225.52908262111</v>
      </c>
      <c r="F405" s="1">
        <f t="shared" si="1347"/>
        <v>78804.1656027989</v>
      </c>
      <c r="G405" s="1">
        <f t="shared" si="1347"/>
        <v>23641.2496808397</v>
      </c>
      <c r="H405" s="1">
        <f t="shared" si="1347"/>
        <v>15760.8331205598</v>
      </c>
      <c r="I405" s="1">
        <f t="shared" si="1347"/>
        <v>0</v>
      </c>
      <c r="J405" s="1">
        <f>标准模型!$I$65/1*$B405/$B$3</f>
        <v>2.8368</v>
      </c>
      <c r="K405" s="1">
        <f>J405*标准模型!$J$63</f>
        <v>2.8368</v>
      </c>
      <c r="L405" s="1">
        <f t="shared" si="1297"/>
        <v>109931.811015904</v>
      </c>
      <c r="M405" s="1">
        <f t="shared" si="1298"/>
        <v>59470.4146571407</v>
      </c>
      <c r="N405" s="1">
        <f t="shared" si="1299"/>
        <v>39646.9431047604</v>
      </c>
      <c r="O405" s="1">
        <f t="shared" ref="O405:W405" si="1348">O$5+(O$6-O$5)*(POWER(O$7,$B405-1)-1)/(POWER(O$7,$B$3-1)-1)</f>
        <v>0.893808444903802</v>
      </c>
      <c r="P405" s="1">
        <f t="shared" si="1348"/>
        <v>0.288427220428706</v>
      </c>
      <c r="Q405" s="1">
        <f t="shared" si="1348"/>
        <v>0.491594644697091</v>
      </c>
      <c r="R405" s="1">
        <f t="shared" si="1348"/>
        <v>1.15752337796152</v>
      </c>
      <c r="S405" s="1">
        <f t="shared" si="1348"/>
        <v>0.561950978374942</v>
      </c>
      <c r="T405" s="1">
        <f t="shared" si="1348"/>
        <v>3.53585293512483</v>
      </c>
      <c r="U405" s="1">
        <f t="shared" si="1348"/>
        <v>1</v>
      </c>
      <c r="V405" s="1">
        <f t="shared" si="1348"/>
        <v>1.42948681683526</v>
      </c>
      <c r="W405" s="1">
        <f t="shared" si="1348"/>
        <v>2.26018702369217</v>
      </c>
      <c r="X405" s="1">
        <f t="shared" si="1301"/>
        <v>7.50057282456994</v>
      </c>
      <c r="Y405" s="1">
        <f t="shared" si="1302"/>
        <v>15.1803560387162</v>
      </c>
      <c r="Z405" s="1">
        <f t="shared" si="1303"/>
        <v>1668804.03120229</v>
      </c>
      <c r="AA405" s="1">
        <f t="shared" si="1304"/>
        <v>59470.4146571407</v>
      </c>
      <c r="AB405" s="1">
        <f t="shared" si="1305"/>
        <v>39646.9431047604</v>
      </c>
      <c r="AC405" s="1">
        <f>AB405/(AB405+战斗公式!$M$27)</f>
        <v>0.622919831978467</v>
      </c>
      <c r="AD405" s="1">
        <f t="shared" si="1306"/>
        <v>4425594.80112196</v>
      </c>
      <c r="AE405" s="1">
        <f t="shared" si="1307"/>
        <v>9.92147516379599</v>
      </c>
      <c r="AF405" s="1">
        <f t="shared" si="1308"/>
        <v>4.90217402038664</v>
      </c>
      <c r="AG405" s="1">
        <f t="shared" si="1309"/>
        <v>4.88315766736531</v>
      </c>
      <c r="AH405" s="1">
        <f t="shared" si="1310"/>
        <v>1.69505856139842</v>
      </c>
      <c r="AI405" s="1">
        <f t="shared" si="1311"/>
        <v>1.00000000201456</v>
      </c>
      <c r="AJ405" s="1">
        <f t="shared" si="1312"/>
        <v>1.00025158251802</v>
      </c>
      <c r="AK405" s="1">
        <f t="shared" si="1313"/>
        <v>1</v>
      </c>
      <c r="AL405" s="10">
        <f t="shared" si="1314"/>
        <v>1662330</v>
      </c>
      <c r="AM405" s="10">
        <f t="shared" si="1315"/>
        <v>100806</v>
      </c>
      <c r="AN405" s="10">
        <f t="shared" si="1316"/>
        <v>39647</v>
      </c>
      <c r="AO405" s="1">
        <f t="shared" si="1317"/>
        <v>821560</v>
      </c>
      <c r="AP405" s="1">
        <f t="shared" si="1318"/>
        <v>100806</v>
      </c>
      <c r="AR405" s="1">
        <f t="shared" ref="AR405:AX405" si="1349">ROUNDUP(AR$10*$AO405,0)</f>
        <v>821560</v>
      </c>
      <c r="AS405" s="1">
        <f t="shared" si="1349"/>
        <v>2464680</v>
      </c>
      <c r="AT405" s="1">
        <f t="shared" si="1349"/>
        <v>1478808</v>
      </c>
      <c r="AU405" s="1">
        <f t="shared" si="1349"/>
        <v>410780</v>
      </c>
      <c r="AV405" s="1">
        <f t="shared" si="1349"/>
        <v>123234</v>
      </c>
      <c r="AW405" s="1">
        <f t="shared" si="1349"/>
        <v>3286240</v>
      </c>
      <c r="AX405" s="1">
        <f t="shared" si="1349"/>
        <v>7394040</v>
      </c>
      <c r="AY405" s="1">
        <f t="shared" si="1320"/>
        <v>99739800</v>
      </c>
      <c r="AZ405" s="1">
        <f t="shared" si="1321"/>
        <v>49869900</v>
      </c>
      <c r="BB405" s="1">
        <f t="shared" si="1322"/>
        <v>394</v>
      </c>
    </row>
    <row r="406" spans="2:54">
      <c r="B406" s="4">
        <v>395</v>
      </c>
      <c r="C406" s="1">
        <f t="shared" ref="C406:I406" si="1350">C$5+(C$6-C$5)*(POWER(C$7,$B406-1)-1)/(POWER(C$7,$B$3-1)-1)</f>
        <v>31206.6340370958</v>
      </c>
      <c r="D406" s="1">
        <f t="shared" si="1350"/>
        <v>9361.99021112874</v>
      </c>
      <c r="E406" s="1">
        <f t="shared" si="1350"/>
        <v>6241.32680741916</v>
      </c>
      <c r="F406" s="1">
        <f t="shared" si="1350"/>
        <v>79004.1368027742</v>
      </c>
      <c r="G406" s="1">
        <f t="shared" si="1350"/>
        <v>23701.2410408322</v>
      </c>
      <c r="H406" s="1">
        <f t="shared" si="1350"/>
        <v>15800.8273605548</v>
      </c>
      <c r="I406" s="1">
        <f t="shared" si="1350"/>
        <v>0</v>
      </c>
      <c r="J406" s="1">
        <f>标准模型!$I$65/1*$B406/$B$3</f>
        <v>2.844</v>
      </c>
      <c r="K406" s="1">
        <f>J406*标准模型!$J$63</f>
        <v>2.844</v>
      </c>
      <c r="L406" s="1">
        <f t="shared" si="1297"/>
        <v>110210.77083987</v>
      </c>
      <c r="M406" s="1">
        <f t="shared" si="1298"/>
        <v>59688.7314124111</v>
      </c>
      <c r="N406" s="1">
        <f t="shared" si="1299"/>
        <v>39792.4876082741</v>
      </c>
      <c r="O406" s="1">
        <f t="shared" ref="O406:W406" si="1351">O$5+(O$6-O$5)*(POWER(O$7,$B406-1)-1)/(POWER(O$7,$B$3-1)-1)</f>
        <v>0.894810304623117</v>
      </c>
      <c r="P406" s="1">
        <f t="shared" si="1351"/>
        <v>0.289399118384879</v>
      </c>
      <c r="Q406" s="1">
        <f t="shared" si="1351"/>
        <v>0.492145667542714</v>
      </c>
      <c r="R406" s="1">
        <f t="shared" si="1351"/>
        <v>1.15792412184925</v>
      </c>
      <c r="S406" s="1">
        <f t="shared" si="1351"/>
        <v>0.563253396010052</v>
      </c>
      <c r="T406" s="1">
        <f t="shared" si="1351"/>
        <v>3.53976018803016</v>
      </c>
      <c r="U406" s="1">
        <f t="shared" si="1351"/>
        <v>1</v>
      </c>
      <c r="V406" s="1">
        <f t="shared" si="1351"/>
        <v>1.43057944333256</v>
      </c>
      <c r="W406" s="1">
        <f t="shared" si="1351"/>
        <v>2.26339297479397</v>
      </c>
      <c r="X406" s="1">
        <f t="shared" si="1301"/>
        <v>7.54343763809249</v>
      </c>
      <c r="Y406" s="1">
        <f t="shared" si="1302"/>
        <v>15.2763214926399</v>
      </c>
      <c r="Z406" s="1">
        <f t="shared" si="1303"/>
        <v>1683615.16730151</v>
      </c>
      <c r="AA406" s="1">
        <f t="shared" si="1304"/>
        <v>59688.7314124111</v>
      </c>
      <c r="AB406" s="1">
        <f t="shared" si="1305"/>
        <v>39792.4876082741</v>
      </c>
      <c r="AC406" s="1">
        <f>AB406/(AB406+战斗公式!$M$27)</f>
        <v>0.623780151867175</v>
      </c>
      <c r="AD406" s="1">
        <f t="shared" si="1306"/>
        <v>4475083.320716</v>
      </c>
      <c r="AE406" s="1">
        <f t="shared" si="1307"/>
        <v>9.93892635617394</v>
      </c>
      <c r="AF406" s="1">
        <f t="shared" si="1308"/>
        <v>4.90783538389882</v>
      </c>
      <c r="AG406" s="1">
        <f t="shared" si="1309"/>
        <v>4.88475163909112</v>
      </c>
      <c r="AH406" s="1">
        <f t="shared" si="1310"/>
        <v>1.70018765706319</v>
      </c>
      <c r="AI406" s="1">
        <f t="shared" si="1311"/>
        <v>1.00000000191339</v>
      </c>
      <c r="AJ406" s="1">
        <f t="shared" si="1312"/>
        <v>1.00024588106027</v>
      </c>
      <c r="AK406" s="1">
        <f t="shared" si="1313"/>
        <v>1</v>
      </c>
      <c r="AL406" s="10">
        <f t="shared" si="1314"/>
        <v>1675696</v>
      </c>
      <c r="AM406" s="10">
        <f t="shared" si="1315"/>
        <v>101482</v>
      </c>
      <c r="AN406" s="10">
        <f t="shared" si="1316"/>
        <v>39792</v>
      </c>
      <c r="AO406" s="1">
        <f t="shared" si="1317"/>
        <v>827661</v>
      </c>
      <c r="AP406" s="1">
        <f t="shared" si="1318"/>
        <v>101482</v>
      </c>
      <c r="AR406" s="1">
        <f t="shared" ref="AR406:AX406" si="1352">ROUNDUP(AR$10*$AO406,0)</f>
        <v>827661</v>
      </c>
      <c r="AS406" s="1">
        <f t="shared" si="1352"/>
        <v>2482983</v>
      </c>
      <c r="AT406" s="1">
        <f t="shared" si="1352"/>
        <v>1489790</v>
      </c>
      <c r="AU406" s="1">
        <f t="shared" si="1352"/>
        <v>413831</v>
      </c>
      <c r="AV406" s="1">
        <f t="shared" si="1352"/>
        <v>124150</v>
      </c>
      <c r="AW406" s="1">
        <f t="shared" si="1352"/>
        <v>3310644</v>
      </c>
      <c r="AX406" s="1">
        <f t="shared" si="1352"/>
        <v>7448949</v>
      </c>
      <c r="AY406" s="1">
        <f t="shared" si="1320"/>
        <v>100541760</v>
      </c>
      <c r="AZ406" s="1">
        <f t="shared" si="1321"/>
        <v>50270880</v>
      </c>
      <c r="BB406" s="1">
        <f t="shared" si="1322"/>
        <v>395</v>
      </c>
    </row>
    <row r="407" spans="2:54">
      <c r="B407" s="4">
        <v>396</v>
      </c>
      <c r="C407" s="1">
        <f t="shared" ref="C407:I407" si="1353">C$5+(C$6-C$5)*(POWER(C$7,$B407-1)-1)/(POWER(C$7,$B$3-1)-1)</f>
        <v>31285.6225821032</v>
      </c>
      <c r="D407" s="1">
        <f t="shared" si="1353"/>
        <v>9385.68677463096</v>
      </c>
      <c r="E407" s="1">
        <f t="shared" si="1353"/>
        <v>6257.12451642064</v>
      </c>
      <c r="F407" s="1">
        <f t="shared" si="1353"/>
        <v>79204.1078027929</v>
      </c>
      <c r="G407" s="1">
        <f t="shared" si="1353"/>
        <v>23761.2323408379</v>
      </c>
      <c r="H407" s="1">
        <f t="shared" si="1353"/>
        <v>15840.8215605586</v>
      </c>
      <c r="I407" s="1">
        <f t="shared" si="1353"/>
        <v>0</v>
      </c>
      <c r="J407" s="1">
        <f>标准模型!$I$65/1*$B407/$B$3</f>
        <v>2.8512</v>
      </c>
      <c r="K407" s="1">
        <f>J407*标准模型!$J$63</f>
        <v>2.8512</v>
      </c>
      <c r="L407" s="1">
        <f t="shared" si="1297"/>
        <v>110489.730384896</v>
      </c>
      <c r="M407" s="1">
        <f t="shared" si="1298"/>
        <v>59907.3892472966</v>
      </c>
      <c r="N407" s="1">
        <f t="shared" si="1299"/>
        <v>39938.2594981978</v>
      </c>
      <c r="O407" s="1">
        <f t="shared" ref="O407:W407" si="1354">O$5+(O$6-O$5)*(POWER(O$7,$B407-1)-1)/(POWER(O$7,$B$3-1)-1)</f>
        <v>0.895812163340646</v>
      </c>
      <c r="P407" s="1">
        <f t="shared" si="1354"/>
        <v>0.290372474187986</v>
      </c>
      <c r="Q407" s="1">
        <f t="shared" si="1354"/>
        <v>0.492696689837355</v>
      </c>
      <c r="R407" s="1">
        <f t="shared" si="1354"/>
        <v>1.15832486533626</v>
      </c>
      <c r="S407" s="1">
        <f t="shared" si="1354"/>
        <v>0.56455581234284</v>
      </c>
      <c r="T407" s="1">
        <f t="shared" si="1354"/>
        <v>3.54366743702852</v>
      </c>
      <c r="U407" s="1">
        <f t="shared" si="1354"/>
        <v>1</v>
      </c>
      <c r="V407" s="1">
        <f t="shared" si="1354"/>
        <v>1.43167206873732</v>
      </c>
      <c r="W407" s="1">
        <f t="shared" si="1354"/>
        <v>2.26659892269007</v>
      </c>
      <c r="X407" s="1">
        <f t="shared" si="1301"/>
        <v>7.5865122996626</v>
      </c>
      <c r="Y407" s="1">
        <f t="shared" si="1302"/>
        <v>15.3728157565179</v>
      </c>
      <c r="Z407" s="1">
        <f t="shared" si="1303"/>
        <v>1698538.26819435</v>
      </c>
      <c r="AA407" s="1">
        <f t="shared" si="1304"/>
        <v>59907.3892472966</v>
      </c>
      <c r="AB407" s="1">
        <f t="shared" si="1305"/>
        <v>39938.2594981978</v>
      </c>
      <c r="AC407" s="1">
        <f>AB407/(AB407+战斗公式!$M$27)</f>
        <v>0.624637889921347</v>
      </c>
      <c r="AD407" s="1">
        <f t="shared" si="1306"/>
        <v>4525065.8566429</v>
      </c>
      <c r="AE407" s="1">
        <f t="shared" si="1307"/>
        <v>9.9564001895053</v>
      </c>
      <c r="AF407" s="1">
        <f t="shared" si="1308"/>
        <v>4.91350144920714</v>
      </c>
      <c r="AG407" s="1">
        <f t="shared" si="1309"/>
        <v>4.88633365602899</v>
      </c>
      <c r="AH407" s="1">
        <f t="shared" si="1310"/>
        <v>1.70532701091929</v>
      </c>
      <c r="AI407" s="1">
        <f t="shared" si="1311"/>
        <v>1.00000000181728</v>
      </c>
      <c r="AJ407" s="1">
        <f t="shared" si="1312"/>
        <v>1.00024029363168</v>
      </c>
      <c r="AK407" s="1">
        <f t="shared" si="1313"/>
        <v>1</v>
      </c>
      <c r="AL407" s="10">
        <f t="shared" si="1314"/>
        <v>1689147</v>
      </c>
      <c r="AM407" s="10">
        <f t="shared" si="1315"/>
        <v>102162</v>
      </c>
      <c r="AN407" s="10">
        <f t="shared" si="1316"/>
        <v>39938</v>
      </c>
      <c r="AO407" s="1">
        <f t="shared" si="1317"/>
        <v>833797</v>
      </c>
      <c r="AP407" s="1">
        <f t="shared" si="1318"/>
        <v>102162</v>
      </c>
      <c r="AR407" s="1">
        <f t="shared" ref="AR407:AX407" si="1355">ROUNDUP(AR$10*$AO407,0)</f>
        <v>833797</v>
      </c>
      <c r="AS407" s="1">
        <f t="shared" si="1355"/>
        <v>2501391</v>
      </c>
      <c r="AT407" s="1">
        <f t="shared" si="1355"/>
        <v>1500835</v>
      </c>
      <c r="AU407" s="1">
        <f t="shared" si="1355"/>
        <v>416899</v>
      </c>
      <c r="AV407" s="1">
        <f t="shared" si="1355"/>
        <v>125070</v>
      </c>
      <c r="AW407" s="1">
        <f t="shared" si="1355"/>
        <v>3335188</v>
      </c>
      <c r="AX407" s="1">
        <f t="shared" si="1355"/>
        <v>7504173</v>
      </c>
      <c r="AY407" s="1">
        <f t="shared" si="1320"/>
        <v>101348820</v>
      </c>
      <c r="AZ407" s="1">
        <f t="shared" si="1321"/>
        <v>50674410</v>
      </c>
      <c r="BB407" s="1">
        <f t="shared" si="1322"/>
        <v>396</v>
      </c>
    </row>
    <row r="408" spans="2:54">
      <c r="B408" s="4">
        <v>397</v>
      </c>
      <c r="C408" s="1">
        <f t="shared" ref="C408:I408" si="1356">C$5+(C$6-C$5)*(POWER(C$7,$B408-1)-1)/(POWER(C$7,$B$3-1)-1)</f>
        <v>31364.611048119</v>
      </c>
      <c r="D408" s="1">
        <f t="shared" si="1356"/>
        <v>9409.3833144357</v>
      </c>
      <c r="E408" s="1">
        <f t="shared" si="1356"/>
        <v>6272.9222096238</v>
      </c>
      <c r="F408" s="1">
        <f t="shared" si="1356"/>
        <v>79404.0786028329</v>
      </c>
      <c r="G408" s="1">
        <f t="shared" si="1356"/>
        <v>23821.2235808499</v>
      </c>
      <c r="H408" s="1">
        <f t="shared" si="1356"/>
        <v>15880.8157205666</v>
      </c>
      <c r="I408" s="1">
        <f t="shared" si="1356"/>
        <v>0</v>
      </c>
      <c r="J408" s="1">
        <f>标准模型!$I$65/1*$B408/$B$3</f>
        <v>2.8584</v>
      </c>
      <c r="K408" s="1">
        <f>J408*标准模型!$J$63</f>
        <v>2.8584</v>
      </c>
      <c r="L408" s="1">
        <f t="shared" si="1297"/>
        <v>110768.689650952</v>
      </c>
      <c r="M408" s="1">
        <f t="shared" si="1298"/>
        <v>60126.3881612686</v>
      </c>
      <c r="N408" s="1">
        <f t="shared" si="1299"/>
        <v>40084.2587741791</v>
      </c>
      <c r="O408" s="1">
        <f t="shared" ref="O408:W408" si="1357">O$5+(O$6-O$5)*(POWER(O$7,$B408-1)-1)/(POWER(O$7,$B$3-1)-1)</f>
        <v>0.896814021056277</v>
      </c>
      <c r="P408" s="1">
        <f t="shared" si="1357"/>
        <v>0.291347290024798</v>
      </c>
      <c r="Q408" s="1">
        <f t="shared" si="1357"/>
        <v>0.493247711580953</v>
      </c>
      <c r="R408" s="1">
        <f t="shared" si="1357"/>
        <v>1.15872560842251</v>
      </c>
      <c r="S408" s="1">
        <f t="shared" si="1357"/>
        <v>0.56585822737316</v>
      </c>
      <c r="T408" s="1">
        <f t="shared" si="1357"/>
        <v>3.54757468211948</v>
      </c>
      <c r="U408" s="1">
        <f t="shared" si="1357"/>
        <v>1</v>
      </c>
      <c r="V408" s="1">
        <f t="shared" si="1357"/>
        <v>1.43276469304941</v>
      </c>
      <c r="W408" s="1">
        <f t="shared" si="1357"/>
        <v>2.26980486738009</v>
      </c>
      <c r="X408" s="1">
        <f t="shared" si="1301"/>
        <v>7.62979764997948</v>
      </c>
      <c r="Y408" s="1">
        <f t="shared" si="1302"/>
        <v>15.4698412783355</v>
      </c>
      <c r="Z408" s="1">
        <f t="shared" si="1303"/>
        <v>1713574.04750944</v>
      </c>
      <c r="AA408" s="1">
        <f t="shared" si="1304"/>
        <v>60126.3881612686</v>
      </c>
      <c r="AB408" s="1">
        <f t="shared" si="1305"/>
        <v>40084.2587741791</v>
      </c>
      <c r="AC408" s="1">
        <f>AB408/(AB408+战斗公式!$M$27)</f>
        <v>0.625493054627167</v>
      </c>
      <c r="AD408" s="1">
        <f t="shared" si="1306"/>
        <v>4575546.77872134</v>
      </c>
      <c r="AE408" s="1">
        <f t="shared" si="1307"/>
        <v>9.97389664207651</v>
      </c>
      <c r="AF408" s="1">
        <f t="shared" si="1308"/>
        <v>4.91917220039127</v>
      </c>
      <c r="AG408" s="1">
        <f t="shared" si="1309"/>
        <v>4.88790380783983</v>
      </c>
      <c r="AH408" s="1">
        <f t="shared" si="1310"/>
        <v>1.7104766434831</v>
      </c>
      <c r="AI408" s="1">
        <f t="shared" si="1311"/>
        <v>1.00000000172598</v>
      </c>
      <c r="AJ408" s="1">
        <f t="shared" si="1312"/>
        <v>1.00023481795166</v>
      </c>
      <c r="AK408" s="1">
        <f t="shared" si="1313"/>
        <v>1</v>
      </c>
      <c r="AL408" s="10">
        <f t="shared" si="1314"/>
        <v>1702682</v>
      </c>
      <c r="AM408" s="10">
        <f t="shared" si="1315"/>
        <v>102845</v>
      </c>
      <c r="AN408" s="10">
        <f t="shared" si="1316"/>
        <v>40084</v>
      </c>
      <c r="AO408" s="1">
        <f t="shared" si="1317"/>
        <v>839968</v>
      </c>
      <c r="AP408" s="1">
        <f t="shared" si="1318"/>
        <v>102845</v>
      </c>
      <c r="AR408" s="1">
        <f t="shared" ref="AR408:AX408" si="1358">ROUNDUP(AR$10*$AO408,0)</f>
        <v>839968</v>
      </c>
      <c r="AS408" s="1">
        <f t="shared" si="1358"/>
        <v>2519904</v>
      </c>
      <c r="AT408" s="1">
        <f t="shared" si="1358"/>
        <v>1511943</v>
      </c>
      <c r="AU408" s="1">
        <f t="shared" si="1358"/>
        <v>419984</v>
      </c>
      <c r="AV408" s="1">
        <f t="shared" si="1358"/>
        <v>125996</v>
      </c>
      <c r="AW408" s="1">
        <f t="shared" si="1358"/>
        <v>3359872</v>
      </c>
      <c r="AX408" s="1">
        <f t="shared" si="1358"/>
        <v>7559712</v>
      </c>
      <c r="AY408" s="1">
        <f t="shared" si="1320"/>
        <v>102160920</v>
      </c>
      <c r="AZ408" s="1">
        <f t="shared" si="1321"/>
        <v>51080460</v>
      </c>
      <c r="BB408" s="1">
        <f t="shared" si="1322"/>
        <v>397</v>
      </c>
    </row>
    <row r="409" spans="2:54">
      <c r="B409" s="4">
        <v>398</v>
      </c>
      <c r="C409" s="1">
        <f t="shared" ref="C409:I409" si="1359">C$5+(C$6-C$5)*(POWER(C$7,$B409-1)-1)/(POWER(C$7,$B$3-1)-1)</f>
        <v>31443.599435152</v>
      </c>
      <c r="D409" s="1">
        <f t="shared" si="1359"/>
        <v>9433.0798305456</v>
      </c>
      <c r="E409" s="1">
        <f t="shared" si="1359"/>
        <v>6288.7198870304</v>
      </c>
      <c r="F409" s="1">
        <f t="shared" si="1359"/>
        <v>79604.0492029164</v>
      </c>
      <c r="G409" s="1">
        <f t="shared" si="1359"/>
        <v>23881.2147608749</v>
      </c>
      <c r="H409" s="1">
        <f t="shared" si="1359"/>
        <v>15920.8098405833</v>
      </c>
      <c r="I409" s="1">
        <f t="shared" si="1359"/>
        <v>0</v>
      </c>
      <c r="J409" s="1">
        <f>标准模型!$I$65/1*$B409/$B$3</f>
        <v>2.8656</v>
      </c>
      <c r="K409" s="1">
        <f>J409*标准模型!$J$63</f>
        <v>2.8656</v>
      </c>
      <c r="L409" s="1">
        <f t="shared" si="1297"/>
        <v>111047.648638068</v>
      </c>
      <c r="M409" s="1">
        <f t="shared" si="1298"/>
        <v>60345.728153832</v>
      </c>
      <c r="N409" s="1">
        <f t="shared" si="1299"/>
        <v>40230.485435888</v>
      </c>
      <c r="O409" s="1">
        <f t="shared" ref="O409:W409" si="1360">O$5+(O$6-O$5)*(POWER(O$7,$B409-1)-1)/(POWER(O$7,$B$3-1)-1)</f>
        <v>0.897815877770122</v>
      </c>
      <c r="P409" s="1">
        <f t="shared" si="1360"/>
        <v>0.292323568085365</v>
      </c>
      <c r="Q409" s="1">
        <f t="shared" si="1360"/>
        <v>0.493798732773567</v>
      </c>
      <c r="R409" s="1">
        <f t="shared" si="1360"/>
        <v>1.15912635110805</v>
      </c>
      <c r="S409" s="1">
        <f t="shared" si="1360"/>
        <v>0.567160641101159</v>
      </c>
      <c r="T409" s="1">
        <f t="shared" si="1360"/>
        <v>3.55148192330348</v>
      </c>
      <c r="U409" s="1">
        <f t="shared" si="1360"/>
        <v>1</v>
      </c>
      <c r="V409" s="1">
        <f t="shared" si="1360"/>
        <v>1.43385731626895</v>
      </c>
      <c r="W409" s="1">
        <f t="shared" si="1360"/>
        <v>2.27301080886439</v>
      </c>
      <c r="X409" s="1">
        <f t="shared" si="1301"/>
        <v>7.67329453236654</v>
      </c>
      <c r="Y409" s="1">
        <f t="shared" si="1302"/>
        <v>15.5674005152107</v>
      </c>
      <c r="Z409" s="1">
        <f t="shared" si="1303"/>
        <v>1728723.22262121</v>
      </c>
      <c r="AA409" s="1">
        <f t="shared" si="1304"/>
        <v>60345.728153832</v>
      </c>
      <c r="AB409" s="1">
        <f t="shared" si="1305"/>
        <v>40230.485435888</v>
      </c>
      <c r="AC409" s="1">
        <f>AB409/(AB409+战斗公式!$M$27)</f>
        <v>0.626345654448529</v>
      </c>
      <c r="AD409" s="1">
        <f t="shared" si="1306"/>
        <v>4626530.49055219</v>
      </c>
      <c r="AE409" s="1">
        <f t="shared" si="1307"/>
        <v>9.99141569224393</v>
      </c>
      <c r="AF409" s="1">
        <f t="shared" si="1308"/>
        <v>4.92484762160427</v>
      </c>
      <c r="AG409" s="1">
        <f t="shared" si="1309"/>
        <v>4.88946218351208</v>
      </c>
      <c r="AH409" s="1">
        <f t="shared" si="1310"/>
        <v>1.71563657531203</v>
      </c>
      <c r="AI409" s="1">
        <f t="shared" si="1311"/>
        <v>1.00000000163924</v>
      </c>
      <c r="AJ409" s="1">
        <f t="shared" si="1312"/>
        <v>1.00022945178523</v>
      </c>
      <c r="AK409" s="1">
        <f t="shared" si="1313"/>
        <v>1</v>
      </c>
      <c r="AL409" s="10">
        <f t="shared" si="1314"/>
        <v>1716302</v>
      </c>
      <c r="AM409" s="10">
        <f t="shared" si="1315"/>
        <v>103531</v>
      </c>
      <c r="AN409" s="10">
        <f t="shared" si="1316"/>
        <v>40230</v>
      </c>
      <c r="AO409" s="1">
        <f t="shared" si="1317"/>
        <v>846173</v>
      </c>
      <c r="AP409" s="1">
        <f t="shared" si="1318"/>
        <v>103531</v>
      </c>
      <c r="AR409" s="1">
        <f t="shared" ref="AR409:AX409" si="1361">ROUNDUP(AR$10*$AO409,0)</f>
        <v>846173</v>
      </c>
      <c r="AS409" s="1">
        <f t="shared" si="1361"/>
        <v>2538519</v>
      </c>
      <c r="AT409" s="1">
        <f t="shared" si="1361"/>
        <v>1523112</v>
      </c>
      <c r="AU409" s="1">
        <f t="shared" si="1361"/>
        <v>423087</v>
      </c>
      <c r="AV409" s="1">
        <f t="shared" si="1361"/>
        <v>126926</v>
      </c>
      <c r="AW409" s="1">
        <f t="shared" si="1361"/>
        <v>3384692</v>
      </c>
      <c r="AX409" s="1">
        <f t="shared" si="1361"/>
        <v>7615557</v>
      </c>
      <c r="AY409" s="1">
        <f t="shared" si="1320"/>
        <v>102978120</v>
      </c>
      <c r="AZ409" s="1">
        <f t="shared" si="1321"/>
        <v>51489060</v>
      </c>
      <c r="BB409" s="1">
        <f t="shared" si="1322"/>
        <v>398</v>
      </c>
    </row>
    <row r="410" spans="2:54">
      <c r="B410" s="4">
        <v>399</v>
      </c>
      <c r="C410" s="1">
        <f t="shared" ref="C410:I410" si="1362">C$5+(C$6-C$5)*(POWER(C$7,$B410-1)-1)/(POWER(C$7,$B$3-1)-1)</f>
        <v>31522.5877431934</v>
      </c>
      <c r="D410" s="1">
        <f t="shared" si="1362"/>
        <v>9456.77632295801</v>
      </c>
      <c r="E410" s="1">
        <f t="shared" si="1362"/>
        <v>6304.51754863867</v>
      </c>
      <c r="F410" s="1">
        <f t="shared" si="1362"/>
        <v>79804.0196030212</v>
      </c>
      <c r="G410" s="1">
        <f t="shared" si="1362"/>
        <v>23941.2058809063</v>
      </c>
      <c r="H410" s="1">
        <f t="shared" si="1362"/>
        <v>15960.8039206042</v>
      </c>
      <c r="I410" s="1">
        <f t="shared" si="1362"/>
        <v>0</v>
      </c>
      <c r="J410" s="1">
        <f>标准模型!$I$65/1*$B410/$B$3</f>
        <v>2.8728</v>
      </c>
      <c r="K410" s="1">
        <f>J410*标准模型!$J$63</f>
        <v>2.8728</v>
      </c>
      <c r="L410" s="1">
        <f t="shared" si="1297"/>
        <v>111326.607346215</v>
      </c>
      <c r="M410" s="1">
        <f t="shared" si="1298"/>
        <v>60565.4092244581</v>
      </c>
      <c r="N410" s="1">
        <f t="shared" si="1299"/>
        <v>40376.9394829721</v>
      </c>
      <c r="O410" s="1">
        <f t="shared" ref="O410:W410" si="1363">O$5+(O$6-O$5)*(POWER(O$7,$B410-1)-1)/(POWER(O$7,$B$3-1)-1)</f>
        <v>0.89881773348207</v>
      </c>
      <c r="P410" s="1">
        <f t="shared" si="1363"/>
        <v>0.293301310563022</v>
      </c>
      <c r="Q410" s="1">
        <f t="shared" si="1363"/>
        <v>0.494349753415139</v>
      </c>
      <c r="R410" s="1">
        <f t="shared" si="1363"/>
        <v>1.15952709339283</v>
      </c>
      <c r="S410" s="1">
        <f t="shared" si="1363"/>
        <v>0.568463053526691</v>
      </c>
      <c r="T410" s="1">
        <f t="shared" si="1363"/>
        <v>3.55538916058007</v>
      </c>
      <c r="U410" s="1">
        <f t="shared" si="1363"/>
        <v>1</v>
      </c>
      <c r="V410" s="1">
        <f t="shared" si="1363"/>
        <v>1.43494993839583</v>
      </c>
      <c r="W410" s="1">
        <f t="shared" si="1363"/>
        <v>2.27621674714262</v>
      </c>
      <c r="X410" s="1">
        <f t="shared" si="1301"/>
        <v>7.7170037927613</v>
      </c>
      <c r="Y410" s="1">
        <f t="shared" si="1302"/>
        <v>15.6654959333815</v>
      </c>
      <c r="Z410" s="1">
        <f t="shared" si="1303"/>
        <v>1743986.51465928</v>
      </c>
      <c r="AA410" s="1">
        <f t="shared" si="1304"/>
        <v>60565.4092244581</v>
      </c>
      <c r="AB410" s="1">
        <f t="shared" si="1305"/>
        <v>40376.9394829721</v>
      </c>
      <c r="AC410" s="1">
        <f>AB410/(AB410+战斗公式!$M$27)</f>
        <v>0.627195697826734</v>
      </c>
      <c r="AD410" s="1">
        <f t="shared" si="1306"/>
        <v>4678021.4297225</v>
      </c>
      <c r="AE410" s="1">
        <f t="shared" si="1307"/>
        <v>10.0089573184229</v>
      </c>
      <c r="AF410" s="1">
        <f t="shared" si="1308"/>
        <v>4.93052769706875</v>
      </c>
      <c r="AG410" s="1">
        <f t="shared" si="1309"/>
        <v>4.89100887136679</v>
      </c>
      <c r="AH410" s="1">
        <f t="shared" si="1310"/>
        <v>1.72080682700463</v>
      </c>
      <c r="AI410" s="1">
        <f t="shared" si="1311"/>
        <v>1.00000000155684</v>
      </c>
      <c r="AJ410" s="1">
        <f t="shared" si="1312"/>
        <v>1.00022419294214</v>
      </c>
      <c r="AK410" s="1">
        <f t="shared" si="1313"/>
        <v>1</v>
      </c>
      <c r="AL410" s="10">
        <f t="shared" si="1314"/>
        <v>1730008</v>
      </c>
      <c r="AM410" s="10">
        <f t="shared" si="1315"/>
        <v>104221</v>
      </c>
      <c r="AN410" s="10">
        <f t="shared" si="1316"/>
        <v>40377</v>
      </c>
      <c r="AO410" s="1">
        <f t="shared" si="1317"/>
        <v>852413</v>
      </c>
      <c r="AP410" s="1">
        <f t="shared" si="1318"/>
        <v>104221</v>
      </c>
      <c r="AR410" s="1">
        <f t="shared" ref="AR410:AX410" si="1364">ROUNDUP(AR$10*$AO410,0)</f>
        <v>852413</v>
      </c>
      <c r="AS410" s="1">
        <f t="shared" si="1364"/>
        <v>2557239</v>
      </c>
      <c r="AT410" s="1">
        <f t="shared" si="1364"/>
        <v>1534344</v>
      </c>
      <c r="AU410" s="1">
        <f t="shared" si="1364"/>
        <v>426207</v>
      </c>
      <c r="AV410" s="1">
        <f t="shared" si="1364"/>
        <v>127862</v>
      </c>
      <c r="AW410" s="1">
        <f t="shared" si="1364"/>
        <v>3409652</v>
      </c>
      <c r="AX410" s="1">
        <f t="shared" si="1364"/>
        <v>7671717</v>
      </c>
      <c r="AY410" s="1">
        <f t="shared" si="1320"/>
        <v>103800480</v>
      </c>
      <c r="AZ410" s="1">
        <f t="shared" si="1321"/>
        <v>51900240</v>
      </c>
      <c r="BB410" s="1">
        <f t="shared" si="1322"/>
        <v>399</v>
      </c>
    </row>
    <row r="411" spans="2:54">
      <c r="B411" s="4">
        <v>400</v>
      </c>
      <c r="C411" s="1">
        <f t="shared" ref="C411:I411" si="1365">C$5+(C$6-C$5)*(POWER(C$7,$B411-1)-1)/(POWER(C$7,$B$3-1)-1)</f>
        <v>31601.5759722431</v>
      </c>
      <c r="D411" s="1">
        <f t="shared" si="1365"/>
        <v>9480.47279167294</v>
      </c>
      <c r="E411" s="1">
        <f t="shared" si="1365"/>
        <v>6320.31519444862</v>
      </c>
      <c r="F411" s="1">
        <f t="shared" si="1365"/>
        <v>80003.9898031472</v>
      </c>
      <c r="G411" s="1">
        <f t="shared" si="1365"/>
        <v>24001.1969409441</v>
      </c>
      <c r="H411" s="1">
        <f t="shared" si="1365"/>
        <v>16000.7979606294</v>
      </c>
      <c r="I411" s="1">
        <f t="shared" si="1365"/>
        <v>0</v>
      </c>
      <c r="J411" s="1">
        <f>标准模型!$I$65/1*$B411/$B$3</f>
        <v>2.88</v>
      </c>
      <c r="K411" s="1">
        <f>J411*标准模型!$J$63</f>
        <v>2.88</v>
      </c>
      <c r="L411" s="1">
        <f t="shared" si="1297"/>
        <v>111605.56577539</v>
      </c>
      <c r="M411" s="1">
        <f t="shared" si="1298"/>
        <v>60785.4313726351</v>
      </c>
      <c r="N411" s="1">
        <f t="shared" si="1299"/>
        <v>40523.6209150901</v>
      </c>
      <c r="O411" s="1">
        <f t="shared" ref="O411:W411" si="1366">O$5+(O$6-O$5)*(POWER(O$7,$B411-1)-1)/(POWER(O$7,$B$3-1)-1)</f>
        <v>0.89981958819212</v>
      </c>
      <c r="P411" s="1">
        <f t="shared" si="1366"/>
        <v>0.294280519654396</v>
      </c>
      <c r="Q411" s="1">
        <f t="shared" si="1366"/>
        <v>0.494900773505666</v>
      </c>
      <c r="R411" s="1">
        <f t="shared" si="1366"/>
        <v>1.15992783527685</v>
      </c>
      <c r="S411" s="1">
        <f t="shared" si="1366"/>
        <v>0.569765464649756</v>
      </c>
      <c r="T411" s="1">
        <f t="shared" si="1366"/>
        <v>3.55929639394927</v>
      </c>
      <c r="U411" s="1">
        <f t="shared" si="1366"/>
        <v>1</v>
      </c>
      <c r="V411" s="1">
        <f t="shared" si="1366"/>
        <v>1.43604255943004</v>
      </c>
      <c r="W411" s="1">
        <f t="shared" si="1366"/>
        <v>2.27942268221478</v>
      </c>
      <c r="X411" s="1">
        <f t="shared" si="1301"/>
        <v>7.76092627973437</v>
      </c>
      <c r="Y411" s="1">
        <f t="shared" si="1302"/>
        <v>15.7641300082625</v>
      </c>
      <c r="Z411" s="1">
        <f t="shared" si="1303"/>
        <v>1759364.64852894</v>
      </c>
      <c r="AA411" s="1">
        <f t="shared" si="1304"/>
        <v>60785.4313726351</v>
      </c>
      <c r="AB411" s="1">
        <f t="shared" si="1305"/>
        <v>40523.6209150901</v>
      </c>
      <c r="AC411" s="1">
        <f>AB411/(AB411+战斗公式!$M$27)</f>
        <v>0.628043193180637</v>
      </c>
      <c r="AD411" s="1">
        <f t="shared" si="1306"/>
        <v>4730024.06804551</v>
      </c>
      <c r="AE411" s="1">
        <f t="shared" si="1307"/>
        <v>10.0265214990951</v>
      </c>
      <c r="AF411" s="1">
        <f t="shared" si="1308"/>
        <v>4.93621241107902</v>
      </c>
      <c r="AG411" s="1">
        <f t="shared" si="1309"/>
        <v>4.89254395906259</v>
      </c>
      <c r="AH411" s="1">
        <f t="shared" si="1310"/>
        <v>1.72598741920061</v>
      </c>
      <c r="AI411" s="1">
        <f t="shared" si="1311"/>
        <v>1.00000000147856</v>
      </c>
      <c r="AJ411" s="1">
        <f t="shared" si="1312"/>
        <v>1.00021903927591</v>
      </c>
      <c r="AK411" s="1">
        <f t="shared" si="1313"/>
        <v>1</v>
      </c>
      <c r="AL411" s="10">
        <f t="shared" si="1314"/>
        <v>1743800</v>
      </c>
      <c r="AM411" s="10">
        <f t="shared" si="1315"/>
        <v>104915</v>
      </c>
      <c r="AN411" s="10">
        <f t="shared" si="1316"/>
        <v>40524</v>
      </c>
      <c r="AO411" s="1">
        <f t="shared" si="1317"/>
        <v>858688</v>
      </c>
      <c r="AP411" s="1">
        <f t="shared" si="1318"/>
        <v>104915</v>
      </c>
      <c r="AR411" s="1">
        <f t="shared" ref="AR411:AX411" si="1367">ROUNDUP(AR$10*$AO411,0)</f>
        <v>858688</v>
      </c>
      <c r="AS411" s="1">
        <f t="shared" si="1367"/>
        <v>2576064</v>
      </c>
      <c r="AT411" s="1">
        <f t="shared" si="1367"/>
        <v>1545639</v>
      </c>
      <c r="AU411" s="1">
        <f t="shared" si="1367"/>
        <v>429344</v>
      </c>
      <c r="AV411" s="1">
        <f t="shared" si="1367"/>
        <v>128804</v>
      </c>
      <c r="AW411" s="1">
        <f t="shared" si="1367"/>
        <v>3434752</v>
      </c>
      <c r="AX411" s="1">
        <f t="shared" si="1367"/>
        <v>7728192</v>
      </c>
      <c r="AY411" s="1">
        <f t="shared" si="1320"/>
        <v>104628000</v>
      </c>
      <c r="AZ411" s="1">
        <f t="shared" si="1321"/>
        <v>52314000</v>
      </c>
      <c r="BB411" s="1">
        <f t="shared" si="1322"/>
        <v>400</v>
      </c>
    </row>
    <row r="412" spans="2:54">
      <c r="B412" s="4">
        <v>401</v>
      </c>
      <c r="C412" s="1">
        <f t="shared" ref="C412:I412" si="1368">C$5+(C$6-C$5)*(POWER(C$7,$B412-1)-1)/(POWER(C$7,$B$3-1)-1)</f>
        <v>31680.5641223013</v>
      </c>
      <c r="D412" s="1">
        <f t="shared" si="1368"/>
        <v>9504.16923669038</v>
      </c>
      <c r="E412" s="1">
        <f t="shared" si="1368"/>
        <v>6336.11282446026</v>
      </c>
      <c r="F412" s="1">
        <f t="shared" si="1368"/>
        <v>80203.9598032944</v>
      </c>
      <c r="G412" s="1">
        <f t="shared" si="1368"/>
        <v>24061.1879409883</v>
      </c>
      <c r="H412" s="1">
        <f t="shared" si="1368"/>
        <v>16040.7919606589</v>
      </c>
      <c r="I412" s="1">
        <f t="shared" si="1368"/>
        <v>0</v>
      </c>
      <c r="J412" s="1">
        <f>标准模型!$I$65/1*$B412/$B$3</f>
        <v>2.8872</v>
      </c>
      <c r="K412" s="1">
        <f>J412*标准模型!$J$63</f>
        <v>2.8872</v>
      </c>
      <c r="L412" s="1">
        <f t="shared" si="1297"/>
        <v>111884.523925596</v>
      </c>
      <c r="M412" s="1">
        <f t="shared" si="1298"/>
        <v>61005.7945978512</v>
      </c>
      <c r="N412" s="1">
        <f t="shared" si="1299"/>
        <v>40670.5297319008</v>
      </c>
      <c r="O412" s="1">
        <f t="shared" ref="O412:W412" si="1369">O$5+(O$6-O$5)*(POWER(O$7,$B412-1)-1)/(POWER(O$7,$B$3-1)-1)</f>
        <v>0.900821441900272</v>
      </c>
      <c r="P412" s="1">
        <f t="shared" si="1369"/>
        <v>0.295261197559408</v>
      </c>
      <c r="Q412" s="1">
        <f t="shared" si="1369"/>
        <v>0.49545179304515</v>
      </c>
      <c r="R412" s="1">
        <f t="shared" si="1369"/>
        <v>1.16032857676011</v>
      </c>
      <c r="S412" s="1">
        <f t="shared" si="1369"/>
        <v>0.571067874470354</v>
      </c>
      <c r="T412" s="1">
        <f t="shared" si="1369"/>
        <v>3.56320362341106</v>
      </c>
      <c r="U412" s="1">
        <f t="shared" si="1369"/>
        <v>1</v>
      </c>
      <c r="V412" s="1">
        <f t="shared" si="1369"/>
        <v>1.43713517937158</v>
      </c>
      <c r="W412" s="1">
        <f t="shared" si="1369"/>
        <v>2.28262861408087</v>
      </c>
      <c r="X412" s="1">
        <f t="shared" si="1301"/>
        <v>7.80506284449181</v>
      </c>
      <c r="Y412" s="1">
        <f t="shared" si="1302"/>
        <v>15.8633052244619</v>
      </c>
      <c r="Z412" s="1">
        <f t="shared" si="1303"/>
        <v>1774858.35292534</v>
      </c>
      <c r="AA412" s="1">
        <f t="shared" si="1304"/>
        <v>61005.7945978512</v>
      </c>
      <c r="AB412" s="1">
        <f t="shared" si="1305"/>
        <v>40670.5297319008</v>
      </c>
      <c r="AC412" s="1">
        <f>AB412/(AB412+战斗公式!$M$27)</f>
        <v>0.628888148906545</v>
      </c>
      <c r="AD412" s="1">
        <f t="shared" si="1306"/>
        <v>4782542.9117821</v>
      </c>
      <c r="AE412" s="1">
        <f t="shared" si="1307"/>
        <v>10.0441082128056</v>
      </c>
      <c r="AF412" s="1">
        <f t="shared" si="1308"/>
        <v>4.94190174799986</v>
      </c>
      <c r="AG412" s="1">
        <f t="shared" si="1309"/>
        <v>4.89406753360068</v>
      </c>
      <c r="AH412" s="1">
        <f t="shared" si="1310"/>
        <v>1.73117837258098</v>
      </c>
      <c r="AI412" s="1">
        <f t="shared" si="1311"/>
        <v>1.00000000140419</v>
      </c>
      <c r="AJ412" s="1">
        <f t="shared" si="1312"/>
        <v>1.000213988683</v>
      </c>
      <c r="AK412" s="1">
        <f t="shared" si="1313"/>
        <v>1</v>
      </c>
      <c r="AL412" s="10">
        <f t="shared" si="1314"/>
        <v>1757679</v>
      </c>
      <c r="AM412" s="10">
        <f t="shared" si="1315"/>
        <v>105612</v>
      </c>
      <c r="AN412" s="10">
        <f t="shared" si="1316"/>
        <v>40671</v>
      </c>
      <c r="AO412" s="1">
        <f t="shared" si="1317"/>
        <v>864998</v>
      </c>
      <c r="AP412" s="1">
        <f t="shared" si="1318"/>
        <v>105612</v>
      </c>
      <c r="AR412" s="1">
        <f t="shared" ref="AR412:AX412" si="1370">ROUNDUP(AR$10*$AO412,0)</f>
        <v>864998</v>
      </c>
      <c r="AS412" s="1">
        <f t="shared" si="1370"/>
        <v>2594994</v>
      </c>
      <c r="AT412" s="1">
        <f t="shared" si="1370"/>
        <v>1556997</v>
      </c>
      <c r="AU412" s="1">
        <f t="shared" si="1370"/>
        <v>432499</v>
      </c>
      <c r="AV412" s="1">
        <f t="shared" si="1370"/>
        <v>129750</v>
      </c>
      <c r="AW412" s="1">
        <f t="shared" si="1370"/>
        <v>3459992</v>
      </c>
      <c r="AX412" s="1">
        <f t="shared" si="1370"/>
        <v>7784982</v>
      </c>
      <c r="AY412" s="1">
        <f t="shared" si="1320"/>
        <v>105460740</v>
      </c>
      <c r="AZ412" s="1">
        <f t="shared" si="1321"/>
        <v>52730370</v>
      </c>
      <c r="BB412" s="1">
        <f t="shared" si="1322"/>
        <v>401</v>
      </c>
    </row>
    <row r="413" spans="2:54">
      <c r="B413" s="4">
        <v>402</v>
      </c>
      <c r="C413" s="1">
        <f t="shared" ref="C413:I413" si="1371">C$5+(C$6-C$5)*(POWER(C$7,$B413-1)-1)/(POWER(C$7,$B$3-1)-1)</f>
        <v>31759.5521933766</v>
      </c>
      <c r="D413" s="1">
        <f t="shared" si="1371"/>
        <v>9527.86565801298</v>
      </c>
      <c r="E413" s="1">
        <f t="shared" si="1371"/>
        <v>6351.91043867532</v>
      </c>
      <c r="F413" s="1">
        <f t="shared" si="1371"/>
        <v>80403.9296034851</v>
      </c>
      <c r="G413" s="1">
        <f t="shared" si="1371"/>
        <v>24121.1788810455</v>
      </c>
      <c r="H413" s="1">
        <f t="shared" si="1371"/>
        <v>16080.785920697</v>
      </c>
      <c r="I413" s="1">
        <f t="shared" si="1371"/>
        <v>0</v>
      </c>
      <c r="J413" s="1">
        <f>标准模型!$I$65/1*$B413/$B$3</f>
        <v>2.8944</v>
      </c>
      <c r="K413" s="1">
        <f>J413*标准模型!$J$63</f>
        <v>2.8944</v>
      </c>
      <c r="L413" s="1">
        <f t="shared" si="1297"/>
        <v>112163.481796862</v>
      </c>
      <c r="M413" s="1">
        <f t="shared" si="1298"/>
        <v>61226.4988996113</v>
      </c>
      <c r="N413" s="1">
        <f t="shared" si="1299"/>
        <v>40817.6659330742</v>
      </c>
      <c r="O413" s="1">
        <f t="shared" ref="O413:W413" si="1372">O$5+(O$6-O$5)*(POWER(O$7,$B413-1)-1)/(POWER(O$7,$B$3-1)-1)</f>
        <v>0.901823294606639</v>
      </c>
      <c r="P413" s="1">
        <f t="shared" si="1372"/>
        <v>0.296243346481276</v>
      </c>
      <c r="Q413" s="1">
        <f t="shared" si="1372"/>
        <v>0.496002812033651</v>
      </c>
      <c r="R413" s="1">
        <f t="shared" si="1372"/>
        <v>1.16072931784266</v>
      </c>
      <c r="S413" s="1">
        <f t="shared" si="1372"/>
        <v>0.57237028298863</v>
      </c>
      <c r="T413" s="1">
        <f t="shared" si="1372"/>
        <v>3.56711084896589</v>
      </c>
      <c r="U413" s="1">
        <f t="shared" si="1372"/>
        <v>1</v>
      </c>
      <c r="V413" s="1">
        <f t="shared" si="1372"/>
        <v>1.43822779822057</v>
      </c>
      <c r="W413" s="1">
        <f t="shared" si="1372"/>
        <v>2.28583454274124</v>
      </c>
      <c r="X413" s="1">
        <f t="shared" si="1301"/>
        <v>7.84941434088595</v>
      </c>
      <c r="Y413" s="1">
        <f t="shared" si="1302"/>
        <v>15.9630240758191</v>
      </c>
      <c r="Z413" s="1">
        <f t="shared" si="1303"/>
        <v>1790468.360351</v>
      </c>
      <c r="AA413" s="1">
        <f t="shared" si="1304"/>
        <v>61226.4988996113</v>
      </c>
      <c r="AB413" s="1">
        <f t="shared" si="1305"/>
        <v>40817.6659330742</v>
      </c>
      <c r="AC413" s="1">
        <f>AB413/(AB413+战斗公式!$M$27)</f>
        <v>0.629730573378243</v>
      </c>
      <c r="AD413" s="1">
        <f t="shared" si="1306"/>
        <v>4835582.50187377</v>
      </c>
      <c r="AE413" s="1">
        <f t="shared" si="1307"/>
        <v>10.0617174381654</v>
      </c>
      <c r="AF413" s="1">
        <f t="shared" si="1308"/>
        <v>4.94759569226705</v>
      </c>
      <c r="AG413" s="1">
        <f t="shared" si="1309"/>
        <v>4.89557968132973</v>
      </c>
      <c r="AH413" s="1">
        <f t="shared" si="1310"/>
        <v>1.73637970786811</v>
      </c>
      <c r="AI413" s="1">
        <f t="shared" si="1311"/>
        <v>1.00000000133354</v>
      </c>
      <c r="AJ413" s="1">
        <f t="shared" si="1312"/>
        <v>1.00020903910196</v>
      </c>
      <c r="AK413" s="1">
        <f t="shared" si="1313"/>
        <v>1</v>
      </c>
      <c r="AL413" s="10">
        <f t="shared" si="1314"/>
        <v>1771644</v>
      </c>
      <c r="AM413" s="10">
        <f t="shared" si="1315"/>
        <v>106312</v>
      </c>
      <c r="AN413" s="10">
        <f t="shared" si="1316"/>
        <v>40818</v>
      </c>
      <c r="AO413" s="1">
        <f t="shared" si="1317"/>
        <v>871344</v>
      </c>
      <c r="AP413" s="1">
        <f t="shared" si="1318"/>
        <v>106312</v>
      </c>
      <c r="AR413" s="1">
        <f t="shared" ref="AR413:AX413" si="1373">ROUNDUP(AR$10*$AO413,0)</f>
        <v>871344</v>
      </c>
      <c r="AS413" s="1">
        <f t="shared" si="1373"/>
        <v>2614032</v>
      </c>
      <c r="AT413" s="1">
        <f t="shared" si="1373"/>
        <v>1568420</v>
      </c>
      <c r="AU413" s="1">
        <f t="shared" si="1373"/>
        <v>435672</v>
      </c>
      <c r="AV413" s="1">
        <f t="shared" si="1373"/>
        <v>130702</v>
      </c>
      <c r="AW413" s="1">
        <f t="shared" si="1373"/>
        <v>3485376</v>
      </c>
      <c r="AX413" s="1">
        <f t="shared" si="1373"/>
        <v>7842096</v>
      </c>
      <c r="AY413" s="1">
        <f t="shared" si="1320"/>
        <v>106298640</v>
      </c>
      <c r="AZ413" s="1">
        <f t="shared" si="1321"/>
        <v>53149320</v>
      </c>
      <c r="BB413" s="1">
        <f t="shared" si="1322"/>
        <v>402</v>
      </c>
    </row>
    <row r="414" spans="2:54">
      <c r="B414" s="4">
        <v>403</v>
      </c>
      <c r="C414" s="1">
        <f t="shared" ref="C414:I414" si="1374">C$5+(C$6-C$5)*(POWER(C$7,$B414-1)-1)/(POWER(C$7,$B$3-1)-1)</f>
        <v>31838.5401854691</v>
      </c>
      <c r="D414" s="1">
        <f t="shared" si="1374"/>
        <v>9551.56205564073</v>
      </c>
      <c r="E414" s="1">
        <f t="shared" si="1374"/>
        <v>6367.70803709382</v>
      </c>
      <c r="F414" s="1">
        <f t="shared" si="1374"/>
        <v>80603.8992037193</v>
      </c>
      <c r="G414" s="1">
        <f t="shared" si="1374"/>
        <v>24181.1697611158</v>
      </c>
      <c r="H414" s="1">
        <f t="shared" si="1374"/>
        <v>16120.7798407438</v>
      </c>
      <c r="I414" s="1">
        <f t="shared" si="1374"/>
        <v>0</v>
      </c>
      <c r="J414" s="1">
        <f>标准模型!$I$65/1*$B414/$B$3</f>
        <v>2.9016</v>
      </c>
      <c r="K414" s="1">
        <f>J414*标准模型!$J$63</f>
        <v>2.9016</v>
      </c>
      <c r="L414" s="1">
        <f t="shared" si="1297"/>
        <v>112442.439389188</v>
      </c>
      <c r="M414" s="1">
        <f t="shared" si="1298"/>
        <v>61447.5442774036</v>
      </c>
      <c r="N414" s="1">
        <f t="shared" si="1299"/>
        <v>40965.0295182691</v>
      </c>
      <c r="O414" s="1">
        <f t="shared" ref="O414:W414" si="1375">O$5+(O$6-O$5)*(POWER(O$7,$B414-1)-1)/(POWER(O$7,$B$3-1)-1)</f>
        <v>0.902825146311219</v>
      </c>
      <c r="P414" s="1">
        <f t="shared" si="1375"/>
        <v>0.297226968626528</v>
      </c>
      <c r="Q414" s="1">
        <f t="shared" si="1375"/>
        <v>0.49655383047117</v>
      </c>
      <c r="R414" s="1">
        <f t="shared" si="1375"/>
        <v>1.16113005852449</v>
      </c>
      <c r="S414" s="1">
        <f t="shared" si="1375"/>
        <v>0.573672690204584</v>
      </c>
      <c r="T414" s="1">
        <f t="shared" si="1375"/>
        <v>3.57101807061375</v>
      </c>
      <c r="U414" s="1">
        <f t="shared" si="1375"/>
        <v>1</v>
      </c>
      <c r="V414" s="1">
        <f t="shared" si="1375"/>
        <v>1.43932041597702</v>
      </c>
      <c r="W414" s="1">
        <f t="shared" si="1375"/>
        <v>2.2890404681959</v>
      </c>
      <c r="X414" s="1">
        <f t="shared" si="1301"/>
        <v>7.89398162541364</v>
      </c>
      <c r="Y414" s="1">
        <f t="shared" si="1302"/>
        <v>16.0632890654113</v>
      </c>
      <c r="Z414" s="1">
        <f t="shared" si="1303"/>
        <v>1806195.40712852</v>
      </c>
      <c r="AA414" s="1">
        <f t="shared" si="1304"/>
        <v>61447.5442774036</v>
      </c>
      <c r="AB414" s="1">
        <f t="shared" si="1305"/>
        <v>40965.0295182691</v>
      </c>
      <c r="AC414" s="1">
        <f>AB414/(AB414+战斗公式!$M$27)</f>
        <v>0.63057047494682</v>
      </c>
      <c r="AD414" s="1">
        <f t="shared" si="1306"/>
        <v>4889147.41416111</v>
      </c>
      <c r="AE414" s="1">
        <f t="shared" si="1307"/>
        <v>10.0793491538453</v>
      </c>
      <c r="AF414" s="1">
        <f t="shared" si="1308"/>
        <v>4.95329422838509</v>
      </c>
      <c r="AG414" s="1">
        <f t="shared" si="1309"/>
        <v>4.89708048795081</v>
      </c>
      <c r="AH414" s="1">
        <f t="shared" si="1310"/>
        <v>1.74159144582582</v>
      </c>
      <c r="AI414" s="1">
        <f t="shared" si="1311"/>
        <v>1.00000000126642</v>
      </c>
      <c r="AJ414" s="1">
        <f t="shared" si="1312"/>
        <v>1.00020418851253</v>
      </c>
      <c r="AK414" s="1">
        <f t="shared" si="1313"/>
        <v>1</v>
      </c>
      <c r="AL414" s="10">
        <f t="shared" si="1314"/>
        <v>1785697</v>
      </c>
      <c r="AM414" s="10">
        <f t="shared" si="1315"/>
        <v>107017</v>
      </c>
      <c r="AN414" s="10">
        <f t="shared" si="1316"/>
        <v>40965</v>
      </c>
      <c r="AO414" s="1">
        <f t="shared" si="1317"/>
        <v>877724</v>
      </c>
      <c r="AP414" s="1">
        <f t="shared" si="1318"/>
        <v>107017</v>
      </c>
      <c r="AR414" s="1">
        <f t="shared" ref="AR414:AX414" si="1376">ROUNDUP(AR$10*$AO414,0)</f>
        <v>877724</v>
      </c>
      <c r="AS414" s="1">
        <f t="shared" si="1376"/>
        <v>2633172</v>
      </c>
      <c r="AT414" s="1">
        <f t="shared" si="1376"/>
        <v>1579904</v>
      </c>
      <c r="AU414" s="1">
        <f t="shared" si="1376"/>
        <v>438862</v>
      </c>
      <c r="AV414" s="1">
        <f t="shared" si="1376"/>
        <v>131659</v>
      </c>
      <c r="AW414" s="1">
        <f t="shared" si="1376"/>
        <v>3510896</v>
      </c>
      <c r="AX414" s="1">
        <f t="shared" si="1376"/>
        <v>7899516</v>
      </c>
      <c r="AY414" s="1">
        <f t="shared" si="1320"/>
        <v>107141820</v>
      </c>
      <c r="AZ414" s="1">
        <f t="shared" si="1321"/>
        <v>53570910</v>
      </c>
      <c r="BB414" s="1">
        <f t="shared" si="1322"/>
        <v>403</v>
      </c>
    </row>
    <row r="415" spans="2:54">
      <c r="B415" s="4">
        <v>404</v>
      </c>
      <c r="C415" s="1">
        <f t="shared" ref="C415:I415" si="1377">C$5+(C$6-C$5)*(POWER(C$7,$B415-1)-1)/(POWER(C$7,$B$3-1)-1)</f>
        <v>31917.52809857</v>
      </c>
      <c r="D415" s="1">
        <f t="shared" si="1377"/>
        <v>9575.258429571</v>
      </c>
      <c r="E415" s="1">
        <f t="shared" si="1377"/>
        <v>6383.505619714</v>
      </c>
      <c r="F415" s="1">
        <f t="shared" si="1377"/>
        <v>80803.8686039747</v>
      </c>
      <c r="G415" s="1">
        <f t="shared" si="1377"/>
        <v>24241.1605811924</v>
      </c>
      <c r="H415" s="1">
        <f t="shared" si="1377"/>
        <v>16160.7737207949</v>
      </c>
      <c r="I415" s="1">
        <f t="shared" si="1377"/>
        <v>0</v>
      </c>
      <c r="J415" s="1">
        <f>标准模型!$I$65/1*$B415/$B$3</f>
        <v>2.9088</v>
      </c>
      <c r="K415" s="1">
        <f>J415*标准模型!$J$63</f>
        <v>2.9088</v>
      </c>
      <c r="L415" s="1">
        <f t="shared" si="1297"/>
        <v>112721.396702545</v>
      </c>
      <c r="M415" s="1">
        <f t="shared" si="1298"/>
        <v>61668.9307306995</v>
      </c>
      <c r="N415" s="1">
        <f t="shared" si="1299"/>
        <v>41112.620487133</v>
      </c>
      <c r="O415" s="1">
        <f t="shared" ref="O415:W415" si="1378">O$5+(O$6-O$5)*(POWER(O$7,$B415-1)-1)/(POWER(O$7,$B$3-1)-1)</f>
        <v>0.903826997013901</v>
      </c>
      <c r="P415" s="1">
        <f t="shared" si="1378"/>
        <v>0.298212066204997</v>
      </c>
      <c r="Q415" s="1">
        <f t="shared" si="1378"/>
        <v>0.497104848357646</v>
      </c>
      <c r="R415" s="1">
        <f t="shared" si="1378"/>
        <v>1.16153079880556</v>
      </c>
      <c r="S415" s="1">
        <f t="shared" si="1378"/>
        <v>0.574975096118071</v>
      </c>
      <c r="T415" s="1">
        <f t="shared" si="1378"/>
        <v>3.57492528835421</v>
      </c>
      <c r="U415" s="1">
        <f t="shared" si="1378"/>
        <v>1</v>
      </c>
      <c r="V415" s="1">
        <f t="shared" si="1378"/>
        <v>1.4404130326408</v>
      </c>
      <c r="W415" s="1">
        <f t="shared" si="1378"/>
        <v>2.29224639044448</v>
      </c>
      <c r="X415" s="1">
        <f t="shared" si="1301"/>
        <v>7.93876555722257</v>
      </c>
      <c r="Y415" s="1">
        <f t="shared" si="1302"/>
        <v>16.1641027055807</v>
      </c>
      <c r="Z415" s="1">
        <f t="shared" si="1303"/>
        <v>1822040.23341644</v>
      </c>
      <c r="AA415" s="1">
        <f t="shared" si="1304"/>
        <v>61668.9307306995</v>
      </c>
      <c r="AB415" s="1">
        <f t="shared" si="1305"/>
        <v>41112.620487133</v>
      </c>
      <c r="AC415" s="1">
        <f>AB415/(AB415+战斗公式!$M$27)</f>
        <v>0.631407861940641</v>
      </c>
      <c r="AD415" s="1">
        <f t="shared" si="1306"/>
        <v>4943242.25961382</v>
      </c>
      <c r="AE415" s="1">
        <f t="shared" si="1307"/>
        <v>10.0970033385756</v>
      </c>
      <c r="AF415" s="1">
        <f t="shared" si="1308"/>
        <v>4.95899734092697</v>
      </c>
      <c r="AG415" s="1">
        <f t="shared" si="1309"/>
        <v>4.89857003852223</v>
      </c>
      <c r="AH415" s="1">
        <f t="shared" si="1310"/>
        <v>1.74681360725944</v>
      </c>
      <c r="AI415" s="1">
        <f t="shared" si="1311"/>
        <v>1.00000000120266</v>
      </c>
      <c r="AJ415" s="1">
        <f t="shared" si="1312"/>
        <v>1.00019943493489</v>
      </c>
      <c r="AK415" s="1">
        <f t="shared" si="1313"/>
        <v>1</v>
      </c>
      <c r="AL415" s="10">
        <f t="shared" si="1314"/>
        <v>1799838</v>
      </c>
      <c r="AM415" s="10">
        <f t="shared" si="1315"/>
        <v>107724</v>
      </c>
      <c r="AN415" s="10">
        <f t="shared" si="1316"/>
        <v>41113</v>
      </c>
      <c r="AO415" s="1">
        <f t="shared" si="1317"/>
        <v>884141</v>
      </c>
      <c r="AP415" s="1">
        <f t="shared" si="1318"/>
        <v>107724</v>
      </c>
      <c r="AR415" s="1">
        <f t="shared" ref="AR415:AX415" si="1379">ROUNDUP(AR$10*$AO415,0)</f>
        <v>884141</v>
      </c>
      <c r="AS415" s="1">
        <f t="shared" si="1379"/>
        <v>2652423</v>
      </c>
      <c r="AT415" s="1">
        <f t="shared" si="1379"/>
        <v>1591454</v>
      </c>
      <c r="AU415" s="1">
        <f t="shared" si="1379"/>
        <v>442071</v>
      </c>
      <c r="AV415" s="1">
        <f t="shared" si="1379"/>
        <v>132622</v>
      </c>
      <c r="AW415" s="1">
        <f t="shared" si="1379"/>
        <v>3536564</v>
      </c>
      <c r="AX415" s="1">
        <f t="shared" si="1379"/>
        <v>7957269</v>
      </c>
      <c r="AY415" s="1">
        <f t="shared" si="1320"/>
        <v>107990280</v>
      </c>
      <c r="AZ415" s="1">
        <f t="shared" si="1321"/>
        <v>53995140</v>
      </c>
      <c r="BB415" s="1">
        <f t="shared" si="1322"/>
        <v>404</v>
      </c>
    </row>
    <row r="416" spans="2:54">
      <c r="B416" s="4">
        <v>405</v>
      </c>
      <c r="C416" s="1">
        <f t="shared" ref="C416:I416" si="1380">C$5+(C$6-C$5)*(POWER(C$7,$B416-1)-1)/(POWER(C$7,$B$3-1)-1)</f>
        <v>31996.5159326793</v>
      </c>
      <c r="D416" s="1">
        <f t="shared" si="1380"/>
        <v>9598.95477980378</v>
      </c>
      <c r="E416" s="1">
        <f t="shared" si="1380"/>
        <v>6399.30318653585</v>
      </c>
      <c r="F416" s="1">
        <f t="shared" si="1380"/>
        <v>81003.8378042513</v>
      </c>
      <c r="G416" s="1">
        <f t="shared" si="1380"/>
        <v>24301.1513412754</v>
      </c>
      <c r="H416" s="1">
        <f t="shared" si="1380"/>
        <v>16200.7675608503</v>
      </c>
      <c r="I416" s="1">
        <f t="shared" si="1380"/>
        <v>0</v>
      </c>
      <c r="J416" s="1">
        <f>标准模型!$I$65/1*$B416/$B$3</f>
        <v>2.916</v>
      </c>
      <c r="K416" s="1">
        <f>J416*标准模型!$J$63</f>
        <v>2.916</v>
      </c>
      <c r="L416" s="1">
        <f t="shared" si="1297"/>
        <v>113000.353736931</v>
      </c>
      <c r="M416" s="1">
        <f t="shared" si="1298"/>
        <v>61890.658258987</v>
      </c>
      <c r="N416" s="1">
        <f t="shared" si="1299"/>
        <v>41260.4388393247</v>
      </c>
      <c r="O416" s="1">
        <f t="shared" ref="O416:W416" si="1381">O$5+(O$6-O$5)*(POWER(O$7,$B416-1)-1)/(POWER(O$7,$B$3-1)-1)</f>
        <v>0.904828846714686</v>
      </c>
      <c r="P416" s="1">
        <f t="shared" si="1381"/>
        <v>0.299198641429834</v>
      </c>
      <c r="Q416" s="1">
        <f t="shared" si="1381"/>
        <v>0.497655865693077</v>
      </c>
      <c r="R416" s="1">
        <f t="shared" si="1381"/>
        <v>1.16193153868587</v>
      </c>
      <c r="S416" s="1">
        <f t="shared" si="1381"/>
        <v>0.576277500729092</v>
      </c>
      <c r="T416" s="1">
        <f t="shared" si="1381"/>
        <v>3.57883250218727</v>
      </c>
      <c r="U416" s="1">
        <f t="shared" si="1381"/>
        <v>1</v>
      </c>
      <c r="V416" s="1">
        <f t="shared" si="1381"/>
        <v>1.44150564821191</v>
      </c>
      <c r="W416" s="1">
        <f t="shared" si="1381"/>
        <v>2.295452309487</v>
      </c>
      <c r="X416" s="1">
        <f t="shared" si="1301"/>
        <v>7.98376699812666</v>
      </c>
      <c r="Y416" s="1">
        <f t="shared" si="1302"/>
        <v>16.2654675179822</v>
      </c>
      <c r="Z416" s="1">
        <f t="shared" si="1303"/>
        <v>1838003.58322854</v>
      </c>
      <c r="AA416" s="1">
        <f t="shared" si="1304"/>
        <v>61890.658258987</v>
      </c>
      <c r="AB416" s="1">
        <f t="shared" si="1305"/>
        <v>41260.4388393247</v>
      </c>
      <c r="AC416" s="1">
        <f>AB416/(AB416+战斗公式!$M$27)</f>
        <v>0.632242742665437</v>
      </c>
      <c r="AD416" s="1">
        <f t="shared" si="1306"/>
        <v>4997871.68457273</v>
      </c>
      <c r="AE416" s="1">
        <f t="shared" si="1307"/>
        <v>10.1146799711512</v>
      </c>
      <c r="AF416" s="1">
        <f t="shared" si="1308"/>
        <v>4.96470501453544</v>
      </c>
      <c r="AG416" s="1">
        <f t="shared" si="1309"/>
        <v>4.90004841746436</v>
      </c>
      <c r="AH416" s="1">
        <f t="shared" si="1310"/>
        <v>1.75204621301593</v>
      </c>
      <c r="AI416" s="1">
        <f t="shared" si="1311"/>
        <v>1.00000000114209</v>
      </c>
      <c r="AJ416" s="1">
        <f t="shared" si="1312"/>
        <v>1.0001947764288</v>
      </c>
      <c r="AK416" s="1">
        <f t="shared" si="1313"/>
        <v>1</v>
      </c>
      <c r="AL416" s="10">
        <f t="shared" si="1314"/>
        <v>1814067</v>
      </c>
      <c r="AM416" s="10">
        <f t="shared" si="1315"/>
        <v>108435</v>
      </c>
      <c r="AN416" s="10">
        <f t="shared" si="1316"/>
        <v>41260</v>
      </c>
      <c r="AO416" s="1">
        <f t="shared" si="1317"/>
        <v>890593</v>
      </c>
      <c r="AP416" s="1">
        <f t="shared" si="1318"/>
        <v>108435</v>
      </c>
      <c r="AR416" s="1">
        <f t="shared" ref="AR416:AX416" si="1382">ROUNDUP(AR$10*$AO416,0)</f>
        <v>890593</v>
      </c>
      <c r="AS416" s="1">
        <f t="shared" si="1382"/>
        <v>2671779</v>
      </c>
      <c r="AT416" s="1">
        <f t="shared" si="1382"/>
        <v>1603068</v>
      </c>
      <c r="AU416" s="1">
        <f t="shared" si="1382"/>
        <v>445297</v>
      </c>
      <c r="AV416" s="1">
        <f t="shared" si="1382"/>
        <v>133589</v>
      </c>
      <c r="AW416" s="1">
        <f t="shared" si="1382"/>
        <v>3562372</v>
      </c>
      <c r="AX416" s="1">
        <f t="shared" si="1382"/>
        <v>8015337</v>
      </c>
      <c r="AY416" s="1">
        <f t="shared" si="1320"/>
        <v>108844020</v>
      </c>
      <c r="AZ416" s="1">
        <f t="shared" si="1321"/>
        <v>54422010</v>
      </c>
      <c r="BB416" s="1">
        <f t="shared" si="1322"/>
        <v>405</v>
      </c>
    </row>
    <row r="417" spans="2:54">
      <c r="B417" s="4">
        <v>406</v>
      </c>
      <c r="C417" s="1">
        <f t="shared" ref="C417:I417" si="1383">C$5+(C$6-C$5)*(POWER(C$7,$B417-1)-1)/(POWER(C$7,$B$3-1)-1)</f>
        <v>32075.5036877969</v>
      </c>
      <c r="D417" s="1">
        <f t="shared" si="1383"/>
        <v>9622.65110633908</v>
      </c>
      <c r="E417" s="1">
        <f t="shared" si="1383"/>
        <v>6415.10073755939</v>
      </c>
      <c r="F417" s="1">
        <f t="shared" si="1383"/>
        <v>81203.8068045492</v>
      </c>
      <c r="G417" s="1">
        <f t="shared" si="1383"/>
        <v>24361.1420413648</v>
      </c>
      <c r="H417" s="1">
        <f t="shared" si="1383"/>
        <v>16240.7613609098</v>
      </c>
      <c r="I417" s="1">
        <f t="shared" si="1383"/>
        <v>0</v>
      </c>
      <c r="J417" s="1">
        <f>标准模型!$I$65/1*$B417/$B$3</f>
        <v>2.9232</v>
      </c>
      <c r="K417" s="1">
        <f>J417*标准模型!$J$63</f>
        <v>2.9232</v>
      </c>
      <c r="L417" s="1">
        <f t="shared" si="1297"/>
        <v>113279.310492346</v>
      </c>
      <c r="M417" s="1">
        <f t="shared" si="1298"/>
        <v>62112.7268617543</v>
      </c>
      <c r="N417" s="1">
        <f t="shared" si="1299"/>
        <v>41408.4845745028</v>
      </c>
      <c r="O417" s="1">
        <f t="shared" ref="O417:W417" si="1384">O$5+(O$6-O$5)*(POWER(O$7,$B417-1)-1)/(POWER(O$7,$B$3-1)-1)</f>
        <v>0.905830695413573</v>
      </c>
      <c r="P417" s="1">
        <f t="shared" si="1384"/>
        <v>0.300186696517509</v>
      </c>
      <c r="Q417" s="1">
        <f t="shared" si="1384"/>
        <v>0.498206882477465</v>
      </c>
      <c r="R417" s="1">
        <f t="shared" si="1384"/>
        <v>1.16233227816543</v>
      </c>
      <c r="S417" s="1">
        <f t="shared" si="1384"/>
        <v>0.577579904037645</v>
      </c>
      <c r="T417" s="1">
        <f t="shared" si="1384"/>
        <v>3.58273971211294</v>
      </c>
      <c r="U417" s="1">
        <f t="shared" si="1384"/>
        <v>1</v>
      </c>
      <c r="V417" s="1">
        <f t="shared" si="1384"/>
        <v>1.44259826269036</v>
      </c>
      <c r="W417" s="1">
        <f t="shared" si="1384"/>
        <v>2.29865822532343</v>
      </c>
      <c r="X417" s="1">
        <f t="shared" si="1301"/>
        <v>8.02898681260807</v>
      </c>
      <c r="Y417" s="1">
        <f t="shared" si="1302"/>
        <v>16.3673860336001</v>
      </c>
      <c r="Z417" s="1">
        <f t="shared" si="1303"/>
        <v>1854086.20444828</v>
      </c>
      <c r="AA417" s="1">
        <f t="shared" si="1304"/>
        <v>62112.7268617543</v>
      </c>
      <c r="AB417" s="1">
        <f t="shared" si="1305"/>
        <v>41408.4845745028</v>
      </c>
      <c r="AC417" s="1">
        <f>AB417/(AB417+战斗公式!$M$27)</f>
        <v>0.633075125404212</v>
      </c>
      <c r="AD417" s="1">
        <f t="shared" si="1306"/>
        <v>5053040.37097724</v>
      </c>
      <c r="AE417" s="1">
        <f t="shared" si="1307"/>
        <v>10.1323790304284</v>
      </c>
      <c r="AF417" s="1">
        <f t="shared" si="1308"/>
        <v>4.97041723392177</v>
      </c>
      <c r="AG417" s="1">
        <f t="shared" si="1309"/>
        <v>4.90151570856443</v>
      </c>
      <c r="AH417" s="1">
        <f t="shared" si="1310"/>
        <v>1.75728928398393</v>
      </c>
      <c r="AI417" s="1">
        <f t="shared" si="1311"/>
        <v>1.00000000108454</v>
      </c>
      <c r="AJ417" s="1">
        <f t="shared" si="1312"/>
        <v>1.00019021109284</v>
      </c>
      <c r="AK417" s="1">
        <f t="shared" si="1313"/>
        <v>1</v>
      </c>
      <c r="AL417" s="10">
        <f t="shared" si="1314"/>
        <v>1828384</v>
      </c>
      <c r="AM417" s="10">
        <f t="shared" si="1315"/>
        <v>109150</v>
      </c>
      <c r="AN417" s="10">
        <f t="shared" si="1316"/>
        <v>41408</v>
      </c>
      <c r="AO417" s="1">
        <f t="shared" si="1317"/>
        <v>897081</v>
      </c>
      <c r="AP417" s="1">
        <f t="shared" si="1318"/>
        <v>109150</v>
      </c>
      <c r="AR417" s="1">
        <f t="shared" ref="AR417:AX417" si="1385">ROUNDUP(AR$10*$AO417,0)</f>
        <v>897081</v>
      </c>
      <c r="AS417" s="1">
        <f t="shared" si="1385"/>
        <v>2691243</v>
      </c>
      <c r="AT417" s="1">
        <f t="shared" si="1385"/>
        <v>1614746</v>
      </c>
      <c r="AU417" s="1">
        <f t="shared" si="1385"/>
        <v>448541</v>
      </c>
      <c r="AV417" s="1">
        <f t="shared" si="1385"/>
        <v>134563</v>
      </c>
      <c r="AW417" s="1">
        <f t="shared" si="1385"/>
        <v>3588324</v>
      </c>
      <c r="AX417" s="1">
        <f t="shared" si="1385"/>
        <v>8073729</v>
      </c>
      <c r="AY417" s="1">
        <f t="shared" si="1320"/>
        <v>109703040</v>
      </c>
      <c r="AZ417" s="1">
        <f t="shared" si="1321"/>
        <v>54851520</v>
      </c>
      <c r="BB417" s="1">
        <f t="shared" si="1322"/>
        <v>406</v>
      </c>
    </row>
    <row r="418" spans="2:54">
      <c r="B418" s="4">
        <v>407</v>
      </c>
      <c r="C418" s="1">
        <f t="shared" ref="C418:I418" si="1386">C$5+(C$6-C$5)*(POWER(C$7,$B418-1)-1)/(POWER(C$7,$B$3-1)-1)</f>
        <v>32154.4913639318</v>
      </c>
      <c r="D418" s="1">
        <f t="shared" si="1386"/>
        <v>9646.34740917954</v>
      </c>
      <c r="E418" s="1">
        <f t="shared" si="1386"/>
        <v>6430.89827278636</v>
      </c>
      <c r="F418" s="1">
        <f t="shared" si="1386"/>
        <v>81403.7756048906</v>
      </c>
      <c r="G418" s="1">
        <f t="shared" si="1386"/>
        <v>24421.1326814672</v>
      </c>
      <c r="H418" s="1">
        <f t="shared" si="1386"/>
        <v>16280.7551209781</v>
      </c>
      <c r="I418" s="1">
        <f t="shared" si="1386"/>
        <v>0</v>
      </c>
      <c r="J418" s="1">
        <f>标准模型!$I$65/1*$B418/$B$3</f>
        <v>2.9304</v>
      </c>
      <c r="K418" s="1">
        <f>J418*标准模型!$J$63</f>
        <v>2.9304</v>
      </c>
      <c r="L418" s="1">
        <f t="shared" si="1297"/>
        <v>113558.266968822</v>
      </c>
      <c r="M418" s="1">
        <f t="shared" si="1298"/>
        <v>62335.1365385064</v>
      </c>
      <c r="N418" s="1">
        <f t="shared" si="1299"/>
        <v>41556.7576923376</v>
      </c>
      <c r="O418" s="1">
        <f t="shared" ref="O418:W418" si="1387">O$5+(O$6-O$5)*(POWER(O$7,$B418-1)-1)/(POWER(O$7,$B$3-1)-1)</f>
        <v>0.906832543110674</v>
      </c>
      <c r="P418" s="1">
        <f t="shared" si="1387"/>
        <v>0.301176233687815</v>
      </c>
      <c r="Q418" s="1">
        <f t="shared" si="1387"/>
        <v>0.498757898710871</v>
      </c>
      <c r="R418" s="1">
        <f t="shared" si="1387"/>
        <v>1.16273301724427</v>
      </c>
      <c r="S418" s="1">
        <f t="shared" si="1387"/>
        <v>0.578882306043877</v>
      </c>
      <c r="T418" s="1">
        <f t="shared" si="1387"/>
        <v>3.58664691813163</v>
      </c>
      <c r="U418" s="1">
        <f t="shared" si="1387"/>
        <v>1</v>
      </c>
      <c r="V418" s="1">
        <f t="shared" si="1387"/>
        <v>1.44369087607626</v>
      </c>
      <c r="W418" s="1">
        <f t="shared" si="1387"/>
        <v>2.30186413795416</v>
      </c>
      <c r="X418" s="1">
        <f t="shared" si="1301"/>
        <v>8.0744258678286</v>
      </c>
      <c r="Y418" s="1">
        <f t="shared" si="1302"/>
        <v>16.4698607927869</v>
      </c>
      <c r="Z418" s="1">
        <f t="shared" si="1303"/>
        <v>1870288.84884663</v>
      </c>
      <c r="AA418" s="1">
        <f t="shared" si="1304"/>
        <v>62335.1365385064</v>
      </c>
      <c r="AB418" s="1">
        <f t="shared" si="1305"/>
        <v>41556.7576923376</v>
      </c>
      <c r="AC418" s="1">
        <f>AB418/(AB418+战斗公式!$M$27)</f>
        <v>0.633905018417268</v>
      </c>
      <c r="AD418" s="1">
        <f t="shared" si="1306"/>
        <v>5108753.03660499</v>
      </c>
      <c r="AE418" s="1">
        <f t="shared" si="1307"/>
        <v>10.1501004953276</v>
      </c>
      <c r="AF418" s="1">
        <f t="shared" si="1308"/>
        <v>4.97613398386624</v>
      </c>
      <c r="AG418" s="1">
        <f t="shared" si="1309"/>
        <v>4.90297199498125</v>
      </c>
      <c r="AH418" s="1">
        <f t="shared" si="1310"/>
        <v>1.76254284109387</v>
      </c>
      <c r="AI418" s="1">
        <f t="shared" si="1311"/>
        <v>1.00000000102987</v>
      </c>
      <c r="AJ418" s="1">
        <f t="shared" si="1312"/>
        <v>1.00018573706359</v>
      </c>
      <c r="AK418" s="1">
        <f t="shared" si="1313"/>
        <v>1</v>
      </c>
      <c r="AL418" s="10">
        <f t="shared" si="1314"/>
        <v>1842791</v>
      </c>
      <c r="AM418" s="10">
        <f t="shared" si="1315"/>
        <v>109868</v>
      </c>
      <c r="AN418" s="10">
        <f t="shared" si="1316"/>
        <v>41557</v>
      </c>
      <c r="AO418" s="1">
        <f t="shared" si="1317"/>
        <v>903605</v>
      </c>
      <c r="AP418" s="1">
        <f t="shared" si="1318"/>
        <v>109868</v>
      </c>
      <c r="AR418" s="1">
        <f t="shared" ref="AR418:AX418" si="1388">ROUNDUP(AR$10*$AO418,0)</f>
        <v>903605</v>
      </c>
      <c r="AS418" s="1">
        <f t="shared" si="1388"/>
        <v>2710815</v>
      </c>
      <c r="AT418" s="1">
        <f t="shared" si="1388"/>
        <v>1626489</v>
      </c>
      <c r="AU418" s="1">
        <f t="shared" si="1388"/>
        <v>451803</v>
      </c>
      <c r="AV418" s="1">
        <f t="shared" si="1388"/>
        <v>135541</v>
      </c>
      <c r="AW418" s="1">
        <f t="shared" si="1388"/>
        <v>3614420</v>
      </c>
      <c r="AX418" s="1">
        <f t="shared" si="1388"/>
        <v>8132445</v>
      </c>
      <c r="AY418" s="1">
        <f t="shared" si="1320"/>
        <v>110567460</v>
      </c>
      <c r="AZ418" s="1">
        <f t="shared" si="1321"/>
        <v>55283730</v>
      </c>
      <c r="BB418" s="1">
        <f t="shared" si="1322"/>
        <v>407</v>
      </c>
    </row>
    <row r="419" spans="2:54">
      <c r="B419" s="4">
        <v>408</v>
      </c>
      <c r="C419" s="1">
        <f t="shared" ref="C419:I419" si="1389">C$5+(C$6-C$5)*(POWER(C$7,$B419-1)-1)/(POWER(C$7,$B$3-1)-1)</f>
        <v>32233.4789610838</v>
      </c>
      <c r="D419" s="1">
        <f t="shared" si="1389"/>
        <v>9670.04368832514</v>
      </c>
      <c r="E419" s="1">
        <f t="shared" si="1389"/>
        <v>6446.69579221676</v>
      </c>
      <c r="F419" s="1">
        <f t="shared" si="1389"/>
        <v>81603.7442052754</v>
      </c>
      <c r="G419" s="1">
        <f t="shared" si="1389"/>
        <v>24481.1232615826</v>
      </c>
      <c r="H419" s="1">
        <f t="shared" si="1389"/>
        <v>16320.7488410551</v>
      </c>
      <c r="I419" s="1">
        <f t="shared" si="1389"/>
        <v>0</v>
      </c>
      <c r="J419" s="1">
        <f>标准模型!$I$65/1*$B419/$B$3</f>
        <v>2.9376</v>
      </c>
      <c r="K419" s="1">
        <f>J419*标准模型!$J$63</f>
        <v>2.9376</v>
      </c>
      <c r="L419" s="1">
        <f t="shared" si="1297"/>
        <v>113837.223166359</v>
      </c>
      <c r="M419" s="1">
        <f t="shared" si="1298"/>
        <v>62557.8872887317</v>
      </c>
      <c r="N419" s="1">
        <f t="shared" si="1299"/>
        <v>41705.2581924878</v>
      </c>
      <c r="O419" s="1">
        <f t="shared" ref="O419:W419" si="1390">O$5+(O$6-O$5)*(POWER(O$7,$B419-1)-1)/(POWER(O$7,$B$3-1)-1)</f>
        <v>0.907834389805989</v>
      </c>
      <c r="P419" s="1">
        <f t="shared" si="1390"/>
        <v>0.302167255163876</v>
      </c>
      <c r="Q419" s="1">
        <f t="shared" si="1390"/>
        <v>0.499308914393294</v>
      </c>
      <c r="R419" s="1">
        <f t="shared" si="1390"/>
        <v>1.1631337559224</v>
      </c>
      <c r="S419" s="1">
        <f t="shared" si="1390"/>
        <v>0.580184706747786</v>
      </c>
      <c r="T419" s="1">
        <f t="shared" si="1390"/>
        <v>3.59055412024336</v>
      </c>
      <c r="U419" s="1">
        <f t="shared" si="1390"/>
        <v>1</v>
      </c>
      <c r="V419" s="1">
        <f t="shared" si="1390"/>
        <v>1.44478348836961</v>
      </c>
      <c r="W419" s="1">
        <f t="shared" si="1390"/>
        <v>2.30507004737917</v>
      </c>
      <c r="X419" s="1">
        <f t="shared" si="1301"/>
        <v>8.1200850336274</v>
      </c>
      <c r="Y419" s="1">
        <f t="shared" si="1302"/>
        <v>16.572894345269</v>
      </c>
      <c r="Z419" s="1">
        <f t="shared" si="1303"/>
        <v>1886612.27209487</v>
      </c>
      <c r="AA419" s="1">
        <f t="shared" si="1304"/>
        <v>62557.8872887317</v>
      </c>
      <c r="AB419" s="1">
        <f t="shared" si="1305"/>
        <v>41705.2581924878</v>
      </c>
      <c r="AC419" s="1">
        <f>AB419/(AB419+战斗公式!$M$27)</f>
        <v>0.634732429942054</v>
      </c>
      <c r="AD419" s="1">
        <f t="shared" si="1306"/>
        <v>5165014.43529625</v>
      </c>
      <c r="AE419" s="1">
        <f t="shared" si="1307"/>
        <v>10.1678443448266</v>
      </c>
      <c r="AF419" s="1">
        <f t="shared" si="1308"/>
        <v>4.98185524921597</v>
      </c>
      <c r="AG419" s="1">
        <f t="shared" si="1309"/>
        <v>4.90441735924995</v>
      </c>
      <c r="AH419" s="1">
        <f t="shared" si="1310"/>
        <v>1.76780690531802</v>
      </c>
      <c r="AI419" s="1">
        <f t="shared" si="1311"/>
        <v>1.00000000097794</v>
      </c>
      <c r="AJ419" s="1">
        <f t="shared" si="1312"/>
        <v>1.00018135251493</v>
      </c>
      <c r="AK419" s="1">
        <f t="shared" si="1313"/>
        <v>1</v>
      </c>
      <c r="AL419" s="10">
        <f t="shared" si="1314"/>
        <v>1857287</v>
      </c>
      <c r="AM419" s="10">
        <f t="shared" si="1315"/>
        <v>110590</v>
      </c>
      <c r="AN419" s="10">
        <f t="shared" si="1316"/>
        <v>41705</v>
      </c>
      <c r="AO419" s="1">
        <f t="shared" si="1317"/>
        <v>910165</v>
      </c>
      <c r="AP419" s="1">
        <f t="shared" si="1318"/>
        <v>110590</v>
      </c>
      <c r="AR419" s="1">
        <f t="shared" ref="AR419:AX419" si="1391">ROUNDUP(AR$10*$AO419,0)</f>
        <v>910165</v>
      </c>
      <c r="AS419" s="1">
        <f t="shared" si="1391"/>
        <v>2730495</v>
      </c>
      <c r="AT419" s="1">
        <f t="shared" si="1391"/>
        <v>1638297</v>
      </c>
      <c r="AU419" s="1">
        <f t="shared" si="1391"/>
        <v>455083</v>
      </c>
      <c r="AV419" s="1">
        <f t="shared" si="1391"/>
        <v>136525</v>
      </c>
      <c r="AW419" s="1">
        <f t="shared" si="1391"/>
        <v>3640660</v>
      </c>
      <c r="AX419" s="1">
        <f t="shared" si="1391"/>
        <v>8191485</v>
      </c>
      <c r="AY419" s="1">
        <f t="shared" si="1320"/>
        <v>111437220</v>
      </c>
      <c r="AZ419" s="1">
        <f t="shared" si="1321"/>
        <v>55718610</v>
      </c>
      <c r="BB419" s="1">
        <f t="shared" si="1322"/>
        <v>408</v>
      </c>
    </row>
    <row r="420" spans="2:54">
      <c r="B420" s="4">
        <v>409</v>
      </c>
      <c r="C420" s="1">
        <f t="shared" ref="C420:I420" si="1392">C$5+(C$6-C$5)*(POWER(C$7,$B420-1)-1)/(POWER(C$7,$B$3-1)-1)</f>
        <v>32312.4664792442</v>
      </c>
      <c r="D420" s="1">
        <f t="shared" si="1392"/>
        <v>9693.73994377326</v>
      </c>
      <c r="E420" s="1">
        <f t="shared" si="1392"/>
        <v>6462.49329584884</v>
      </c>
      <c r="F420" s="1">
        <f t="shared" si="1392"/>
        <v>81803.7126056815</v>
      </c>
      <c r="G420" s="1">
        <f t="shared" si="1392"/>
        <v>24541.1137817045</v>
      </c>
      <c r="H420" s="1">
        <f t="shared" si="1392"/>
        <v>16360.7425211363</v>
      </c>
      <c r="I420" s="1">
        <f t="shared" si="1392"/>
        <v>0</v>
      </c>
      <c r="J420" s="1">
        <f>标准模型!$I$65/1*$B420/$B$3</f>
        <v>2.9448</v>
      </c>
      <c r="K420" s="1">
        <f>J420*标准模型!$J$63</f>
        <v>2.9448</v>
      </c>
      <c r="L420" s="1">
        <f t="shared" si="1297"/>
        <v>114116.179084926</v>
      </c>
      <c r="M420" s="1">
        <f t="shared" si="1298"/>
        <v>62780.9791119012</v>
      </c>
      <c r="N420" s="1">
        <f t="shared" si="1299"/>
        <v>41853.9860746008</v>
      </c>
      <c r="O420" s="1">
        <f t="shared" ref="O420:W420" si="1393">O$5+(O$6-O$5)*(POWER(O$7,$B420-1)-1)/(POWER(O$7,$B$3-1)-1)</f>
        <v>0.908836235499406</v>
      </c>
      <c r="P420" s="1">
        <f t="shared" si="1393"/>
        <v>0.303159763172152</v>
      </c>
      <c r="Q420" s="1">
        <f t="shared" si="1393"/>
        <v>0.499859929524674</v>
      </c>
      <c r="R420" s="1">
        <f t="shared" si="1393"/>
        <v>1.16353449419976</v>
      </c>
      <c r="S420" s="1">
        <f t="shared" si="1393"/>
        <v>0.581487106149228</v>
      </c>
      <c r="T420" s="1">
        <f t="shared" si="1393"/>
        <v>3.59446131844768</v>
      </c>
      <c r="U420" s="1">
        <f t="shared" si="1393"/>
        <v>1</v>
      </c>
      <c r="V420" s="1">
        <f t="shared" si="1393"/>
        <v>1.44587609957029</v>
      </c>
      <c r="W420" s="1">
        <f t="shared" si="1393"/>
        <v>2.3082759535981</v>
      </c>
      <c r="X420" s="1">
        <f t="shared" si="1301"/>
        <v>8.16596518252776</v>
      </c>
      <c r="Y420" s="1">
        <f t="shared" si="1302"/>
        <v>16.6764892501749</v>
      </c>
      <c r="Z420" s="1">
        <f t="shared" si="1303"/>
        <v>1903057.23378079</v>
      </c>
      <c r="AA420" s="1">
        <f t="shared" si="1304"/>
        <v>62780.9791119012</v>
      </c>
      <c r="AB420" s="1">
        <f t="shared" si="1305"/>
        <v>41853.9860746008</v>
      </c>
      <c r="AC420" s="1">
        <f>AB420/(AB420+战斗公式!$M$27)</f>
        <v>0.635557368193137</v>
      </c>
      <c r="AD420" s="1">
        <f t="shared" si="1306"/>
        <v>5221829.35719036</v>
      </c>
      <c r="AE420" s="1">
        <f t="shared" si="1307"/>
        <v>10.1856105579614</v>
      </c>
      <c r="AF420" s="1">
        <f t="shared" si="1308"/>
        <v>4.98758101488467</v>
      </c>
      <c r="AG420" s="1">
        <f t="shared" si="1309"/>
        <v>4.90585188328662</v>
      </c>
      <c r="AH420" s="1">
        <f t="shared" si="1310"/>
        <v>1.77308149767063</v>
      </c>
      <c r="AI420" s="1">
        <f t="shared" si="1311"/>
        <v>1.0000000009286</v>
      </c>
      <c r="AJ420" s="1">
        <f t="shared" si="1312"/>
        <v>1.00017705565725</v>
      </c>
      <c r="AK420" s="1">
        <f t="shared" si="1313"/>
        <v>1</v>
      </c>
      <c r="AL420" s="10">
        <f t="shared" si="1314"/>
        <v>1871873</v>
      </c>
      <c r="AM420" s="10">
        <f t="shared" si="1315"/>
        <v>111316</v>
      </c>
      <c r="AN420" s="10">
        <f t="shared" si="1316"/>
        <v>41854</v>
      </c>
      <c r="AO420" s="1">
        <f t="shared" si="1317"/>
        <v>916761</v>
      </c>
      <c r="AP420" s="1">
        <f t="shared" si="1318"/>
        <v>111316</v>
      </c>
      <c r="AR420" s="1">
        <f t="shared" ref="AR420:AX420" si="1394">ROUNDUP(AR$10*$AO420,0)</f>
        <v>916761</v>
      </c>
      <c r="AS420" s="1">
        <f t="shared" si="1394"/>
        <v>2750283</v>
      </c>
      <c r="AT420" s="1">
        <f t="shared" si="1394"/>
        <v>1650170</v>
      </c>
      <c r="AU420" s="1">
        <f t="shared" si="1394"/>
        <v>458381</v>
      </c>
      <c r="AV420" s="1">
        <f t="shared" si="1394"/>
        <v>137515</v>
      </c>
      <c r="AW420" s="1">
        <f t="shared" si="1394"/>
        <v>3667044</v>
      </c>
      <c r="AX420" s="1">
        <f t="shared" si="1394"/>
        <v>8250849</v>
      </c>
      <c r="AY420" s="1">
        <f t="shared" si="1320"/>
        <v>112312380</v>
      </c>
      <c r="AZ420" s="1">
        <f t="shared" si="1321"/>
        <v>56156190</v>
      </c>
      <c r="BB420" s="1">
        <f t="shared" si="1322"/>
        <v>409</v>
      </c>
    </row>
    <row r="421" spans="2:54">
      <c r="B421" s="4">
        <v>410</v>
      </c>
      <c r="C421" s="1">
        <f t="shared" ref="C421:I421" si="1395">C$5+(C$6-C$5)*(POWER(C$7,$B421-1)-1)/(POWER(C$7,$B$3-1)-1)</f>
        <v>32391.453918413</v>
      </c>
      <c r="D421" s="1">
        <f t="shared" si="1395"/>
        <v>9717.4361755239</v>
      </c>
      <c r="E421" s="1">
        <f t="shared" si="1395"/>
        <v>6478.2907836826</v>
      </c>
      <c r="F421" s="1">
        <f t="shared" si="1395"/>
        <v>82003.6808061089</v>
      </c>
      <c r="G421" s="1">
        <f t="shared" si="1395"/>
        <v>24601.1042418327</v>
      </c>
      <c r="H421" s="1">
        <f t="shared" si="1395"/>
        <v>16400.7361612218</v>
      </c>
      <c r="I421" s="1">
        <f t="shared" si="1395"/>
        <v>0</v>
      </c>
      <c r="J421" s="1">
        <f>标准模型!$I$65/1*$B421/$B$3</f>
        <v>2.952</v>
      </c>
      <c r="K421" s="1">
        <f>J421*标准模型!$J$63</f>
        <v>2.952</v>
      </c>
      <c r="L421" s="1">
        <f t="shared" si="1297"/>
        <v>114395.134724522</v>
      </c>
      <c r="M421" s="1">
        <f t="shared" si="1298"/>
        <v>63004.4120075031</v>
      </c>
      <c r="N421" s="1">
        <f t="shared" si="1299"/>
        <v>42002.9413383354</v>
      </c>
      <c r="O421" s="1">
        <f t="shared" ref="O421:W421" si="1396">O$5+(O$6-O$5)*(POWER(O$7,$B421-1)-1)/(POWER(O$7,$B$3-1)-1)</f>
        <v>0.909838080190926</v>
      </c>
      <c r="P421" s="1">
        <f t="shared" si="1396"/>
        <v>0.304153759942439</v>
      </c>
      <c r="Q421" s="1">
        <f t="shared" si="1396"/>
        <v>0.500410944105009</v>
      </c>
      <c r="R421" s="1">
        <f t="shared" si="1396"/>
        <v>1.16393523207637</v>
      </c>
      <c r="S421" s="1">
        <f t="shared" si="1396"/>
        <v>0.582789504248204</v>
      </c>
      <c r="T421" s="1">
        <f t="shared" si="1396"/>
        <v>3.59836851274461</v>
      </c>
      <c r="U421" s="1">
        <f t="shared" si="1396"/>
        <v>1</v>
      </c>
      <c r="V421" s="1">
        <f t="shared" si="1396"/>
        <v>1.44696870967831</v>
      </c>
      <c r="W421" s="1">
        <f t="shared" si="1396"/>
        <v>2.31148185661096</v>
      </c>
      <c r="X421" s="1">
        <f t="shared" si="1301"/>
        <v>8.21206718975249</v>
      </c>
      <c r="Y421" s="1">
        <f t="shared" si="1302"/>
        <v>16.7806480760834</v>
      </c>
      <c r="Z421" s="1">
        <f t="shared" si="1303"/>
        <v>1919624.49742835</v>
      </c>
      <c r="AA421" s="1">
        <f t="shared" si="1304"/>
        <v>63004.4120075031</v>
      </c>
      <c r="AB421" s="1">
        <f t="shared" si="1305"/>
        <v>42002.9413383354</v>
      </c>
      <c r="AC421" s="1">
        <f>AB421/(AB421+战斗公式!$M$27)</f>
        <v>0.636379841362305</v>
      </c>
      <c r="AD421" s="1">
        <f t="shared" si="1306"/>
        <v>5279202.6289748</v>
      </c>
      <c r="AE421" s="1">
        <f t="shared" si="1307"/>
        <v>10.2033991138305</v>
      </c>
      <c r="AF421" s="1">
        <f t="shared" si="1308"/>
        <v>4.99331126585391</v>
      </c>
      <c r="AG421" s="1">
        <f t="shared" si="1309"/>
        <v>4.90727564839303</v>
      </c>
      <c r="AH421" s="1">
        <f t="shared" si="1310"/>
        <v>1.77836663920794</v>
      </c>
      <c r="AI421" s="1">
        <f t="shared" si="1311"/>
        <v>1.00000000088173</v>
      </c>
      <c r="AJ421" s="1">
        <f t="shared" si="1312"/>
        <v>1.00017284473671</v>
      </c>
      <c r="AK421" s="1">
        <f t="shared" si="1313"/>
        <v>1</v>
      </c>
      <c r="AL421" s="10">
        <f t="shared" si="1314"/>
        <v>1886549</v>
      </c>
      <c r="AM421" s="10">
        <f t="shared" si="1315"/>
        <v>112045</v>
      </c>
      <c r="AN421" s="10">
        <f t="shared" si="1316"/>
        <v>42003</v>
      </c>
      <c r="AO421" s="1">
        <f t="shared" si="1317"/>
        <v>923394</v>
      </c>
      <c r="AP421" s="1">
        <f t="shared" si="1318"/>
        <v>112045</v>
      </c>
      <c r="AR421" s="1">
        <f t="shared" ref="AR421:AX421" si="1397">ROUNDUP(AR$10*$AO421,0)</f>
        <v>923394</v>
      </c>
      <c r="AS421" s="1">
        <f t="shared" si="1397"/>
        <v>2770182</v>
      </c>
      <c r="AT421" s="1">
        <f t="shared" si="1397"/>
        <v>1662110</v>
      </c>
      <c r="AU421" s="1">
        <f t="shared" si="1397"/>
        <v>461697</v>
      </c>
      <c r="AV421" s="1">
        <f t="shared" si="1397"/>
        <v>138510</v>
      </c>
      <c r="AW421" s="1">
        <f t="shared" si="1397"/>
        <v>3693576</v>
      </c>
      <c r="AX421" s="1">
        <f t="shared" si="1397"/>
        <v>8310546</v>
      </c>
      <c r="AY421" s="1">
        <f t="shared" si="1320"/>
        <v>113192940</v>
      </c>
      <c r="AZ421" s="1">
        <f t="shared" si="1321"/>
        <v>56596470</v>
      </c>
      <c r="BB421" s="1">
        <f t="shared" si="1322"/>
        <v>410</v>
      </c>
    </row>
    <row r="422" spans="2:54">
      <c r="B422" s="4">
        <v>411</v>
      </c>
      <c r="C422" s="1">
        <f t="shared" ref="C422:I422" si="1398">C$5+(C$6-C$5)*(POWER(C$7,$B422-1)-1)/(POWER(C$7,$B$3-1)-1)</f>
        <v>32470.441278599</v>
      </c>
      <c r="D422" s="1">
        <f t="shared" si="1398"/>
        <v>9741.13238357969</v>
      </c>
      <c r="E422" s="1">
        <f t="shared" si="1398"/>
        <v>6494.08825571979</v>
      </c>
      <c r="F422" s="1">
        <f t="shared" si="1398"/>
        <v>82203.6488065797</v>
      </c>
      <c r="G422" s="1">
        <f t="shared" si="1398"/>
        <v>24661.0946419739</v>
      </c>
      <c r="H422" s="1">
        <f t="shared" si="1398"/>
        <v>16440.7297613159</v>
      </c>
      <c r="I422" s="1">
        <f t="shared" si="1398"/>
        <v>0</v>
      </c>
      <c r="J422" s="1">
        <f>标准模型!$I$65/1*$B422/$B$3</f>
        <v>2.9592</v>
      </c>
      <c r="K422" s="1">
        <f>J422*标准模型!$J$63</f>
        <v>2.9592</v>
      </c>
      <c r="L422" s="1">
        <f t="shared" si="1297"/>
        <v>114674.090085179</v>
      </c>
      <c r="M422" s="1">
        <f t="shared" si="1298"/>
        <v>63228.1859750426</v>
      </c>
      <c r="N422" s="1">
        <f t="shared" si="1299"/>
        <v>42152.1239833617</v>
      </c>
      <c r="O422" s="1">
        <f t="shared" ref="O422:W422" si="1399">O$5+(O$6-O$5)*(POWER(O$7,$B422-1)-1)/(POWER(O$7,$B$3-1)-1)</f>
        <v>0.91083992388066</v>
      </c>
      <c r="P422" s="1">
        <f t="shared" si="1399"/>
        <v>0.305149247707883</v>
      </c>
      <c r="Q422" s="1">
        <f t="shared" si="1399"/>
        <v>0.500961958134363</v>
      </c>
      <c r="R422" s="1">
        <f t="shared" si="1399"/>
        <v>1.16433596955226</v>
      </c>
      <c r="S422" s="1">
        <f t="shared" si="1399"/>
        <v>0.584091901044858</v>
      </c>
      <c r="T422" s="1">
        <f t="shared" si="1399"/>
        <v>3.60227570313457</v>
      </c>
      <c r="U422" s="1">
        <f t="shared" si="1399"/>
        <v>1</v>
      </c>
      <c r="V422" s="1">
        <f t="shared" si="1399"/>
        <v>1.44806131869378</v>
      </c>
      <c r="W422" s="1">
        <f t="shared" si="1399"/>
        <v>2.31468775641811</v>
      </c>
      <c r="X422" s="1">
        <f t="shared" si="1301"/>
        <v>8.25839193323061</v>
      </c>
      <c r="Y422" s="1">
        <f t="shared" si="1302"/>
        <v>16.8853734010516</v>
      </c>
      <c r="Z422" s="1">
        <f t="shared" si="1303"/>
        <v>1936314.83051407</v>
      </c>
      <c r="AA422" s="1">
        <f t="shared" si="1304"/>
        <v>63228.1859750426</v>
      </c>
      <c r="AB422" s="1">
        <f t="shared" si="1305"/>
        <v>42152.1239833617</v>
      </c>
      <c r="AC422" s="1">
        <f>AB422/(AB422+战斗公式!$M$27)</f>
        <v>0.637199857618534</v>
      </c>
      <c r="AD422" s="1">
        <f t="shared" si="1306"/>
        <v>5337139.11412454</v>
      </c>
      <c r="AE422" s="1">
        <f t="shared" si="1307"/>
        <v>10.2212099915945</v>
      </c>
      <c r="AF422" s="1">
        <f t="shared" si="1308"/>
        <v>4.99904598717271</v>
      </c>
      <c r="AG422" s="1">
        <f t="shared" si="1309"/>
        <v>4.90868873526113</v>
      </c>
      <c r="AH422" s="1">
        <f t="shared" si="1310"/>
        <v>1.78366235102833</v>
      </c>
      <c r="AI422" s="1">
        <f t="shared" si="1311"/>
        <v>1.00000000083721</v>
      </c>
      <c r="AJ422" s="1">
        <f t="shared" si="1312"/>
        <v>1.00016871803459</v>
      </c>
      <c r="AK422" s="1">
        <f t="shared" si="1313"/>
        <v>1</v>
      </c>
      <c r="AL422" s="10">
        <f t="shared" si="1314"/>
        <v>1901316</v>
      </c>
      <c r="AM422" s="10">
        <f t="shared" si="1315"/>
        <v>112778</v>
      </c>
      <c r="AN422" s="10">
        <f t="shared" si="1316"/>
        <v>42152</v>
      </c>
      <c r="AO422" s="1">
        <f t="shared" si="1317"/>
        <v>930063</v>
      </c>
      <c r="AP422" s="1">
        <f t="shared" si="1318"/>
        <v>112778</v>
      </c>
      <c r="AR422" s="1">
        <f t="shared" ref="AR422:AX422" si="1400">ROUNDUP(AR$10*$AO422,0)</f>
        <v>930063</v>
      </c>
      <c r="AS422" s="1">
        <f t="shared" si="1400"/>
        <v>2790189</v>
      </c>
      <c r="AT422" s="1">
        <f t="shared" si="1400"/>
        <v>1674114</v>
      </c>
      <c r="AU422" s="1">
        <f t="shared" si="1400"/>
        <v>465032</v>
      </c>
      <c r="AV422" s="1">
        <f t="shared" si="1400"/>
        <v>139510</v>
      </c>
      <c r="AW422" s="1">
        <f t="shared" si="1400"/>
        <v>3720252</v>
      </c>
      <c r="AX422" s="1">
        <f t="shared" si="1400"/>
        <v>8370567</v>
      </c>
      <c r="AY422" s="1">
        <f t="shared" si="1320"/>
        <v>114078960</v>
      </c>
      <c r="AZ422" s="1">
        <f t="shared" si="1321"/>
        <v>57039480</v>
      </c>
      <c r="BB422" s="1">
        <f t="shared" si="1322"/>
        <v>411</v>
      </c>
    </row>
    <row r="423" spans="2:54">
      <c r="B423" s="4">
        <v>412</v>
      </c>
      <c r="C423" s="1">
        <f t="shared" ref="C423:I423" si="1401">C$5+(C$6-C$5)*(POWER(C$7,$B423-1)-1)/(POWER(C$7,$B$3-1)-1)</f>
        <v>32549.4285598021</v>
      </c>
      <c r="D423" s="1">
        <f t="shared" si="1401"/>
        <v>9764.82856794063</v>
      </c>
      <c r="E423" s="1">
        <f t="shared" si="1401"/>
        <v>6509.88571196042</v>
      </c>
      <c r="F423" s="1">
        <f t="shared" si="1401"/>
        <v>82403.6166070939</v>
      </c>
      <c r="G423" s="1">
        <f t="shared" si="1401"/>
        <v>24721.0849821282</v>
      </c>
      <c r="H423" s="1">
        <f t="shared" si="1401"/>
        <v>16480.7233214188</v>
      </c>
      <c r="I423" s="1">
        <f t="shared" si="1401"/>
        <v>0</v>
      </c>
      <c r="J423" s="1">
        <f>标准模型!$I$65/1*$B423/$B$3</f>
        <v>2.9664</v>
      </c>
      <c r="K423" s="1">
        <f>J423*标准模型!$J$63</f>
        <v>2.9664</v>
      </c>
      <c r="L423" s="1">
        <f t="shared" si="1297"/>
        <v>114953.045166896</v>
      </c>
      <c r="M423" s="1">
        <f t="shared" si="1298"/>
        <v>63452.3010140079</v>
      </c>
      <c r="N423" s="1">
        <f t="shared" si="1299"/>
        <v>42301.5340093386</v>
      </c>
      <c r="O423" s="1">
        <f t="shared" ref="O423:W423" si="1402">O$5+(O$6-O$5)*(POWER(O$7,$B423-1)-1)/(POWER(O$7,$B$3-1)-1)</f>
        <v>0.911841766568607</v>
      </c>
      <c r="P423" s="1">
        <f t="shared" si="1402"/>
        <v>0.306146228704974</v>
      </c>
      <c r="Q423" s="1">
        <f t="shared" si="1402"/>
        <v>0.501512971612734</v>
      </c>
      <c r="R423" s="1">
        <f t="shared" si="1402"/>
        <v>1.16473670662744</v>
      </c>
      <c r="S423" s="1">
        <f t="shared" si="1402"/>
        <v>0.585394296539189</v>
      </c>
      <c r="T423" s="1">
        <f t="shared" si="1402"/>
        <v>3.60618288961757</v>
      </c>
      <c r="U423" s="1">
        <f t="shared" si="1402"/>
        <v>1</v>
      </c>
      <c r="V423" s="1">
        <f t="shared" si="1402"/>
        <v>1.4491539266167</v>
      </c>
      <c r="W423" s="1">
        <f t="shared" si="1402"/>
        <v>2.31789365301954</v>
      </c>
      <c r="X423" s="1">
        <f t="shared" si="1301"/>
        <v>8.30494029359533</v>
      </c>
      <c r="Y423" s="1">
        <f t="shared" si="1302"/>
        <v>16.9906678126213</v>
      </c>
      <c r="Z423" s="1">
        <f t="shared" si="1303"/>
        <v>1953129.00447998</v>
      </c>
      <c r="AA423" s="1">
        <f t="shared" si="1304"/>
        <v>63452.3010140079</v>
      </c>
      <c r="AB423" s="1">
        <f t="shared" si="1305"/>
        <v>42301.5340093386</v>
      </c>
      <c r="AC423" s="1">
        <f>AB423/(AB423+战斗公式!$M$27)</f>
        <v>0.638017425107848</v>
      </c>
      <c r="AD423" s="1">
        <f t="shared" si="1306"/>
        <v>5395643.71313146</v>
      </c>
      <c r="AE423" s="1">
        <f t="shared" si="1307"/>
        <v>10.2390431704707</v>
      </c>
      <c r="AF423" s="1">
        <f t="shared" si="1308"/>
        <v>5.00478516395558</v>
      </c>
      <c r="AG423" s="1">
        <f t="shared" si="1309"/>
        <v>4.91009122397772</v>
      </c>
      <c r="AH423" s="1">
        <f t="shared" si="1310"/>
        <v>1.78896865427236</v>
      </c>
      <c r="AI423" s="1">
        <f t="shared" si="1311"/>
        <v>1.0000000007949</v>
      </c>
      <c r="AJ423" s="1">
        <f t="shared" si="1312"/>
        <v>1.00016467386651</v>
      </c>
      <c r="AK423" s="1">
        <f t="shared" si="1313"/>
        <v>1</v>
      </c>
      <c r="AL423" s="10">
        <f t="shared" si="1314"/>
        <v>1916174</v>
      </c>
      <c r="AM423" s="10">
        <f t="shared" si="1315"/>
        <v>113514</v>
      </c>
      <c r="AN423" s="10">
        <f t="shared" si="1316"/>
        <v>42302</v>
      </c>
      <c r="AO423" s="1">
        <f t="shared" si="1317"/>
        <v>936769</v>
      </c>
      <c r="AP423" s="1">
        <f t="shared" si="1318"/>
        <v>113514</v>
      </c>
      <c r="AR423" s="1">
        <f t="shared" ref="AR423:AX423" si="1403">ROUNDUP(AR$10*$AO423,0)</f>
        <v>936769</v>
      </c>
      <c r="AS423" s="1">
        <f t="shared" si="1403"/>
        <v>2810307</v>
      </c>
      <c r="AT423" s="1">
        <f t="shared" si="1403"/>
        <v>1686185</v>
      </c>
      <c r="AU423" s="1">
        <f t="shared" si="1403"/>
        <v>468385</v>
      </c>
      <c r="AV423" s="1">
        <f t="shared" si="1403"/>
        <v>140516</v>
      </c>
      <c r="AW423" s="1">
        <f t="shared" si="1403"/>
        <v>3747076</v>
      </c>
      <c r="AX423" s="1">
        <f t="shared" si="1403"/>
        <v>8430921</v>
      </c>
      <c r="AY423" s="1">
        <f t="shared" si="1320"/>
        <v>114970440</v>
      </c>
      <c r="AZ423" s="1">
        <f t="shared" si="1321"/>
        <v>57485220</v>
      </c>
      <c r="BB423" s="1">
        <f t="shared" si="1322"/>
        <v>412</v>
      </c>
    </row>
    <row r="424" spans="2:54">
      <c r="B424" s="4">
        <v>413</v>
      </c>
      <c r="C424" s="1">
        <f t="shared" ref="C424:I424" si="1404">C$5+(C$6-C$5)*(POWER(C$7,$B424-1)-1)/(POWER(C$7,$B$3-1)-1)</f>
        <v>32628.4157620136</v>
      </c>
      <c r="D424" s="1">
        <f t="shared" si="1404"/>
        <v>9788.52472860409</v>
      </c>
      <c r="E424" s="1">
        <f t="shared" si="1404"/>
        <v>6525.68315240273</v>
      </c>
      <c r="F424" s="1">
        <f t="shared" si="1404"/>
        <v>82603.5842076294</v>
      </c>
      <c r="G424" s="1">
        <f t="shared" si="1404"/>
        <v>24781.0752622888</v>
      </c>
      <c r="H424" s="1">
        <f t="shared" si="1404"/>
        <v>16520.7168415259</v>
      </c>
      <c r="I424" s="1">
        <f t="shared" si="1404"/>
        <v>0</v>
      </c>
      <c r="J424" s="1">
        <f>标准模型!$I$65/1*$B424/$B$3</f>
        <v>2.9736</v>
      </c>
      <c r="K424" s="1">
        <f>J424*标准模型!$J$63</f>
        <v>2.9736</v>
      </c>
      <c r="L424" s="1">
        <f t="shared" si="1297"/>
        <v>115231.999969643</v>
      </c>
      <c r="M424" s="1">
        <f t="shared" si="1298"/>
        <v>63676.75712387</v>
      </c>
      <c r="N424" s="1">
        <f t="shared" si="1299"/>
        <v>42451.1714159134</v>
      </c>
      <c r="O424" s="1">
        <f t="shared" ref="O424:W424" si="1405">O$5+(O$6-O$5)*(POWER(O$7,$B424-1)-1)/(POWER(O$7,$B$3-1)-1)</f>
        <v>0.912843608254656</v>
      </c>
      <c r="P424" s="1">
        <f t="shared" si="1405"/>
        <v>0.307144705173561</v>
      </c>
      <c r="Q424" s="1">
        <f t="shared" si="1405"/>
        <v>0.502063984540061</v>
      </c>
      <c r="R424" s="1">
        <f t="shared" si="1405"/>
        <v>1.16513744330186</v>
      </c>
      <c r="S424" s="1">
        <f t="shared" si="1405"/>
        <v>0.586696690731053</v>
      </c>
      <c r="T424" s="1">
        <f t="shared" si="1405"/>
        <v>3.61009007219316</v>
      </c>
      <c r="U424" s="1">
        <f t="shared" si="1405"/>
        <v>1</v>
      </c>
      <c r="V424" s="1">
        <f t="shared" si="1405"/>
        <v>1.45024653344696</v>
      </c>
      <c r="W424" s="1">
        <f t="shared" si="1405"/>
        <v>2.3210995464149</v>
      </c>
      <c r="X424" s="1">
        <f t="shared" si="1301"/>
        <v>8.35171315419081</v>
      </c>
      <c r="Y424" s="1">
        <f t="shared" si="1302"/>
        <v>17.0965339078469</v>
      </c>
      <c r="Z424" s="1">
        <f t="shared" si="1303"/>
        <v>1970067.79475001</v>
      </c>
      <c r="AA424" s="1">
        <f t="shared" si="1304"/>
        <v>63676.75712387</v>
      </c>
      <c r="AB424" s="1">
        <f t="shared" si="1305"/>
        <v>42451.1714159134</v>
      </c>
      <c r="AC424" s="1">
        <f>AB424/(AB424+战斗公式!$M$27)</f>
        <v>0.638832551953289</v>
      </c>
      <c r="AD424" s="1">
        <f t="shared" si="1306"/>
        <v>5454721.36374598</v>
      </c>
      <c r="AE424" s="1">
        <f t="shared" si="1307"/>
        <v>10.2568986297326</v>
      </c>
      <c r="AF424" s="1">
        <f t="shared" si="1308"/>
        <v>5.01052878138197</v>
      </c>
      <c r="AG424" s="1">
        <f t="shared" si="1309"/>
        <v>4.91148319402894</v>
      </c>
      <c r="AH424" s="1">
        <f t="shared" si="1310"/>
        <v>1.79428557012287</v>
      </c>
      <c r="AI424" s="1">
        <f t="shared" si="1311"/>
        <v>1.00000000075472</v>
      </c>
      <c r="AJ424" s="1">
        <f t="shared" si="1312"/>
        <v>1.00016071058179</v>
      </c>
      <c r="AK424" s="1">
        <f t="shared" si="1313"/>
        <v>1</v>
      </c>
      <c r="AL424" s="10">
        <f t="shared" si="1314"/>
        <v>1931124</v>
      </c>
      <c r="AM424" s="10">
        <f t="shared" si="1315"/>
        <v>114254</v>
      </c>
      <c r="AN424" s="10">
        <f t="shared" si="1316"/>
        <v>42451</v>
      </c>
      <c r="AO424" s="1">
        <f t="shared" si="1317"/>
        <v>943512</v>
      </c>
      <c r="AP424" s="1">
        <f t="shared" si="1318"/>
        <v>114254</v>
      </c>
      <c r="AR424" s="1">
        <f t="shared" ref="AR424:AX424" si="1406">ROUNDUP(AR$10*$AO424,0)</f>
        <v>943512</v>
      </c>
      <c r="AS424" s="1">
        <f t="shared" si="1406"/>
        <v>2830536</v>
      </c>
      <c r="AT424" s="1">
        <f t="shared" si="1406"/>
        <v>1698322</v>
      </c>
      <c r="AU424" s="1">
        <f t="shared" si="1406"/>
        <v>471756</v>
      </c>
      <c r="AV424" s="1">
        <f t="shared" si="1406"/>
        <v>141527</v>
      </c>
      <c r="AW424" s="1">
        <f t="shared" si="1406"/>
        <v>3774048</v>
      </c>
      <c r="AX424" s="1">
        <f t="shared" si="1406"/>
        <v>8491608</v>
      </c>
      <c r="AY424" s="1">
        <f t="shared" si="1320"/>
        <v>115867440</v>
      </c>
      <c r="AZ424" s="1">
        <f t="shared" si="1321"/>
        <v>57933720</v>
      </c>
      <c r="BB424" s="1">
        <f t="shared" si="1322"/>
        <v>413</v>
      </c>
    </row>
    <row r="425" spans="2:54">
      <c r="B425" s="4">
        <v>414</v>
      </c>
      <c r="C425" s="1">
        <f t="shared" ref="C425:I425" si="1407">C$5+(C$6-C$5)*(POWER(C$7,$B425-1)-1)/(POWER(C$7,$B$3-1)-1)</f>
        <v>32707.4028852335</v>
      </c>
      <c r="D425" s="1">
        <f t="shared" si="1407"/>
        <v>9812.22086557007</v>
      </c>
      <c r="E425" s="1">
        <f t="shared" si="1407"/>
        <v>6541.48057704671</v>
      </c>
      <c r="F425" s="1">
        <f t="shared" si="1407"/>
        <v>82803.5516081862</v>
      </c>
      <c r="G425" s="1">
        <f t="shared" si="1407"/>
        <v>24841.0654824559</v>
      </c>
      <c r="H425" s="1">
        <f t="shared" si="1407"/>
        <v>16560.7103216372</v>
      </c>
      <c r="I425" s="1">
        <f t="shared" si="1407"/>
        <v>0</v>
      </c>
      <c r="J425" s="1">
        <f>标准模型!$I$65/1*$B425/$B$3</f>
        <v>2.9808</v>
      </c>
      <c r="K425" s="1">
        <f>J425*标准模型!$J$63</f>
        <v>2.9808</v>
      </c>
      <c r="L425" s="1">
        <f t="shared" si="1297"/>
        <v>115510.95449342</v>
      </c>
      <c r="M425" s="1">
        <f t="shared" si="1298"/>
        <v>63901.5543041172</v>
      </c>
      <c r="N425" s="1">
        <f t="shared" si="1299"/>
        <v>42601.0362027448</v>
      </c>
      <c r="O425" s="1">
        <f t="shared" ref="O425:W425" si="1408">O$5+(O$6-O$5)*(POWER(O$7,$B425-1)-1)/(POWER(O$7,$B$3-1)-1)</f>
        <v>0.913845448938809</v>
      </c>
      <c r="P425" s="1">
        <f t="shared" si="1408"/>
        <v>0.308144679356851</v>
      </c>
      <c r="Q425" s="1">
        <f t="shared" si="1408"/>
        <v>0.502614996916345</v>
      </c>
      <c r="R425" s="1">
        <f t="shared" si="1408"/>
        <v>1.16553817957552</v>
      </c>
      <c r="S425" s="1">
        <f t="shared" si="1408"/>
        <v>0.587999083620451</v>
      </c>
      <c r="T425" s="1">
        <f t="shared" si="1408"/>
        <v>3.61399725086135</v>
      </c>
      <c r="U425" s="1">
        <f t="shared" si="1408"/>
        <v>1</v>
      </c>
      <c r="V425" s="1">
        <f t="shared" si="1408"/>
        <v>1.45133913918455</v>
      </c>
      <c r="W425" s="1">
        <f t="shared" si="1408"/>
        <v>2.32430543660419</v>
      </c>
      <c r="X425" s="1">
        <f t="shared" si="1301"/>
        <v>8.39871140108773</v>
      </c>
      <c r="Y425" s="1">
        <f t="shared" si="1302"/>
        <v>17.2029742933447</v>
      </c>
      <c r="Z425" s="1">
        <f t="shared" si="1303"/>
        <v>1987131.98075001</v>
      </c>
      <c r="AA425" s="1">
        <f t="shared" si="1304"/>
        <v>63901.5543041172</v>
      </c>
      <c r="AB425" s="1">
        <f t="shared" si="1305"/>
        <v>42601.0362027448</v>
      </c>
      <c r="AC425" s="1">
        <f>AB425/(AB425+战斗公式!$M$27)</f>
        <v>0.639645246255029</v>
      </c>
      <c r="AD425" s="1">
        <f t="shared" si="1306"/>
        <v>5514377.0412318</v>
      </c>
      <c r="AE425" s="1">
        <f t="shared" si="1307"/>
        <v>10.2747763487147</v>
      </c>
      <c r="AF425" s="1">
        <f t="shared" si="1308"/>
        <v>5.01627682469779</v>
      </c>
      <c r="AG425" s="1">
        <f t="shared" si="1309"/>
        <v>4.91286472430478</v>
      </c>
      <c r="AH425" s="1">
        <f t="shared" si="1310"/>
        <v>1.79961311980509</v>
      </c>
      <c r="AI425" s="1">
        <f t="shared" si="1311"/>
        <v>1.00000000071654</v>
      </c>
      <c r="AJ425" s="1">
        <f t="shared" si="1312"/>
        <v>1.00015682656277</v>
      </c>
      <c r="AK425" s="1">
        <f t="shared" si="1313"/>
        <v>1</v>
      </c>
      <c r="AL425" s="10">
        <f t="shared" si="1314"/>
        <v>1946167</v>
      </c>
      <c r="AM425" s="10">
        <f t="shared" si="1315"/>
        <v>114998</v>
      </c>
      <c r="AN425" s="10">
        <f t="shared" si="1316"/>
        <v>42601</v>
      </c>
      <c r="AO425" s="1">
        <f t="shared" si="1317"/>
        <v>950292</v>
      </c>
      <c r="AP425" s="1">
        <f t="shared" si="1318"/>
        <v>114998</v>
      </c>
      <c r="AR425" s="1">
        <f t="shared" ref="AR425:AX425" si="1409">ROUNDUP(AR$10*$AO425,0)</f>
        <v>950292</v>
      </c>
      <c r="AS425" s="1">
        <f t="shared" si="1409"/>
        <v>2850876</v>
      </c>
      <c r="AT425" s="1">
        <f t="shared" si="1409"/>
        <v>1710526</v>
      </c>
      <c r="AU425" s="1">
        <f t="shared" si="1409"/>
        <v>475146</v>
      </c>
      <c r="AV425" s="1">
        <f t="shared" si="1409"/>
        <v>142544</v>
      </c>
      <c r="AW425" s="1">
        <f t="shared" si="1409"/>
        <v>3801168</v>
      </c>
      <c r="AX425" s="1">
        <f t="shared" si="1409"/>
        <v>8552628</v>
      </c>
      <c r="AY425" s="1">
        <f t="shared" si="1320"/>
        <v>116770020</v>
      </c>
      <c r="AZ425" s="1">
        <f t="shared" si="1321"/>
        <v>58385010</v>
      </c>
      <c r="BB425" s="1">
        <f t="shared" si="1322"/>
        <v>414</v>
      </c>
    </row>
    <row r="426" spans="2:54">
      <c r="B426" s="4">
        <v>415</v>
      </c>
      <c r="C426" s="1">
        <f t="shared" ref="C426:I426" si="1410">C$5+(C$6-C$5)*(POWER(C$7,$B426-1)-1)/(POWER(C$7,$B$3-1)-1)</f>
        <v>32786.3899294706</v>
      </c>
      <c r="D426" s="1">
        <f t="shared" si="1410"/>
        <v>9835.91697884119</v>
      </c>
      <c r="E426" s="1">
        <f t="shared" si="1410"/>
        <v>6557.27798589413</v>
      </c>
      <c r="F426" s="1">
        <f t="shared" si="1410"/>
        <v>83003.5188087864</v>
      </c>
      <c r="G426" s="1">
        <f t="shared" si="1410"/>
        <v>24901.0556426359</v>
      </c>
      <c r="H426" s="1">
        <f t="shared" si="1410"/>
        <v>16600.7037617573</v>
      </c>
      <c r="I426" s="1">
        <f t="shared" si="1410"/>
        <v>0</v>
      </c>
      <c r="J426" s="1">
        <f>标准模型!$I$65/1*$B426/$B$3</f>
        <v>2.988</v>
      </c>
      <c r="K426" s="1">
        <f>J426*标准模型!$J$63</f>
        <v>2.988</v>
      </c>
      <c r="L426" s="1">
        <f t="shared" si="1297"/>
        <v>115789.908738257</v>
      </c>
      <c r="M426" s="1">
        <f t="shared" si="1298"/>
        <v>64126.6925542546</v>
      </c>
      <c r="N426" s="1">
        <f t="shared" si="1299"/>
        <v>42751.1283695031</v>
      </c>
      <c r="O426" s="1">
        <f t="shared" ref="O426:W426" si="1411">O$5+(O$6-O$5)*(POWER(O$7,$B426-1)-1)/(POWER(O$7,$B$3-1)-1)</f>
        <v>0.914847288621174</v>
      </c>
      <c r="P426" s="1">
        <f t="shared" si="1411"/>
        <v>0.309146153501416</v>
      </c>
      <c r="Q426" s="1">
        <f t="shared" si="1411"/>
        <v>0.503166008741646</v>
      </c>
      <c r="R426" s="1">
        <f t="shared" si="1411"/>
        <v>1.16593891544847</v>
      </c>
      <c r="S426" s="1">
        <f t="shared" si="1411"/>
        <v>0.589301475207527</v>
      </c>
      <c r="T426" s="1">
        <f t="shared" si="1411"/>
        <v>3.61790442562258</v>
      </c>
      <c r="U426" s="1">
        <f t="shared" si="1411"/>
        <v>1</v>
      </c>
      <c r="V426" s="1">
        <f t="shared" si="1411"/>
        <v>1.45243174382959</v>
      </c>
      <c r="W426" s="1">
        <f t="shared" si="1411"/>
        <v>2.32751132358776</v>
      </c>
      <c r="X426" s="1">
        <f t="shared" si="1301"/>
        <v>8.44593592309006</v>
      </c>
      <c r="Y426" s="1">
        <f t="shared" si="1302"/>
        <v>17.3099915853208</v>
      </c>
      <c r="Z426" s="1">
        <f t="shared" si="1303"/>
        <v>2004322.34592429</v>
      </c>
      <c r="AA426" s="1">
        <f t="shared" si="1304"/>
        <v>64126.6925542546</v>
      </c>
      <c r="AB426" s="1">
        <f t="shared" si="1305"/>
        <v>42751.1283695031</v>
      </c>
      <c r="AC426" s="1">
        <f>AB426/(AB426+战斗公式!$M$27)</f>
        <v>0.640455516090347</v>
      </c>
      <c r="AD426" s="1">
        <f t="shared" si="1306"/>
        <v>5574615.75861067</v>
      </c>
      <c r="AE426" s="1">
        <f t="shared" si="1307"/>
        <v>10.2926763068126</v>
      </c>
      <c r="AF426" s="1">
        <f t="shared" si="1308"/>
        <v>5.022029279215</v>
      </c>
      <c r="AG426" s="1">
        <f t="shared" si="1309"/>
        <v>4.91423589310355</v>
      </c>
      <c r="AH426" s="1">
        <f t="shared" si="1310"/>
        <v>1.80495132458667</v>
      </c>
      <c r="AI426" s="1">
        <f t="shared" si="1311"/>
        <v>1.00000000068028</v>
      </c>
      <c r="AJ426" s="1">
        <f t="shared" si="1312"/>
        <v>1.00015302022412</v>
      </c>
      <c r="AK426" s="1">
        <f t="shared" si="1313"/>
        <v>1</v>
      </c>
      <c r="AL426" s="10">
        <f t="shared" si="1314"/>
        <v>1961301</v>
      </c>
      <c r="AM426" s="10">
        <f t="shared" si="1315"/>
        <v>115746</v>
      </c>
      <c r="AN426" s="10">
        <f t="shared" si="1316"/>
        <v>42751</v>
      </c>
      <c r="AO426" s="1">
        <f t="shared" si="1317"/>
        <v>957110</v>
      </c>
      <c r="AP426" s="1">
        <f t="shared" si="1318"/>
        <v>115746</v>
      </c>
      <c r="AR426" s="1">
        <f t="shared" ref="AR426:AX426" si="1412">ROUNDUP(AR$10*$AO426,0)</f>
        <v>957110</v>
      </c>
      <c r="AS426" s="1">
        <f t="shared" si="1412"/>
        <v>2871330</v>
      </c>
      <c r="AT426" s="1">
        <f t="shared" si="1412"/>
        <v>1722798</v>
      </c>
      <c r="AU426" s="1">
        <f t="shared" si="1412"/>
        <v>478555</v>
      </c>
      <c r="AV426" s="1">
        <f t="shared" si="1412"/>
        <v>143567</v>
      </c>
      <c r="AW426" s="1">
        <f t="shared" si="1412"/>
        <v>3828440</v>
      </c>
      <c r="AX426" s="1">
        <f t="shared" si="1412"/>
        <v>8613990</v>
      </c>
      <c r="AY426" s="1">
        <f t="shared" si="1320"/>
        <v>117678060</v>
      </c>
      <c r="AZ426" s="1">
        <f t="shared" si="1321"/>
        <v>58839030</v>
      </c>
      <c r="BB426" s="1">
        <f t="shared" si="1322"/>
        <v>415</v>
      </c>
    </row>
    <row r="427" spans="2:54">
      <c r="B427" s="4">
        <v>416</v>
      </c>
      <c r="C427" s="1">
        <f t="shared" ref="C427:I427" si="1413">C$5+(C$6-C$5)*(POWER(C$7,$B427-1)-1)/(POWER(C$7,$B$3-1)-1)</f>
        <v>32865.3768947161</v>
      </c>
      <c r="D427" s="1">
        <f t="shared" si="1413"/>
        <v>9859.61306841484</v>
      </c>
      <c r="E427" s="1">
        <f t="shared" si="1413"/>
        <v>6573.07537894322</v>
      </c>
      <c r="F427" s="1">
        <f t="shared" si="1413"/>
        <v>83203.4858094079</v>
      </c>
      <c r="G427" s="1">
        <f t="shared" si="1413"/>
        <v>24961.0457428224</v>
      </c>
      <c r="H427" s="1">
        <f t="shared" si="1413"/>
        <v>16640.6971618816</v>
      </c>
      <c r="I427" s="1">
        <f t="shared" si="1413"/>
        <v>0</v>
      </c>
      <c r="J427" s="1">
        <f>标准模型!$I$65/1*$B427/$B$3</f>
        <v>2.9952</v>
      </c>
      <c r="K427" s="1">
        <f>J427*标准模型!$J$63</f>
        <v>2.9952</v>
      </c>
      <c r="L427" s="1">
        <f t="shared" si="1297"/>
        <v>116068.862704124</v>
      </c>
      <c r="M427" s="1">
        <f t="shared" si="1298"/>
        <v>64352.1718737533</v>
      </c>
      <c r="N427" s="1">
        <f t="shared" si="1299"/>
        <v>42901.4479158355</v>
      </c>
      <c r="O427" s="1">
        <f t="shared" ref="O427:W427" si="1414">O$5+(O$6-O$5)*(POWER(O$7,$B427-1)-1)/(POWER(O$7,$B$3-1)-1)</f>
        <v>0.915849127301643</v>
      </c>
      <c r="P427" s="1">
        <f t="shared" si="1414"/>
        <v>0.310149129857198</v>
      </c>
      <c r="Q427" s="1">
        <f t="shared" si="1414"/>
        <v>0.503717020015904</v>
      </c>
      <c r="R427" s="1">
        <f t="shared" si="1414"/>
        <v>1.16633965092066</v>
      </c>
      <c r="S427" s="1">
        <f t="shared" si="1414"/>
        <v>0.590603865492136</v>
      </c>
      <c r="T427" s="1">
        <f t="shared" si="1414"/>
        <v>3.62181159647641</v>
      </c>
      <c r="U427" s="1">
        <f t="shared" si="1414"/>
        <v>1</v>
      </c>
      <c r="V427" s="1">
        <f t="shared" si="1414"/>
        <v>1.45352434738196</v>
      </c>
      <c r="W427" s="1">
        <f t="shared" si="1414"/>
        <v>2.33071720736526</v>
      </c>
      <c r="X427" s="1">
        <f t="shared" si="1301"/>
        <v>8.49338761172856</v>
      </c>
      <c r="Y427" s="1">
        <f t="shared" si="1302"/>
        <v>17.4175884095672</v>
      </c>
      <c r="Z427" s="1">
        <f t="shared" si="1303"/>
        <v>2021639.67774699</v>
      </c>
      <c r="AA427" s="1">
        <f t="shared" si="1304"/>
        <v>64352.1718737533</v>
      </c>
      <c r="AB427" s="1">
        <f t="shared" si="1305"/>
        <v>42901.4479158355</v>
      </c>
      <c r="AC427" s="1">
        <f>AB427/(AB427+战斗公式!$M$27)</f>
        <v>0.641263369513424</v>
      </c>
      <c r="AD427" s="1">
        <f t="shared" si="1306"/>
        <v>5635442.5668907</v>
      </c>
      <c r="AE427" s="1">
        <f t="shared" si="1307"/>
        <v>10.310598483474</v>
      </c>
      <c r="AF427" s="1">
        <f t="shared" si="1308"/>
        <v>5.02778613030861</v>
      </c>
      <c r="AG427" s="1">
        <f t="shared" si="1309"/>
        <v>4.91559677813632</v>
      </c>
      <c r="AH427" s="1">
        <f t="shared" si="1310"/>
        <v>1.81030020577781</v>
      </c>
      <c r="AI427" s="1">
        <f t="shared" si="1311"/>
        <v>1.00000000064582</v>
      </c>
      <c r="AJ427" s="1">
        <f t="shared" si="1312"/>
        <v>1.00014929001225</v>
      </c>
      <c r="AK427" s="1">
        <f t="shared" si="1313"/>
        <v>1</v>
      </c>
      <c r="AL427" s="10">
        <f t="shared" si="1314"/>
        <v>1976529</v>
      </c>
      <c r="AM427" s="10">
        <f t="shared" si="1315"/>
        <v>116497</v>
      </c>
      <c r="AN427" s="10">
        <f t="shared" si="1316"/>
        <v>42901</v>
      </c>
      <c r="AO427" s="1">
        <f t="shared" si="1317"/>
        <v>963964</v>
      </c>
      <c r="AP427" s="1">
        <f t="shared" si="1318"/>
        <v>116497</v>
      </c>
      <c r="AR427" s="1">
        <f t="shared" ref="AR427:AX427" si="1415">ROUNDUP(AR$10*$AO427,0)</f>
        <v>963964</v>
      </c>
      <c r="AS427" s="1">
        <f t="shared" si="1415"/>
        <v>2891892</v>
      </c>
      <c r="AT427" s="1">
        <f t="shared" si="1415"/>
        <v>1735136</v>
      </c>
      <c r="AU427" s="1">
        <f t="shared" si="1415"/>
        <v>481982</v>
      </c>
      <c r="AV427" s="1">
        <f t="shared" si="1415"/>
        <v>144595</v>
      </c>
      <c r="AW427" s="1">
        <f t="shared" si="1415"/>
        <v>3855856</v>
      </c>
      <c r="AX427" s="1">
        <f t="shared" si="1415"/>
        <v>8675676</v>
      </c>
      <c r="AY427" s="1">
        <f t="shared" si="1320"/>
        <v>118591740</v>
      </c>
      <c r="AZ427" s="1">
        <f t="shared" si="1321"/>
        <v>59295870</v>
      </c>
      <c r="BB427" s="1">
        <f t="shared" si="1322"/>
        <v>416</v>
      </c>
    </row>
    <row r="428" spans="2:54">
      <c r="B428" s="4">
        <v>417</v>
      </c>
      <c r="C428" s="1">
        <f t="shared" ref="C428:I428" si="1416">C$5+(C$6-C$5)*(POWER(C$7,$B428-1)-1)/(POWER(C$7,$B$3-1)-1)</f>
        <v>32944.3637809788</v>
      </c>
      <c r="D428" s="1">
        <f t="shared" si="1416"/>
        <v>9883.30913429363</v>
      </c>
      <c r="E428" s="1">
        <f t="shared" si="1416"/>
        <v>6588.87275619575</v>
      </c>
      <c r="F428" s="1">
        <f t="shared" si="1416"/>
        <v>83403.4526100728</v>
      </c>
      <c r="G428" s="1">
        <f t="shared" si="1416"/>
        <v>25021.0357830218</v>
      </c>
      <c r="H428" s="1">
        <f t="shared" si="1416"/>
        <v>16680.6905220146</v>
      </c>
      <c r="I428" s="1">
        <f t="shared" si="1416"/>
        <v>0</v>
      </c>
      <c r="J428" s="1">
        <f>标准模型!$I$65/1*$B428/$B$3</f>
        <v>3.0024</v>
      </c>
      <c r="K428" s="1">
        <f>J428*标准模型!$J$63</f>
        <v>3.0024</v>
      </c>
      <c r="L428" s="1">
        <f t="shared" si="1297"/>
        <v>116347.816391052</v>
      </c>
      <c r="M428" s="1">
        <f t="shared" si="1298"/>
        <v>64577.9922621187</v>
      </c>
      <c r="N428" s="1">
        <f t="shared" si="1299"/>
        <v>43051.9948414125</v>
      </c>
      <c r="O428" s="1">
        <f t="shared" ref="O428:W428" si="1417">O$5+(O$6-O$5)*(POWER(O$7,$B428-1)-1)/(POWER(O$7,$B$3-1)-1)</f>
        <v>0.916850964980325</v>
      </c>
      <c r="P428" s="1">
        <f t="shared" si="1417"/>
        <v>0.311153610677513</v>
      </c>
      <c r="Q428" s="1">
        <f t="shared" si="1417"/>
        <v>0.504268030739179</v>
      </c>
      <c r="R428" s="1">
        <f t="shared" si="1417"/>
        <v>1.16674038599213</v>
      </c>
      <c r="S428" s="1">
        <f t="shared" si="1417"/>
        <v>0.591906254474422</v>
      </c>
      <c r="T428" s="1">
        <f t="shared" si="1417"/>
        <v>3.62571876342327</v>
      </c>
      <c r="U428" s="1">
        <f t="shared" si="1417"/>
        <v>1</v>
      </c>
      <c r="V428" s="1">
        <f t="shared" si="1417"/>
        <v>1.45461694984179</v>
      </c>
      <c r="W428" s="1">
        <f t="shared" si="1417"/>
        <v>2.33392308793704</v>
      </c>
      <c r="X428" s="1">
        <f t="shared" si="1301"/>
        <v>8.5410673612854</v>
      </c>
      <c r="Y428" s="1">
        <f t="shared" si="1302"/>
        <v>17.5257674015325</v>
      </c>
      <c r="Z428" s="1">
        <f t="shared" si="1303"/>
        <v>2039084.76774578</v>
      </c>
      <c r="AA428" s="1">
        <f t="shared" si="1304"/>
        <v>64577.9922621187</v>
      </c>
      <c r="AB428" s="1">
        <f t="shared" si="1305"/>
        <v>43051.9948414125</v>
      </c>
      <c r="AC428" s="1">
        <f>AB428/(AB428+战斗公式!$M$27)</f>
        <v>0.642068814555578</v>
      </c>
      <c r="AD428" s="1">
        <f t="shared" si="1306"/>
        <v>5696862.55533719</v>
      </c>
      <c r="AE428" s="1">
        <f t="shared" si="1307"/>
        <v>10.3285428582098</v>
      </c>
      <c r="AF428" s="1">
        <f t="shared" si="1308"/>
        <v>5.03354736341981</v>
      </c>
      <c r="AG428" s="1">
        <f t="shared" si="1309"/>
        <v>4.91694745653135</v>
      </c>
      <c r="AH428" s="1">
        <f t="shared" si="1310"/>
        <v>1.81565978473134</v>
      </c>
      <c r="AI428" s="1">
        <f t="shared" si="1311"/>
        <v>1.00000000061309</v>
      </c>
      <c r="AJ428" s="1">
        <f t="shared" si="1312"/>
        <v>1.00014563440462</v>
      </c>
      <c r="AK428" s="1">
        <f t="shared" si="1313"/>
        <v>1</v>
      </c>
      <c r="AL428" s="10">
        <f t="shared" si="1314"/>
        <v>1991850</v>
      </c>
      <c r="AM428" s="10">
        <f t="shared" si="1315"/>
        <v>117252</v>
      </c>
      <c r="AN428" s="10">
        <f t="shared" si="1316"/>
        <v>43052</v>
      </c>
      <c r="AO428" s="1">
        <f t="shared" si="1317"/>
        <v>970856</v>
      </c>
      <c r="AP428" s="1">
        <f t="shared" si="1318"/>
        <v>117252</v>
      </c>
      <c r="AR428" s="1">
        <f t="shared" ref="AR428:AX428" si="1418">ROUNDUP(AR$10*$AO428,0)</f>
        <v>970856</v>
      </c>
      <c r="AS428" s="1">
        <f t="shared" si="1418"/>
        <v>2912568</v>
      </c>
      <c r="AT428" s="1">
        <f t="shared" si="1418"/>
        <v>1747541</v>
      </c>
      <c r="AU428" s="1">
        <f t="shared" si="1418"/>
        <v>485428</v>
      </c>
      <c r="AV428" s="1">
        <f t="shared" si="1418"/>
        <v>145629</v>
      </c>
      <c r="AW428" s="1">
        <f t="shared" si="1418"/>
        <v>3883424</v>
      </c>
      <c r="AX428" s="1">
        <f t="shared" si="1418"/>
        <v>8737704</v>
      </c>
      <c r="AY428" s="1">
        <f t="shared" si="1320"/>
        <v>119511000</v>
      </c>
      <c r="AZ428" s="1">
        <f t="shared" si="1321"/>
        <v>59755500</v>
      </c>
      <c r="BB428" s="1">
        <f t="shared" si="1322"/>
        <v>417</v>
      </c>
    </row>
    <row r="429" spans="2:54">
      <c r="B429" s="4">
        <v>418</v>
      </c>
      <c r="C429" s="1">
        <f t="shared" ref="C429:I429" si="1419">C$5+(C$6-C$5)*(POWER(C$7,$B429-1)-1)/(POWER(C$7,$B$3-1)-1)</f>
        <v>33023.3505882586</v>
      </c>
      <c r="D429" s="1">
        <f t="shared" si="1419"/>
        <v>9907.00517647758</v>
      </c>
      <c r="E429" s="1">
        <f t="shared" si="1419"/>
        <v>6604.67011765172</v>
      </c>
      <c r="F429" s="1">
        <f t="shared" si="1419"/>
        <v>83603.4192107812</v>
      </c>
      <c r="G429" s="1">
        <f t="shared" si="1419"/>
        <v>25081.0257632344</v>
      </c>
      <c r="H429" s="1">
        <f t="shared" si="1419"/>
        <v>16720.6838421562</v>
      </c>
      <c r="I429" s="1">
        <f t="shared" si="1419"/>
        <v>0</v>
      </c>
      <c r="J429" s="1">
        <f>标准模型!$I$65/1*$B429/$B$3</f>
        <v>3.0096</v>
      </c>
      <c r="K429" s="1">
        <f>J429*标准模型!$J$63</f>
        <v>3.0096</v>
      </c>
      <c r="L429" s="1">
        <f t="shared" si="1297"/>
        <v>116626.76979904</v>
      </c>
      <c r="M429" s="1">
        <f t="shared" si="1298"/>
        <v>64804.1537188389</v>
      </c>
      <c r="N429" s="1">
        <f t="shared" si="1299"/>
        <v>43202.7691458926</v>
      </c>
      <c r="O429" s="1">
        <f t="shared" ref="O429:W429" si="1420">O$5+(O$6-O$5)*(POWER(O$7,$B429-1)-1)/(POWER(O$7,$B$3-1)-1)</f>
        <v>0.917852801657221</v>
      </c>
      <c r="P429" s="1">
        <f t="shared" si="1420"/>
        <v>0.312159598219059</v>
      </c>
      <c r="Q429" s="1">
        <f t="shared" si="1420"/>
        <v>0.504819040911471</v>
      </c>
      <c r="R429" s="1">
        <f t="shared" si="1420"/>
        <v>1.16714112066289</v>
      </c>
      <c r="S429" s="1">
        <f t="shared" si="1420"/>
        <v>0.593208642154387</v>
      </c>
      <c r="T429" s="1">
        <f t="shared" si="1420"/>
        <v>3.62962592646316</v>
      </c>
      <c r="U429" s="1">
        <f t="shared" si="1420"/>
        <v>1</v>
      </c>
      <c r="V429" s="1">
        <f t="shared" si="1420"/>
        <v>1.45570955120907</v>
      </c>
      <c r="W429" s="1">
        <f t="shared" si="1420"/>
        <v>2.33712896530311</v>
      </c>
      <c r="X429" s="1">
        <f t="shared" si="1301"/>
        <v>8.58897606878772</v>
      </c>
      <c r="Y429" s="1">
        <f t="shared" si="1302"/>
        <v>17.6345312063187</v>
      </c>
      <c r="Z429" s="1">
        <f t="shared" si="1303"/>
        <v>2056658.41151331</v>
      </c>
      <c r="AA429" s="1">
        <f t="shared" si="1304"/>
        <v>64804.1537188389</v>
      </c>
      <c r="AB429" s="1">
        <f t="shared" si="1305"/>
        <v>43202.7691458926</v>
      </c>
      <c r="AC429" s="1">
        <f>AB429/(AB429+战斗公式!$M$27)</f>
        <v>0.642871859225062</v>
      </c>
      <c r="AD429" s="1">
        <f t="shared" si="1306"/>
        <v>5758880.85170363</v>
      </c>
      <c r="AE429" s="1">
        <f t="shared" si="1307"/>
        <v>10.3465094105849</v>
      </c>
      <c r="AF429" s="1">
        <f t="shared" si="1308"/>
        <v>5.0393129640531</v>
      </c>
      <c r="AG429" s="1">
        <f t="shared" si="1309"/>
        <v>4.91828800483842</v>
      </c>
      <c r="AH429" s="1">
        <f t="shared" si="1310"/>
        <v>1.82103008284277</v>
      </c>
      <c r="AI429" s="1">
        <f t="shared" si="1311"/>
        <v>1.000000000582</v>
      </c>
      <c r="AJ429" s="1">
        <f t="shared" si="1312"/>
        <v>1.00014205190914</v>
      </c>
      <c r="AK429" s="1">
        <f t="shared" si="1313"/>
        <v>1</v>
      </c>
      <c r="AL429" s="10">
        <f t="shared" si="1314"/>
        <v>2007265</v>
      </c>
      <c r="AM429" s="10">
        <f t="shared" si="1315"/>
        <v>118010</v>
      </c>
      <c r="AN429" s="10">
        <f t="shared" si="1316"/>
        <v>43203</v>
      </c>
      <c r="AO429" s="1">
        <f t="shared" si="1317"/>
        <v>977786</v>
      </c>
      <c r="AP429" s="1">
        <f t="shared" si="1318"/>
        <v>118010</v>
      </c>
      <c r="AR429" s="1">
        <f t="shared" ref="AR429:AX429" si="1421">ROUNDUP(AR$10*$AO429,0)</f>
        <v>977786</v>
      </c>
      <c r="AS429" s="1">
        <f t="shared" si="1421"/>
        <v>2933358</v>
      </c>
      <c r="AT429" s="1">
        <f t="shared" si="1421"/>
        <v>1760015</v>
      </c>
      <c r="AU429" s="1">
        <f t="shared" si="1421"/>
        <v>488893</v>
      </c>
      <c r="AV429" s="1">
        <f t="shared" si="1421"/>
        <v>146668</v>
      </c>
      <c r="AW429" s="1">
        <f t="shared" si="1421"/>
        <v>3911144</v>
      </c>
      <c r="AX429" s="1">
        <f t="shared" si="1421"/>
        <v>8800074</v>
      </c>
      <c r="AY429" s="1">
        <f t="shared" si="1320"/>
        <v>120435900</v>
      </c>
      <c r="AZ429" s="1">
        <f t="shared" si="1321"/>
        <v>60217950</v>
      </c>
      <c r="BB429" s="1">
        <f t="shared" si="1322"/>
        <v>418</v>
      </c>
    </row>
    <row r="430" spans="2:54">
      <c r="B430" s="4">
        <v>419</v>
      </c>
      <c r="C430" s="1">
        <f t="shared" ref="C430:I430" si="1422">C$5+(C$6-C$5)*(POWER(C$7,$B430-1)-1)/(POWER(C$7,$B$3-1)-1)</f>
        <v>33102.3373165468</v>
      </c>
      <c r="D430" s="1">
        <f t="shared" si="1422"/>
        <v>9930.70119496404</v>
      </c>
      <c r="E430" s="1">
        <f t="shared" si="1422"/>
        <v>6620.46746330936</v>
      </c>
      <c r="F430" s="1">
        <f t="shared" si="1422"/>
        <v>83803.3856115109</v>
      </c>
      <c r="G430" s="1">
        <f t="shared" si="1422"/>
        <v>25141.0156834533</v>
      </c>
      <c r="H430" s="1">
        <f t="shared" si="1422"/>
        <v>16760.6771223022</v>
      </c>
      <c r="I430" s="1">
        <f t="shared" si="1422"/>
        <v>0</v>
      </c>
      <c r="J430" s="1">
        <f>标准模型!$I$65/1*$B430/$B$3</f>
        <v>3.0168</v>
      </c>
      <c r="K430" s="1">
        <f>J430*标准模型!$J$63</f>
        <v>3.0168</v>
      </c>
      <c r="L430" s="1">
        <f t="shared" si="1297"/>
        <v>116905.722928058</v>
      </c>
      <c r="M430" s="1">
        <f t="shared" si="1298"/>
        <v>65030.6562433848</v>
      </c>
      <c r="N430" s="1">
        <f t="shared" si="1299"/>
        <v>43353.7708289232</v>
      </c>
      <c r="O430" s="1">
        <f t="shared" ref="O430:W430" si="1423">O$5+(O$6-O$5)*(POWER(O$7,$B430-1)-1)/(POWER(O$7,$B$3-1)-1)</f>
        <v>0.918854637332219</v>
      </c>
      <c r="P430" s="1">
        <f t="shared" si="1423"/>
        <v>0.313167094741917</v>
      </c>
      <c r="Q430" s="1">
        <f t="shared" si="1423"/>
        <v>0.50537005053272</v>
      </c>
      <c r="R430" s="1">
        <f t="shared" si="1423"/>
        <v>1.16754185493289</v>
      </c>
      <c r="S430" s="1">
        <f t="shared" si="1423"/>
        <v>0.594511028531885</v>
      </c>
      <c r="T430" s="1">
        <f t="shared" si="1423"/>
        <v>3.63353308559565</v>
      </c>
      <c r="U430" s="1">
        <f t="shared" si="1423"/>
        <v>1</v>
      </c>
      <c r="V430" s="1">
        <f t="shared" si="1423"/>
        <v>1.45680215148368</v>
      </c>
      <c r="W430" s="1">
        <f t="shared" si="1423"/>
        <v>2.3403348394631</v>
      </c>
      <c r="X430" s="1">
        <f t="shared" si="1301"/>
        <v>8.63711463401412</v>
      </c>
      <c r="Y430" s="1">
        <f t="shared" si="1302"/>
        <v>17.743882478708</v>
      </c>
      <c r="Z430" s="1">
        <f t="shared" si="1303"/>
        <v>2074361.40872386</v>
      </c>
      <c r="AA430" s="1">
        <f t="shared" si="1304"/>
        <v>65030.6562433848</v>
      </c>
      <c r="AB430" s="1">
        <f t="shared" si="1305"/>
        <v>43353.7708289232</v>
      </c>
      <c r="AC430" s="1">
        <f>AB430/(AB430+战斗公式!$M$27)</f>
        <v>0.643672511507049</v>
      </c>
      <c r="AD430" s="1">
        <f t="shared" si="1306"/>
        <v>5821502.62248121</v>
      </c>
      <c r="AE430" s="1">
        <f t="shared" si="1307"/>
        <v>10.3644981202185</v>
      </c>
      <c r="AF430" s="1">
        <f t="shared" si="1308"/>
        <v>5.04508291777578</v>
      </c>
      <c r="AG430" s="1">
        <f t="shared" si="1309"/>
        <v>4.91961849903318</v>
      </c>
      <c r="AH430" s="1">
        <f t="shared" si="1310"/>
        <v>1.82641112155042</v>
      </c>
      <c r="AI430" s="1">
        <f t="shared" si="1311"/>
        <v>1.00000000055246</v>
      </c>
      <c r="AJ430" s="1">
        <f t="shared" si="1312"/>
        <v>1.00013854106357</v>
      </c>
      <c r="AK430" s="1">
        <f t="shared" si="1313"/>
        <v>1</v>
      </c>
      <c r="AL430" s="10">
        <f t="shared" si="1314"/>
        <v>2022775</v>
      </c>
      <c r="AM430" s="10">
        <f t="shared" si="1315"/>
        <v>118773</v>
      </c>
      <c r="AN430" s="10">
        <f t="shared" si="1316"/>
        <v>43354</v>
      </c>
      <c r="AO430" s="1">
        <f t="shared" si="1317"/>
        <v>984754</v>
      </c>
      <c r="AP430" s="1">
        <f t="shared" si="1318"/>
        <v>118773</v>
      </c>
      <c r="AR430" s="1">
        <f t="shared" ref="AR430:AX430" si="1424">ROUNDUP(AR$10*$AO430,0)</f>
        <v>984754</v>
      </c>
      <c r="AS430" s="1">
        <f t="shared" si="1424"/>
        <v>2954262</v>
      </c>
      <c r="AT430" s="1">
        <f t="shared" si="1424"/>
        <v>1772558</v>
      </c>
      <c r="AU430" s="1">
        <f t="shared" si="1424"/>
        <v>492377</v>
      </c>
      <c r="AV430" s="1">
        <f t="shared" si="1424"/>
        <v>147714</v>
      </c>
      <c r="AW430" s="1">
        <f t="shared" si="1424"/>
        <v>3939016</v>
      </c>
      <c r="AX430" s="1">
        <f t="shared" si="1424"/>
        <v>8862786</v>
      </c>
      <c r="AY430" s="1">
        <f t="shared" si="1320"/>
        <v>121366500</v>
      </c>
      <c r="AZ430" s="1">
        <f t="shared" si="1321"/>
        <v>60683250</v>
      </c>
      <c r="BB430" s="1">
        <f t="shared" si="1322"/>
        <v>419</v>
      </c>
    </row>
    <row r="431" spans="2:54">
      <c r="B431" s="4">
        <v>420</v>
      </c>
      <c r="C431" s="1">
        <f t="shared" ref="C431:I431" si="1425">C$5+(C$6-C$5)*(POWER(C$7,$B431-1)-1)/(POWER(C$7,$B$3-1)-1)</f>
        <v>33181.3239658522</v>
      </c>
      <c r="D431" s="1">
        <f t="shared" si="1425"/>
        <v>9954.39718975565</v>
      </c>
      <c r="E431" s="1">
        <f t="shared" si="1425"/>
        <v>6636.26479317044</v>
      </c>
      <c r="F431" s="1">
        <f t="shared" si="1425"/>
        <v>84003.351812284</v>
      </c>
      <c r="G431" s="1">
        <f t="shared" si="1425"/>
        <v>25201.0055436852</v>
      </c>
      <c r="H431" s="1">
        <f t="shared" si="1425"/>
        <v>16800.6703624568</v>
      </c>
      <c r="I431" s="1">
        <f t="shared" si="1425"/>
        <v>0</v>
      </c>
      <c r="J431" s="1">
        <f>标准模型!$I$65/1*$B431/$B$3</f>
        <v>3.024</v>
      </c>
      <c r="K431" s="1">
        <f>J431*标准模型!$J$63</f>
        <v>3.024</v>
      </c>
      <c r="L431" s="1">
        <f t="shared" si="1297"/>
        <v>117184.675778136</v>
      </c>
      <c r="M431" s="1">
        <f t="shared" si="1298"/>
        <v>65257.4998352619</v>
      </c>
      <c r="N431" s="1">
        <f t="shared" si="1299"/>
        <v>43504.9998901746</v>
      </c>
      <c r="O431" s="1">
        <f t="shared" ref="O431:W431" si="1426">O$5+(O$6-O$5)*(POWER(O$7,$B431-1)-1)/(POWER(O$7,$B$3-1)-1)</f>
        <v>0.919856472005431</v>
      </c>
      <c r="P431" s="1">
        <f t="shared" si="1426"/>
        <v>0.31417610250956</v>
      </c>
      <c r="Q431" s="1">
        <f t="shared" si="1426"/>
        <v>0.505921059602987</v>
      </c>
      <c r="R431" s="1">
        <f t="shared" si="1426"/>
        <v>1.16794258880217</v>
      </c>
      <c r="S431" s="1">
        <f t="shared" si="1426"/>
        <v>0.59581341360706</v>
      </c>
      <c r="T431" s="1">
        <f t="shared" si="1426"/>
        <v>3.63744024082118</v>
      </c>
      <c r="U431" s="1">
        <f t="shared" si="1426"/>
        <v>1</v>
      </c>
      <c r="V431" s="1">
        <f t="shared" si="1426"/>
        <v>1.45789475066575</v>
      </c>
      <c r="W431" s="1">
        <f t="shared" si="1426"/>
        <v>2.34354071041738</v>
      </c>
      <c r="X431" s="1">
        <f t="shared" si="1301"/>
        <v>8.6854839595155</v>
      </c>
      <c r="Y431" s="1">
        <f t="shared" si="1302"/>
        <v>17.8538238832254</v>
      </c>
      <c r="Z431" s="1">
        <f t="shared" si="1303"/>
        <v>2092194.56315571</v>
      </c>
      <c r="AA431" s="1">
        <f t="shared" si="1304"/>
        <v>65257.4998352619</v>
      </c>
      <c r="AB431" s="1">
        <f t="shared" si="1305"/>
        <v>43504.9998901746</v>
      </c>
      <c r="AC431" s="1">
        <f>AB431/(AB431+战斗公式!$M$27)</f>
        <v>0.644470779363808</v>
      </c>
      <c r="AD431" s="1">
        <f t="shared" si="1306"/>
        <v>5884733.07316875</v>
      </c>
      <c r="AE431" s="1">
        <f t="shared" si="1307"/>
        <v>10.3825089667914</v>
      </c>
      <c r="AF431" s="1">
        <f t="shared" si="1308"/>
        <v>5.05085721022033</v>
      </c>
      <c r="AG431" s="1">
        <f t="shared" si="1309"/>
        <v>4.92093901452149</v>
      </c>
      <c r="AH431" s="1">
        <f t="shared" si="1310"/>
        <v>1.8318029223355</v>
      </c>
      <c r="AI431" s="1">
        <f t="shared" si="1311"/>
        <v>1.00000000052439</v>
      </c>
      <c r="AJ431" s="1">
        <f t="shared" si="1312"/>
        <v>1.00013510043491</v>
      </c>
      <c r="AK431" s="1">
        <f t="shared" si="1313"/>
        <v>1</v>
      </c>
      <c r="AL431" s="10">
        <f t="shared" si="1314"/>
        <v>2038379</v>
      </c>
      <c r="AM431" s="10">
        <f t="shared" si="1315"/>
        <v>119539</v>
      </c>
      <c r="AN431" s="10">
        <f t="shared" si="1316"/>
        <v>43505</v>
      </c>
      <c r="AO431" s="1">
        <f t="shared" si="1317"/>
        <v>991760</v>
      </c>
      <c r="AP431" s="1">
        <f t="shared" si="1318"/>
        <v>119539</v>
      </c>
      <c r="AR431" s="1">
        <f t="shared" ref="AR431:AX431" si="1427">ROUNDUP(AR$10*$AO431,0)</f>
        <v>991760</v>
      </c>
      <c r="AS431" s="1">
        <f t="shared" si="1427"/>
        <v>2975280</v>
      </c>
      <c r="AT431" s="1">
        <f t="shared" si="1427"/>
        <v>1785168</v>
      </c>
      <c r="AU431" s="1">
        <f t="shared" si="1427"/>
        <v>495880</v>
      </c>
      <c r="AV431" s="1">
        <f t="shared" si="1427"/>
        <v>148764</v>
      </c>
      <c r="AW431" s="1">
        <f t="shared" si="1427"/>
        <v>3967040</v>
      </c>
      <c r="AX431" s="1">
        <f t="shared" si="1427"/>
        <v>8925840</v>
      </c>
      <c r="AY431" s="1">
        <f t="shared" si="1320"/>
        <v>122302740</v>
      </c>
      <c r="AZ431" s="1">
        <f t="shared" si="1321"/>
        <v>61151370</v>
      </c>
      <c r="BB431" s="1">
        <f t="shared" si="1322"/>
        <v>420</v>
      </c>
    </row>
    <row r="432" spans="2:54">
      <c r="B432" s="4">
        <v>421</v>
      </c>
      <c r="C432" s="1">
        <f t="shared" ref="C432:I432" si="1428">C$5+(C$6-C$5)*(POWER(C$7,$B432-1)-1)/(POWER(C$7,$B$3-1)-1)</f>
        <v>33260.3105361659</v>
      </c>
      <c r="D432" s="1">
        <f t="shared" si="1428"/>
        <v>9978.09316084978</v>
      </c>
      <c r="E432" s="1">
        <f t="shared" si="1428"/>
        <v>6652.06210723319</v>
      </c>
      <c r="F432" s="1">
        <f t="shared" si="1428"/>
        <v>84203.3178130783</v>
      </c>
      <c r="G432" s="1">
        <f t="shared" si="1428"/>
        <v>25260.9953439235</v>
      </c>
      <c r="H432" s="1">
        <f t="shared" si="1428"/>
        <v>16840.6635626157</v>
      </c>
      <c r="I432" s="1">
        <f t="shared" si="1428"/>
        <v>0</v>
      </c>
      <c r="J432" s="1">
        <f>标准模型!$I$65/1*$B432/$B$3</f>
        <v>3.0312</v>
      </c>
      <c r="K432" s="1">
        <f>J432*标准模型!$J$63</f>
        <v>3.0312</v>
      </c>
      <c r="L432" s="1">
        <f t="shared" si="1297"/>
        <v>117463.628349244</v>
      </c>
      <c r="M432" s="1">
        <f t="shared" si="1298"/>
        <v>65484.6844939412</v>
      </c>
      <c r="N432" s="1">
        <f t="shared" si="1299"/>
        <v>43656.4563292941</v>
      </c>
      <c r="O432" s="1">
        <f t="shared" ref="O432:W432" si="1429">O$5+(O$6-O$5)*(POWER(O$7,$B432-1)-1)/(POWER(O$7,$B$3-1)-1)</f>
        <v>0.920858305676745</v>
      </c>
      <c r="P432" s="1">
        <f t="shared" si="1429"/>
        <v>0.315186623788854</v>
      </c>
      <c r="Q432" s="1">
        <f t="shared" si="1429"/>
        <v>0.50647206812221</v>
      </c>
      <c r="R432" s="1">
        <f t="shared" si="1429"/>
        <v>1.1683433222707</v>
      </c>
      <c r="S432" s="1">
        <f t="shared" si="1429"/>
        <v>0.597115797379769</v>
      </c>
      <c r="T432" s="1">
        <f t="shared" si="1429"/>
        <v>3.64134739213931</v>
      </c>
      <c r="U432" s="1">
        <f t="shared" si="1429"/>
        <v>1</v>
      </c>
      <c r="V432" s="1">
        <f t="shared" si="1429"/>
        <v>1.45898734875515</v>
      </c>
      <c r="W432" s="1">
        <f t="shared" si="1429"/>
        <v>2.34674657816559</v>
      </c>
      <c r="X432" s="1">
        <f t="shared" si="1301"/>
        <v>8.73408495060343</v>
      </c>
      <c r="Y432" s="1">
        <f t="shared" si="1302"/>
        <v>17.9643580941219</v>
      </c>
      <c r="Z432" s="1">
        <f t="shared" si="1303"/>
        <v>2110158.68270067</v>
      </c>
      <c r="AA432" s="1">
        <f t="shared" si="1304"/>
        <v>65484.6844939412</v>
      </c>
      <c r="AB432" s="1">
        <f t="shared" si="1305"/>
        <v>43656.4563292941</v>
      </c>
      <c r="AC432" s="1">
        <f>AB432/(AB432+战斗公式!$M$27)</f>
        <v>0.645266670734447</v>
      </c>
      <c r="AD432" s="1">
        <f t="shared" si="1306"/>
        <v>5948577.44850078</v>
      </c>
      <c r="AE432" s="1">
        <f t="shared" si="1307"/>
        <v>10.4005419300353</v>
      </c>
      <c r="AF432" s="1">
        <f t="shared" si="1308"/>
        <v>5.05663582708054</v>
      </c>
      <c r="AG432" s="1">
        <f t="shared" si="1309"/>
        <v>4.92224962614363</v>
      </c>
      <c r="AH432" s="1">
        <f t="shared" si="1310"/>
        <v>1.83720550672214</v>
      </c>
      <c r="AI432" s="1">
        <f t="shared" si="1311"/>
        <v>1.00000000049773</v>
      </c>
      <c r="AJ432" s="1">
        <f t="shared" si="1312"/>
        <v>1.00013172861882</v>
      </c>
      <c r="AK432" s="1">
        <f t="shared" si="1313"/>
        <v>1</v>
      </c>
      <c r="AL432" s="10">
        <f t="shared" si="1314"/>
        <v>2054079</v>
      </c>
      <c r="AM432" s="10">
        <f t="shared" si="1315"/>
        <v>120309</v>
      </c>
      <c r="AN432" s="10">
        <f t="shared" si="1316"/>
        <v>43656</v>
      </c>
      <c r="AO432" s="1">
        <f t="shared" si="1317"/>
        <v>998803</v>
      </c>
      <c r="AP432" s="1">
        <f t="shared" si="1318"/>
        <v>120309</v>
      </c>
      <c r="AR432" s="1">
        <f t="shared" ref="AR432:AX432" si="1430">ROUNDUP(AR$10*$AO432,0)</f>
        <v>998803</v>
      </c>
      <c r="AS432" s="1">
        <f t="shared" si="1430"/>
        <v>2996409</v>
      </c>
      <c r="AT432" s="1">
        <f t="shared" si="1430"/>
        <v>1797846</v>
      </c>
      <c r="AU432" s="1">
        <f t="shared" si="1430"/>
        <v>499402</v>
      </c>
      <c r="AV432" s="1">
        <f t="shared" si="1430"/>
        <v>149821</v>
      </c>
      <c r="AW432" s="1">
        <f t="shared" si="1430"/>
        <v>3995212</v>
      </c>
      <c r="AX432" s="1">
        <f t="shared" si="1430"/>
        <v>8989227</v>
      </c>
      <c r="AY432" s="1">
        <f t="shared" si="1320"/>
        <v>123244740</v>
      </c>
      <c r="AZ432" s="1">
        <f t="shared" si="1321"/>
        <v>61622370</v>
      </c>
      <c r="BB432" s="1">
        <f t="shared" si="1322"/>
        <v>421</v>
      </c>
    </row>
    <row r="433" spans="2:54">
      <c r="B433" s="4">
        <v>422</v>
      </c>
      <c r="C433" s="1">
        <f t="shared" ref="C433:I433" si="1431">C$5+(C$6-C$5)*(POWER(C$7,$B433-1)-1)/(POWER(C$7,$B$3-1)-1)</f>
        <v>33339.2970274881</v>
      </c>
      <c r="D433" s="1">
        <f t="shared" si="1431"/>
        <v>10001.7891082464</v>
      </c>
      <c r="E433" s="1">
        <f t="shared" si="1431"/>
        <v>6667.85940549762</v>
      </c>
      <c r="F433" s="1">
        <f t="shared" si="1431"/>
        <v>84403.283613894</v>
      </c>
      <c r="G433" s="1">
        <f t="shared" si="1431"/>
        <v>25320.9850841682</v>
      </c>
      <c r="H433" s="1">
        <f t="shared" si="1431"/>
        <v>16880.6567227788</v>
      </c>
      <c r="I433" s="1">
        <f t="shared" si="1431"/>
        <v>0</v>
      </c>
      <c r="J433" s="1">
        <f>标准模型!$I$65/1*$B433/$B$3</f>
        <v>3.0384</v>
      </c>
      <c r="K433" s="1">
        <f>J433*标准模型!$J$63</f>
        <v>3.0384</v>
      </c>
      <c r="L433" s="1">
        <f t="shared" si="1297"/>
        <v>117742.580641382</v>
      </c>
      <c r="M433" s="1">
        <f t="shared" si="1298"/>
        <v>65712.2102189106</v>
      </c>
      <c r="N433" s="1">
        <f t="shared" si="1299"/>
        <v>43808.1401459404</v>
      </c>
      <c r="O433" s="1">
        <f t="shared" ref="O433:W433" si="1432">O$5+(O$6-O$5)*(POWER(O$7,$B433-1)-1)/(POWER(O$7,$B$3-1)-1)</f>
        <v>0.921860138346162</v>
      </c>
      <c r="P433" s="1">
        <f t="shared" si="1432"/>
        <v>0.316198660850067</v>
      </c>
      <c r="Q433" s="1">
        <f t="shared" si="1432"/>
        <v>0.507023076090389</v>
      </c>
      <c r="R433" s="1">
        <f t="shared" si="1432"/>
        <v>1.16874405533846</v>
      </c>
      <c r="S433" s="1">
        <f t="shared" si="1432"/>
        <v>0.598418179850011</v>
      </c>
      <c r="T433" s="1">
        <f t="shared" si="1432"/>
        <v>3.64525453955003</v>
      </c>
      <c r="U433" s="1">
        <f t="shared" si="1432"/>
        <v>1</v>
      </c>
      <c r="V433" s="1">
        <f t="shared" si="1432"/>
        <v>1.46007994575188</v>
      </c>
      <c r="W433" s="1">
        <f t="shared" si="1432"/>
        <v>2.34995244270772</v>
      </c>
      <c r="X433" s="1">
        <f t="shared" si="1301"/>
        <v>8.78291851537083</v>
      </c>
      <c r="Y433" s="1">
        <f t="shared" si="1302"/>
        <v>18.0754877954368</v>
      </c>
      <c r="Z433" s="1">
        <f t="shared" si="1303"/>
        <v>2128254.57938653</v>
      </c>
      <c r="AA433" s="1">
        <f t="shared" si="1304"/>
        <v>65712.2102189106</v>
      </c>
      <c r="AB433" s="1">
        <f t="shared" si="1305"/>
        <v>43808.1401459404</v>
      </c>
      <c r="AC433" s="1">
        <f>AB433/(AB433+战斗公式!$M$27)</f>
        <v>0.646060193535085</v>
      </c>
      <c r="AD433" s="1">
        <f t="shared" si="1306"/>
        <v>6013041.03272007</v>
      </c>
      <c r="AE433" s="1">
        <f t="shared" si="1307"/>
        <v>10.41859698974</v>
      </c>
      <c r="AF433" s="1">
        <f t="shared" si="1308"/>
        <v>5.06241875411379</v>
      </c>
      <c r="AG433" s="1">
        <f t="shared" si="1309"/>
        <v>4.92355040817861</v>
      </c>
      <c r="AH433" s="1">
        <f t="shared" si="1310"/>
        <v>1.84261889627755</v>
      </c>
      <c r="AI433" s="1">
        <f t="shared" si="1311"/>
        <v>1.00000000047241</v>
      </c>
      <c r="AJ433" s="1">
        <f t="shared" si="1312"/>
        <v>1.00012842423906</v>
      </c>
      <c r="AK433" s="1">
        <f t="shared" si="1313"/>
        <v>1</v>
      </c>
      <c r="AL433" s="10">
        <f t="shared" si="1314"/>
        <v>2069874</v>
      </c>
      <c r="AM433" s="10">
        <f t="shared" si="1315"/>
        <v>121083</v>
      </c>
      <c r="AN433" s="10">
        <f t="shared" si="1316"/>
        <v>43808</v>
      </c>
      <c r="AO433" s="1">
        <f t="shared" si="1317"/>
        <v>1005885</v>
      </c>
      <c r="AP433" s="1">
        <f t="shared" si="1318"/>
        <v>121083</v>
      </c>
      <c r="AR433" s="1">
        <f t="shared" ref="AR433:AX433" si="1433">ROUNDUP(AR$10*$AO433,0)</f>
        <v>1005885</v>
      </c>
      <c r="AS433" s="1">
        <f t="shared" si="1433"/>
        <v>3017655</v>
      </c>
      <c r="AT433" s="1">
        <f t="shared" si="1433"/>
        <v>1810593</v>
      </c>
      <c r="AU433" s="1">
        <f t="shared" si="1433"/>
        <v>502943</v>
      </c>
      <c r="AV433" s="1">
        <f t="shared" si="1433"/>
        <v>150883</v>
      </c>
      <c r="AW433" s="1">
        <f t="shared" si="1433"/>
        <v>4023540</v>
      </c>
      <c r="AX433" s="1">
        <f t="shared" si="1433"/>
        <v>9052965</v>
      </c>
      <c r="AY433" s="1">
        <f t="shared" si="1320"/>
        <v>124192440</v>
      </c>
      <c r="AZ433" s="1">
        <f t="shared" si="1321"/>
        <v>62096220</v>
      </c>
      <c r="BB433" s="1">
        <f t="shared" si="1322"/>
        <v>422</v>
      </c>
    </row>
    <row r="434" spans="2:54">
      <c r="B434" s="4">
        <v>423</v>
      </c>
      <c r="C434" s="1">
        <f t="shared" ref="C434:I434" si="1434">C$5+(C$6-C$5)*(POWER(C$7,$B434-1)-1)/(POWER(C$7,$B$3-1)-1)</f>
        <v>33418.2834398362</v>
      </c>
      <c r="D434" s="1">
        <f t="shared" si="1434"/>
        <v>10025.4850319509</v>
      </c>
      <c r="E434" s="1">
        <f t="shared" si="1434"/>
        <v>6683.65668796725</v>
      </c>
      <c r="F434" s="1">
        <f t="shared" si="1434"/>
        <v>84603.2492147752</v>
      </c>
      <c r="G434" s="1">
        <f t="shared" si="1434"/>
        <v>25380.9747644326</v>
      </c>
      <c r="H434" s="1">
        <f t="shared" si="1434"/>
        <v>16920.649842955</v>
      </c>
      <c r="I434" s="1">
        <f t="shared" si="1434"/>
        <v>0</v>
      </c>
      <c r="J434" s="1">
        <f>标准模型!$I$65/1*$B434/$B$3</f>
        <v>3.0456</v>
      </c>
      <c r="K434" s="1">
        <f>J434*标准模型!$J$63</f>
        <v>3.0456</v>
      </c>
      <c r="L434" s="1">
        <f t="shared" si="1297"/>
        <v>118021.532654611</v>
      </c>
      <c r="M434" s="1">
        <f t="shared" si="1298"/>
        <v>65940.077009693</v>
      </c>
      <c r="N434" s="1">
        <f t="shared" si="1299"/>
        <v>43960.0513397953</v>
      </c>
      <c r="O434" s="1">
        <f t="shared" ref="O434:W434" si="1435">O$5+(O$6-O$5)*(POWER(O$7,$B434-1)-1)/(POWER(O$7,$B$3-1)-1)</f>
        <v>0.922861970013904</v>
      </c>
      <c r="P434" s="1">
        <f t="shared" si="1435"/>
        <v>0.317212215966872</v>
      </c>
      <c r="Q434" s="1">
        <f t="shared" si="1435"/>
        <v>0.507574083507647</v>
      </c>
      <c r="R434" s="1">
        <f t="shared" si="1435"/>
        <v>1.16914478800556</v>
      </c>
      <c r="S434" s="1">
        <f t="shared" si="1435"/>
        <v>0.599720561018075</v>
      </c>
      <c r="T434" s="1">
        <f t="shared" si="1435"/>
        <v>3.64916168305423</v>
      </c>
      <c r="U434" s="1">
        <f t="shared" si="1435"/>
        <v>1</v>
      </c>
      <c r="V434" s="1">
        <f t="shared" si="1435"/>
        <v>1.46117254165619</v>
      </c>
      <c r="W434" s="1">
        <f t="shared" si="1435"/>
        <v>2.35315830404449</v>
      </c>
      <c r="X434" s="1">
        <f t="shared" si="1301"/>
        <v>8.8319855647038</v>
      </c>
      <c r="Y434" s="1">
        <f t="shared" si="1302"/>
        <v>18.1872156810378</v>
      </c>
      <c r="Z434" s="1">
        <f t="shared" si="1303"/>
        <v>2146483.06939606</v>
      </c>
      <c r="AA434" s="1">
        <f t="shared" si="1304"/>
        <v>65940.077009693</v>
      </c>
      <c r="AB434" s="1">
        <f t="shared" si="1305"/>
        <v>43960.0513397953</v>
      </c>
      <c r="AC434" s="1">
        <f>AB434/(AB434+战斗公式!$M$27)</f>
        <v>0.646851355658904</v>
      </c>
      <c r="AD434" s="1">
        <f t="shared" si="1306"/>
        <v>6078129.14983991</v>
      </c>
      <c r="AE434" s="1">
        <f t="shared" si="1307"/>
        <v>10.4366741257563</v>
      </c>
      <c r="AF434" s="1">
        <f t="shared" si="1308"/>
        <v>5.0682059771415</v>
      </c>
      <c r="AG434" s="1">
        <f t="shared" si="1309"/>
        <v>4.92484143434832</v>
      </c>
      <c r="AH434" s="1">
        <f t="shared" si="1310"/>
        <v>1.84804311261208</v>
      </c>
      <c r="AI434" s="1">
        <f t="shared" si="1311"/>
        <v>1.00000000044834</v>
      </c>
      <c r="AJ434" s="1">
        <f t="shared" si="1312"/>
        <v>1.00012518594689</v>
      </c>
      <c r="AK434" s="1">
        <f t="shared" si="1313"/>
        <v>1</v>
      </c>
      <c r="AL434" s="10">
        <f t="shared" si="1314"/>
        <v>2085765</v>
      </c>
      <c r="AM434" s="10">
        <f t="shared" si="1315"/>
        <v>121860</v>
      </c>
      <c r="AN434" s="10">
        <f t="shared" si="1316"/>
        <v>43960</v>
      </c>
      <c r="AO434" s="1">
        <f t="shared" si="1317"/>
        <v>1013006</v>
      </c>
      <c r="AP434" s="1">
        <f t="shared" si="1318"/>
        <v>121860</v>
      </c>
      <c r="AR434" s="1">
        <f t="shared" ref="AR434:AX434" si="1436">ROUNDUP(AR$10*$AO434,0)</f>
        <v>1013006</v>
      </c>
      <c r="AS434" s="1">
        <f t="shared" si="1436"/>
        <v>3039018</v>
      </c>
      <c r="AT434" s="1">
        <f t="shared" si="1436"/>
        <v>1823411</v>
      </c>
      <c r="AU434" s="1">
        <f t="shared" si="1436"/>
        <v>506503</v>
      </c>
      <c r="AV434" s="1">
        <f t="shared" si="1436"/>
        <v>151951</v>
      </c>
      <c r="AW434" s="1">
        <f t="shared" si="1436"/>
        <v>4052024</v>
      </c>
      <c r="AX434" s="1">
        <f t="shared" si="1436"/>
        <v>9117054</v>
      </c>
      <c r="AY434" s="1">
        <f t="shared" si="1320"/>
        <v>125145900</v>
      </c>
      <c r="AZ434" s="1">
        <f t="shared" si="1321"/>
        <v>62572950</v>
      </c>
      <c r="BB434" s="1">
        <f t="shared" si="1322"/>
        <v>423</v>
      </c>
    </row>
    <row r="435" spans="2:54">
      <c r="B435" s="4">
        <v>424</v>
      </c>
      <c r="C435" s="1">
        <f t="shared" ref="C435:I435" si="1437">C$5+(C$6-C$5)*(POWER(C$7,$B435-1)-1)/(POWER(C$7,$B$3-1)-1)</f>
        <v>33497.2697731927</v>
      </c>
      <c r="D435" s="1">
        <f t="shared" si="1437"/>
        <v>10049.1809319578</v>
      </c>
      <c r="E435" s="1">
        <f t="shared" si="1437"/>
        <v>6699.45395463855</v>
      </c>
      <c r="F435" s="1">
        <f t="shared" si="1437"/>
        <v>84803.2146156778</v>
      </c>
      <c r="G435" s="1">
        <f t="shared" si="1437"/>
        <v>25440.9643847033</v>
      </c>
      <c r="H435" s="1">
        <f t="shared" si="1437"/>
        <v>16960.6429231356</v>
      </c>
      <c r="I435" s="1">
        <f t="shared" si="1437"/>
        <v>0</v>
      </c>
      <c r="J435" s="1">
        <f>标准模型!$I$65/1*$B435/$B$3</f>
        <v>3.0528</v>
      </c>
      <c r="K435" s="1">
        <f>J435*标准模型!$J$63</f>
        <v>3.0528</v>
      </c>
      <c r="L435" s="1">
        <f t="shared" si="1297"/>
        <v>118300.484388871</v>
      </c>
      <c r="M435" s="1">
        <f t="shared" si="1298"/>
        <v>66168.284865742</v>
      </c>
      <c r="N435" s="1">
        <f t="shared" si="1299"/>
        <v>44112.1899104947</v>
      </c>
      <c r="O435" s="1">
        <f t="shared" ref="O435:W435" si="1438">O$5+(O$6-O$5)*(POWER(O$7,$B435-1)-1)/(POWER(O$7,$B$3-1)-1)</f>
        <v>0.923863800679748</v>
      </c>
      <c r="P435" s="1">
        <f t="shared" si="1438"/>
        <v>0.318227291416351</v>
      </c>
      <c r="Q435" s="1">
        <f t="shared" si="1438"/>
        <v>0.508125090373862</v>
      </c>
      <c r="R435" s="1">
        <f t="shared" si="1438"/>
        <v>1.1695455202719</v>
      </c>
      <c r="S435" s="1">
        <f t="shared" si="1438"/>
        <v>0.601022940883673</v>
      </c>
      <c r="T435" s="1">
        <f t="shared" si="1438"/>
        <v>3.65306882265102</v>
      </c>
      <c r="U435" s="1">
        <f t="shared" si="1438"/>
        <v>1</v>
      </c>
      <c r="V435" s="1">
        <f t="shared" si="1438"/>
        <v>1.46226513646783</v>
      </c>
      <c r="W435" s="1">
        <f t="shared" si="1438"/>
        <v>2.3563641621752</v>
      </c>
      <c r="X435" s="1">
        <f t="shared" si="1301"/>
        <v>8.88128701226051</v>
      </c>
      <c r="Y435" s="1">
        <f t="shared" si="1302"/>
        <v>18.299544454582</v>
      </c>
      <c r="Z435" s="1">
        <f t="shared" si="1303"/>
        <v>2164844.97307272</v>
      </c>
      <c r="AA435" s="1">
        <f t="shared" si="1304"/>
        <v>66168.284865742</v>
      </c>
      <c r="AB435" s="1">
        <f t="shared" si="1305"/>
        <v>44112.1899104947</v>
      </c>
      <c r="AC435" s="1">
        <f>AB435/(AB435+战斗公式!$M$27)</f>
        <v>0.647640164975783</v>
      </c>
      <c r="AD435" s="1">
        <f t="shared" si="1306"/>
        <v>6143847.16386287</v>
      </c>
      <c r="AE435" s="1">
        <f t="shared" si="1307"/>
        <v>10.4547733179792</v>
      </c>
      <c r="AF435" s="1">
        <f t="shared" si="1308"/>
        <v>5.07399748204373</v>
      </c>
      <c r="AG435" s="1">
        <f t="shared" si="1309"/>
        <v>4.92612277782176</v>
      </c>
      <c r="AH435" s="1">
        <f t="shared" si="1310"/>
        <v>1.85347817737927</v>
      </c>
      <c r="AI435" s="1">
        <f t="shared" si="1311"/>
        <v>1.00000000042549</v>
      </c>
      <c r="AJ435" s="1">
        <f t="shared" si="1312"/>
        <v>1.00012201242056</v>
      </c>
      <c r="AK435" s="1">
        <f t="shared" si="1313"/>
        <v>1</v>
      </c>
      <c r="AL435" s="10">
        <f t="shared" si="1314"/>
        <v>2101754</v>
      </c>
      <c r="AM435" s="10">
        <f t="shared" si="1315"/>
        <v>122641</v>
      </c>
      <c r="AN435" s="10">
        <f t="shared" si="1316"/>
        <v>44112</v>
      </c>
      <c r="AO435" s="1">
        <f t="shared" si="1317"/>
        <v>1020165</v>
      </c>
      <c r="AP435" s="1">
        <f t="shared" si="1318"/>
        <v>122641</v>
      </c>
      <c r="AR435" s="1">
        <f t="shared" ref="AR435:AX435" si="1439">ROUNDUP(AR$10*$AO435,0)</f>
        <v>1020165</v>
      </c>
      <c r="AS435" s="1">
        <f t="shared" si="1439"/>
        <v>3060495</v>
      </c>
      <c r="AT435" s="1">
        <f t="shared" si="1439"/>
        <v>1836297</v>
      </c>
      <c r="AU435" s="1">
        <f t="shared" si="1439"/>
        <v>510083</v>
      </c>
      <c r="AV435" s="1">
        <f t="shared" si="1439"/>
        <v>153025</v>
      </c>
      <c r="AW435" s="1">
        <f t="shared" si="1439"/>
        <v>4080660</v>
      </c>
      <c r="AX435" s="1">
        <f t="shared" si="1439"/>
        <v>9181485</v>
      </c>
      <c r="AY435" s="1">
        <f t="shared" si="1320"/>
        <v>126105240</v>
      </c>
      <c r="AZ435" s="1">
        <f t="shared" si="1321"/>
        <v>63052620</v>
      </c>
      <c r="BB435" s="1">
        <f t="shared" si="1322"/>
        <v>424</v>
      </c>
    </row>
    <row r="436" spans="2:54">
      <c r="B436" s="4">
        <v>425</v>
      </c>
      <c r="C436" s="1">
        <f t="shared" ref="C436:I436" si="1440">C$5+(C$6-C$5)*(POWER(C$7,$B436-1)-1)/(POWER(C$7,$B$3-1)-1)</f>
        <v>33576.2560275576</v>
      </c>
      <c r="D436" s="1">
        <f t="shared" si="1440"/>
        <v>10072.8768082673</v>
      </c>
      <c r="E436" s="1">
        <f t="shared" si="1440"/>
        <v>6715.25120551152</v>
      </c>
      <c r="F436" s="1">
        <f t="shared" si="1440"/>
        <v>85003.1798166016</v>
      </c>
      <c r="G436" s="1">
        <f t="shared" si="1440"/>
        <v>25500.9539449805</v>
      </c>
      <c r="H436" s="1">
        <f t="shared" si="1440"/>
        <v>17000.6359633203</v>
      </c>
      <c r="I436" s="1">
        <f t="shared" si="1440"/>
        <v>0</v>
      </c>
      <c r="J436" s="1">
        <f>标准模型!$I$65/1*$B436/$B$3</f>
        <v>3.06</v>
      </c>
      <c r="K436" s="1">
        <f>J436*标准模型!$J$63</f>
        <v>3.06</v>
      </c>
      <c r="L436" s="1">
        <f t="shared" si="1297"/>
        <v>118579.435844159</v>
      </c>
      <c r="M436" s="1">
        <f t="shared" si="1298"/>
        <v>66396.8337865457</v>
      </c>
      <c r="N436" s="1">
        <f t="shared" si="1299"/>
        <v>44264.5558576971</v>
      </c>
      <c r="O436" s="1">
        <f t="shared" ref="O436:W436" si="1441">O$5+(O$6-O$5)*(POWER(O$7,$B436-1)-1)/(POWER(O$7,$B$3-1)-1)</f>
        <v>0.924865630343695</v>
      </c>
      <c r="P436" s="1">
        <f t="shared" si="1441"/>
        <v>0.319243889479006</v>
      </c>
      <c r="Q436" s="1">
        <f t="shared" si="1441"/>
        <v>0.508676096689032</v>
      </c>
      <c r="R436" s="1">
        <f t="shared" si="1441"/>
        <v>1.16994625213748</v>
      </c>
      <c r="S436" s="1">
        <f t="shared" si="1441"/>
        <v>0.602325319446804</v>
      </c>
      <c r="T436" s="1">
        <f t="shared" si="1441"/>
        <v>3.65697595834041</v>
      </c>
      <c r="U436" s="1">
        <f t="shared" si="1441"/>
        <v>1</v>
      </c>
      <c r="V436" s="1">
        <f t="shared" si="1441"/>
        <v>1.4633577301868</v>
      </c>
      <c r="W436" s="1">
        <f t="shared" si="1441"/>
        <v>2.35957001709983</v>
      </c>
      <c r="X436" s="1">
        <f t="shared" si="1301"/>
        <v>8.93082377450596</v>
      </c>
      <c r="Y436" s="1">
        <f t="shared" si="1302"/>
        <v>18.4124768296119</v>
      </c>
      <c r="Z436" s="1">
        <f t="shared" si="1303"/>
        <v>2183341.11494903</v>
      </c>
      <c r="AA436" s="1">
        <f t="shared" si="1304"/>
        <v>66396.8337865457</v>
      </c>
      <c r="AB436" s="1">
        <f t="shared" si="1305"/>
        <v>44264.5558576971</v>
      </c>
      <c r="AC436" s="1">
        <f>AB436/(AB436+战斗公式!$M$27)</f>
        <v>0.648426629332652</v>
      </c>
      <c r="AD436" s="1">
        <f t="shared" si="1306"/>
        <v>6210200.47907685</v>
      </c>
      <c r="AE436" s="1">
        <f t="shared" si="1307"/>
        <v>10.4728945463637</v>
      </c>
      <c r="AF436" s="1">
        <f t="shared" si="1308"/>
        <v>5.07979325476391</v>
      </c>
      <c r="AG436" s="1">
        <f t="shared" si="1309"/>
        <v>4.92739451121915</v>
      </c>
      <c r="AH436" s="1">
        <f t="shared" si="1310"/>
        <v>1.858924112276</v>
      </c>
      <c r="AI436" s="1">
        <f t="shared" si="1311"/>
        <v>1.00000000040377</v>
      </c>
      <c r="AJ436" s="1">
        <f t="shared" si="1312"/>
        <v>1.00011890236476</v>
      </c>
      <c r="AK436" s="1">
        <f t="shared" si="1313"/>
        <v>1</v>
      </c>
      <c r="AL436" s="10">
        <f t="shared" si="1314"/>
        <v>2117839</v>
      </c>
      <c r="AM436" s="10">
        <f t="shared" si="1315"/>
        <v>123427</v>
      </c>
      <c r="AN436" s="10">
        <f t="shared" si="1316"/>
        <v>44265</v>
      </c>
      <c r="AO436" s="1">
        <f t="shared" si="1317"/>
        <v>1027363</v>
      </c>
      <c r="AP436" s="1">
        <f t="shared" si="1318"/>
        <v>123427</v>
      </c>
      <c r="AR436" s="1">
        <f t="shared" ref="AR436:AX436" si="1442">ROUNDUP(AR$10*$AO436,0)</f>
        <v>1027363</v>
      </c>
      <c r="AS436" s="1">
        <f t="shared" si="1442"/>
        <v>3082089</v>
      </c>
      <c r="AT436" s="1">
        <f t="shared" si="1442"/>
        <v>1849254</v>
      </c>
      <c r="AU436" s="1">
        <f t="shared" si="1442"/>
        <v>513682</v>
      </c>
      <c r="AV436" s="1">
        <f t="shared" si="1442"/>
        <v>154105</v>
      </c>
      <c r="AW436" s="1">
        <f t="shared" si="1442"/>
        <v>4109452</v>
      </c>
      <c r="AX436" s="1">
        <f t="shared" si="1442"/>
        <v>9246267</v>
      </c>
      <c r="AY436" s="1">
        <f t="shared" si="1320"/>
        <v>127070340</v>
      </c>
      <c r="AZ436" s="1">
        <f t="shared" si="1321"/>
        <v>63535170</v>
      </c>
      <c r="BB436" s="1">
        <f t="shared" si="1322"/>
        <v>425</v>
      </c>
    </row>
    <row r="437" spans="2:54">
      <c r="B437" s="4">
        <v>426</v>
      </c>
      <c r="C437" s="1">
        <f t="shared" ref="C437:I437" si="1443">C$5+(C$6-C$5)*(POWER(C$7,$B437-1)-1)/(POWER(C$7,$B$3-1)-1)</f>
        <v>33655.2422029397</v>
      </c>
      <c r="D437" s="1">
        <f t="shared" si="1443"/>
        <v>10096.5726608819</v>
      </c>
      <c r="E437" s="1">
        <f t="shared" si="1443"/>
        <v>6731.04844058794</v>
      </c>
      <c r="F437" s="1">
        <f t="shared" si="1443"/>
        <v>85203.1448175688</v>
      </c>
      <c r="G437" s="1">
        <f t="shared" si="1443"/>
        <v>25560.9434452706</v>
      </c>
      <c r="H437" s="1">
        <f t="shared" si="1443"/>
        <v>17040.6289635138</v>
      </c>
      <c r="I437" s="1">
        <f t="shared" si="1443"/>
        <v>0</v>
      </c>
      <c r="J437" s="1">
        <f>标准模型!$I$65/1*$B437/$B$3</f>
        <v>3.0672</v>
      </c>
      <c r="K437" s="1">
        <f>J437*标准模型!$J$63</f>
        <v>3.0672</v>
      </c>
      <c r="L437" s="1">
        <f t="shared" si="1297"/>
        <v>118858.387020508</v>
      </c>
      <c r="M437" s="1">
        <f t="shared" si="1298"/>
        <v>66625.7237716095</v>
      </c>
      <c r="N437" s="1">
        <f t="shared" si="1299"/>
        <v>44417.149181073</v>
      </c>
      <c r="O437" s="1">
        <f t="shared" ref="O437:W437" si="1444">O$5+(O$6-O$5)*(POWER(O$7,$B437-1)-1)/(POWER(O$7,$B$3-1)-1)</f>
        <v>0.925867459005856</v>
      </c>
      <c r="P437" s="1">
        <f t="shared" si="1444"/>
        <v>0.320262012438754</v>
      </c>
      <c r="Q437" s="1">
        <f t="shared" si="1444"/>
        <v>0.509227102453221</v>
      </c>
      <c r="R437" s="1">
        <f t="shared" si="1444"/>
        <v>1.17034698360234</v>
      </c>
      <c r="S437" s="1">
        <f t="shared" si="1444"/>
        <v>0.603627696707613</v>
      </c>
      <c r="T437" s="1">
        <f t="shared" si="1444"/>
        <v>3.66088309012284</v>
      </c>
      <c r="U437" s="1">
        <f t="shared" si="1444"/>
        <v>1</v>
      </c>
      <c r="V437" s="1">
        <f t="shared" si="1444"/>
        <v>1.46445032281322</v>
      </c>
      <c r="W437" s="1">
        <f t="shared" si="1444"/>
        <v>2.36277586881874</v>
      </c>
      <c r="X437" s="1">
        <f t="shared" si="1301"/>
        <v>8.98059677071451</v>
      </c>
      <c r="Y437" s="1">
        <f t="shared" si="1302"/>
        <v>18.5260155295731</v>
      </c>
      <c r="Z437" s="1">
        <f t="shared" si="1303"/>
        <v>2201972.32376195</v>
      </c>
      <c r="AA437" s="1">
        <f t="shared" si="1304"/>
        <v>66625.7237716095</v>
      </c>
      <c r="AB437" s="1">
        <f t="shared" si="1305"/>
        <v>44417.149181073</v>
      </c>
      <c r="AC437" s="1">
        <f>AB437/(AB437+战斗公式!$M$27)</f>
        <v>0.649210756553426</v>
      </c>
      <c r="AD437" s="1">
        <f t="shared" si="1306"/>
        <v>6277194.54030897</v>
      </c>
      <c r="AE437" s="1">
        <f t="shared" si="1307"/>
        <v>10.4910377909221</v>
      </c>
      <c r="AF437" s="1">
        <f t="shared" si="1308"/>
        <v>5.0855932813077</v>
      </c>
      <c r="AG437" s="1">
        <f t="shared" si="1309"/>
        <v>4.92865670661606</v>
      </c>
      <c r="AH437" s="1">
        <f t="shared" si="1310"/>
        <v>1.86438093904252</v>
      </c>
      <c r="AI437" s="1">
        <f t="shared" si="1311"/>
        <v>1.00000000038314</v>
      </c>
      <c r="AJ437" s="1">
        <f t="shared" si="1312"/>
        <v>1.00011585451008</v>
      </c>
      <c r="AK437" s="1">
        <f t="shared" si="1313"/>
        <v>1</v>
      </c>
      <c r="AL437" s="10">
        <f t="shared" si="1314"/>
        <v>2134022</v>
      </c>
      <c r="AM437" s="10">
        <f t="shared" si="1315"/>
        <v>124216</v>
      </c>
      <c r="AN437" s="10">
        <f t="shared" si="1316"/>
        <v>44417</v>
      </c>
      <c r="AO437" s="1">
        <f t="shared" si="1317"/>
        <v>1034600</v>
      </c>
      <c r="AP437" s="1">
        <f t="shared" si="1318"/>
        <v>124216</v>
      </c>
      <c r="AR437" s="1">
        <f t="shared" ref="AR437:AX437" si="1445">ROUNDUP(AR$10*$AO437,0)</f>
        <v>1034600</v>
      </c>
      <c r="AS437" s="1">
        <f t="shared" si="1445"/>
        <v>3103800</v>
      </c>
      <c r="AT437" s="1">
        <f t="shared" si="1445"/>
        <v>1862280</v>
      </c>
      <c r="AU437" s="1">
        <f t="shared" si="1445"/>
        <v>517300</v>
      </c>
      <c r="AV437" s="1">
        <f t="shared" si="1445"/>
        <v>155190</v>
      </c>
      <c r="AW437" s="1">
        <f t="shared" si="1445"/>
        <v>4138400</v>
      </c>
      <c r="AX437" s="1">
        <f t="shared" si="1445"/>
        <v>9311400</v>
      </c>
      <c r="AY437" s="1">
        <f t="shared" si="1320"/>
        <v>128041320</v>
      </c>
      <c r="AZ437" s="1">
        <f t="shared" si="1321"/>
        <v>64020660</v>
      </c>
      <c r="BB437" s="1">
        <f t="shared" si="1322"/>
        <v>426</v>
      </c>
    </row>
    <row r="438" spans="2:54">
      <c r="B438" s="4">
        <v>427</v>
      </c>
      <c r="C438" s="1">
        <f t="shared" ref="C438:I438" si="1446">C$5+(C$6-C$5)*(POWER(C$7,$B438-1)-1)/(POWER(C$7,$B$3-1)-1)</f>
        <v>33734.2282993389</v>
      </c>
      <c r="D438" s="1">
        <f t="shared" si="1446"/>
        <v>10120.2684898017</v>
      </c>
      <c r="E438" s="1">
        <f t="shared" si="1446"/>
        <v>6746.84565986778</v>
      </c>
      <c r="F438" s="1">
        <f t="shared" si="1446"/>
        <v>85403.1096185795</v>
      </c>
      <c r="G438" s="1">
        <f t="shared" si="1446"/>
        <v>25620.9328855739</v>
      </c>
      <c r="H438" s="1">
        <f t="shared" si="1446"/>
        <v>17080.6219237159</v>
      </c>
      <c r="I438" s="1">
        <f t="shared" si="1446"/>
        <v>0</v>
      </c>
      <c r="J438" s="1">
        <f>标准模型!$I$65/1*$B438/$B$3</f>
        <v>3.0744</v>
      </c>
      <c r="K438" s="1">
        <f>J438*标准模型!$J$63</f>
        <v>3.0744</v>
      </c>
      <c r="L438" s="1">
        <f t="shared" si="1297"/>
        <v>119137.337917918</v>
      </c>
      <c r="M438" s="1">
        <f t="shared" si="1298"/>
        <v>66854.9548204218</v>
      </c>
      <c r="N438" s="1">
        <f t="shared" si="1299"/>
        <v>44569.9698802812</v>
      </c>
      <c r="O438" s="1">
        <f t="shared" ref="O438:W438" si="1447">O$5+(O$6-O$5)*(POWER(O$7,$B438-1)-1)/(POWER(O$7,$B$3-1)-1)</f>
        <v>0.92686928666623</v>
      </c>
      <c r="P438" s="1">
        <f t="shared" si="1447"/>
        <v>0.321281662582942</v>
      </c>
      <c r="Q438" s="1">
        <f t="shared" si="1447"/>
        <v>0.509778107666427</v>
      </c>
      <c r="R438" s="1">
        <f t="shared" si="1447"/>
        <v>1.17074771466649</v>
      </c>
      <c r="S438" s="1">
        <f t="shared" si="1447"/>
        <v>0.604930072666099</v>
      </c>
      <c r="T438" s="1">
        <f t="shared" si="1447"/>
        <v>3.6647902179983</v>
      </c>
      <c r="U438" s="1">
        <f t="shared" si="1447"/>
        <v>1</v>
      </c>
      <c r="V438" s="1">
        <f t="shared" si="1447"/>
        <v>1.4655429143471</v>
      </c>
      <c r="W438" s="1">
        <f t="shared" si="1447"/>
        <v>2.36598171733194</v>
      </c>
      <c r="X438" s="1">
        <f t="shared" si="1301"/>
        <v>9.0306069229675</v>
      </c>
      <c r="Y438" s="1">
        <f t="shared" si="1302"/>
        <v>18.640163287821</v>
      </c>
      <c r="Z438" s="1">
        <f t="shared" si="1303"/>
        <v>2220739.43246631</v>
      </c>
      <c r="AA438" s="1">
        <f t="shared" si="1304"/>
        <v>66854.9548204218</v>
      </c>
      <c r="AB438" s="1">
        <f t="shared" si="1305"/>
        <v>44569.9698802812</v>
      </c>
      <c r="AC438" s="1">
        <f>AB438/(AB438+战斗公式!$M$27)</f>
        <v>0.649992554438882</v>
      </c>
      <c r="AD438" s="1">
        <f t="shared" si="1306"/>
        <v>6344834.83317364</v>
      </c>
      <c r="AE438" s="1">
        <f t="shared" si="1307"/>
        <v>10.5092030317178</v>
      </c>
      <c r="AF438" s="1">
        <f t="shared" si="1308"/>
        <v>5.09139754774088</v>
      </c>
      <c r="AG438" s="1">
        <f t="shared" si="1309"/>
        <v>4.92990943554749</v>
      </c>
      <c r="AH438" s="1">
        <f t="shared" si="1310"/>
        <v>1.86984867946258</v>
      </c>
      <c r="AI438" s="1">
        <f t="shared" si="1311"/>
        <v>1.00000000036355</v>
      </c>
      <c r="AJ438" s="1">
        <f t="shared" si="1312"/>
        <v>1.00011286761249</v>
      </c>
      <c r="AK438" s="1">
        <f t="shared" si="1313"/>
        <v>1</v>
      </c>
      <c r="AL438" s="10">
        <f t="shared" si="1314"/>
        <v>2150302</v>
      </c>
      <c r="AM438" s="10">
        <f t="shared" si="1315"/>
        <v>125009</v>
      </c>
      <c r="AN438" s="10">
        <f t="shared" si="1316"/>
        <v>44570</v>
      </c>
      <c r="AO438" s="1">
        <f t="shared" si="1317"/>
        <v>1041875</v>
      </c>
      <c r="AP438" s="1">
        <f t="shared" si="1318"/>
        <v>125009</v>
      </c>
      <c r="AR438" s="1">
        <f t="shared" ref="AR438:AX438" si="1448">ROUNDUP(AR$10*$AO438,0)</f>
        <v>1041875</v>
      </c>
      <c r="AS438" s="1">
        <f t="shared" si="1448"/>
        <v>3125625</v>
      </c>
      <c r="AT438" s="1">
        <f t="shared" si="1448"/>
        <v>1875375</v>
      </c>
      <c r="AU438" s="1">
        <f t="shared" si="1448"/>
        <v>520938</v>
      </c>
      <c r="AV438" s="1">
        <f t="shared" si="1448"/>
        <v>156282</v>
      </c>
      <c r="AW438" s="1">
        <f t="shared" si="1448"/>
        <v>4167500</v>
      </c>
      <c r="AX438" s="1">
        <f t="shared" si="1448"/>
        <v>9376875</v>
      </c>
      <c r="AY438" s="1">
        <f t="shared" si="1320"/>
        <v>129018120</v>
      </c>
      <c r="AZ438" s="1">
        <f t="shared" si="1321"/>
        <v>64509060</v>
      </c>
      <c r="BB438" s="1">
        <f t="shared" si="1322"/>
        <v>427</v>
      </c>
    </row>
    <row r="439" spans="2:54">
      <c r="B439" s="4">
        <v>428</v>
      </c>
      <c r="C439" s="1">
        <f t="shared" ref="C439:I439" si="1449">C$5+(C$6-C$5)*(POWER(C$7,$B439-1)-1)/(POWER(C$7,$B$3-1)-1)</f>
        <v>33813.2143167553</v>
      </c>
      <c r="D439" s="1">
        <f t="shared" si="1449"/>
        <v>10143.9642950266</v>
      </c>
      <c r="E439" s="1">
        <f t="shared" si="1449"/>
        <v>6762.64286335106</v>
      </c>
      <c r="F439" s="1">
        <f t="shared" si="1449"/>
        <v>85603.0742196337</v>
      </c>
      <c r="G439" s="1">
        <f t="shared" si="1449"/>
        <v>25680.9222658901</v>
      </c>
      <c r="H439" s="1">
        <f t="shared" si="1449"/>
        <v>17120.6148439267</v>
      </c>
      <c r="I439" s="1">
        <f t="shared" si="1449"/>
        <v>0</v>
      </c>
      <c r="J439" s="1">
        <f>标准模型!$I$65/1*$B439/$B$3</f>
        <v>3.0816</v>
      </c>
      <c r="K439" s="1">
        <f>J439*标准模型!$J$63</f>
        <v>3.0816</v>
      </c>
      <c r="L439" s="1">
        <f t="shared" si="1297"/>
        <v>119416.288536389</v>
      </c>
      <c r="M439" s="1">
        <f t="shared" si="1298"/>
        <v>67084.5269324706</v>
      </c>
      <c r="N439" s="1">
        <f t="shared" si="1299"/>
        <v>44723.0179549804</v>
      </c>
      <c r="O439" s="1">
        <f t="shared" ref="O439:W439" si="1450">O$5+(O$6-O$5)*(POWER(O$7,$B439-1)-1)/(POWER(O$7,$B$3-1)-1)</f>
        <v>0.927871113324818</v>
      </c>
      <c r="P439" s="1">
        <f t="shared" si="1450"/>
        <v>0.322302842202346</v>
      </c>
      <c r="Q439" s="1">
        <f t="shared" si="1450"/>
        <v>0.51032911232865</v>
      </c>
      <c r="R439" s="1">
        <f t="shared" si="1450"/>
        <v>1.17114844532993</v>
      </c>
      <c r="S439" s="1">
        <f t="shared" si="1450"/>
        <v>0.606232447322264</v>
      </c>
      <c r="T439" s="1">
        <f t="shared" si="1450"/>
        <v>3.66869734196679</v>
      </c>
      <c r="U439" s="1">
        <f t="shared" si="1450"/>
        <v>1</v>
      </c>
      <c r="V439" s="1">
        <f t="shared" si="1450"/>
        <v>1.46663550478843</v>
      </c>
      <c r="W439" s="1">
        <f t="shared" si="1450"/>
        <v>2.36918756263942</v>
      </c>
      <c r="X439" s="1">
        <f t="shared" si="1301"/>
        <v>9.08085515616479</v>
      </c>
      <c r="Y439" s="1">
        <f t="shared" si="1302"/>
        <v>18.7549228476605</v>
      </c>
      <c r="Z439" s="1">
        <f t="shared" si="1303"/>
        <v>2239643.27825394</v>
      </c>
      <c r="AA439" s="1">
        <f t="shared" si="1304"/>
        <v>67084.5269324706</v>
      </c>
      <c r="AB439" s="1">
        <f t="shared" si="1305"/>
        <v>44723.0179549804</v>
      </c>
      <c r="AC439" s="1">
        <f>AB439/(AB439+战斗公式!$M$27)</f>
        <v>0.650772030766721</v>
      </c>
      <c r="AD439" s="1">
        <f t="shared" si="1306"/>
        <v>6413126.88434154</v>
      </c>
      <c r="AE439" s="1">
        <f t="shared" si="1307"/>
        <v>10.527390248868</v>
      </c>
      <c r="AF439" s="1">
        <f t="shared" si="1308"/>
        <v>5.09720604018995</v>
      </c>
      <c r="AG439" s="1">
        <f t="shared" si="1309"/>
        <v>4.93115276901194</v>
      </c>
      <c r="AH439" s="1">
        <f t="shared" si="1310"/>
        <v>1.87532735536347</v>
      </c>
      <c r="AI439" s="1">
        <f t="shared" si="1311"/>
        <v>1.00000000034493</v>
      </c>
      <c r="AJ439" s="1">
        <f t="shared" si="1312"/>
        <v>1.00010994045285</v>
      </c>
      <c r="AK439" s="1">
        <f t="shared" si="1313"/>
        <v>1</v>
      </c>
      <c r="AL439" s="10">
        <f t="shared" si="1314"/>
        <v>2166682</v>
      </c>
      <c r="AM439" s="10">
        <f t="shared" si="1315"/>
        <v>125805</v>
      </c>
      <c r="AN439" s="10">
        <f t="shared" si="1316"/>
        <v>44723</v>
      </c>
      <c r="AO439" s="1">
        <f t="shared" si="1317"/>
        <v>1049190</v>
      </c>
      <c r="AP439" s="1">
        <f t="shared" si="1318"/>
        <v>125805</v>
      </c>
      <c r="AR439" s="1">
        <f t="shared" ref="AR439:AX439" si="1451">ROUNDUP(AR$10*$AO439,0)</f>
        <v>1049190</v>
      </c>
      <c r="AS439" s="1">
        <f t="shared" si="1451"/>
        <v>3147570</v>
      </c>
      <c r="AT439" s="1">
        <f t="shared" si="1451"/>
        <v>1888542</v>
      </c>
      <c r="AU439" s="1">
        <f t="shared" si="1451"/>
        <v>524595</v>
      </c>
      <c r="AV439" s="1">
        <f t="shared" si="1451"/>
        <v>157379</v>
      </c>
      <c r="AW439" s="1">
        <f t="shared" si="1451"/>
        <v>4196760</v>
      </c>
      <c r="AX439" s="1">
        <f t="shared" si="1451"/>
        <v>9442710</v>
      </c>
      <c r="AY439" s="1">
        <f t="shared" si="1320"/>
        <v>130000920</v>
      </c>
      <c r="AZ439" s="1">
        <f t="shared" si="1321"/>
        <v>65000460</v>
      </c>
      <c r="BB439" s="1">
        <f t="shared" si="1322"/>
        <v>428</v>
      </c>
    </row>
    <row r="440" spans="2:54">
      <c r="B440" s="4">
        <v>429</v>
      </c>
      <c r="C440" s="1">
        <f t="shared" ref="C440:I440" si="1452">C$5+(C$6-C$5)*(POWER(C$7,$B440-1)-1)/(POWER(C$7,$B$3-1)-1)</f>
        <v>33892.2002551801</v>
      </c>
      <c r="D440" s="1">
        <f t="shared" si="1452"/>
        <v>10167.660076554</v>
      </c>
      <c r="E440" s="1">
        <f t="shared" si="1452"/>
        <v>6778.44005103602</v>
      </c>
      <c r="F440" s="1">
        <f t="shared" si="1452"/>
        <v>85803.0386207091</v>
      </c>
      <c r="G440" s="1">
        <f t="shared" si="1452"/>
        <v>25740.9115862127</v>
      </c>
      <c r="H440" s="1">
        <f t="shared" si="1452"/>
        <v>17160.6077241418</v>
      </c>
      <c r="I440" s="1">
        <f t="shared" si="1452"/>
        <v>0</v>
      </c>
      <c r="J440" s="1">
        <f>标准模型!$I$65/1*$B440/$B$3</f>
        <v>3.0888</v>
      </c>
      <c r="K440" s="1">
        <f>J440*标准模型!$J$63</f>
        <v>3.0888</v>
      </c>
      <c r="L440" s="1">
        <f t="shared" si="1297"/>
        <v>119695.238875889</v>
      </c>
      <c r="M440" s="1">
        <f t="shared" si="1298"/>
        <v>67314.4401072269</v>
      </c>
      <c r="N440" s="1">
        <f t="shared" si="1299"/>
        <v>44876.2934048179</v>
      </c>
      <c r="O440" s="1">
        <f t="shared" ref="O440:W440" si="1453">O$5+(O$6-O$5)*(POWER(O$7,$B440-1)-1)/(POWER(O$7,$B$3-1)-1)</f>
        <v>0.928872938981509</v>
      </c>
      <c r="P440" s="1">
        <f t="shared" si="1453"/>
        <v>0.323325553591179</v>
      </c>
      <c r="Q440" s="1">
        <f t="shared" si="1453"/>
        <v>0.51088011643983</v>
      </c>
      <c r="R440" s="1">
        <f t="shared" si="1453"/>
        <v>1.1715491755926</v>
      </c>
      <c r="S440" s="1">
        <f t="shared" si="1453"/>
        <v>0.607534820675961</v>
      </c>
      <c r="T440" s="1">
        <f t="shared" si="1453"/>
        <v>3.67260446202788</v>
      </c>
      <c r="U440" s="1">
        <f t="shared" si="1453"/>
        <v>1</v>
      </c>
      <c r="V440" s="1">
        <f t="shared" si="1453"/>
        <v>1.4677280941371</v>
      </c>
      <c r="W440" s="1">
        <f t="shared" si="1453"/>
        <v>2.37239340474083</v>
      </c>
      <c r="X440" s="1">
        <f t="shared" si="1301"/>
        <v>9.13134239802715</v>
      </c>
      <c r="Y440" s="1">
        <f t="shared" si="1302"/>
        <v>18.8702969623636</v>
      </c>
      <c r="Z440" s="1">
        <f t="shared" si="1303"/>
        <v>2258684.70256908</v>
      </c>
      <c r="AA440" s="1">
        <f t="shared" si="1304"/>
        <v>67314.4401072269</v>
      </c>
      <c r="AB440" s="1">
        <f t="shared" si="1305"/>
        <v>44876.2934048179</v>
      </c>
      <c r="AC440" s="1">
        <f>AB440/(AB440+战斗公式!$M$27)</f>
        <v>0.651549193291502</v>
      </c>
      <c r="AD440" s="1">
        <f t="shared" si="1306"/>
        <v>6482076.26179675</v>
      </c>
      <c r="AE440" s="1">
        <f t="shared" si="1307"/>
        <v>10.5455994225406</v>
      </c>
      <c r="AF440" s="1">
        <f t="shared" si="1308"/>
        <v>5.10301874484086</v>
      </c>
      <c r="AG440" s="1">
        <f t="shared" si="1309"/>
        <v>4.9323867774754</v>
      </c>
      <c r="AH440" s="1">
        <f t="shared" si="1310"/>
        <v>1.88081698861617</v>
      </c>
      <c r="AI440" s="1">
        <f t="shared" si="1311"/>
        <v>1.00000000032724</v>
      </c>
      <c r="AJ440" s="1">
        <f t="shared" si="1312"/>
        <v>1.00010707183641</v>
      </c>
      <c r="AK440" s="1">
        <f t="shared" si="1313"/>
        <v>1</v>
      </c>
      <c r="AL440" s="10">
        <f t="shared" si="1314"/>
        <v>2183160</v>
      </c>
      <c r="AM440" s="10">
        <f t="shared" si="1315"/>
        <v>126606</v>
      </c>
      <c r="AN440" s="10">
        <f t="shared" si="1316"/>
        <v>44876</v>
      </c>
      <c r="AO440" s="1">
        <f t="shared" si="1317"/>
        <v>1056545</v>
      </c>
      <c r="AP440" s="1">
        <f t="shared" si="1318"/>
        <v>126606</v>
      </c>
      <c r="AR440" s="1">
        <f t="shared" ref="AR440:AX440" si="1454">ROUNDUP(AR$10*$AO440,0)</f>
        <v>1056545</v>
      </c>
      <c r="AS440" s="1">
        <f t="shared" si="1454"/>
        <v>3169635</v>
      </c>
      <c r="AT440" s="1">
        <f t="shared" si="1454"/>
        <v>1901781</v>
      </c>
      <c r="AU440" s="1">
        <f t="shared" si="1454"/>
        <v>528273</v>
      </c>
      <c r="AV440" s="1">
        <f t="shared" si="1454"/>
        <v>158482</v>
      </c>
      <c r="AW440" s="1">
        <f t="shared" si="1454"/>
        <v>4226180</v>
      </c>
      <c r="AX440" s="1">
        <f t="shared" si="1454"/>
        <v>9508905</v>
      </c>
      <c r="AY440" s="1">
        <f t="shared" si="1320"/>
        <v>130989600</v>
      </c>
      <c r="AZ440" s="1">
        <f t="shared" si="1321"/>
        <v>65494800</v>
      </c>
      <c r="BB440" s="1">
        <f t="shared" si="1322"/>
        <v>429</v>
      </c>
    </row>
    <row r="441" spans="2:54">
      <c r="B441" s="4">
        <v>430</v>
      </c>
      <c r="C441" s="1">
        <f t="shared" ref="C441:I441" si="1455">C$5+(C$6-C$5)*(POWER(C$7,$B441-1)-1)/(POWER(C$7,$B$3-1)-1)</f>
        <v>33971.1861146133</v>
      </c>
      <c r="D441" s="1">
        <f t="shared" si="1455"/>
        <v>10191.355834384</v>
      </c>
      <c r="E441" s="1">
        <f t="shared" si="1455"/>
        <v>6794.23722292266</v>
      </c>
      <c r="F441" s="1">
        <f t="shared" si="1455"/>
        <v>86003.0028218058</v>
      </c>
      <c r="G441" s="1">
        <f t="shared" si="1455"/>
        <v>25800.9008465417</v>
      </c>
      <c r="H441" s="1">
        <f t="shared" si="1455"/>
        <v>17200.6005643612</v>
      </c>
      <c r="I441" s="1">
        <f t="shared" si="1455"/>
        <v>0</v>
      </c>
      <c r="J441" s="1">
        <f>标准模型!$I$65/1*$B441/$B$3</f>
        <v>3.096</v>
      </c>
      <c r="K441" s="1">
        <f>J441*标准模型!$J$63</f>
        <v>3.096</v>
      </c>
      <c r="L441" s="1">
        <f t="shared" si="1297"/>
        <v>119974.188936419</v>
      </c>
      <c r="M441" s="1">
        <f t="shared" si="1298"/>
        <v>67544.6943441786</v>
      </c>
      <c r="N441" s="1">
        <f t="shared" si="1299"/>
        <v>45029.7962294524</v>
      </c>
      <c r="O441" s="1">
        <f t="shared" ref="O441:W441" si="1456">O$5+(O$6-O$5)*(POWER(O$7,$B441-1)-1)/(POWER(O$7,$B$3-1)-1)</f>
        <v>0.929874763636302</v>
      </c>
      <c r="P441" s="1">
        <f t="shared" si="1456"/>
        <v>0.324349799047095</v>
      </c>
      <c r="Q441" s="1">
        <f t="shared" si="1456"/>
        <v>0.511431119999966</v>
      </c>
      <c r="R441" s="1">
        <f t="shared" si="1456"/>
        <v>1.17194990545452</v>
      </c>
      <c r="S441" s="1">
        <f t="shared" si="1456"/>
        <v>0.608837192727192</v>
      </c>
      <c r="T441" s="1">
        <f t="shared" si="1456"/>
        <v>3.67651157818158</v>
      </c>
      <c r="U441" s="1">
        <f t="shared" si="1456"/>
        <v>1</v>
      </c>
      <c r="V441" s="1">
        <f t="shared" si="1456"/>
        <v>1.46882068239309</v>
      </c>
      <c r="W441" s="1">
        <f t="shared" si="1456"/>
        <v>2.37559924363616</v>
      </c>
      <c r="X441" s="1">
        <f t="shared" si="1301"/>
        <v>9.18206957911269</v>
      </c>
      <c r="Y441" s="1">
        <f t="shared" si="1302"/>
        <v>18.9862883952217</v>
      </c>
      <c r="Z441" s="1">
        <f t="shared" si="1303"/>
        <v>2277864.55112966</v>
      </c>
      <c r="AA441" s="1">
        <f t="shared" si="1304"/>
        <v>67544.6943441786</v>
      </c>
      <c r="AB441" s="1">
        <f t="shared" si="1305"/>
        <v>45029.7962294524</v>
      </c>
      <c r="AC441" s="1">
        <f>AB441/(AB441+战斗公式!$M$27)</f>
        <v>0.652324049744766</v>
      </c>
      <c r="AD441" s="1">
        <f t="shared" si="1306"/>
        <v>6551688.57511557</v>
      </c>
      <c r="AE441" s="1">
        <f t="shared" si="1307"/>
        <v>10.5638305329593</v>
      </c>
      <c r="AF441" s="1">
        <f t="shared" si="1308"/>
        <v>5.10883564794049</v>
      </c>
      <c r="AG441" s="1">
        <f t="shared" si="1309"/>
        <v>4.93361153087539</v>
      </c>
      <c r="AH441" s="1">
        <f t="shared" si="1310"/>
        <v>1.88631760113537</v>
      </c>
      <c r="AI441" s="1">
        <f t="shared" si="1311"/>
        <v>1.00000000031044</v>
      </c>
      <c r="AJ441" s="1">
        <f t="shared" si="1312"/>
        <v>1.00010426059229</v>
      </c>
      <c r="AK441" s="1">
        <f t="shared" si="1313"/>
        <v>1</v>
      </c>
      <c r="AL441" s="10">
        <f t="shared" si="1314"/>
        <v>2199738</v>
      </c>
      <c r="AM441" s="10">
        <f t="shared" si="1315"/>
        <v>127411</v>
      </c>
      <c r="AN441" s="10">
        <f t="shared" si="1316"/>
        <v>45030</v>
      </c>
      <c r="AO441" s="1">
        <f t="shared" si="1317"/>
        <v>1063939</v>
      </c>
      <c r="AP441" s="1">
        <f t="shared" si="1318"/>
        <v>127411</v>
      </c>
      <c r="AR441" s="1">
        <f t="shared" ref="AR441:AX441" si="1457">ROUNDUP(AR$10*$AO441,0)</f>
        <v>1063939</v>
      </c>
      <c r="AS441" s="1">
        <f t="shared" si="1457"/>
        <v>3191817</v>
      </c>
      <c r="AT441" s="1">
        <f t="shared" si="1457"/>
        <v>1915091</v>
      </c>
      <c r="AU441" s="1">
        <f t="shared" si="1457"/>
        <v>531970</v>
      </c>
      <c r="AV441" s="1">
        <f t="shared" si="1457"/>
        <v>159591</v>
      </c>
      <c r="AW441" s="1">
        <f t="shared" si="1457"/>
        <v>4255756</v>
      </c>
      <c r="AX441" s="1">
        <f t="shared" si="1457"/>
        <v>9575451</v>
      </c>
      <c r="AY441" s="1">
        <f t="shared" si="1320"/>
        <v>131984280</v>
      </c>
      <c r="AZ441" s="1">
        <f t="shared" si="1321"/>
        <v>65992140</v>
      </c>
      <c r="BB441" s="1">
        <f t="shared" si="1322"/>
        <v>430</v>
      </c>
    </row>
    <row r="442" spans="2:54">
      <c r="B442" s="4">
        <v>431</v>
      </c>
      <c r="C442" s="1">
        <f t="shared" ref="C442:I442" si="1458">C$5+(C$6-C$5)*(POWER(C$7,$B442-1)-1)/(POWER(C$7,$B$3-1)-1)</f>
        <v>34050.1718950724</v>
      </c>
      <c r="D442" s="1">
        <f t="shared" si="1458"/>
        <v>10215.0515685217</v>
      </c>
      <c r="E442" s="1">
        <f t="shared" si="1458"/>
        <v>6810.03437901448</v>
      </c>
      <c r="F442" s="1">
        <f t="shared" si="1458"/>
        <v>86202.9668229681</v>
      </c>
      <c r="G442" s="1">
        <f t="shared" si="1458"/>
        <v>25860.8900468904</v>
      </c>
      <c r="H442" s="1">
        <f t="shared" si="1458"/>
        <v>17240.5933645936</v>
      </c>
      <c r="I442" s="1">
        <f t="shared" si="1458"/>
        <v>0</v>
      </c>
      <c r="J442" s="1">
        <f>标准模型!$I$65/1*$B442/$B$3</f>
        <v>3.1032</v>
      </c>
      <c r="K442" s="1">
        <f>J442*标准模型!$J$63</f>
        <v>3.1032</v>
      </c>
      <c r="L442" s="1">
        <f t="shared" si="1297"/>
        <v>120253.138718041</v>
      </c>
      <c r="M442" s="1">
        <f t="shared" si="1298"/>
        <v>67775.2896428488</v>
      </c>
      <c r="N442" s="1">
        <f t="shared" si="1299"/>
        <v>45183.5264285659</v>
      </c>
      <c r="O442" s="1">
        <f t="shared" ref="O442:W442" si="1459">O$5+(O$6-O$5)*(POWER(O$7,$B442-1)-1)/(POWER(O$7,$B$3-1)-1)</f>
        <v>0.93087658728942</v>
      </c>
      <c r="P442" s="1">
        <f t="shared" si="1459"/>
        <v>0.325375580871195</v>
      </c>
      <c r="Q442" s="1">
        <f t="shared" si="1459"/>
        <v>0.511982123009181</v>
      </c>
      <c r="R442" s="1">
        <f t="shared" si="1459"/>
        <v>1.17235063491577</v>
      </c>
      <c r="S442" s="1">
        <f t="shared" si="1459"/>
        <v>0.610139563476245</v>
      </c>
      <c r="T442" s="1">
        <f t="shared" si="1459"/>
        <v>3.68041869042874</v>
      </c>
      <c r="U442" s="1">
        <f t="shared" si="1459"/>
        <v>1</v>
      </c>
      <c r="V442" s="1">
        <f t="shared" si="1459"/>
        <v>1.46991326955667</v>
      </c>
      <c r="W442" s="1">
        <f t="shared" si="1459"/>
        <v>2.37880507932614</v>
      </c>
      <c r="X442" s="1">
        <f t="shared" si="1301"/>
        <v>9.23303763282896</v>
      </c>
      <c r="Y442" s="1">
        <f t="shared" si="1302"/>
        <v>19.1028999195863</v>
      </c>
      <c r="Z442" s="1">
        <f t="shared" si="1303"/>
        <v>2297183.67394686</v>
      </c>
      <c r="AA442" s="1">
        <f t="shared" si="1304"/>
        <v>67775.2896428488</v>
      </c>
      <c r="AB442" s="1">
        <f t="shared" si="1305"/>
        <v>45183.5264285659</v>
      </c>
      <c r="AC442" s="1">
        <f>AB442/(AB442+战斗公式!$M$27)</f>
        <v>0.653096607835093</v>
      </c>
      <c r="AD442" s="1">
        <f t="shared" si="1306"/>
        <v>6621969.47574052</v>
      </c>
      <c r="AE442" s="1">
        <f t="shared" si="1307"/>
        <v>10.5820835604061</v>
      </c>
      <c r="AF442" s="1">
        <f t="shared" si="1308"/>
        <v>5.11465673579713</v>
      </c>
      <c r="AG442" s="1">
        <f t="shared" si="1309"/>
        <v>4.93482709862487</v>
      </c>
      <c r="AH442" s="1">
        <f t="shared" si="1310"/>
        <v>1.89182921487961</v>
      </c>
      <c r="AI442" s="1">
        <f t="shared" si="1311"/>
        <v>1.00000000029448</v>
      </c>
      <c r="AJ442" s="1">
        <f t="shared" si="1312"/>
        <v>1.00010150557306</v>
      </c>
      <c r="AK442" s="1">
        <f t="shared" si="1313"/>
        <v>1</v>
      </c>
      <c r="AL442" s="10">
        <f t="shared" si="1314"/>
        <v>2216415</v>
      </c>
      <c r="AM442" s="10">
        <f t="shared" si="1315"/>
        <v>128219</v>
      </c>
      <c r="AN442" s="10">
        <f t="shared" si="1316"/>
        <v>45184</v>
      </c>
      <c r="AO442" s="1">
        <f t="shared" si="1317"/>
        <v>1071373</v>
      </c>
      <c r="AP442" s="1">
        <f t="shared" si="1318"/>
        <v>128219</v>
      </c>
      <c r="AR442" s="1">
        <f t="shared" ref="AR442:AX442" si="1460">ROUNDUP(AR$10*$AO442,0)</f>
        <v>1071373</v>
      </c>
      <c r="AS442" s="1">
        <f t="shared" si="1460"/>
        <v>3214119</v>
      </c>
      <c r="AT442" s="1">
        <f t="shared" si="1460"/>
        <v>1928472</v>
      </c>
      <c r="AU442" s="1">
        <f t="shared" si="1460"/>
        <v>535687</v>
      </c>
      <c r="AV442" s="1">
        <f t="shared" si="1460"/>
        <v>160706</v>
      </c>
      <c r="AW442" s="1">
        <f t="shared" si="1460"/>
        <v>4285492</v>
      </c>
      <c r="AX442" s="1">
        <f t="shared" si="1460"/>
        <v>9642357</v>
      </c>
      <c r="AY442" s="1">
        <f t="shared" si="1320"/>
        <v>132984900</v>
      </c>
      <c r="AZ442" s="1">
        <f t="shared" si="1321"/>
        <v>66492450</v>
      </c>
      <c r="BB442" s="1">
        <f t="shared" si="1322"/>
        <v>431</v>
      </c>
    </row>
    <row r="443" spans="2:54">
      <c r="B443" s="4">
        <v>432</v>
      </c>
      <c r="C443" s="1">
        <f t="shared" ref="C443:I443" si="1461">C$5+(C$6-C$5)*(POWER(C$7,$B443-1)-1)/(POWER(C$7,$B$3-1)-1)</f>
        <v>34129.1575965312</v>
      </c>
      <c r="D443" s="1">
        <f t="shared" si="1461"/>
        <v>10238.7472789593</v>
      </c>
      <c r="E443" s="1">
        <f t="shared" si="1461"/>
        <v>6825.83151930623</v>
      </c>
      <c r="F443" s="1">
        <f t="shared" si="1461"/>
        <v>86402.9306241295</v>
      </c>
      <c r="G443" s="1">
        <f t="shared" si="1461"/>
        <v>25920.8791872389</v>
      </c>
      <c r="H443" s="1">
        <f t="shared" si="1461"/>
        <v>17280.5861248259</v>
      </c>
      <c r="I443" s="1">
        <f t="shared" si="1461"/>
        <v>0</v>
      </c>
      <c r="J443" s="1">
        <f>标准模型!$I$65/1*$B443/$B$3</f>
        <v>3.1104</v>
      </c>
      <c r="K443" s="1">
        <f>J443*标准模型!$J$63</f>
        <v>3.1104</v>
      </c>
      <c r="L443" s="1">
        <f t="shared" si="1297"/>
        <v>120532.088220661</v>
      </c>
      <c r="M443" s="1">
        <f t="shared" si="1298"/>
        <v>68006.2260026734</v>
      </c>
      <c r="N443" s="1">
        <f t="shared" si="1299"/>
        <v>45337.4840017822</v>
      </c>
      <c r="O443" s="1">
        <f t="shared" ref="O443:W443" si="1462">O$5+(O$6-O$5)*(POWER(O$7,$B443-1)-1)/(POWER(O$7,$B$3-1)-1)</f>
        <v>0.931878409940529</v>
      </c>
      <c r="P443" s="1">
        <f t="shared" si="1462"/>
        <v>0.326402901368032</v>
      </c>
      <c r="Q443" s="1">
        <f t="shared" si="1462"/>
        <v>0.512533125467291</v>
      </c>
      <c r="R443" s="1">
        <f t="shared" si="1462"/>
        <v>1.17275136397621</v>
      </c>
      <c r="S443" s="1">
        <f t="shared" si="1462"/>
        <v>0.611441932922687</v>
      </c>
      <c r="T443" s="1">
        <f t="shared" si="1462"/>
        <v>3.68432579876806</v>
      </c>
      <c r="U443" s="1">
        <f t="shared" si="1462"/>
        <v>1</v>
      </c>
      <c r="V443" s="1">
        <f t="shared" si="1462"/>
        <v>1.47100585562745</v>
      </c>
      <c r="W443" s="1">
        <f t="shared" si="1462"/>
        <v>2.38201091180969</v>
      </c>
      <c r="X443" s="1">
        <f t="shared" si="1301"/>
        <v>9.28424749540615</v>
      </c>
      <c r="Y443" s="1">
        <f t="shared" si="1302"/>
        <v>19.2201343188169</v>
      </c>
      <c r="Z443" s="1">
        <f t="shared" si="1303"/>
        <v>2316642.92532858</v>
      </c>
      <c r="AA443" s="1">
        <f t="shared" si="1304"/>
        <v>68006.2260026734</v>
      </c>
      <c r="AB443" s="1">
        <f t="shared" si="1305"/>
        <v>45337.4840017822</v>
      </c>
      <c r="AC443" s="1">
        <f>AB443/(AB443+战斗公式!$M$27)</f>
        <v>0.653866875247693</v>
      </c>
      <c r="AD443" s="1">
        <f t="shared" si="1306"/>
        <v>6692924.65720053</v>
      </c>
      <c r="AE443" s="1">
        <f t="shared" si="1307"/>
        <v>10.6003584852017</v>
      </c>
      <c r="AF443" s="1">
        <f t="shared" si="1308"/>
        <v>5.12048199477411</v>
      </c>
      <c r="AG443" s="1">
        <f t="shared" si="1309"/>
        <v>4.93603354961624</v>
      </c>
      <c r="AH443" s="1">
        <f t="shared" si="1310"/>
        <v>1.89735185185134</v>
      </c>
      <c r="AI443" s="1">
        <f t="shared" si="1311"/>
        <v>1.00000000027931</v>
      </c>
      <c r="AJ443" s="1">
        <f t="shared" si="1312"/>
        <v>1.00009880565421</v>
      </c>
      <c r="AK443" s="1">
        <f t="shared" si="1313"/>
        <v>1</v>
      </c>
      <c r="AL443" s="10">
        <f t="shared" si="1314"/>
        <v>2233194</v>
      </c>
      <c r="AM443" s="10">
        <f t="shared" si="1315"/>
        <v>129032</v>
      </c>
      <c r="AN443" s="10">
        <f t="shared" si="1316"/>
        <v>45337</v>
      </c>
      <c r="AO443" s="1">
        <f t="shared" si="1317"/>
        <v>1078846</v>
      </c>
      <c r="AP443" s="1">
        <f t="shared" si="1318"/>
        <v>129032</v>
      </c>
      <c r="AR443" s="1">
        <f t="shared" ref="AR443:AX443" si="1463">ROUNDUP(AR$10*$AO443,0)</f>
        <v>1078846</v>
      </c>
      <c r="AS443" s="1">
        <f t="shared" si="1463"/>
        <v>3236538</v>
      </c>
      <c r="AT443" s="1">
        <f t="shared" si="1463"/>
        <v>1941923</v>
      </c>
      <c r="AU443" s="1">
        <f t="shared" si="1463"/>
        <v>539423</v>
      </c>
      <c r="AV443" s="1">
        <f t="shared" si="1463"/>
        <v>161827</v>
      </c>
      <c r="AW443" s="1">
        <f t="shared" si="1463"/>
        <v>4315384</v>
      </c>
      <c r="AX443" s="1">
        <f t="shared" si="1463"/>
        <v>9709614</v>
      </c>
      <c r="AY443" s="1">
        <f t="shared" si="1320"/>
        <v>133991640</v>
      </c>
      <c r="AZ443" s="1">
        <f t="shared" si="1321"/>
        <v>66995820</v>
      </c>
      <c r="BB443" s="1">
        <f t="shared" si="1322"/>
        <v>432</v>
      </c>
    </row>
    <row r="444" spans="2:54">
      <c r="B444" s="4">
        <v>433</v>
      </c>
      <c r="C444" s="1">
        <f t="shared" ref="C444:I444" si="1464">C$5+(C$6-C$5)*(POWER(C$7,$B444-1)-1)/(POWER(C$7,$B$3-1)-1)</f>
        <v>34208.1432190159</v>
      </c>
      <c r="D444" s="1">
        <f t="shared" si="1464"/>
        <v>10262.4429657048</v>
      </c>
      <c r="E444" s="1">
        <f t="shared" si="1464"/>
        <v>6841.62864380317</v>
      </c>
      <c r="F444" s="1">
        <f t="shared" si="1464"/>
        <v>86602.8942253566</v>
      </c>
      <c r="G444" s="1">
        <f t="shared" si="1464"/>
        <v>25980.868267607</v>
      </c>
      <c r="H444" s="1">
        <f t="shared" si="1464"/>
        <v>17320.5788450713</v>
      </c>
      <c r="I444" s="1">
        <f t="shared" si="1464"/>
        <v>0</v>
      </c>
      <c r="J444" s="1">
        <f>标准模型!$I$65/1*$B444/$B$3</f>
        <v>3.1176</v>
      </c>
      <c r="K444" s="1">
        <f>J444*标准模型!$J$63</f>
        <v>3.1176</v>
      </c>
      <c r="L444" s="1">
        <f t="shared" si="1297"/>
        <v>120811.037444372</v>
      </c>
      <c r="M444" s="1">
        <f t="shared" si="1298"/>
        <v>68237.5034231929</v>
      </c>
      <c r="N444" s="1">
        <f t="shared" si="1299"/>
        <v>45491.6689487952</v>
      </c>
      <c r="O444" s="1">
        <f t="shared" ref="O444:W444" si="1465">O$5+(O$6-O$5)*(POWER(O$7,$B444-1)-1)/(POWER(O$7,$B$3-1)-1)</f>
        <v>0.932880231589963</v>
      </c>
      <c r="P444" s="1">
        <f t="shared" si="1465"/>
        <v>0.327431762845614</v>
      </c>
      <c r="Q444" s="1">
        <f t="shared" si="1465"/>
        <v>0.51308412737448</v>
      </c>
      <c r="R444" s="1">
        <f t="shared" si="1465"/>
        <v>1.17315209263599</v>
      </c>
      <c r="S444" s="1">
        <f t="shared" si="1465"/>
        <v>0.612744301066952</v>
      </c>
      <c r="T444" s="1">
        <f t="shared" si="1465"/>
        <v>3.68823290320086</v>
      </c>
      <c r="U444" s="1">
        <f t="shared" si="1465"/>
        <v>1</v>
      </c>
      <c r="V444" s="1">
        <f t="shared" si="1465"/>
        <v>1.47209844060581</v>
      </c>
      <c r="W444" s="1">
        <f t="shared" si="1465"/>
        <v>2.38521674108788</v>
      </c>
      <c r="X444" s="1">
        <f t="shared" si="1301"/>
        <v>9.33570010595746</v>
      </c>
      <c r="Y444" s="1">
        <f t="shared" si="1302"/>
        <v>19.3379943864388</v>
      </c>
      <c r="Z444" s="1">
        <f t="shared" si="1303"/>
        <v>2336243.16391912</v>
      </c>
      <c r="AA444" s="1">
        <f t="shared" si="1304"/>
        <v>68237.5034231929</v>
      </c>
      <c r="AB444" s="1">
        <f t="shared" si="1305"/>
        <v>45491.6689487952</v>
      </c>
      <c r="AC444" s="1">
        <f>AB444/(AB444+战斗公式!$M$27)</f>
        <v>0.654634859645056</v>
      </c>
      <c r="AD444" s="1">
        <f t="shared" si="1306"/>
        <v>6764559.85545641</v>
      </c>
      <c r="AE444" s="1">
        <f t="shared" si="1307"/>
        <v>10.6186552877354</v>
      </c>
      <c r="AF444" s="1">
        <f t="shared" si="1308"/>
        <v>5.126311411299</v>
      </c>
      <c r="AG444" s="1">
        <f t="shared" si="1309"/>
        <v>4.93723095222517</v>
      </c>
      <c r="AH444" s="1">
        <f t="shared" si="1310"/>
        <v>1.90288553409701</v>
      </c>
      <c r="AI444" s="1">
        <f t="shared" si="1311"/>
        <v>1.00000000026491</v>
      </c>
      <c r="AJ444" s="1">
        <f t="shared" si="1312"/>
        <v>1.00009615973373</v>
      </c>
      <c r="AK444" s="1">
        <f t="shared" si="1313"/>
        <v>1</v>
      </c>
      <c r="AL444" s="10">
        <f t="shared" si="1314"/>
        <v>2250072</v>
      </c>
      <c r="AM444" s="10">
        <f t="shared" si="1315"/>
        <v>129848</v>
      </c>
      <c r="AN444" s="10">
        <f t="shared" si="1316"/>
        <v>45492</v>
      </c>
      <c r="AO444" s="1">
        <f t="shared" si="1317"/>
        <v>1086360</v>
      </c>
      <c r="AP444" s="1">
        <f t="shared" si="1318"/>
        <v>129848</v>
      </c>
      <c r="AR444" s="1">
        <f t="shared" ref="AR444:AX444" si="1466">ROUNDUP(AR$10*$AO444,0)</f>
        <v>1086360</v>
      </c>
      <c r="AS444" s="1">
        <f t="shared" si="1466"/>
        <v>3259080</v>
      </c>
      <c r="AT444" s="1">
        <f t="shared" si="1466"/>
        <v>1955448</v>
      </c>
      <c r="AU444" s="1">
        <f t="shared" si="1466"/>
        <v>543180</v>
      </c>
      <c r="AV444" s="1">
        <f t="shared" si="1466"/>
        <v>162954</v>
      </c>
      <c r="AW444" s="1">
        <f t="shared" si="1466"/>
        <v>4345440</v>
      </c>
      <c r="AX444" s="1">
        <f t="shared" si="1466"/>
        <v>9777240</v>
      </c>
      <c r="AY444" s="1">
        <f t="shared" si="1320"/>
        <v>135004320</v>
      </c>
      <c r="AZ444" s="1">
        <f t="shared" si="1321"/>
        <v>67502160</v>
      </c>
      <c r="BB444" s="1">
        <f t="shared" si="1322"/>
        <v>433</v>
      </c>
    </row>
    <row r="445" spans="2:54">
      <c r="B445" s="4">
        <v>434</v>
      </c>
      <c r="C445" s="1">
        <f t="shared" ref="C445:I445" si="1467">C$5+(C$6-C$5)*(POWER(C$7,$B445-1)-1)/(POWER(C$7,$B$3-1)-1)</f>
        <v>34287.1287625089</v>
      </c>
      <c r="D445" s="1">
        <f t="shared" si="1467"/>
        <v>10286.1386287527</v>
      </c>
      <c r="E445" s="1">
        <f t="shared" si="1467"/>
        <v>6857.42575250179</v>
      </c>
      <c r="F445" s="1">
        <f t="shared" si="1467"/>
        <v>86802.8576266049</v>
      </c>
      <c r="G445" s="1">
        <f t="shared" si="1467"/>
        <v>26040.8572879815</v>
      </c>
      <c r="H445" s="1">
        <f t="shared" si="1467"/>
        <v>17360.571525321</v>
      </c>
      <c r="I445" s="1">
        <f t="shared" si="1467"/>
        <v>0</v>
      </c>
      <c r="J445" s="1">
        <f>标准模型!$I$65/1*$B445/$B$3</f>
        <v>3.1248</v>
      </c>
      <c r="K445" s="1">
        <f>J445*标准模型!$J$63</f>
        <v>3.1248</v>
      </c>
      <c r="L445" s="1">
        <f t="shared" si="1297"/>
        <v>121089.986389114</v>
      </c>
      <c r="M445" s="1">
        <f t="shared" si="1298"/>
        <v>68469.1219038605</v>
      </c>
      <c r="N445" s="1">
        <f t="shared" si="1299"/>
        <v>45646.0812692403</v>
      </c>
      <c r="O445" s="1">
        <f t="shared" ref="O445:W445" si="1468">O$5+(O$6-O$5)*(POWER(O$7,$B445-1)-1)/(POWER(O$7,$B$3-1)-1)</f>
        <v>0.9338820522375</v>
      </c>
      <c r="P445" s="1">
        <f t="shared" si="1468"/>
        <v>0.328462167615412</v>
      </c>
      <c r="Q445" s="1">
        <f t="shared" si="1468"/>
        <v>0.513635128730625</v>
      </c>
      <c r="R445" s="1">
        <f t="shared" si="1468"/>
        <v>1.173552820895</v>
      </c>
      <c r="S445" s="1">
        <f t="shared" si="1468"/>
        <v>0.614046667908749</v>
      </c>
      <c r="T445" s="1">
        <f t="shared" si="1468"/>
        <v>3.69214000372625</v>
      </c>
      <c r="U445" s="1">
        <f t="shared" si="1468"/>
        <v>1</v>
      </c>
      <c r="V445" s="1">
        <f t="shared" si="1468"/>
        <v>1.4731910244915</v>
      </c>
      <c r="W445" s="1">
        <f t="shared" si="1468"/>
        <v>2.38842256716</v>
      </c>
      <c r="X445" s="1">
        <f t="shared" si="1301"/>
        <v>9.38739640643272</v>
      </c>
      <c r="Y445" s="1">
        <f t="shared" si="1302"/>
        <v>19.4564829260434</v>
      </c>
      <c r="Z445" s="1">
        <f t="shared" si="1303"/>
        <v>2355985.25269462</v>
      </c>
      <c r="AA445" s="1">
        <f t="shared" si="1304"/>
        <v>68469.1219038605</v>
      </c>
      <c r="AB445" s="1">
        <f t="shared" si="1305"/>
        <v>45646.0812692403</v>
      </c>
      <c r="AC445" s="1">
        <f>AB445/(AB445+战斗公式!$M$27)</f>
        <v>0.655400568666313</v>
      </c>
      <c r="AD445" s="1">
        <f t="shared" si="1306"/>
        <v>6836880.8490959</v>
      </c>
      <c r="AE445" s="1">
        <f t="shared" si="1307"/>
        <v>10.6369739484346</v>
      </c>
      <c r="AF445" s="1">
        <f t="shared" si="1308"/>
        <v>5.13214497185381</v>
      </c>
      <c r="AG445" s="1">
        <f t="shared" si="1309"/>
        <v>4.93841937431453</v>
      </c>
      <c r="AH445" s="1">
        <f t="shared" si="1310"/>
        <v>1.90843028370718</v>
      </c>
      <c r="AI445" s="1">
        <f t="shared" si="1311"/>
        <v>1.00000000025122</v>
      </c>
      <c r="AJ445" s="1">
        <f t="shared" si="1312"/>
        <v>1.00009356673167</v>
      </c>
      <c r="AK445" s="1">
        <f t="shared" si="1313"/>
        <v>1</v>
      </c>
      <c r="AL445" s="10">
        <f t="shared" si="1314"/>
        <v>2267053</v>
      </c>
      <c r="AM445" s="10">
        <f t="shared" si="1315"/>
        <v>130669</v>
      </c>
      <c r="AN445" s="10">
        <f t="shared" si="1316"/>
        <v>45646</v>
      </c>
      <c r="AO445" s="1">
        <f t="shared" si="1317"/>
        <v>1093914</v>
      </c>
      <c r="AP445" s="1">
        <f t="shared" si="1318"/>
        <v>130669</v>
      </c>
      <c r="AR445" s="1">
        <f t="shared" ref="AR445:AX445" si="1469">ROUNDUP(AR$10*$AO445,0)</f>
        <v>1093914</v>
      </c>
      <c r="AS445" s="1">
        <f t="shared" si="1469"/>
        <v>3281742</v>
      </c>
      <c r="AT445" s="1">
        <f t="shared" si="1469"/>
        <v>1969046</v>
      </c>
      <c r="AU445" s="1">
        <f t="shared" si="1469"/>
        <v>546957</v>
      </c>
      <c r="AV445" s="1">
        <f t="shared" si="1469"/>
        <v>164088</v>
      </c>
      <c r="AW445" s="1">
        <f t="shared" si="1469"/>
        <v>4375656</v>
      </c>
      <c r="AX445" s="1">
        <f t="shared" si="1469"/>
        <v>9845226</v>
      </c>
      <c r="AY445" s="1">
        <f t="shared" si="1320"/>
        <v>136023180</v>
      </c>
      <c r="AZ445" s="1">
        <f t="shared" si="1321"/>
        <v>68011590</v>
      </c>
      <c r="BB445" s="1">
        <f t="shared" si="1322"/>
        <v>434</v>
      </c>
    </row>
    <row r="446" spans="2:54">
      <c r="B446" s="4">
        <v>435</v>
      </c>
      <c r="C446" s="1">
        <f t="shared" ref="C446:I446" si="1470">C$5+(C$6-C$5)*(POWER(C$7,$B446-1)-1)/(POWER(C$7,$B$3-1)-1)</f>
        <v>34366.114227028</v>
      </c>
      <c r="D446" s="1">
        <f t="shared" si="1470"/>
        <v>10309.8342681084</v>
      </c>
      <c r="E446" s="1">
        <f t="shared" si="1470"/>
        <v>6873.22284540559</v>
      </c>
      <c r="F446" s="1">
        <f t="shared" si="1470"/>
        <v>87002.8208279189</v>
      </c>
      <c r="G446" s="1">
        <f t="shared" si="1470"/>
        <v>26100.8462483757</v>
      </c>
      <c r="H446" s="1">
        <f t="shared" si="1470"/>
        <v>17400.5641655838</v>
      </c>
      <c r="I446" s="1">
        <f t="shared" si="1470"/>
        <v>0</v>
      </c>
      <c r="J446" s="1">
        <f>标准模型!$I$65/1*$B446/$B$3</f>
        <v>3.132</v>
      </c>
      <c r="K446" s="1">
        <f>J446*标准模型!$J$63</f>
        <v>3.132</v>
      </c>
      <c r="L446" s="1">
        <f t="shared" si="1297"/>
        <v>121368.935054947</v>
      </c>
      <c r="M446" s="1">
        <f t="shared" si="1298"/>
        <v>68701.0814441995</v>
      </c>
      <c r="N446" s="1">
        <f t="shared" si="1299"/>
        <v>45800.7209627997</v>
      </c>
      <c r="O446" s="1">
        <f t="shared" ref="O446:W446" si="1471">O$5+(O$6-O$5)*(POWER(O$7,$B446-1)-1)/(POWER(O$7,$B$3-1)-1)</f>
        <v>0.934883871883361</v>
      </c>
      <c r="P446" s="1">
        <f t="shared" si="1471"/>
        <v>0.329494117992364</v>
      </c>
      <c r="Q446" s="1">
        <f t="shared" si="1471"/>
        <v>0.514186129535849</v>
      </c>
      <c r="R446" s="1">
        <f t="shared" si="1471"/>
        <v>1.17395354875334</v>
      </c>
      <c r="S446" s="1">
        <f t="shared" si="1471"/>
        <v>0.615349033448369</v>
      </c>
      <c r="T446" s="1">
        <f t="shared" si="1471"/>
        <v>3.69604710034511</v>
      </c>
      <c r="U446" s="1">
        <f t="shared" si="1471"/>
        <v>1</v>
      </c>
      <c r="V446" s="1">
        <f t="shared" si="1471"/>
        <v>1.47428360728476</v>
      </c>
      <c r="W446" s="1">
        <f t="shared" si="1471"/>
        <v>2.39162839002676</v>
      </c>
      <c r="X446" s="1">
        <f t="shared" si="1301"/>
        <v>9.43933734166952</v>
      </c>
      <c r="Y446" s="1">
        <f t="shared" si="1302"/>
        <v>19.5756027514239</v>
      </c>
      <c r="Z446" s="1">
        <f t="shared" si="1303"/>
        <v>2375870.05899901</v>
      </c>
      <c r="AA446" s="1">
        <f t="shared" si="1304"/>
        <v>68701.0814441995</v>
      </c>
      <c r="AB446" s="1">
        <f t="shared" si="1305"/>
        <v>45800.7209627997</v>
      </c>
      <c r="AC446" s="1">
        <f>AB446/(AB446+战斗公式!$M$27)</f>
        <v>0.656164009927765</v>
      </c>
      <c r="AD446" s="1">
        <f t="shared" si="1306"/>
        <v>6909893.45966917</v>
      </c>
      <c r="AE446" s="1">
        <f t="shared" si="1307"/>
        <v>10.6553144477891</v>
      </c>
      <c r="AF446" s="1">
        <f t="shared" si="1308"/>
        <v>5.13798266298237</v>
      </c>
      <c r="AG446" s="1">
        <f t="shared" si="1309"/>
        <v>4.93959888323823</v>
      </c>
      <c r="AH446" s="1">
        <f t="shared" si="1310"/>
        <v>1.91398612281656</v>
      </c>
      <c r="AI446" s="1">
        <f t="shared" si="1311"/>
        <v>1.00000000023822</v>
      </c>
      <c r="AJ446" s="1">
        <f t="shared" si="1312"/>
        <v>1.00009102558965</v>
      </c>
      <c r="AK446" s="1">
        <f t="shared" si="1313"/>
        <v>1</v>
      </c>
      <c r="AL446" s="10">
        <f t="shared" si="1314"/>
        <v>2284135</v>
      </c>
      <c r="AM446" s="10">
        <f t="shared" si="1315"/>
        <v>131493</v>
      </c>
      <c r="AN446" s="10">
        <f t="shared" si="1316"/>
        <v>45801</v>
      </c>
      <c r="AO446" s="1">
        <f t="shared" si="1317"/>
        <v>1101508</v>
      </c>
      <c r="AP446" s="1">
        <f t="shared" si="1318"/>
        <v>131493</v>
      </c>
      <c r="AR446" s="1">
        <f t="shared" ref="AR446:AX446" si="1472">ROUNDUP(AR$10*$AO446,0)</f>
        <v>1101508</v>
      </c>
      <c r="AS446" s="1">
        <f t="shared" si="1472"/>
        <v>3304524</v>
      </c>
      <c r="AT446" s="1">
        <f t="shared" si="1472"/>
        <v>1982715</v>
      </c>
      <c r="AU446" s="1">
        <f t="shared" si="1472"/>
        <v>550754</v>
      </c>
      <c r="AV446" s="1">
        <f t="shared" si="1472"/>
        <v>165227</v>
      </c>
      <c r="AW446" s="1">
        <f t="shared" si="1472"/>
        <v>4406032</v>
      </c>
      <c r="AX446" s="1">
        <f t="shared" si="1472"/>
        <v>9913572</v>
      </c>
      <c r="AY446" s="1">
        <f t="shared" si="1320"/>
        <v>137048100</v>
      </c>
      <c r="AZ446" s="1">
        <f t="shared" si="1321"/>
        <v>68524050</v>
      </c>
      <c r="BB446" s="1">
        <f t="shared" si="1322"/>
        <v>435</v>
      </c>
    </row>
    <row r="447" spans="2:54">
      <c r="B447" s="4">
        <v>436</v>
      </c>
      <c r="C447" s="1">
        <f t="shared" ref="C447:I447" si="1473">C$5+(C$6-C$5)*(POWER(C$7,$B447-1)-1)/(POWER(C$7,$B$3-1)-1)</f>
        <v>34445.0996125466</v>
      </c>
      <c r="D447" s="1">
        <f t="shared" si="1473"/>
        <v>10333.529883764</v>
      </c>
      <c r="E447" s="1">
        <f t="shared" si="1473"/>
        <v>6889.01992250932</v>
      </c>
      <c r="F447" s="1">
        <f t="shared" si="1473"/>
        <v>87202.7838292319</v>
      </c>
      <c r="G447" s="1">
        <f t="shared" si="1473"/>
        <v>26160.8351487696</v>
      </c>
      <c r="H447" s="1">
        <f t="shared" si="1473"/>
        <v>17440.5567658464</v>
      </c>
      <c r="I447" s="1">
        <f t="shared" si="1473"/>
        <v>0</v>
      </c>
      <c r="J447" s="1">
        <f>标准模型!$I$65/1*$B447/$B$3</f>
        <v>3.1392</v>
      </c>
      <c r="K447" s="1">
        <f>J447*标准模型!$J$63</f>
        <v>3.1392</v>
      </c>
      <c r="L447" s="1">
        <f t="shared" si="1297"/>
        <v>121647.883441779</v>
      </c>
      <c r="M447" s="1">
        <f t="shared" si="1298"/>
        <v>68933.3820436454</v>
      </c>
      <c r="N447" s="1">
        <f t="shared" si="1299"/>
        <v>45955.588029097</v>
      </c>
      <c r="O447" s="1">
        <f t="shared" ref="O447:W447" si="1474">O$5+(O$6-O$5)*(POWER(O$7,$B447-1)-1)/(POWER(O$7,$B$3-1)-1)</f>
        <v>0.935885690527214</v>
      </c>
      <c r="P447" s="1">
        <f t="shared" si="1474"/>
        <v>0.330527616294883</v>
      </c>
      <c r="Q447" s="1">
        <f t="shared" si="1474"/>
        <v>0.514737129789968</v>
      </c>
      <c r="R447" s="1">
        <f t="shared" si="1474"/>
        <v>1.17435427621089</v>
      </c>
      <c r="S447" s="1">
        <f t="shared" si="1474"/>
        <v>0.616651397685378</v>
      </c>
      <c r="T447" s="1">
        <f t="shared" si="1474"/>
        <v>3.69995419305613</v>
      </c>
      <c r="U447" s="1">
        <f t="shared" si="1474"/>
        <v>1</v>
      </c>
      <c r="V447" s="1">
        <f t="shared" si="1474"/>
        <v>1.47537618898524</v>
      </c>
      <c r="W447" s="1">
        <f t="shared" si="1474"/>
        <v>2.39483420968708</v>
      </c>
      <c r="X447" s="1">
        <f t="shared" si="1301"/>
        <v>9.49152385935615</v>
      </c>
      <c r="Y447" s="1">
        <f t="shared" si="1302"/>
        <v>19.6953566864977</v>
      </c>
      <c r="Z447" s="1">
        <f t="shared" si="1303"/>
        <v>2395898.45454332</v>
      </c>
      <c r="AA447" s="1">
        <f t="shared" si="1304"/>
        <v>68933.3820436454</v>
      </c>
      <c r="AB447" s="1">
        <f t="shared" si="1305"/>
        <v>45955.588029097</v>
      </c>
      <c r="AC447" s="1">
        <f>AB447/(AB447+战斗公式!$M$27)</f>
        <v>0.656925191022373</v>
      </c>
      <c r="AD447" s="1">
        <f t="shared" si="1306"/>
        <v>6983603.55189927</v>
      </c>
      <c r="AE447" s="1">
        <f t="shared" si="1307"/>
        <v>10.6736767663263</v>
      </c>
      <c r="AF447" s="1">
        <f t="shared" si="1308"/>
        <v>5.14382447128238</v>
      </c>
      <c r="AG447" s="1">
        <f t="shared" si="1309"/>
        <v>4.94076954584499</v>
      </c>
      <c r="AH447" s="1">
        <f t="shared" si="1310"/>
        <v>1.91955307360417</v>
      </c>
      <c r="AI447" s="1">
        <f t="shared" si="1311"/>
        <v>1.00000000022587</v>
      </c>
      <c r="AJ447" s="1">
        <f t="shared" si="1312"/>
        <v>1.00008853527047</v>
      </c>
      <c r="AK447" s="1">
        <f t="shared" si="1313"/>
        <v>1</v>
      </c>
      <c r="AL447" s="10">
        <f t="shared" si="1314"/>
        <v>2301319</v>
      </c>
      <c r="AM447" s="10">
        <f t="shared" si="1315"/>
        <v>132321</v>
      </c>
      <c r="AN447" s="10">
        <f t="shared" si="1316"/>
        <v>45956</v>
      </c>
      <c r="AO447" s="1">
        <f t="shared" si="1317"/>
        <v>1109143</v>
      </c>
      <c r="AP447" s="1">
        <f t="shared" si="1318"/>
        <v>132321</v>
      </c>
      <c r="AR447" s="1">
        <f t="shared" ref="AR447:AX447" si="1475">ROUNDUP(AR$10*$AO447,0)</f>
        <v>1109143</v>
      </c>
      <c r="AS447" s="1">
        <f t="shared" si="1475"/>
        <v>3327429</v>
      </c>
      <c r="AT447" s="1">
        <f t="shared" si="1475"/>
        <v>1996458</v>
      </c>
      <c r="AU447" s="1">
        <f t="shared" si="1475"/>
        <v>554572</v>
      </c>
      <c r="AV447" s="1">
        <f t="shared" si="1475"/>
        <v>166372</v>
      </c>
      <c r="AW447" s="1">
        <f t="shared" si="1475"/>
        <v>4436572</v>
      </c>
      <c r="AX447" s="1">
        <f t="shared" si="1475"/>
        <v>9982287</v>
      </c>
      <c r="AY447" s="1">
        <f t="shared" si="1320"/>
        <v>138079140</v>
      </c>
      <c r="AZ447" s="1">
        <f t="shared" si="1321"/>
        <v>69039570</v>
      </c>
      <c r="BB447" s="1">
        <f t="shared" si="1322"/>
        <v>436</v>
      </c>
    </row>
    <row r="448" spans="2:54">
      <c r="B448" s="4">
        <v>437</v>
      </c>
      <c r="C448" s="1">
        <f t="shared" ref="C448:I448" si="1476">C$5+(C$6-C$5)*(POWER(C$7,$B448-1)-1)/(POWER(C$7,$B$3-1)-1)</f>
        <v>34524.0849190912</v>
      </c>
      <c r="D448" s="1">
        <f t="shared" si="1476"/>
        <v>10357.2254757274</v>
      </c>
      <c r="E448" s="1">
        <f t="shared" si="1476"/>
        <v>6904.81698381824</v>
      </c>
      <c r="F448" s="1">
        <f t="shared" si="1476"/>
        <v>87402.7466306106</v>
      </c>
      <c r="G448" s="1">
        <f t="shared" si="1476"/>
        <v>26220.8239891832</v>
      </c>
      <c r="H448" s="1">
        <f t="shared" si="1476"/>
        <v>17480.5493261221</v>
      </c>
      <c r="I448" s="1">
        <f t="shared" si="1476"/>
        <v>0</v>
      </c>
      <c r="J448" s="1">
        <f>标准模型!$I$65/1*$B448/$B$3</f>
        <v>3.1464</v>
      </c>
      <c r="K448" s="1">
        <f>J448*标准模型!$J$63</f>
        <v>3.1464</v>
      </c>
      <c r="L448" s="1">
        <f t="shared" si="1297"/>
        <v>121926.831549702</v>
      </c>
      <c r="M448" s="1">
        <f t="shared" si="1298"/>
        <v>69166.0237017391</v>
      </c>
      <c r="N448" s="1">
        <f t="shared" si="1299"/>
        <v>46110.6824678261</v>
      </c>
      <c r="O448" s="1">
        <f t="shared" ref="O448:W448" si="1477">O$5+(O$6-O$5)*(POWER(O$7,$B448-1)-1)/(POWER(O$7,$B$3-1)-1)</f>
        <v>0.936887508169392</v>
      </c>
      <c r="P448" s="1">
        <f t="shared" si="1477"/>
        <v>0.331562664844854</v>
      </c>
      <c r="Q448" s="1">
        <f t="shared" si="1477"/>
        <v>0.515288129493165</v>
      </c>
      <c r="R448" s="1">
        <f t="shared" si="1477"/>
        <v>1.17475500326776</v>
      </c>
      <c r="S448" s="1">
        <f t="shared" si="1477"/>
        <v>0.617953760620209</v>
      </c>
      <c r="T448" s="1">
        <f t="shared" si="1477"/>
        <v>3.70386128186063</v>
      </c>
      <c r="U448" s="1">
        <f t="shared" si="1477"/>
        <v>1</v>
      </c>
      <c r="V448" s="1">
        <f t="shared" si="1477"/>
        <v>1.47646876959329</v>
      </c>
      <c r="W448" s="1">
        <f t="shared" si="1477"/>
        <v>2.39804002614205</v>
      </c>
      <c r="X448" s="1">
        <f t="shared" si="1301"/>
        <v>9.543956910093</v>
      </c>
      <c r="Y448" s="1">
        <f t="shared" si="1302"/>
        <v>19.8157475654677</v>
      </c>
      <c r="Z448" s="1">
        <f t="shared" si="1303"/>
        <v>2416071.3154462</v>
      </c>
      <c r="AA448" s="1">
        <f t="shared" si="1304"/>
        <v>69166.0237017391</v>
      </c>
      <c r="AB448" s="1">
        <f t="shared" si="1305"/>
        <v>46110.6824678261</v>
      </c>
      <c r="AC448" s="1">
        <f>AB448/(AB448+战斗公式!$M$27)</f>
        <v>0.657684119520393</v>
      </c>
      <c r="AD448" s="1">
        <f t="shared" si="1306"/>
        <v>7058017.03403629</v>
      </c>
      <c r="AE448" s="1">
        <f t="shared" si="1307"/>
        <v>10.6920608846411</v>
      </c>
      <c r="AF448" s="1">
        <f t="shared" si="1308"/>
        <v>5.14967038341442</v>
      </c>
      <c r="AG448" s="1">
        <f t="shared" si="1309"/>
        <v>4.94193142848221</v>
      </c>
      <c r="AH448" s="1">
        <f t="shared" si="1310"/>
        <v>1.92513115829335</v>
      </c>
      <c r="AI448" s="1">
        <f t="shared" si="1311"/>
        <v>1.00000000021414</v>
      </c>
      <c r="AJ448" s="1">
        <f t="shared" si="1312"/>
        <v>1.00008609475767</v>
      </c>
      <c r="AK448" s="1">
        <f t="shared" si="1313"/>
        <v>1</v>
      </c>
      <c r="AL448" s="10">
        <f t="shared" si="1314"/>
        <v>2318606</v>
      </c>
      <c r="AM448" s="10">
        <f t="shared" si="1315"/>
        <v>133154</v>
      </c>
      <c r="AN448" s="10">
        <f t="shared" si="1316"/>
        <v>46111</v>
      </c>
      <c r="AO448" s="1">
        <f t="shared" si="1317"/>
        <v>1116818</v>
      </c>
      <c r="AP448" s="1">
        <f t="shared" si="1318"/>
        <v>133154</v>
      </c>
      <c r="AR448" s="1">
        <f t="shared" ref="AR448:AX448" si="1478">ROUNDUP(AR$10*$AO448,0)</f>
        <v>1116818</v>
      </c>
      <c r="AS448" s="1">
        <f t="shared" si="1478"/>
        <v>3350454</v>
      </c>
      <c r="AT448" s="1">
        <f t="shared" si="1478"/>
        <v>2010273</v>
      </c>
      <c r="AU448" s="1">
        <f t="shared" si="1478"/>
        <v>558409</v>
      </c>
      <c r="AV448" s="1">
        <f t="shared" si="1478"/>
        <v>167523</v>
      </c>
      <c r="AW448" s="1">
        <f t="shared" si="1478"/>
        <v>4467272</v>
      </c>
      <c r="AX448" s="1">
        <f t="shared" si="1478"/>
        <v>10051362</v>
      </c>
      <c r="AY448" s="1">
        <f t="shared" si="1320"/>
        <v>139116360</v>
      </c>
      <c r="AZ448" s="1">
        <f t="shared" si="1321"/>
        <v>69558180</v>
      </c>
      <c r="BB448" s="1">
        <f t="shared" si="1322"/>
        <v>437</v>
      </c>
    </row>
    <row r="449" spans="2:54">
      <c r="B449" s="4">
        <v>438</v>
      </c>
      <c r="C449" s="1">
        <f t="shared" ref="C449:I449" si="1479">C$5+(C$6-C$5)*(POWER(C$7,$B449-1)-1)/(POWER(C$7,$B$3-1)-1)</f>
        <v>34603.0701466442</v>
      </c>
      <c r="D449" s="1">
        <f t="shared" si="1479"/>
        <v>10380.9210439932</v>
      </c>
      <c r="E449" s="1">
        <f t="shared" si="1479"/>
        <v>6920.61402932883</v>
      </c>
      <c r="F449" s="1">
        <f t="shared" si="1479"/>
        <v>87602.7092320105</v>
      </c>
      <c r="G449" s="1">
        <f t="shared" si="1479"/>
        <v>26280.8127696032</v>
      </c>
      <c r="H449" s="1">
        <f t="shared" si="1479"/>
        <v>17520.5418464021</v>
      </c>
      <c r="I449" s="1">
        <f t="shared" si="1479"/>
        <v>0</v>
      </c>
      <c r="J449" s="1">
        <f>标准模型!$I$65/1*$B449/$B$3</f>
        <v>3.1536</v>
      </c>
      <c r="K449" s="1">
        <f>J449*标准模型!$J$63</f>
        <v>3.1536</v>
      </c>
      <c r="L449" s="1">
        <f t="shared" si="1297"/>
        <v>122205.779378655</v>
      </c>
      <c r="M449" s="1">
        <f t="shared" si="1298"/>
        <v>69399.0064179335</v>
      </c>
      <c r="N449" s="1">
        <f t="shared" si="1299"/>
        <v>46266.0042786223</v>
      </c>
      <c r="O449" s="1">
        <f t="shared" ref="O449:W449" si="1480">O$5+(O$6-O$5)*(POWER(O$7,$B449-1)-1)/(POWER(O$7,$B$3-1)-1)</f>
        <v>0.937889324809672</v>
      </c>
      <c r="P449" s="1">
        <f t="shared" si="1480"/>
        <v>0.332599265967651</v>
      </c>
      <c r="Q449" s="1">
        <f t="shared" si="1480"/>
        <v>0.51583912864532</v>
      </c>
      <c r="R449" s="1">
        <f t="shared" si="1480"/>
        <v>1.17515572992387</v>
      </c>
      <c r="S449" s="1">
        <f t="shared" si="1480"/>
        <v>0.619256122252574</v>
      </c>
      <c r="T449" s="1">
        <f t="shared" si="1480"/>
        <v>3.70776836675772</v>
      </c>
      <c r="U449" s="1">
        <f t="shared" si="1480"/>
        <v>1</v>
      </c>
      <c r="V449" s="1">
        <f t="shared" si="1480"/>
        <v>1.47756134910867</v>
      </c>
      <c r="W449" s="1">
        <f t="shared" si="1480"/>
        <v>2.40124583939095</v>
      </c>
      <c r="X449" s="1">
        <f t="shared" si="1301"/>
        <v>9.59663744734531</v>
      </c>
      <c r="Y449" s="1">
        <f t="shared" si="1302"/>
        <v>19.9367782327201</v>
      </c>
      <c r="Z449" s="1">
        <f t="shared" si="1303"/>
        <v>2436389.52222895</v>
      </c>
      <c r="AA449" s="1">
        <f t="shared" si="1304"/>
        <v>69399.0064179335</v>
      </c>
      <c r="AB449" s="1">
        <f t="shared" si="1305"/>
        <v>46266.0042786223</v>
      </c>
      <c r="AC449" s="1">
        <f>AB449/(AB449+战斗公式!$M$27)</f>
        <v>0.658440802968759</v>
      </c>
      <c r="AD449" s="1">
        <f t="shared" si="1306"/>
        <v>7133139.85805543</v>
      </c>
      <c r="AE449" s="1">
        <f t="shared" si="1307"/>
        <v>10.7104667833651</v>
      </c>
      <c r="AF449" s="1">
        <f t="shared" si="1308"/>
        <v>5.15552038609228</v>
      </c>
      <c r="AG449" s="1">
        <f t="shared" si="1309"/>
        <v>4.94308459699964</v>
      </c>
      <c r="AH449" s="1">
        <f t="shared" si="1310"/>
        <v>1.9307203991519</v>
      </c>
      <c r="AI449" s="1">
        <f t="shared" si="1311"/>
        <v>1.00000000020299</v>
      </c>
      <c r="AJ449" s="1">
        <f t="shared" si="1312"/>
        <v>1.00008370305513</v>
      </c>
      <c r="AK449" s="1">
        <f t="shared" si="1313"/>
        <v>1</v>
      </c>
      <c r="AL449" s="10">
        <f t="shared" si="1314"/>
        <v>2335997</v>
      </c>
      <c r="AM449" s="10">
        <f t="shared" si="1315"/>
        <v>133990</v>
      </c>
      <c r="AN449" s="10">
        <f t="shared" si="1316"/>
        <v>46266</v>
      </c>
      <c r="AO449" s="1">
        <f t="shared" si="1317"/>
        <v>1124534</v>
      </c>
      <c r="AP449" s="1">
        <f t="shared" si="1318"/>
        <v>133990</v>
      </c>
      <c r="AR449" s="1">
        <f t="shared" ref="AR449:AX449" si="1481">ROUNDUP(AR$10*$AO449,0)</f>
        <v>1124534</v>
      </c>
      <c r="AS449" s="1">
        <f t="shared" si="1481"/>
        <v>3373602</v>
      </c>
      <c r="AT449" s="1">
        <f t="shared" si="1481"/>
        <v>2024162</v>
      </c>
      <c r="AU449" s="1">
        <f t="shared" si="1481"/>
        <v>562267</v>
      </c>
      <c r="AV449" s="1">
        <f t="shared" si="1481"/>
        <v>168681</v>
      </c>
      <c r="AW449" s="1">
        <f t="shared" si="1481"/>
        <v>4498136</v>
      </c>
      <c r="AX449" s="1">
        <f t="shared" si="1481"/>
        <v>10120806</v>
      </c>
      <c r="AY449" s="1">
        <f t="shared" si="1320"/>
        <v>140159820</v>
      </c>
      <c r="AZ449" s="1">
        <f t="shared" si="1321"/>
        <v>70079910</v>
      </c>
      <c r="BB449" s="1">
        <f t="shared" si="1322"/>
        <v>438</v>
      </c>
    </row>
    <row r="450" spans="2:54">
      <c r="B450" s="4">
        <v>439</v>
      </c>
      <c r="C450" s="1">
        <f t="shared" ref="C450:I450" si="1482">C$5+(C$6-C$5)*(POWER(C$7,$B450-1)-1)/(POWER(C$7,$B$3-1)-1)</f>
        <v>34682.0552952143</v>
      </c>
      <c r="D450" s="1">
        <f t="shared" si="1482"/>
        <v>10404.6165885643</v>
      </c>
      <c r="E450" s="1">
        <f t="shared" si="1482"/>
        <v>6936.41105904286</v>
      </c>
      <c r="F450" s="1">
        <f t="shared" si="1482"/>
        <v>87802.6716334539</v>
      </c>
      <c r="G450" s="1">
        <f t="shared" si="1482"/>
        <v>26340.8014900362</v>
      </c>
      <c r="H450" s="1">
        <f t="shared" si="1482"/>
        <v>17560.5343266908</v>
      </c>
      <c r="I450" s="1">
        <f t="shared" si="1482"/>
        <v>0</v>
      </c>
      <c r="J450" s="1">
        <f>标准模型!$I$65/1*$B450/$B$3</f>
        <v>3.1608</v>
      </c>
      <c r="K450" s="1">
        <f>J450*标准模型!$J$63</f>
        <v>3.1608</v>
      </c>
      <c r="L450" s="1">
        <f t="shared" si="1297"/>
        <v>122484.726928668</v>
      </c>
      <c r="M450" s="1">
        <f t="shared" si="1298"/>
        <v>69632.3301917345</v>
      </c>
      <c r="N450" s="1">
        <f t="shared" si="1299"/>
        <v>46421.5534611563</v>
      </c>
      <c r="O450" s="1">
        <f t="shared" ref="O450:W450" si="1483">O$5+(O$6-O$5)*(POWER(O$7,$B450-1)-1)/(POWER(O$7,$B$3-1)-1)</f>
        <v>0.938891140448166</v>
      </c>
      <c r="P450" s="1">
        <f t="shared" si="1483"/>
        <v>0.333637421992133</v>
      </c>
      <c r="Q450" s="1">
        <f t="shared" si="1483"/>
        <v>0.516390127246491</v>
      </c>
      <c r="R450" s="1">
        <f t="shared" si="1483"/>
        <v>1.17555645617927</v>
      </c>
      <c r="S450" s="1">
        <f t="shared" si="1483"/>
        <v>0.620558482582616</v>
      </c>
      <c r="T450" s="1">
        <f t="shared" si="1483"/>
        <v>3.71167544774785</v>
      </c>
      <c r="U450" s="1">
        <f t="shared" si="1483"/>
        <v>1</v>
      </c>
      <c r="V450" s="1">
        <f t="shared" si="1483"/>
        <v>1.4786539275315</v>
      </c>
      <c r="W450" s="1">
        <f t="shared" si="1483"/>
        <v>2.40445164943413</v>
      </c>
      <c r="X450" s="1">
        <f t="shared" si="1301"/>
        <v>9.64956642749006</v>
      </c>
      <c r="Y450" s="1">
        <f t="shared" si="1302"/>
        <v>20.0584515429499</v>
      </c>
      <c r="Z450" s="1">
        <f t="shared" si="1303"/>
        <v>2456853.95985014</v>
      </c>
      <c r="AA450" s="1">
        <f t="shared" si="1304"/>
        <v>69632.3301917345</v>
      </c>
      <c r="AB450" s="1">
        <f t="shared" si="1305"/>
        <v>46421.5534611563</v>
      </c>
      <c r="AC450" s="1">
        <f>AB450/(AB450+战斗公式!$M$27)</f>
        <v>0.659195248891547</v>
      </c>
      <c r="AD450" s="1">
        <f t="shared" si="1306"/>
        <v>7208978.01999335</v>
      </c>
      <c r="AE450" s="1">
        <f t="shared" si="1307"/>
        <v>10.7288944431884</v>
      </c>
      <c r="AF450" s="1">
        <f t="shared" si="1308"/>
        <v>5.16137446608949</v>
      </c>
      <c r="AG450" s="1">
        <f t="shared" si="1309"/>
        <v>4.9442291167532</v>
      </c>
      <c r="AH450" s="1">
        <f t="shared" si="1310"/>
        <v>1.93632081849218</v>
      </c>
      <c r="AI450" s="1">
        <f t="shared" si="1311"/>
        <v>1.0000000001924</v>
      </c>
      <c r="AJ450" s="1">
        <f t="shared" si="1312"/>
        <v>1.00008135918664</v>
      </c>
      <c r="AK450" s="1">
        <f t="shared" si="1313"/>
        <v>1</v>
      </c>
      <c r="AL450" s="10">
        <f t="shared" si="1314"/>
        <v>2353491</v>
      </c>
      <c r="AM450" s="10">
        <f t="shared" si="1315"/>
        <v>134831</v>
      </c>
      <c r="AN450" s="10">
        <f t="shared" si="1316"/>
        <v>46422</v>
      </c>
      <c r="AO450" s="1">
        <f t="shared" si="1317"/>
        <v>1132292</v>
      </c>
      <c r="AP450" s="1">
        <f t="shared" si="1318"/>
        <v>134831</v>
      </c>
      <c r="AR450" s="1">
        <f t="shared" ref="AR450:AX450" si="1484">ROUNDUP(AR$10*$AO450,0)</f>
        <v>1132292</v>
      </c>
      <c r="AS450" s="1">
        <f t="shared" si="1484"/>
        <v>3396876</v>
      </c>
      <c r="AT450" s="1">
        <f t="shared" si="1484"/>
        <v>2038126</v>
      </c>
      <c r="AU450" s="1">
        <f t="shared" si="1484"/>
        <v>566146</v>
      </c>
      <c r="AV450" s="1">
        <f t="shared" si="1484"/>
        <v>169844</v>
      </c>
      <c r="AW450" s="1">
        <f t="shared" si="1484"/>
        <v>4529168</v>
      </c>
      <c r="AX450" s="1">
        <f t="shared" si="1484"/>
        <v>10190628</v>
      </c>
      <c r="AY450" s="1">
        <f t="shared" si="1320"/>
        <v>141209460</v>
      </c>
      <c r="AZ450" s="1">
        <f t="shared" si="1321"/>
        <v>70604730</v>
      </c>
      <c r="BB450" s="1">
        <f t="shared" si="1322"/>
        <v>439</v>
      </c>
    </row>
    <row r="451" spans="2:54">
      <c r="B451" s="4">
        <v>440</v>
      </c>
      <c r="C451" s="1">
        <f t="shared" ref="C451:I451" si="1485">C$5+(C$6-C$5)*(POWER(C$7,$B451-1)-1)/(POWER(C$7,$B$3-1)-1)</f>
        <v>34761.0403647928</v>
      </c>
      <c r="D451" s="1">
        <f t="shared" si="1485"/>
        <v>10428.3121094379</v>
      </c>
      <c r="E451" s="1">
        <f t="shared" si="1485"/>
        <v>6952.20807295857</v>
      </c>
      <c r="F451" s="1">
        <f t="shared" si="1485"/>
        <v>88002.6338349186</v>
      </c>
      <c r="G451" s="1">
        <f t="shared" si="1485"/>
        <v>26400.7901504756</v>
      </c>
      <c r="H451" s="1">
        <f t="shared" si="1485"/>
        <v>17600.5267669837</v>
      </c>
      <c r="I451" s="1">
        <f t="shared" si="1485"/>
        <v>0</v>
      </c>
      <c r="J451" s="1">
        <f>标准模型!$I$65/1*$B451/$B$3</f>
        <v>3.168</v>
      </c>
      <c r="K451" s="1">
        <f>J451*标准模型!$J$63</f>
        <v>3.168</v>
      </c>
      <c r="L451" s="1">
        <f t="shared" si="1297"/>
        <v>122763.674199711</v>
      </c>
      <c r="M451" s="1">
        <f t="shared" si="1298"/>
        <v>69865.9950226126</v>
      </c>
      <c r="N451" s="1">
        <f t="shared" si="1299"/>
        <v>46577.330015075</v>
      </c>
      <c r="O451" s="1">
        <f t="shared" ref="O451:W451" si="1486">O$5+(O$6-O$5)*(POWER(O$7,$B451-1)-1)/(POWER(O$7,$B$3-1)-1)</f>
        <v>0.939892955084762</v>
      </c>
      <c r="P451" s="1">
        <f t="shared" si="1486"/>
        <v>0.33467713525065</v>
      </c>
      <c r="Q451" s="1">
        <f t="shared" si="1486"/>
        <v>0.516941125296619</v>
      </c>
      <c r="R451" s="1">
        <f t="shared" si="1486"/>
        <v>1.1759571820339</v>
      </c>
      <c r="S451" s="1">
        <f t="shared" si="1486"/>
        <v>0.621860841610191</v>
      </c>
      <c r="T451" s="1">
        <f t="shared" si="1486"/>
        <v>3.71558252483057</v>
      </c>
      <c r="U451" s="1">
        <f t="shared" si="1486"/>
        <v>1</v>
      </c>
      <c r="V451" s="1">
        <f t="shared" si="1486"/>
        <v>1.47974650486167</v>
      </c>
      <c r="W451" s="1">
        <f t="shared" si="1486"/>
        <v>2.40765745627124</v>
      </c>
      <c r="X451" s="1">
        <f t="shared" si="1301"/>
        <v>9.7027448097983</v>
      </c>
      <c r="Y451" s="1">
        <f t="shared" si="1302"/>
        <v>20.180770361131</v>
      </c>
      <c r="Z451" s="1">
        <f t="shared" si="1303"/>
        <v>2477465.51771307</v>
      </c>
      <c r="AA451" s="1">
        <f t="shared" si="1304"/>
        <v>69865.9950226126</v>
      </c>
      <c r="AB451" s="1">
        <f t="shared" si="1305"/>
        <v>46577.330015075</v>
      </c>
      <c r="AC451" s="1">
        <f>AB451/(AB451+战斗公式!$M$27)</f>
        <v>0.659947464789704</v>
      </c>
      <c r="AD451" s="1">
        <f t="shared" si="1306"/>
        <v>7285537.56019185</v>
      </c>
      <c r="AE451" s="1">
        <f t="shared" si="1307"/>
        <v>10.7473438448457</v>
      </c>
      <c r="AF451" s="1">
        <f t="shared" si="1308"/>
        <v>5.16723261023473</v>
      </c>
      <c r="AG451" s="1">
        <f t="shared" si="1309"/>
        <v>4.9453650526086</v>
      </c>
      <c r="AH451" s="1">
        <f t="shared" si="1310"/>
        <v>1.94193243867113</v>
      </c>
      <c r="AI451" s="1">
        <f t="shared" si="1311"/>
        <v>1.00000000018234</v>
      </c>
      <c r="AJ451" s="1">
        <f t="shared" si="1312"/>
        <v>1.00007906219552</v>
      </c>
      <c r="AK451" s="1">
        <f t="shared" si="1313"/>
        <v>1</v>
      </c>
      <c r="AL451" s="10">
        <f t="shared" si="1314"/>
        <v>2371090</v>
      </c>
      <c r="AM451" s="10">
        <f t="shared" si="1315"/>
        <v>135675</v>
      </c>
      <c r="AN451" s="10">
        <f t="shared" si="1316"/>
        <v>46577</v>
      </c>
      <c r="AO451" s="1">
        <f t="shared" si="1317"/>
        <v>1140090</v>
      </c>
      <c r="AP451" s="1">
        <f t="shared" si="1318"/>
        <v>135675</v>
      </c>
      <c r="AR451" s="1">
        <f t="shared" ref="AR451:AX451" si="1487">ROUNDUP(AR$10*$AO451,0)</f>
        <v>1140090</v>
      </c>
      <c r="AS451" s="1">
        <f t="shared" si="1487"/>
        <v>3420270</v>
      </c>
      <c r="AT451" s="1">
        <f t="shared" si="1487"/>
        <v>2052162</v>
      </c>
      <c r="AU451" s="1">
        <f t="shared" si="1487"/>
        <v>570045</v>
      </c>
      <c r="AV451" s="1">
        <f t="shared" si="1487"/>
        <v>171014</v>
      </c>
      <c r="AW451" s="1">
        <f t="shared" si="1487"/>
        <v>4560360</v>
      </c>
      <c r="AX451" s="1">
        <f t="shared" si="1487"/>
        <v>10260810</v>
      </c>
      <c r="AY451" s="1">
        <f t="shared" si="1320"/>
        <v>142265400</v>
      </c>
      <c r="AZ451" s="1">
        <f t="shared" si="1321"/>
        <v>71132700</v>
      </c>
      <c r="BB451" s="1">
        <f t="shared" si="1322"/>
        <v>440</v>
      </c>
    </row>
    <row r="452" spans="2:54">
      <c r="B452" s="4">
        <v>441</v>
      </c>
      <c r="C452" s="1">
        <f t="shared" ref="C452:I452" si="1488">C$5+(C$6-C$5)*(POWER(C$7,$B452-1)-1)/(POWER(C$7,$B$3-1)-1)</f>
        <v>34840.0253553973</v>
      </c>
      <c r="D452" s="1">
        <f t="shared" si="1488"/>
        <v>10452.0076066192</v>
      </c>
      <c r="E452" s="1">
        <f t="shared" si="1488"/>
        <v>6968.00507107946</v>
      </c>
      <c r="F452" s="1">
        <f t="shared" si="1488"/>
        <v>88202.5958364489</v>
      </c>
      <c r="G452" s="1">
        <f t="shared" si="1488"/>
        <v>26460.7787509347</v>
      </c>
      <c r="H452" s="1">
        <f t="shared" si="1488"/>
        <v>17640.5191672898</v>
      </c>
      <c r="I452" s="1">
        <f t="shared" si="1488"/>
        <v>0</v>
      </c>
      <c r="J452" s="1">
        <f>标准模型!$I$65/1*$B452/$B$3</f>
        <v>3.1752</v>
      </c>
      <c r="K452" s="1">
        <f>J452*标准模型!$J$63</f>
        <v>3.1752</v>
      </c>
      <c r="L452" s="1">
        <f t="shared" si="1297"/>
        <v>123042.621191846</v>
      </c>
      <c r="M452" s="1">
        <f t="shared" si="1298"/>
        <v>70100.0009100911</v>
      </c>
      <c r="N452" s="1">
        <f t="shared" si="1299"/>
        <v>46733.3339400608</v>
      </c>
      <c r="O452" s="1">
        <f t="shared" ref="O452:W452" si="1489">O$5+(O$6-O$5)*(POWER(O$7,$B452-1)-1)/(POWER(O$7,$B$3-1)-1)</f>
        <v>0.940894768719684</v>
      </c>
      <c r="P452" s="1">
        <f t="shared" si="1489"/>
        <v>0.335718408079056</v>
      </c>
      <c r="Q452" s="1">
        <f t="shared" si="1489"/>
        <v>0.517492122795826</v>
      </c>
      <c r="R452" s="1">
        <f t="shared" si="1489"/>
        <v>1.17635790748787</v>
      </c>
      <c r="S452" s="1">
        <f t="shared" si="1489"/>
        <v>0.623163199335589</v>
      </c>
      <c r="T452" s="1">
        <f t="shared" si="1489"/>
        <v>3.71948959800677</v>
      </c>
      <c r="U452" s="1">
        <f t="shared" si="1489"/>
        <v>1</v>
      </c>
      <c r="V452" s="1">
        <f t="shared" si="1489"/>
        <v>1.48083908109942</v>
      </c>
      <c r="W452" s="1">
        <f t="shared" si="1489"/>
        <v>2.41086325990299</v>
      </c>
      <c r="X452" s="1">
        <f t="shared" si="1301"/>
        <v>9.75617355646762</v>
      </c>
      <c r="Y452" s="1">
        <f t="shared" si="1302"/>
        <v>20.303737562607</v>
      </c>
      <c r="Z452" s="1">
        <f t="shared" si="1303"/>
        <v>2498225.08969451</v>
      </c>
      <c r="AA452" s="1">
        <f t="shared" si="1304"/>
        <v>70100.0009100911</v>
      </c>
      <c r="AB452" s="1">
        <f t="shared" si="1305"/>
        <v>46733.3339400608</v>
      </c>
      <c r="AC452" s="1">
        <f>AB452/(AB452+战斗公式!$M$27)</f>
        <v>0.660697458141341</v>
      </c>
      <c r="AD452" s="1">
        <f t="shared" si="1306"/>
        <v>7362824.56361667</v>
      </c>
      <c r="AE452" s="1">
        <f t="shared" si="1307"/>
        <v>10.7658149691299</v>
      </c>
      <c r="AF452" s="1">
        <f t="shared" si="1308"/>
        <v>5.17309480541581</v>
      </c>
      <c r="AG452" s="1">
        <f t="shared" si="1309"/>
        <v>4.94649246894509</v>
      </c>
      <c r="AH452" s="1">
        <f t="shared" si="1310"/>
        <v>1.94755528209044</v>
      </c>
      <c r="AI452" s="1">
        <f t="shared" si="1311"/>
        <v>1.00000000017278</v>
      </c>
      <c r="AJ452" s="1">
        <f t="shared" si="1312"/>
        <v>1.00007681114422</v>
      </c>
      <c r="AK452" s="1">
        <f t="shared" si="1313"/>
        <v>1</v>
      </c>
      <c r="AL452" s="10">
        <f t="shared" si="1314"/>
        <v>2388793</v>
      </c>
      <c r="AM452" s="10">
        <f t="shared" si="1315"/>
        <v>136524</v>
      </c>
      <c r="AN452" s="10">
        <f t="shared" si="1316"/>
        <v>46733</v>
      </c>
      <c r="AO452" s="1">
        <f t="shared" si="1317"/>
        <v>1147930</v>
      </c>
      <c r="AP452" s="1">
        <f t="shared" si="1318"/>
        <v>136524</v>
      </c>
      <c r="AR452" s="1">
        <f t="shared" ref="AR452:AX452" si="1490">ROUNDUP(AR$10*$AO452,0)</f>
        <v>1147930</v>
      </c>
      <c r="AS452" s="1">
        <f t="shared" si="1490"/>
        <v>3443790</v>
      </c>
      <c r="AT452" s="1">
        <f t="shared" si="1490"/>
        <v>2066274</v>
      </c>
      <c r="AU452" s="1">
        <f t="shared" si="1490"/>
        <v>573965</v>
      </c>
      <c r="AV452" s="1">
        <f t="shared" si="1490"/>
        <v>172190</v>
      </c>
      <c r="AW452" s="1">
        <f t="shared" si="1490"/>
        <v>4591720</v>
      </c>
      <c r="AX452" s="1">
        <f t="shared" si="1490"/>
        <v>10331370</v>
      </c>
      <c r="AY452" s="1">
        <f t="shared" si="1320"/>
        <v>143327580</v>
      </c>
      <c r="AZ452" s="1">
        <f t="shared" si="1321"/>
        <v>71663790</v>
      </c>
      <c r="BB452" s="1">
        <f t="shared" si="1322"/>
        <v>441</v>
      </c>
    </row>
    <row r="453" spans="2:54">
      <c r="B453" s="4">
        <v>442</v>
      </c>
      <c r="C453" s="1">
        <f t="shared" ref="C453:I453" si="1491">C$5+(C$6-C$5)*(POWER(C$7,$B453-1)-1)/(POWER(C$7,$B$3-1)-1)</f>
        <v>34919.0102670102</v>
      </c>
      <c r="D453" s="1">
        <f t="shared" si="1491"/>
        <v>10475.7030801031</v>
      </c>
      <c r="E453" s="1">
        <f t="shared" si="1491"/>
        <v>6983.80205340204</v>
      </c>
      <c r="F453" s="1">
        <f t="shared" si="1491"/>
        <v>88402.5576380005</v>
      </c>
      <c r="G453" s="1">
        <f t="shared" si="1491"/>
        <v>26520.7672914001</v>
      </c>
      <c r="H453" s="1">
        <f t="shared" si="1491"/>
        <v>17680.5115276001</v>
      </c>
      <c r="I453" s="1">
        <f t="shared" si="1491"/>
        <v>0</v>
      </c>
      <c r="J453" s="1">
        <f>标准模型!$I$65/1*$B453/$B$3</f>
        <v>3.1824</v>
      </c>
      <c r="K453" s="1">
        <f>J453*标准模型!$J$63</f>
        <v>3.1824</v>
      </c>
      <c r="L453" s="1">
        <f t="shared" si="1297"/>
        <v>123321.567905011</v>
      </c>
      <c r="M453" s="1">
        <f t="shared" si="1298"/>
        <v>70334.3478536232</v>
      </c>
      <c r="N453" s="1">
        <f t="shared" si="1299"/>
        <v>46889.5652357488</v>
      </c>
      <c r="O453" s="1">
        <f t="shared" ref="O453:W453" si="1492">O$5+(O$6-O$5)*(POWER(O$7,$B453-1)-1)/(POWER(O$7,$B$3-1)-1)</f>
        <v>0.941896581352708</v>
      </c>
      <c r="P453" s="1">
        <f t="shared" si="1492"/>
        <v>0.336761242816704</v>
      </c>
      <c r="Q453" s="1">
        <f t="shared" si="1492"/>
        <v>0.518043119743989</v>
      </c>
      <c r="R453" s="1">
        <f t="shared" si="1492"/>
        <v>1.17675863254108</v>
      </c>
      <c r="S453" s="1">
        <f t="shared" si="1492"/>
        <v>0.62446555575852</v>
      </c>
      <c r="T453" s="1">
        <f t="shared" si="1492"/>
        <v>3.72339666727556</v>
      </c>
      <c r="U453" s="1">
        <f t="shared" si="1492"/>
        <v>1</v>
      </c>
      <c r="V453" s="1">
        <f t="shared" si="1492"/>
        <v>1.48193165624449</v>
      </c>
      <c r="W453" s="1">
        <f t="shared" si="1492"/>
        <v>2.41406906032867</v>
      </c>
      <c r="X453" s="1">
        <f t="shared" si="1301"/>
        <v>9.80985363259382</v>
      </c>
      <c r="Y453" s="1">
        <f t="shared" si="1302"/>
        <v>20.4273560330348</v>
      </c>
      <c r="Z453" s="1">
        <f t="shared" si="1303"/>
        <v>2519133.57414773</v>
      </c>
      <c r="AA453" s="1">
        <f t="shared" si="1304"/>
        <v>70334.3478536232</v>
      </c>
      <c r="AB453" s="1">
        <f t="shared" si="1305"/>
        <v>46889.5652357488</v>
      </c>
      <c r="AC453" s="1">
        <f>AB453/(AB453+战斗公式!$M$27)</f>
        <v>0.66144523640135</v>
      </c>
      <c r="AD453" s="1">
        <f t="shared" si="1306"/>
        <v>7440845.16008792</v>
      </c>
      <c r="AE453" s="1">
        <f t="shared" si="1307"/>
        <v>10.7843077968718</v>
      </c>
      <c r="AF453" s="1">
        <f t="shared" si="1308"/>
        <v>5.17896103857333</v>
      </c>
      <c r="AG453" s="1">
        <f t="shared" si="1309"/>
        <v>4.94761142965906</v>
      </c>
      <c r="AH453" s="1">
        <f t="shared" si="1310"/>
        <v>1.95318937119659</v>
      </c>
      <c r="AI453" s="1">
        <f t="shared" si="1311"/>
        <v>1.0000000001637</v>
      </c>
      <c r="AJ453" s="1">
        <f t="shared" si="1312"/>
        <v>1.00007460511395</v>
      </c>
      <c r="AK453" s="1">
        <f t="shared" si="1313"/>
        <v>1</v>
      </c>
      <c r="AL453" s="10">
        <f t="shared" si="1314"/>
        <v>2406601</v>
      </c>
      <c r="AM453" s="10">
        <f t="shared" si="1315"/>
        <v>137376</v>
      </c>
      <c r="AN453" s="10">
        <f t="shared" si="1316"/>
        <v>46890</v>
      </c>
      <c r="AO453" s="1">
        <f t="shared" si="1317"/>
        <v>1155811</v>
      </c>
      <c r="AP453" s="1">
        <f t="shared" si="1318"/>
        <v>137376</v>
      </c>
      <c r="AR453" s="1">
        <f t="shared" ref="AR453:AX453" si="1493">ROUNDUP(AR$10*$AO453,0)</f>
        <v>1155811</v>
      </c>
      <c r="AS453" s="1">
        <f t="shared" si="1493"/>
        <v>3467433</v>
      </c>
      <c r="AT453" s="1">
        <f t="shared" si="1493"/>
        <v>2080460</v>
      </c>
      <c r="AU453" s="1">
        <f t="shared" si="1493"/>
        <v>577906</v>
      </c>
      <c r="AV453" s="1">
        <f t="shared" si="1493"/>
        <v>173372</v>
      </c>
      <c r="AW453" s="1">
        <f t="shared" si="1493"/>
        <v>4623244</v>
      </c>
      <c r="AX453" s="1">
        <f t="shared" si="1493"/>
        <v>10402299</v>
      </c>
      <c r="AY453" s="1">
        <f t="shared" si="1320"/>
        <v>144396060</v>
      </c>
      <c r="AZ453" s="1">
        <f t="shared" si="1321"/>
        <v>72198030</v>
      </c>
      <c r="BB453" s="1">
        <f t="shared" si="1322"/>
        <v>442</v>
      </c>
    </row>
    <row r="454" spans="2:54">
      <c r="B454" s="4">
        <v>443</v>
      </c>
      <c r="C454" s="1">
        <f t="shared" ref="C454:I454" si="1494">C$5+(C$6-C$5)*(POWER(C$7,$B454-1)-1)/(POWER(C$7,$B$3-1)-1)</f>
        <v>34997.9950996402</v>
      </c>
      <c r="D454" s="1">
        <f t="shared" si="1494"/>
        <v>10499.3985298921</v>
      </c>
      <c r="E454" s="1">
        <f t="shared" si="1494"/>
        <v>6999.59901992805</v>
      </c>
      <c r="F454" s="1">
        <f t="shared" si="1494"/>
        <v>88602.5192395955</v>
      </c>
      <c r="G454" s="1">
        <f t="shared" si="1494"/>
        <v>26580.7557718787</v>
      </c>
      <c r="H454" s="1">
        <f t="shared" si="1494"/>
        <v>17720.5038479191</v>
      </c>
      <c r="I454" s="1">
        <f t="shared" si="1494"/>
        <v>0</v>
      </c>
      <c r="J454" s="1">
        <f>标准模型!$I$65/1*$B454/$B$3</f>
        <v>3.1896</v>
      </c>
      <c r="K454" s="1">
        <f>J454*标准模型!$J$63</f>
        <v>3.1896</v>
      </c>
      <c r="L454" s="1">
        <f t="shared" si="1297"/>
        <v>123600.514339236</v>
      </c>
      <c r="M454" s="1">
        <f t="shared" si="1298"/>
        <v>70569.0358527145</v>
      </c>
      <c r="N454" s="1">
        <f t="shared" si="1299"/>
        <v>47046.0239018097</v>
      </c>
      <c r="O454" s="1">
        <f t="shared" ref="O454:W454" si="1495">O$5+(O$6-O$5)*(POWER(O$7,$B454-1)-1)/(POWER(O$7,$B$3-1)-1)</f>
        <v>0.942898392983946</v>
      </c>
      <c r="P454" s="1">
        <f t="shared" si="1495"/>
        <v>0.337805641806459</v>
      </c>
      <c r="Q454" s="1">
        <f t="shared" si="1495"/>
        <v>0.51859411614117</v>
      </c>
      <c r="R454" s="1">
        <f t="shared" si="1495"/>
        <v>1.17715935719358</v>
      </c>
      <c r="S454" s="1">
        <f t="shared" si="1495"/>
        <v>0.625767910879129</v>
      </c>
      <c r="T454" s="1">
        <f t="shared" si="1495"/>
        <v>3.72730373263739</v>
      </c>
      <c r="U454" s="1">
        <f t="shared" si="1495"/>
        <v>1</v>
      </c>
      <c r="V454" s="1">
        <f t="shared" si="1495"/>
        <v>1.48302423029702</v>
      </c>
      <c r="W454" s="1">
        <f t="shared" si="1495"/>
        <v>2.41727485754863</v>
      </c>
      <c r="X454" s="1">
        <f t="shared" si="1301"/>
        <v>9.86378600621384</v>
      </c>
      <c r="Y454" s="1">
        <f t="shared" si="1302"/>
        <v>20.5516286685014</v>
      </c>
      <c r="Z454" s="1">
        <f t="shared" si="1303"/>
        <v>2540191.87393576</v>
      </c>
      <c r="AA454" s="1">
        <f t="shared" si="1304"/>
        <v>70569.0358527145</v>
      </c>
      <c r="AB454" s="1">
        <f t="shared" si="1305"/>
        <v>47046.0239018097</v>
      </c>
      <c r="AC454" s="1">
        <f>AB454/(AB454+战斗公式!$M$27)</f>
        <v>0.662190807001816</v>
      </c>
      <c r="AD454" s="1">
        <f t="shared" si="1306"/>
        <v>7519605.5246176</v>
      </c>
      <c r="AE454" s="1">
        <f t="shared" si="1307"/>
        <v>10.8028223089601</v>
      </c>
      <c r="AF454" s="1">
        <f t="shared" si="1308"/>
        <v>5.18483129670646</v>
      </c>
      <c r="AG454" s="1">
        <f t="shared" si="1309"/>
        <v>4.94872199816766</v>
      </c>
      <c r="AH454" s="1">
        <f t="shared" si="1310"/>
        <v>1.95883472848096</v>
      </c>
      <c r="AI454" s="1">
        <f t="shared" si="1311"/>
        <v>1.00000000015508</v>
      </c>
      <c r="AJ454" s="1">
        <f t="shared" si="1312"/>
        <v>1.00007244320428</v>
      </c>
      <c r="AK454" s="1">
        <f t="shared" si="1313"/>
        <v>1</v>
      </c>
      <c r="AL454" s="10">
        <f t="shared" si="1314"/>
        <v>2424515</v>
      </c>
      <c r="AM454" s="10">
        <f t="shared" si="1315"/>
        <v>138233</v>
      </c>
      <c r="AN454" s="10">
        <f t="shared" si="1316"/>
        <v>47046</v>
      </c>
      <c r="AO454" s="1">
        <f t="shared" si="1317"/>
        <v>1163734</v>
      </c>
      <c r="AP454" s="1">
        <f t="shared" si="1318"/>
        <v>138233</v>
      </c>
      <c r="AR454" s="1">
        <f t="shared" ref="AR454:AX454" si="1496">ROUNDUP(AR$10*$AO454,0)</f>
        <v>1163734</v>
      </c>
      <c r="AS454" s="1">
        <f t="shared" si="1496"/>
        <v>3491202</v>
      </c>
      <c r="AT454" s="1">
        <f t="shared" si="1496"/>
        <v>2094722</v>
      </c>
      <c r="AU454" s="1">
        <f t="shared" si="1496"/>
        <v>581867</v>
      </c>
      <c r="AV454" s="1">
        <f t="shared" si="1496"/>
        <v>174561</v>
      </c>
      <c r="AW454" s="1">
        <f t="shared" si="1496"/>
        <v>4654936</v>
      </c>
      <c r="AX454" s="1">
        <f t="shared" si="1496"/>
        <v>10473606</v>
      </c>
      <c r="AY454" s="1">
        <f t="shared" si="1320"/>
        <v>145470900</v>
      </c>
      <c r="AZ454" s="1">
        <f t="shared" si="1321"/>
        <v>72735450</v>
      </c>
      <c r="BB454" s="1">
        <f t="shared" si="1322"/>
        <v>443</v>
      </c>
    </row>
    <row r="455" spans="2:54">
      <c r="B455" s="4">
        <v>444</v>
      </c>
      <c r="C455" s="1">
        <f t="shared" ref="C455:I455" si="1497">C$5+(C$6-C$5)*(POWER(C$7,$B455-1)-1)/(POWER(C$7,$B$3-1)-1)</f>
        <v>35076.9798532787</v>
      </c>
      <c r="D455" s="1">
        <f t="shared" si="1497"/>
        <v>10523.0939559836</v>
      </c>
      <c r="E455" s="1">
        <f t="shared" si="1497"/>
        <v>7015.39597065573</v>
      </c>
      <c r="F455" s="1">
        <f t="shared" si="1497"/>
        <v>88802.4806412118</v>
      </c>
      <c r="G455" s="1">
        <f t="shared" si="1497"/>
        <v>26640.7441923635</v>
      </c>
      <c r="H455" s="1">
        <f t="shared" si="1497"/>
        <v>17760.4961282424</v>
      </c>
      <c r="I455" s="1">
        <f t="shared" si="1497"/>
        <v>0</v>
      </c>
      <c r="J455" s="1">
        <f>标准模型!$I$65/1*$B455/$B$3</f>
        <v>3.1968</v>
      </c>
      <c r="K455" s="1">
        <f>J455*标准模型!$J$63</f>
        <v>3.1968</v>
      </c>
      <c r="L455" s="1">
        <f t="shared" si="1297"/>
        <v>123879.46049449</v>
      </c>
      <c r="M455" s="1">
        <f t="shared" si="1298"/>
        <v>70804.0649068355</v>
      </c>
      <c r="N455" s="1">
        <f t="shared" si="1299"/>
        <v>47202.7099378903</v>
      </c>
      <c r="O455" s="1">
        <f t="shared" ref="O455:W455" si="1498">O$5+(O$6-O$5)*(POWER(O$7,$B455-1)-1)/(POWER(O$7,$B$3-1)-1)</f>
        <v>0.943900203613286</v>
      </c>
      <c r="P455" s="1">
        <f t="shared" si="1498"/>
        <v>0.338851607394698</v>
      </c>
      <c r="Q455" s="1">
        <f t="shared" si="1498"/>
        <v>0.519145111987307</v>
      </c>
      <c r="R455" s="1">
        <f t="shared" si="1498"/>
        <v>1.17756008144531</v>
      </c>
      <c r="S455" s="1">
        <f t="shared" si="1498"/>
        <v>0.627070264697271</v>
      </c>
      <c r="T455" s="1">
        <f t="shared" si="1498"/>
        <v>3.73121079409181</v>
      </c>
      <c r="U455" s="1">
        <f t="shared" si="1498"/>
        <v>1</v>
      </c>
      <c r="V455" s="1">
        <f t="shared" si="1498"/>
        <v>1.48411680325688</v>
      </c>
      <c r="W455" s="1">
        <f t="shared" si="1498"/>
        <v>2.42048065156251</v>
      </c>
      <c r="X455" s="1">
        <f t="shared" si="1301"/>
        <v>9.91797164828748</v>
      </c>
      <c r="Y455" s="1">
        <f t="shared" si="1302"/>
        <v>20.6765583754919</v>
      </c>
      <c r="Z455" s="1">
        <f t="shared" si="1303"/>
        <v>2561400.89643878</v>
      </c>
      <c r="AA455" s="1">
        <f t="shared" si="1304"/>
        <v>70804.0649068355</v>
      </c>
      <c r="AB455" s="1">
        <f t="shared" si="1305"/>
        <v>47202.7099378903</v>
      </c>
      <c r="AC455" s="1">
        <f>AB455/(AB455+战斗公式!$M$27)</f>
        <v>0.662934177351746</v>
      </c>
      <c r="AD455" s="1">
        <f t="shared" si="1306"/>
        <v>7599111.8776576</v>
      </c>
      <c r="AE455" s="1">
        <f t="shared" si="1307"/>
        <v>10.8213584863267</v>
      </c>
      <c r="AF455" s="1">
        <f t="shared" si="1308"/>
        <v>5.19070556686828</v>
      </c>
      <c r="AG455" s="1">
        <f t="shared" si="1309"/>
        <v>4.94982423741246</v>
      </c>
      <c r="AH455" s="1">
        <f t="shared" si="1310"/>
        <v>1.96449137647989</v>
      </c>
      <c r="AI455" s="1">
        <f t="shared" si="1311"/>
        <v>1.00000000014688</v>
      </c>
      <c r="AJ455" s="1">
        <f t="shared" si="1312"/>
        <v>1.0000703245328</v>
      </c>
      <c r="AK455" s="1">
        <f t="shared" si="1313"/>
        <v>1</v>
      </c>
      <c r="AL455" s="10">
        <f t="shared" si="1314"/>
        <v>2442536</v>
      </c>
      <c r="AM455" s="10">
        <f t="shared" si="1315"/>
        <v>139094</v>
      </c>
      <c r="AN455" s="10">
        <f t="shared" si="1316"/>
        <v>47203</v>
      </c>
      <c r="AO455" s="1">
        <f t="shared" si="1317"/>
        <v>1171699</v>
      </c>
      <c r="AP455" s="1">
        <f t="shared" si="1318"/>
        <v>139094</v>
      </c>
      <c r="AR455" s="1">
        <f t="shared" ref="AR455:AX455" si="1499">ROUNDUP(AR$10*$AO455,0)</f>
        <v>1171699</v>
      </c>
      <c r="AS455" s="1">
        <f t="shared" si="1499"/>
        <v>3515097</v>
      </c>
      <c r="AT455" s="1">
        <f t="shared" si="1499"/>
        <v>2109059</v>
      </c>
      <c r="AU455" s="1">
        <f t="shared" si="1499"/>
        <v>585850</v>
      </c>
      <c r="AV455" s="1">
        <f t="shared" si="1499"/>
        <v>175755</v>
      </c>
      <c r="AW455" s="1">
        <f t="shared" si="1499"/>
        <v>4686796</v>
      </c>
      <c r="AX455" s="1">
        <f t="shared" si="1499"/>
        <v>10545291</v>
      </c>
      <c r="AY455" s="1">
        <f t="shared" si="1320"/>
        <v>146552160</v>
      </c>
      <c r="AZ455" s="1">
        <f t="shared" si="1321"/>
        <v>73276080</v>
      </c>
      <c r="BB455" s="1">
        <f t="shared" si="1322"/>
        <v>444</v>
      </c>
    </row>
    <row r="456" spans="2:54">
      <c r="B456" s="4">
        <v>445</v>
      </c>
      <c r="C456" s="1">
        <f t="shared" ref="C456:I456" si="1500">C$5+(C$6-C$5)*(POWER(C$7,$B456-1)-1)/(POWER(C$7,$B$3-1)-1)</f>
        <v>35155.964527943</v>
      </c>
      <c r="D456" s="1">
        <f t="shared" si="1500"/>
        <v>10546.7893583829</v>
      </c>
      <c r="E456" s="1">
        <f t="shared" si="1500"/>
        <v>7031.19290558861</v>
      </c>
      <c r="F456" s="1">
        <f t="shared" si="1500"/>
        <v>89002.4418428938</v>
      </c>
      <c r="G456" s="1">
        <f t="shared" si="1500"/>
        <v>26700.7325528681</v>
      </c>
      <c r="H456" s="1">
        <f t="shared" si="1500"/>
        <v>17800.4883685788</v>
      </c>
      <c r="I456" s="1">
        <f t="shared" si="1500"/>
        <v>0</v>
      </c>
      <c r="J456" s="1">
        <f>标准模型!$I$65/1*$B456/$B$3</f>
        <v>3.204</v>
      </c>
      <c r="K456" s="1">
        <f>J456*标准模型!$J$63</f>
        <v>3.204</v>
      </c>
      <c r="L456" s="1">
        <f t="shared" si="1297"/>
        <v>124158.406370837</v>
      </c>
      <c r="M456" s="1">
        <f t="shared" si="1298"/>
        <v>71039.4350155099</v>
      </c>
      <c r="N456" s="1">
        <f t="shared" si="1299"/>
        <v>47359.6233436733</v>
      </c>
      <c r="O456" s="1">
        <f t="shared" ref="O456:W456" si="1501">O$5+(O$6-O$5)*(POWER(O$7,$B456-1)-1)/(POWER(O$7,$B$3-1)-1)</f>
        <v>0.944902013240951</v>
      </c>
      <c r="P456" s="1">
        <f t="shared" si="1501"/>
        <v>0.33989914193132</v>
      </c>
      <c r="Q456" s="1">
        <f t="shared" si="1501"/>
        <v>0.519696107282523</v>
      </c>
      <c r="R456" s="1">
        <f t="shared" si="1501"/>
        <v>1.17796080529638</v>
      </c>
      <c r="S456" s="1">
        <f t="shared" si="1501"/>
        <v>0.628372617213236</v>
      </c>
      <c r="T456" s="1">
        <f t="shared" si="1501"/>
        <v>3.73511785163971</v>
      </c>
      <c r="U456" s="1">
        <f t="shared" si="1501"/>
        <v>1</v>
      </c>
      <c r="V456" s="1">
        <f t="shared" si="1501"/>
        <v>1.48520937512432</v>
      </c>
      <c r="W456" s="1">
        <f t="shared" si="1501"/>
        <v>2.42368644237104</v>
      </c>
      <c r="X456" s="1">
        <f t="shared" si="1301"/>
        <v>9.97241153273057</v>
      </c>
      <c r="Y456" s="1">
        <f t="shared" si="1302"/>
        <v>20.8021480709827</v>
      </c>
      <c r="Z456" s="1">
        <f t="shared" si="1303"/>
        <v>2582761.55358339</v>
      </c>
      <c r="AA456" s="1">
        <f t="shared" si="1304"/>
        <v>71039.4350155099</v>
      </c>
      <c r="AB456" s="1">
        <f t="shared" si="1305"/>
        <v>47359.6233436733</v>
      </c>
      <c r="AC456" s="1">
        <f>AB456/(AB456+战斗公式!$M$27)</f>
        <v>0.663675354837368</v>
      </c>
      <c r="AD456" s="1">
        <f t="shared" si="1306"/>
        <v>7679370.48542631</v>
      </c>
      <c r="AE456" s="1">
        <f t="shared" si="1307"/>
        <v>10.8399163099601</v>
      </c>
      <c r="AF456" s="1">
        <f t="shared" si="1308"/>
        <v>5.19658383616982</v>
      </c>
      <c r="AG456" s="1">
        <f t="shared" si="1309"/>
        <v>4.95091820986292</v>
      </c>
      <c r="AH456" s="1">
        <f t="shared" si="1310"/>
        <v>1.97015933777482</v>
      </c>
      <c r="AI456" s="1">
        <f t="shared" si="1311"/>
        <v>1.0000000001391</v>
      </c>
      <c r="AJ456" s="1">
        <f t="shared" si="1312"/>
        <v>1.00006824823476</v>
      </c>
      <c r="AK456" s="1">
        <f t="shared" si="1313"/>
        <v>1</v>
      </c>
      <c r="AL456" s="10">
        <f t="shared" si="1314"/>
        <v>2460663</v>
      </c>
      <c r="AM456" s="10">
        <f t="shared" si="1315"/>
        <v>139959</v>
      </c>
      <c r="AN456" s="10">
        <f t="shared" si="1316"/>
        <v>47360</v>
      </c>
      <c r="AO456" s="1">
        <f t="shared" si="1317"/>
        <v>1179706</v>
      </c>
      <c r="AP456" s="1">
        <f t="shared" si="1318"/>
        <v>139959</v>
      </c>
      <c r="AR456" s="1">
        <f t="shared" ref="AR456:AX456" si="1502">ROUNDUP(AR$10*$AO456,0)</f>
        <v>1179706</v>
      </c>
      <c r="AS456" s="1">
        <f t="shared" si="1502"/>
        <v>3539118</v>
      </c>
      <c r="AT456" s="1">
        <f t="shared" si="1502"/>
        <v>2123471</v>
      </c>
      <c r="AU456" s="1">
        <f t="shared" si="1502"/>
        <v>589853</v>
      </c>
      <c r="AV456" s="1">
        <f t="shared" si="1502"/>
        <v>176956</v>
      </c>
      <c r="AW456" s="1">
        <f t="shared" si="1502"/>
        <v>4718824</v>
      </c>
      <c r="AX456" s="1">
        <f t="shared" si="1502"/>
        <v>10617354</v>
      </c>
      <c r="AY456" s="1">
        <f t="shared" si="1320"/>
        <v>147639780</v>
      </c>
      <c r="AZ456" s="1">
        <f t="shared" si="1321"/>
        <v>73819890</v>
      </c>
      <c r="BB456" s="1">
        <f t="shared" si="1322"/>
        <v>445</v>
      </c>
    </row>
    <row r="457" spans="2:54">
      <c r="B457" s="4">
        <v>446</v>
      </c>
      <c r="C457" s="1">
        <f t="shared" ref="C457:I457" si="1503">C$5+(C$6-C$5)*(POWER(C$7,$B457-1)-1)/(POWER(C$7,$B$3-1)-1)</f>
        <v>35234.9491236158</v>
      </c>
      <c r="D457" s="1">
        <f t="shared" si="1503"/>
        <v>10570.4847370847</v>
      </c>
      <c r="E457" s="1">
        <f t="shared" si="1503"/>
        <v>7046.98982472316</v>
      </c>
      <c r="F457" s="1">
        <f t="shared" si="1503"/>
        <v>89202.402844597</v>
      </c>
      <c r="G457" s="1">
        <f t="shared" si="1503"/>
        <v>26760.7208533791</v>
      </c>
      <c r="H457" s="1">
        <f t="shared" si="1503"/>
        <v>17840.4805689194</v>
      </c>
      <c r="I457" s="1">
        <f t="shared" si="1503"/>
        <v>0</v>
      </c>
      <c r="J457" s="1">
        <f>标准模型!$I$65/1*$B457/$B$3</f>
        <v>3.2112</v>
      </c>
      <c r="K457" s="1">
        <f>J457*标准模型!$J$63</f>
        <v>3.2112</v>
      </c>
      <c r="L457" s="1">
        <f t="shared" si="1297"/>
        <v>124437.351968213</v>
      </c>
      <c r="M457" s="1">
        <f t="shared" si="1298"/>
        <v>71275.1461781904</v>
      </c>
      <c r="N457" s="1">
        <f t="shared" si="1299"/>
        <v>47516.7641187936</v>
      </c>
      <c r="O457" s="1">
        <f t="shared" ref="O457:W457" si="1504">O$5+(O$6-O$5)*(POWER(O$7,$B457-1)-1)/(POWER(O$7,$B$3-1)-1)</f>
        <v>0.945903821866718</v>
      </c>
      <c r="P457" s="1">
        <f t="shared" si="1504"/>
        <v>0.340948247769746</v>
      </c>
      <c r="Q457" s="1">
        <f t="shared" si="1504"/>
        <v>0.520247102026695</v>
      </c>
      <c r="R457" s="1">
        <f t="shared" si="1504"/>
        <v>1.17836152874669</v>
      </c>
      <c r="S457" s="1">
        <f t="shared" si="1504"/>
        <v>0.629674968426734</v>
      </c>
      <c r="T457" s="1">
        <f t="shared" si="1504"/>
        <v>3.7390249052802</v>
      </c>
      <c r="U457" s="1">
        <f t="shared" si="1504"/>
        <v>1</v>
      </c>
      <c r="V457" s="1">
        <f t="shared" si="1504"/>
        <v>1.48630194589909</v>
      </c>
      <c r="W457" s="1">
        <f t="shared" si="1504"/>
        <v>2.4268922299735</v>
      </c>
      <c r="X457" s="1">
        <f t="shared" si="1301"/>
        <v>10.027106636386</v>
      </c>
      <c r="Y457" s="1">
        <f t="shared" si="1302"/>
        <v>20.928400682383</v>
      </c>
      <c r="Z457" s="1">
        <f t="shared" si="1303"/>
        <v>2604274.76184548</v>
      </c>
      <c r="AA457" s="1">
        <f t="shared" si="1304"/>
        <v>71275.1461781904</v>
      </c>
      <c r="AB457" s="1">
        <f t="shared" si="1305"/>
        <v>47516.7641187936</v>
      </c>
      <c r="AC457" s="1">
        <f>AB457/(AB457+战斗公式!$M$27)</f>
        <v>0.664414346821752</v>
      </c>
      <c r="AD457" s="1">
        <f t="shared" si="1306"/>
        <v>7760387.66014294</v>
      </c>
      <c r="AE457" s="1">
        <f t="shared" si="1307"/>
        <v>10.8584957608862</v>
      </c>
      <c r="AF457" s="1">
        <f t="shared" si="1308"/>
        <v>5.20246609177368</v>
      </c>
      <c r="AG457" s="1">
        <f t="shared" si="1309"/>
        <v>4.95200397752</v>
      </c>
      <c r="AH457" s="1">
        <f t="shared" si="1310"/>
        <v>1.97583863499234</v>
      </c>
      <c r="AI457" s="1">
        <f t="shared" si="1311"/>
        <v>1.0000000001317</v>
      </c>
      <c r="AJ457" s="1">
        <f t="shared" si="1312"/>
        <v>1.00006621346268</v>
      </c>
      <c r="AK457" s="1">
        <f t="shared" si="1313"/>
        <v>1</v>
      </c>
      <c r="AL457" s="10">
        <f t="shared" si="1314"/>
        <v>2478897</v>
      </c>
      <c r="AM457" s="10">
        <f t="shared" si="1315"/>
        <v>140828</v>
      </c>
      <c r="AN457" s="10">
        <f t="shared" si="1316"/>
        <v>47517</v>
      </c>
      <c r="AO457" s="1">
        <f t="shared" si="1317"/>
        <v>1187755</v>
      </c>
      <c r="AP457" s="1">
        <f t="shared" si="1318"/>
        <v>140828</v>
      </c>
      <c r="AR457" s="1">
        <f t="shared" ref="AR457:AX457" si="1505">ROUNDUP(AR$10*$AO457,0)</f>
        <v>1187755</v>
      </c>
      <c r="AS457" s="1">
        <f t="shared" si="1505"/>
        <v>3563265</v>
      </c>
      <c r="AT457" s="1">
        <f t="shared" si="1505"/>
        <v>2137959</v>
      </c>
      <c r="AU457" s="1">
        <f t="shared" si="1505"/>
        <v>593878</v>
      </c>
      <c r="AV457" s="1">
        <f t="shared" si="1505"/>
        <v>178164</v>
      </c>
      <c r="AW457" s="1">
        <f t="shared" si="1505"/>
        <v>4751020</v>
      </c>
      <c r="AX457" s="1">
        <f t="shared" si="1505"/>
        <v>10689795</v>
      </c>
      <c r="AY457" s="1">
        <f t="shared" si="1320"/>
        <v>148733820</v>
      </c>
      <c r="AZ457" s="1">
        <f t="shared" si="1321"/>
        <v>74366910</v>
      </c>
      <c r="BB457" s="1">
        <f t="shared" si="1322"/>
        <v>446</v>
      </c>
    </row>
    <row r="458" spans="2:54">
      <c r="B458" s="4">
        <v>447</v>
      </c>
      <c r="C458" s="1">
        <f t="shared" ref="C458:I458" si="1506">C$5+(C$6-C$5)*(POWER(C$7,$B458-1)-1)/(POWER(C$7,$B$3-1)-1)</f>
        <v>35313.9336403058</v>
      </c>
      <c r="D458" s="1">
        <f t="shared" si="1506"/>
        <v>10594.1800920917</v>
      </c>
      <c r="E458" s="1">
        <f t="shared" si="1506"/>
        <v>7062.78672806115</v>
      </c>
      <c r="F458" s="1">
        <f t="shared" si="1506"/>
        <v>89402.3636463437</v>
      </c>
      <c r="G458" s="1">
        <f t="shared" si="1506"/>
        <v>26820.7090939031</v>
      </c>
      <c r="H458" s="1">
        <f t="shared" si="1506"/>
        <v>17880.4727292687</v>
      </c>
      <c r="I458" s="1">
        <f t="shared" si="1506"/>
        <v>0</v>
      </c>
      <c r="J458" s="1">
        <f>标准模型!$I$65/1*$B458/$B$3</f>
        <v>3.2184</v>
      </c>
      <c r="K458" s="1">
        <f>J458*标准模型!$J$63</f>
        <v>3.2184</v>
      </c>
      <c r="L458" s="1">
        <f t="shared" si="1297"/>
        <v>124716.297286649</v>
      </c>
      <c r="M458" s="1">
        <f t="shared" si="1298"/>
        <v>71511.1983943828</v>
      </c>
      <c r="N458" s="1">
        <f t="shared" si="1299"/>
        <v>47674.1322629219</v>
      </c>
      <c r="O458" s="1">
        <f t="shared" ref="O458:W458" si="1507">O$5+(O$6-O$5)*(POWER(O$7,$B458-1)-1)/(POWER(O$7,$B$3-1)-1)</f>
        <v>0.9469056294907</v>
      </c>
      <c r="P458" s="1">
        <f t="shared" si="1507"/>
        <v>0.341998927266931</v>
      </c>
      <c r="Q458" s="1">
        <f t="shared" si="1507"/>
        <v>0.520798096219885</v>
      </c>
      <c r="R458" s="1">
        <f t="shared" si="1507"/>
        <v>1.17876225179628</v>
      </c>
      <c r="S458" s="1">
        <f t="shared" si="1507"/>
        <v>0.63097731833791</v>
      </c>
      <c r="T458" s="1">
        <f t="shared" si="1507"/>
        <v>3.74293195501373</v>
      </c>
      <c r="U458" s="1">
        <f t="shared" si="1507"/>
        <v>1</v>
      </c>
      <c r="V458" s="1">
        <f t="shared" si="1507"/>
        <v>1.48739451558131</v>
      </c>
      <c r="W458" s="1">
        <f t="shared" si="1507"/>
        <v>2.43009801437024</v>
      </c>
      <c r="X458" s="1">
        <f t="shared" si="1301"/>
        <v>10.0820579390673</v>
      </c>
      <c r="Y458" s="1">
        <f t="shared" si="1302"/>
        <v>21.0553191476543</v>
      </c>
      <c r="Z458" s="1">
        <f t="shared" si="1303"/>
        <v>2625941.44228413</v>
      </c>
      <c r="AA458" s="1">
        <f t="shared" si="1304"/>
        <v>71511.1983943828</v>
      </c>
      <c r="AB458" s="1">
        <f t="shared" si="1305"/>
        <v>47674.1322629219</v>
      </c>
      <c r="AC458" s="1">
        <f>AB458/(AB458+战斗公式!$M$27)</f>
        <v>0.665151160645225</v>
      </c>
      <c r="AD458" s="1">
        <f t="shared" si="1306"/>
        <v>7842169.76037335</v>
      </c>
      <c r="AE458" s="1">
        <f t="shared" si="1307"/>
        <v>10.8770968201873</v>
      </c>
      <c r="AF458" s="1">
        <f t="shared" si="1308"/>
        <v>5.20835232089989</v>
      </c>
      <c r="AG458" s="1">
        <f t="shared" si="1309"/>
        <v>4.95308160191965</v>
      </c>
      <c r="AH458" s="1">
        <f t="shared" si="1310"/>
        <v>1.98152929080429</v>
      </c>
      <c r="AI458" s="1">
        <f t="shared" si="1311"/>
        <v>1.00000000012468</v>
      </c>
      <c r="AJ458" s="1">
        <f t="shared" si="1312"/>
        <v>1.00006421938604</v>
      </c>
      <c r="AK458" s="1">
        <f t="shared" si="1313"/>
        <v>1</v>
      </c>
      <c r="AL458" s="10">
        <f t="shared" si="1314"/>
        <v>2497239</v>
      </c>
      <c r="AM458" s="10">
        <f t="shared" si="1315"/>
        <v>141702</v>
      </c>
      <c r="AN458" s="10">
        <f t="shared" si="1316"/>
        <v>47674</v>
      </c>
      <c r="AO458" s="1">
        <f t="shared" si="1317"/>
        <v>1195846</v>
      </c>
      <c r="AP458" s="1">
        <f t="shared" si="1318"/>
        <v>141702</v>
      </c>
      <c r="AR458" s="1">
        <f t="shared" ref="AR458:AX458" si="1508">ROUNDUP(AR$10*$AO458,0)</f>
        <v>1195846</v>
      </c>
      <c r="AS458" s="1">
        <f t="shared" si="1508"/>
        <v>3587538</v>
      </c>
      <c r="AT458" s="1">
        <f t="shared" si="1508"/>
        <v>2152523</v>
      </c>
      <c r="AU458" s="1">
        <f t="shared" si="1508"/>
        <v>597923</v>
      </c>
      <c r="AV458" s="1">
        <f t="shared" si="1508"/>
        <v>179377</v>
      </c>
      <c r="AW458" s="1">
        <f t="shared" si="1508"/>
        <v>4783384</v>
      </c>
      <c r="AX458" s="1">
        <f t="shared" si="1508"/>
        <v>10762614</v>
      </c>
      <c r="AY458" s="1">
        <f t="shared" si="1320"/>
        <v>149834340</v>
      </c>
      <c r="AZ458" s="1">
        <f t="shared" si="1321"/>
        <v>74917170</v>
      </c>
      <c r="BB458" s="1">
        <f t="shared" si="1322"/>
        <v>447</v>
      </c>
    </row>
    <row r="459" spans="2:54">
      <c r="B459" s="4">
        <v>448</v>
      </c>
      <c r="C459" s="1">
        <f t="shared" ref="C459:I459" si="1509">C$5+(C$6-C$5)*(POWER(C$7,$B459-1)-1)/(POWER(C$7,$B$3-1)-1)</f>
        <v>35392.9180780129</v>
      </c>
      <c r="D459" s="1">
        <f t="shared" si="1509"/>
        <v>10617.8754234039</v>
      </c>
      <c r="E459" s="1">
        <f t="shared" si="1509"/>
        <v>7078.58361560257</v>
      </c>
      <c r="F459" s="1">
        <f t="shared" si="1509"/>
        <v>89602.3242481338</v>
      </c>
      <c r="G459" s="1">
        <f t="shared" si="1509"/>
        <v>26880.6972744401</v>
      </c>
      <c r="H459" s="1">
        <f t="shared" si="1509"/>
        <v>17920.4648496268</v>
      </c>
      <c r="I459" s="1">
        <f t="shared" si="1509"/>
        <v>0</v>
      </c>
      <c r="J459" s="1">
        <f>标准模型!$I$65/1*$B459/$B$3</f>
        <v>3.2256</v>
      </c>
      <c r="K459" s="1">
        <f>J459*标准模型!$J$63</f>
        <v>3.2256</v>
      </c>
      <c r="L459" s="1">
        <f t="shared" si="1297"/>
        <v>124995.242326147</v>
      </c>
      <c r="M459" s="1">
        <f t="shared" si="1298"/>
        <v>71747.5916635755</v>
      </c>
      <c r="N459" s="1">
        <f t="shared" si="1299"/>
        <v>47831.727775717</v>
      </c>
      <c r="O459" s="1">
        <f t="shared" ref="O459:W459" si="1510">O$5+(O$6-O$5)*(POWER(O$7,$B459-1)-1)/(POWER(O$7,$B$3-1)-1)</f>
        <v>0.947907436112895</v>
      </c>
      <c r="P459" s="1">
        <f t="shared" si="1510"/>
        <v>0.343051182783361</v>
      </c>
      <c r="Q459" s="1">
        <f t="shared" si="1510"/>
        <v>0.521349089862092</v>
      </c>
      <c r="R459" s="1">
        <f t="shared" si="1510"/>
        <v>1.17916297444516</v>
      </c>
      <c r="S459" s="1">
        <f t="shared" si="1510"/>
        <v>0.632279666946763</v>
      </c>
      <c r="T459" s="1">
        <f t="shared" si="1510"/>
        <v>3.74683900084029</v>
      </c>
      <c r="U459" s="1">
        <f t="shared" si="1510"/>
        <v>1</v>
      </c>
      <c r="V459" s="1">
        <f t="shared" si="1510"/>
        <v>1.48848708417099</v>
      </c>
      <c r="W459" s="1">
        <f t="shared" si="1510"/>
        <v>2.43330379556126</v>
      </c>
      <c r="X459" s="1">
        <f t="shared" si="1301"/>
        <v>10.1372664235453</v>
      </c>
      <c r="Y459" s="1">
        <f t="shared" si="1302"/>
        <v>21.1829064152894</v>
      </c>
      <c r="Z459" s="1">
        <f t="shared" si="1303"/>
        <v>2647762.52055119</v>
      </c>
      <c r="AA459" s="1">
        <f t="shared" si="1304"/>
        <v>71747.5916635755</v>
      </c>
      <c r="AB459" s="1">
        <f t="shared" si="1305"/>
        <v>47831.727775717</v>
      </c>
      <c r="AC459" s="1">
        <f>AB459/(AB459+战斗公式!$M$27)</f>
        <v>0.665885803625159</v>
      </c>
      <c r="AD459" s="1">
        <f t="shared" si="1306"/>
        <v>7924723.19129079</v>
      </c>
      <c r="AE459" s="1">
        <f t="shared" si="1307"/>
        <v>10.8957194689906</v>
      </c>
      <c r="AF459" s="1">
        <f t="shared" si="1308"/>
        <v>5.21424251082201</v>
      </c>
      <c r="AG459" s="1">
        <f t="shared" si="1309"/>
        <v>4.95415114413631</v>
      </c>
      <c r="AH459" s="1">
        <f t="shared" si="1310"/>
        <v>1.98723132792787</v>
      </c>
      <c r="AI459" s="1">
        <f t="shared" si="1311"/>
        <v>1.000000000118</v>
      </c>
      <c r="AJ459" s="1">
        <f t="shared" si="1312"/>
        <v>1.00006226519093</v>
      </c>
      <c r="AK459" s="1">
        <f t="shared" si="1313"/>
        <v>1</v>
      </c>
      <c r="AL459" s="10">
        <f t="shared" si="1314"/>
        <v>2515690</v>
      </c>
      <c r="AM459" s="10">
        <f t="shared" si="1315"/>
        <v>142579</v>
      </c>
      <c r="AN459" s="10">
        <f t="shared" si="1316"/>
        <v>47832</v>
      </c>
      <c r="AO459" s="1">
        <f t="shared" si="1317"/>
        <v>1203980</v>
      </c>
      <c r="AP459" s="1">
        <f t="shared" si="1318"/>
        <v>142579</v>
      </c>
      <c r="AR459" s="1">
        <f t="shared" ref="AR459:AX459" si="1511">ROUNDUP(AR$10*$AO459,0)</f>
        <v>1203980</v>
      </c>
      <c r="AS459" s="1">
        <f t="shared" si="1511"/>
        <v>3611940</v>
      </c>
      <c r="AT459" s="1">
        <f t="shared" si="1511"/>
        <v>2167164</v>
      </c>
      <c r="AU459" s="1">
        <f t="shared" si="1511"/>
        <v>601990</v>
      </c>
      <c r="AV459" s="1">
        <f t="shared" si="1511"/>
        <v>180597</v>
      </c>
      <c r="AW459" s="1">
        <f t="shared" si="1511"/>
        <v>4815920</v>
      </c>
      <c r="AX459" s="1">
        <f t="shared" si="1511"/>
        <v>10835820</v>
      </c>
      <c r="AY459" s="1">
        <f t="shared" si="1320"/>
        <v>150941400</v>
      </c>
      <c r="AZ459" s="1">
        <f t="shared" si="1321"/>
        <v>75470700</v>
      </c>
      <c r="BB459" s="1">
        <f t="shared" si="1322"/>
        <v>448</v>
      </c>
    </row>
    <row r="460" spans="2:54">
      <c r="B460" s="4">
        <v>449</v>
      </c>
      <c r="C460" s="1">
        <f t="shared" ref="C460:I460" si="1512">C$5+(C$6-C$5)*(POWER(C$7,$B460-1)-1)/(POWER(C$7,$B$3-1)-1)</f>
        <v>35471.9024367284</v>
      </c>
      <c r="D460" s="1">
        <f t="shared" si="1512"/>
        <v>10641.5707310185</v>
      </c>
      <c r="E460" s="1">
        <f t="shared" si="1512"/>
        <v>7094.38048734567</v>
      </c>
      <c r="F460" s="1">
        <f t="shared" si="1512"/>
        <v>89802.2846499452</v>
      </c>
      <c r="G460" s="1">
        <f t="shared" si="1512"/>
        <v>26940.6853949836</v>
      </c>
      <c r="H460" s="1">
        <f t="shared" si="1512"/>
        <v>17960.456929989</v>
      </c>
      <c r="I460" s="1">
        <f t="shared" si="1512"/>
        <v>0</v>
      </c>
      <c r="J460" s="1">
        <f>标准模型!$I$65/1*$B460/$B$3</f>
        <v>3.2328</v>
      </c>
      <c r="K460" s="1">
        <f>J460*标准模型!$J$63</f>
        <v>3.2328</v>
      </c>
      <c r="L460" s="1">
        <f t="shared" ref="L460:L511" si="1513">C460*(1+I460)+F460</f>
        <v>125274.187086674</v>
      </c>
      <c r="M460" s="1">
        <f t="shared" ref="M460:M511" si="1514">D460*(1+J460)+G460</f>
        <v>71984.3259852387</v>
      </c>
      <c r="N460" s="1">
        <f t="shared" ref="N460:N511" si="1515">E460*(1+K460)+H460</f>
        <v>47989.5506568258</v>
      </c>
      <c r="O460" s="1">
        <f t="shared" ref="O460:W460" si="1516">O$5+(O$6-O$5)*(POWER(O$7,$B460-1)-1)/(POWER(O$7,$B$3-1)-1)</f>
        <v>0.948909241733192</v>
      </c>
      <c r="P460" s="1">
        <f t="shared" si="1516"/>
        <v>0.344105016683065</v>
      </c>
      <c r="Q460" s="1">
        <f t="shared" si="1516"/>
        <v>0.521900082953256</v>
      </c>
      <c r="R460" s="1">
        <f t="shared" si="1516"/>
        <v>1.17956369669328</v>
      </c>
      <c r="S460" s="1">
        <f t="shared" si="1516"/>
        <v>0.63358201425315</v>
      </c>
      <c r="T460" s="1">
        <f t="shared" si="1516"/>
        <v>3.75074604275945</v>
      </c>
      <c r="U460" s="1">
        <f t="shared" si="1516"/>
        <v>1</v>
      </c>
      <c r="V460" s="1">
        <f t="shared" si="1516"/>
        <v>1.48957965166799</v>
      </c>
      <c r="W460" s="1">
        <f t="shared" si="1516"/>
        <v>2.43650957354622</v>
      </c>
      <c r="X460" s="1">
        <f t="shared" ref="X460:X511" si="1517">(1+S460*(T460-1))*U460*W460*(O460+P460)*R460</f>
        <v>10.1927330755556</v>
      </c>
      <c r="Y460" s="1">
        <f t="shared" ref="Y460:Y511" si="1518">(1+S460*(T460-1))*(O460+P460+Q460)*U460*V460*W460*R460</f>
        <v>21.3111654443441</v>
      </c>
      <c r="Z460" s="1">
        <f t="shared" ref="Z460:Z511" si="1519">Y460*L460</f>
        <v>2669738.92690982</v>
      </c>
      <c r="AA460" s="1">
        <f t="shared" ref="AA460:AA511" si="1520">M460</f>
        <v>71984.3259852387</v>
      </c>
      <c r="AB460" s="1">
        <f t="shared" ref="AB460:AB511" si="1521">N460</f>
        <v>47989.5506568258</v>
      </c>
      <c r="AC460" s="1">
        <f>AB460/(AB460+战斗公式!$M$27)</f>
        <v>0.666618283055995</v>
      </c>
      <c r="AD460" s="1">
        <f t="shared" ref="AD460:AD511" si="1522">Z460/(1-AC460)</f>
        <v>8008054.40496975</v>
      </c>
      <c r="AE460" s="1">
        <f t="shared" ref="AE460:AE511" si="1523">AD460/AA460/X460</f>
        <v>10.9143636884677</v>
      </c>
      <c r="AF460" s="1">
        <f t="shared" ref="AF460:AF511" si="1524">AD460/AA460/Y460</f>
        <v>5.22013664886697</v>
      </c>
      <c r="AG460" s="1">
        <f t="shared" ref="AG460:AG511" si="1525">AG$5+(AG$6-AG$5)*(POWER(AG$7,$B460-1)-1)/(POWER(AG$7,$B$3-1)-1)</f>
        <v>4.95521266478634</v>
      </c>
      <c r="AH460" s="1">
        <f t="shared" ref="AH460:AH511" si="1526">$AH$5+($AH$6-$AH$5)*(POWER($AH$7,$B460-1)-1)/(POWER($AH$7,$B$3-1)-1)</f>
        <v>1.9929447691257</v>
      </c>
      <c r="AI460" s="1">
        <f t="shared" ref="AI460:AI511" si="1527">$AI$5+($AI$6-$AI$5)*(POWER($AI$7,$B460-1)-1)/(POWER($AI$7,$B$3-1)-1)</f>
        <v>1.00000000011166</v>
      </c>
      <c r="AJ460" s="1">
        <f t="shared" ref="AJ460:AJ511" si="1528">$AJ$5+($AJ$6-$AJ$5)*(POWER($AJ$7,$B460-1)-1)/(POWER($AJ$7,$B$3-1)-1)</f>
        <v>1.00006035007972</v>
      </c>
      <c r="AK460" s="1">
        <f t="shared" ref="AK460:AK511" si="1529">$AK$5+($AK$6-$AK$5)*(POWER($AK$7,$B460-1)-1)/(POWER($AK$7,$B$3-1)-1)</f>
        <v>1</v>
      </c>
      <c r="AL460" s="10">
        <f t="shared" ref="AL460:AL511" si="1530">ROUND(Z460/AF460*AG460,0)</f>
        <v>2534249</v>
      </c>
      <c r="AM460" s="10">
        <f t="shared" ref="AM460:AM511" si="1531">ROUND(AA460*AH460,0)</f>
        <v>143461</v>
      </c>
      <c r="AN460" s="10">
        <f t="shared" ref="AN460:AN511" si="1532">ROUND(AB460,0)</f>
        <v>47990</v>
      </c>
      <c r="AO460" s="1">
        <f t="shared" ref="AO460:AO511" si="1533">ROUND(Z460/$AE460*AG460*AJ460,0)</f>
        <v>1212157</v>
      </c>
      <c r="AP460" s="1">
        <f t="shared" ref="AP460:AP511" si="1534">ROUND(AM460*AK460,0)</f>
        <v>143461</v>
      </c>
      <c r="AR460" s="1">
        <f t="shared" ref="AR460:AX460" si="1535">ROUNDUP(AR$10*$AO460,0)</f>
        <v>1212157</v>
      </c>
      <c r="AS460" s="1">
        <f t="shared" si="1535"/>
        <v>3636471</v>
      </c>
      <c r="AT460" s="1">
        <f t="shared" si="1535"/>
        <v>2181883</v>
      </c>
      <c r="AU460" s="1">
        <f t="shared" si="1535"/>
        <v>606079</v>
      </c>
      <c r="AV460" s="1">
        <f t="shared" si="1535"/>
        <v>181824</v>
      </c>
      <c r="AW460" s="1">
        <f t="shared" si="1535"/>
        <v>4848628</v>
      </c>
      <c r="AX460" s="1">
        <f t="shared" si="1535"/>
        <v>10909413</v>
      </c>
      <c r="AY460" s="1">
        <f t="shared" ref="AY460:AY511" si="1536">ROUND(AL460*$AY$10*AI460,0)</f>
        <v>152054940</v>
      </c>
      <c r="AZ460" s="1">
        <f t="shared" ref="AZ460:AZ511" si="1537">ROUND(AL460*$AZ$10*AI460,0)</f>
        <v>76027470</v>
      </c>
      <c r="BB460" s="1">
        <f t="shared" ref="BB460:BB511" si="1538">B460</f>
        <v>449</v>
      </c>
    </row>
    <row r="461" spans="2:54">
      <c r="B461" s="4">
        <v>450</v>
      </c>
      <c r="C461" s="1">
        <f t="shared" ref="C461:I461" si="1539">C$5+(C$6-C$5)*(POWER(C$7,$B461-1)-1)/(POWER(C$7,$B$3-1)-1)</f>
        <v>35550.8867164698</v>
      </c>
      <c r="D461" s="1">
        <f t="shared" si="1539"/>
        <v>10665.2660149409</v>
      </c>
      <c r="E461" s="1">
        <f t="shared" si="1539"/>
        <v>7110.17734329396</v>
      </c>
      <c r="F461" s="1">
        <f t="shared" si="1539"/>
        <v>90002.2448518223</v>
      </c>
      <c r="G461" s="1">
        <f t="shared" si="1539"/>
        <v>27000.6734555467</v>
      </c>
      <c r="H461" s="1">
        <f t="shared" si="1539"/>
        <v>18000.4489703645</v>
      </c>
      <c r="I461" s="1">
        <f t="shared" si="1539"/>
        <v>0</v>
      </c>
      <c r="J461" s="1">
        <f>标准模型!$I$65/1*$B461/$B$3</f>
        <v>3.24</v>
      </c>
      <c r="K461" s="1">
        <f>J461*标准模型!$J$63</f>
        <v>3.24</v>
      </c>
      <c r="L461" s="1">
        <f t="shared" si="1513"/>
        <v>125553.131568292</v>
      </c>
      <c r="M461" s="1">
        <f t="shared" si="1514"/>
        <v>72221.4013588963</v>
      </c>
      <c r="N461" s="1">
        <f t="shared" si="1515"/>
        <v>48147.6009059308</v>
      </c>
      <c r="O461" s="1">
        <f t="shared" ref="O461:W461" si="1540">O$5+(O$6-O$5)*(POWER(O$7,$B461-1)-1)/(POWER(O$7,$B$3-1)-1)</f>
        <v>0.949911046351815</v>
      </c>
      <c r="P461" s="1">
        <f t="shared" si="1540"/>
        <v>0.34516043133362</v>
      </c>
      <c r="Q461" s="1">
        <f t="shared" si="1540"/>
        <v>0.522451075493498</v>
      </c>
      <c r="R461" s="1">
        <f t="shared" si="1540"/>
        <v>1.17996441854073</v>
      </c>
      <c r="S461" s="1">
        <f t="shared" si="1540"/>
        <v>0.634884360257359</v>
      </c>
      <c r="T461" s="1">
        <f t="shared" si="1540"/>
        <v>3.75465308077208</v>
      </c>
      <c r="U461" s="1">
        <f t="shared" si="1540"/>
        <v>1</v>
      </c>
      <c r="V461" s="1">
        <f t="shared" si="1540"/>
        <v>1.49067221807258</v>
      </c>
      <c r="W461" s="1">
        <f t="shared" si="1540"/>
        <v>2.43971534832581</v>
      </c>
      <c r="X461" s="1">
        <f t="shared" si="1517"/>
        <v>10.2484588838268</v>
      </c>
      <c r="Y461" s="1">
        <f t="shared" si="1518"/>
        <v>21.4400992045179</v>
      </c>
      <c r="Z461" s="1">
        <f t="shared" si="1519"/>
        <v>2691871.59626207</v>
      </c>
      <c r="AA461" s="1">
        <f t="shared" si="1520"/>
        <v>72221.4013588963</v>
      </c>
      <c r="AB461" s="1">
        <f t="shared" si="1521"/>
        <v>48147.6009059308</v>
      </c>
      <c r="AC461" s="1">
        <f>AB461/(AB461+战斗公式!$M$27)</f>
        <v>0.667348606209481</v>
      </c>
      <c r="AD461" s="1">
        <f t="shared" si="1522"/>
        <v>8092169.90071361</v>
      </c>
      <c r="AE461" s="1">
        <f t="shared" si="1523"/>
        <v>10.9330294598461</v>
      </c>
      <c r="AF461" s="1">
        <f t="shared" si="1524"/>
        <v>5.22603472241816</v>
      </c>
      <c r="AG461" s="1">
        <f t="shared" si="1525"/>
        <v>4.95626622403149</v>
      </c>
      <c r="AH461" s="1">
        <f t="shared" si="1526"/>
        <v>1.99866963720592</v>
      </c>
      <c r="AI461" s="1">
        <f t="shared" si="1527"/>
        <v>1.00000000010564</v>
      </c>
      <c r="AJ461" s="1">
        <f t="shared" si="1528"/>
        <v>1.00005847327074</v>
      </c>
      <c r="AK461" s="1">
        <f t="shared" si="1529"/>
        <v>1</v>
      </c>
      <c r="AL461" s="10">
        <f t="shared" si="1530"/>
        <v>2552917</v>
      </c>
      <c r="AM461" s="10">
        <f t="shared" si="1531"/>
        <v>144347</v>
      </c>
      <c r="AN461" s="10">
        <f t="shared" si="1532"/>
        <v>48148</v>
      </c>
      <c r="AO461" s="1">
        <f t="shared" si="1533"/>
        <v>1220377</v>
      </c>
      <c r="AP461" s="1">
        <f t="shared" si="1534"/>
        <v>144347</v>
      </c>
      <c r="AR461" s="1">
        <f t="shared" ref="AR461:AX461" si="1541">ROUNDUP(AR$10*$AO461,0)</f>
        <v>1220377</v>
      </c>
      <c r="AS461" s="1">
        <f t="shared" si="1541"/>
        <v>3661131</v>
      </c>
      <c r="AT461" s="1">
        <f t="shared" si="1541"/>
        <v>2196679</v>
      </c>
      <c r="AU461" s="1">
        <f t="shared" si="1541"/>
        <v>610189</v>
      </c>
      <c r="AV461" s="1">
        <f t="shared" si="1541"/>
        <v>183057</v>
      </c>
      <c r="AW461" s="1">
        <f t="shared" si="1541"/>
        <v>4881508</v>
      </c>
      <c r="AX461" s="1">
        <f t="shared" si="1541"/>
        <v>10983393</v>
      </c>
      <c r="AY461" s="1">
        <f t="shared" si="1536"/>
        <v>153175020</v>
      </c>
      <c r="AZ461" s="1">
        <f t="shared" si="1537"/>
        <v>76587510</v>
      </c>
      <c r="BB461" s="1">
        <f t="shared" si="1538"/>
        <v>450</v>
      </c>
    </row>
    <row r="462" spans="2:54">
      <c r="B462" s="4">
        <v>451</v>
      </c>
      <c r="C462" s="1">
        <f t="shared" ref="C462:I462" si="1542">C$5+(C$6-C$5)*(POWER(C$7,$B462-1)-1)/(POWER(C$7,$B$3-1)-1)</f>
        <v>35629.8709172196</v>
      </c>
      <c r="D462" s="1">
        <f t="shared" si="1542"/>
        <v>10688.9612751659</v>
      </c>
      <c r="E462" s="1">
        <f t="shared" si="1542"/>
        <v>7125.97418344393</v>
      </c>
      <c r="F462" s="1">
        <f t="shared" si="1542"/>
        <v>90202.2048537206</v>
      </c>
      <c r="G462" s="1">
        <f t="shared" si="1542"/>
        <v>27060.6614561162</v>
      </c>
      <c r="H462" s="1">
        <f t="shared" si="1542"/>
        <v>18040.4409707441</v>
      </c>
      <c r="I462" s="1">
        <f t="shared" si="1542"/>
        <v>0</v>
      </c>
      <c r="J462" s="1">
        <f>标准模型!$I$65/1*$B462/$B$3</f>
        <v>3.2472</v>
      </c>
      <c r="K462" s="1">
        <f>J462*标准模型!$J$63</f>
        <v>3.2472</v>
      </c>
      <c r="L462" s="1">
        <f t="shared" si="1513"/>
        <v>125832.07577094</v>
      </c>
      <c r="M462" s="1">
        <f t="shared" si="1514"/>
        <v>72458.8177840007</v>
      </c>
      <c r="N462" s="1">
        <f t="shared" si="1515"/>
        <v>48305.8785226672</v>
      </c>
      <c r="O462" s="1">
        <f t="shared" ref="O462:W462" si="1543">O$5+(O$6-O$5)*(POWER(O$7,$B462-1)-1)/(POWER(O$7,$B$3-1)-1)</f>
        <v>0.95091284996854</v>
      </c>
      <c r="P462" s="1">
        <f t="shared" si="1543"/>
        <v>0.34621742910615</v>
      </c>
      <c r="Q462" s="1">
        <f t="shared" si="1543"/>
        <v>0.523002067482697</v>
      </c>
      <c r="R462" s="1">
        <f t="shared" si="1543"/>
        <v>1.18036513998742</v>
      </c>
      <c r="S462" s="1">
        <f t="shared" si="1543"/>
        <v>0.636186704959102</v>
      </c>
      <c r="T462" s="1">
        <f t="shared" si="1543"/>
        <v>3.75856011487731</v>
      </c>
      <c r="U462" s="1">
        <f t="shared" si="1543"/>
        <v>1</v>
      </c>
      <c r="V462" s="1">
        <f t="shared" si="1543"/>
        <v>1.49176478338449</v>
      </c>
      <c r="W462" s="1">
        <f t="shared" si="1543"/>
        <v>2.44292111989933</v>
      </c>
      <c r="X462" s="1">
        <f t="shared" si="1517"/>
        <v>10.3044448400513</v>
      </c>
      <c r="Y462" s="1">
        <f t="shared" si="1518"/>
        <v>21.5697106760952</v>
      </c>
      <c r="Z462" s="1">
        <f t="shared" si="1519"/>
        <v>2714161.46815168</v>
      </c>
      <c r="AA462" s="1">
        <f t="shared" si="1520"/>
        <v>72458.8177840007</v>
      </c>
      <c r="AB462" s="1">
        <f t="shared" si="1521"/>
        <v>48305.8785226672</v>
      </c>
      <c r="AC462" s="1">
        <f>AB462/(AB462+战斗公式!$M$27)</f>
        <v>0.668076780334309</v>
      </c>
      <c r="AD462" s="1">
        <f t="shared" si="1522"/>
        <v>8177076.22529495</v>
      </c>
      <c r="AE462" s="1">
        <f t="shared" si="1523"/>
        <v>10.9517167643888</v>
      </c>
      <c r="AF462" s="1">
        <f t="shared" si="1524"/>
        <v>5.23193671890914</v>
      </c>
      <c r="AG462" s="1">
        <f t="shared" si="1525"/>
        <v>4.95731188158231</v>
      </c>
      <c r="AH462" s="1">
        <f t="shared" si="1526"/>
        <v>2.0044059550223</v>
      </c>
      <c r="AI462" s="1">
        <f t="shared" si="1527"/>
        <v>1.00000000009992</v>
      </c>
      <c r="AJ462" s="1">
        <f t="shared" si="1528"/>
        <v>1.00005663399793</v>
      </c>
      <c r="AK462" s="1">
        <f t="shared" si="1529"/>
        <v>1</v>
      </c>
      <c r="AL462" s="10">
        <f t="shared" si="1530"/>
        <v>2571695</v>
      </c>
      <c r="AM462" s="10">
        <f t="shared" si="1531"/>
        <v>145237</v>
      </c>
      <c r="AN462" s="10">
        <f t="shared" si="1532"/>
        <v>48306</v>
      </c>
      <c r="AO462" s="1">
        <f t="shared" si="1533"/>
        <v>1228639</v>
      </c>
      <c r="AP462" s="1">
        <f t="shared" si="1534"/>
        <v>145237</v>
      </c>
      <c r="AR462" s="1">
        <f t="shared" ref="AR462:AX462" si="1544">ROUNDUP(AR$10*$AO462,0)</f>
        <v>1228639</v>
      </c>
      <c r="AS462" s="1">
        <f t="shared" si="1544"/>
        <v>3685917</v>
      </c>
      <c r="AT462" s="1">
        <f t="shared" si="1544"/>
        <v>2211551</v>
      </c>
      <c r="AU462" s="1">
        <f t="shared" si="1544"/>
        <v>614320</v>
      </c>
      <c r="AV462" s="1">
        <f t="shared" si="1544"/>
        <v>184296</v>
      </c>
      <c r="AW462" s="1">
        <f t="shared" si="1544"/>
        <v>4914556</v>
      </c>
      <c r="AX462" s="1">
        <f t="shared" si="1544"/>
        <v>11057751</v>
      </c>
      <c r="AY462" s="1">
        <f t="shared" si="1536"/>
        <v>154301700</v>
      </c>
      <c r="AZ462" s="1">
        <f t="shared" si="1537"/>
        <v>77150850</v>
      </c>
      <c r="BB462" s="1">
        <f t="shared" si="1538"/>
        <v>451</v>
      </c>
    </row>
    <row r="463" spans="2:54">
      <c r="B463" s="4">
        <v>452</v>
      </c>
      <c r="C463" s="1">
        <f t="shared" ref="C463:I463" si="1545">C$5+(C$6-C$5)*(POWER(C$7,$B463-1)-1)/(POWER(C$7,$B$3-1)-1)</f>
        <v>35708.8550389866</v>
      </c>
      <c r="D463" s="1">
        <f t="shared" si="1545"/>
        <v>10712.656511696</v>
      </c>
      <c r="E463" s="1">
        <f t="shared" si="1545"/>
        <v>7141.77100779733</v>
      </c>
      <c r="F463" s="1">
        <f t="shared" si="1545"/>
        <v>90402.1646556623</v>
      </c>
      <c r="G463" s="1">
        <f t="shared" si="1545"/>
        <v>27120.6493966987</v>
      </c>
      <c r="H463" s="1">
        <f t="shared" si="1545"/>
        <v>18080.4329311325</v>
      </c>
      <c r="I463" s="1">
        <f t="shared" si="1545"/>
        <v>0</v>
      </c>
      <c r="J463" s="1">
        <f>标准模型!$I$65/1*$B463/$B$3</f>
        <v>3.2544</v>
      </c>
      <c r="K463" s="1">
        <f>J463*标准模型!$J$63</f>
        <v>3.2544</v>
      </c>
      <c r="L463" s="1">
        <f t="shared" si="1513"/>
        <v>126111.019694649</v>
      </c>
      <c r="M463" s="1">
        <f t="shared" si="1514"/>
        <v>72696.5752600581</v>
      </c>
      <c r="N463" s="1">
        <f t="shared" si="1515"/>
        <v>48464.3835067054</v>
      </c>
      <c r="O463" s="1">
        <f t="shared" ref="O463:W463" si="1546">O$5+(O$6-O$5)*(POWER(O$7,$B463-1)-1)/(POWER(O$7,$B$3-1)-1)</f>
        <v>0.951914652583479</v>
      </c>
      <c r="P463" s="1">
        <f t="shared" si="1546"/>
        <v>0.347276012375339</v>
      </c>
      <c r="Q463" s="1">
        <f t="shared" si="1546"/>
        <v>0.523553058920913</v>
      </c>
      <c r="R463" s="1">
        <f t="shared" si="1546"/>
        <v>1.18076586103339</v>
      </c>
      <c r="S463" s="1">
        <f t="shared" si="1546"/>
        <v>0.637489048358522</v>
      </c>
      <c r="T463" s="1">
        <f t="shared" si="1546"/>
        <v>3.76246714507557</v>
      </c>
      <c r="U463" s="1">
        <f t="shared" si="1546"/>
        <v>1</v>
      </c>
      <c r="V463" s="1">
        <f t="shared" si="1546"/>
        <v>1.49285734760386</v>
      </c>
      <c r="W463" s="1">
        <f t="shared" si="1546"/>
        <v>2.44612688826713</v>
      </c>
      <c r="X463" s="1">
        <f t="shared" si="1517"/>
        <v>10.3606919389291</v>
      </c>
      <c r="Y463" s="1">
        <f t="shared" si="1518"/>
        <v>21.7000028500666</v>
      </c>
      <c r="Z463" s="1">
        <f t="shared" si="1519"/>
        <v>2736609.48679869</v>
      </c>
      <c r="AA463" s="1">
        <f t="shared" si="1520"/>
        <v>72696.5752600581</v>
      </c>
      <c r="AB463" s="1">
        <f t="shared" si="1521"/>
        <v>48464.3835067054</v>
      </c>
      <c r="AC463" s="1">
        <f>AB463/(AB463+战斗公式!$M$27)</f>
        <v>0.668802812656521</v>
      </c>
      <c r="AD463" s="1">
        <f t="shared" si="1522"/>
        <v>8262779.97331117</v>
      </c>
      <c r="AE463" s="1">
        <f t="shared" si="1523"/>
        <v>10.9704255834139</v>
      </c>
      <c r="AF463" s="1">
        <f t="shared" si="1524"/>
        <v>5.23784262582938</v>
      </c>
      <c r="AG463" s="1">
        <f t="shared" si="1525"/>
        <v>4.95834969670149</v>
      </c>
      <c r="AH463" s="1">
        <f t="shared" si="1526"/>
        <v>2.01015374547432</v>
      </c>
      <c r="AI463" s="1">
        <f t="shared" si="1527"/>
        <v>1.00000000009448</v>
      </c>
      <c r="AJ463" s="1">
        <f t="shared" si="1528"/>
        <v>1.00005483151059</v>
      </c>
      <c r="AK463" s="1">
        <f t="shared" si="1529"/>
        <v>1</v>
      </c>
      <c r="AL463" s="10">
        <f t="shared" si="1530"/>
        <v>2590583</v>
      </c>
      <c r="AM463" s="10">
        <f t="shared" si="1531"/>
        <v>146131</v>
      </c>
      <c r="AN463" s="10">
        <f t="shared" si="1532"/>
        <v>48464</v>
      </c>
      <c r="AO463" s="1">
        <f t="shared" si="1533"/>
        <v>1236945</v>
      </c>
      <c r="AP463" s="1">
        <f t="shared" si="1534"/>
        <v>146131</v>
      </c>
      <c r="AR463" s="1">
        <f t="shared" ref="AR463:AX463" si="1547">ROUNDUP(AR$10*$AO463,0)</f>
        <v>1236945</v>
      </c>
      <c r="AS463" s="1">
        <f t="shared" si="1547"/>
        <v>3710835</v>
      </c>
      <c r="AT463" s="1">
        <f t="shared" si="1547"/>
        <v>2226501</v>
      </c>
      <c r="AU463" s="1">
        <f t="shared" si="1547"/>
        <v>618473</v>
      </c>
      <c r="AV463" s="1">
        <f t="shared" si="1547"/>
        <v>185542</v>
      </c>
      <c r="AW463" s="1">
        <f t="shared" si="1547"/>
        <v>4947780</v>
      </c>
      <c r="AX463" s="1">
        <f t="shared" si="1547"/>
        <v>11132505</v>
      </c>
      <c r="AY463" s="1">
        <f t="shared" si="1536"/>
        <v>155434980</v>
      </c>
      <c r="AZ463" s="1">
        <f t="shared" si="1537"/>
        <v>77717490</v>
      </c>
      <c r="BB463" s="1">
        <f t="shared" si="1538"/>
        <v>452</v>
      </c>
    </row>
    <row r="464" spans="2:54">
      <c r="B464" s="4">
        <v>453</v>
      </c>
      <c r="C464" s="1">
        <f t="shared" ref="C464:I464" si="1548">C$5+(C$6-C$5)*(POWER(C$7,$B464-1)-1)/(POWER(C$7,$B$3-1)-1)</f>
        <v>35787.8390817708</v>
      </c>
      <c r="D464" s="1">
        <f t="shared" si="1548"/>
        <v>10736.3517245312</v>
      </c>
      <c r="E464" s="1">
        <f t="shared" si="1548"/>
        <v>7157.56781635416</v>
      </c>
      <c r="F464" s="1">
        <f t="shared" si="1548"/>
        <v>90602.1242576476</v>
      </c>
      <c r="G464" s="1">
        <f t="shared" si="1548"/>
        <v>27180.6372772943</v>
      </c>
      <c r="H464" s="1">
        <f t="shared" si="1548"/>
        <v>18120.4248515295</v>
      </c>
      <c r="I464" s="1">
        <f t="shared" si="1548"/>
        <v>0</v>
      </c>
      <c r="J464" s="1">
        <f>标准模型!$I$65/1*$B464/$B$3</f>
        <v>3.2616</v>
      </c>
      <c r="K464" s="1">
        <f>J464*标准模型!$J$63</f>
        <v>3.2616</v>
      </c>
      <c r="L464" s="1">
        <f t="shared" si="1513"/>
        <v>126389.963339418</v>
      </c>
      <c r="M464" s="1">
        <f t="shared" si="1514"/>
        <v>72934.6737865566</v>
      </c>
      <c r="N464" s="1">
        <f t="shared" si="1515"/>
        <v>48623.1158577044</v>
      </c>
      <c r="O464" s="1">
        <f t="shared" ref="O464:W464" si="1549">O$5+(O$6-O$5)*(POWER(O$7,$B464-1)-1)/(POWER(O$7,$B$3-1)-1)</f>
        <v>0.952916454196631</v>
      </c>
      <c r="P464" s="1">
        <f t="shared" si="1549"/>
        <v>0.348336183519431</v>
      </c>
      <c r="Q464" s="1">
        <f t="shared" si="1549"/>
        <v>0.524104049808147</v>
      </c>
      <c r="R464" s="1">
        <f t="shared" si="1549"/>
        <v>1.18116658167865</v>
      </c>
      <c r="S464" s="1">
        <f t="shared" si="1549"/>
        <v>0.63879139045562</v>
      </c>
      <c r="T464" s="1">
        <f t="shared" si="1549"/>
        <v>3.76637417136686</v>
      </c>
      <c r="U464" s="1">
        <f t="shared" si="1549"/>
        <v>1</v>
      </c>
      <c r="V464" s="1">
        <f t="shared" si="1549"/>
        <v>1.49394991073068</v>
      </c>
      <c r="W464" s="1">
        <f t="shared" si="1549"/>
        <v>2.44933265342922</v>
      </c>
      <c r="X464" s="1">
        <f t="shared" si="1517"/>
        <v>10.4172011781551</v>
      </c>
      <c r="Y464" s="1">
        <f t="shared" si="1518"/>
        <v>21.8309787281077</v>
      </c>
      <c r="Z464" s="1">
        <f t="shared" si="1519"/>
        <v>2759216.60110915</v>
      </c>
      <c r="AA464" s="1">
        <f t="shared" si="1520"/>
        <v>72934.6737865566</v>
      </c>
      <c r="AB464" s="1">
        <f t="shared" si="1521"/>
        <v>48623.1158577044</v>
      </c>
      <c r="AC464" s="1">
        <f>AB464/(AB464+战斗公式!$M$27)</f>
        <v>0.669526710379311</v>
      </c>
      <c r="AD464" s="1">
        <f t="shared" si="1522"/>
        <v>8349287.78745214</v>
      </c>
      <c r="AE464" s="1">
        <f t="shared" si="1523"/>
        <v>10.9891558982829</v>
      </c>
      <c r="AF464" s="1">
        <f t="shared" si="1524"/>
        <v>5.24375243072055</v>
      </c>
      <c r="AG464" s="1">
        <f t="shared" si="1525"/>
        <v>4.95937972820728</v>
      </c>
      <c r="AH464" s="1">
        <f t="shared" si="1526"/>
        <v>2.01591303150724</v>
      </c>
      <c r="AI464" s="1">
        <f t="shared" si="1527"/>
        <v>1.00000000008932</v>
      </c>
      <c r="AJ464" s="1">
        <f t="shared" si="1528"/>
        <v>1.00005306507299</v>
      </c>
      <c r="AK464" s="1">
        <f t="shared" si="1529"/>
        <v>1</v>
      </c>
      <c r="AL464" s="10">
        <f t="shared" si="1530"/>
        <v>2609582</v>
      </c>
      <c r="AM464" s="10">
        <f t="shared" si="1531"/>
        <v>147030</v>
      </c>
      <c r="AN464" s="10">
        <f t="shared" si="1532"/>
        <v>48623</v>
      </c>
      <c r="AO464" s="1">
        <f t="shared" si="1533"/>
        <v>1245294</v>
      </c>
      <c r="AP464" s="1">
        <f t="shared" si="1534"/>
        <v>147030</v>
      </c>
      <c r="AR464" s="1">
        <f t="shared" ref="AR464:AX464" si="1550">ROUNDUP(AR$10*$AO464,0)</f>
        <v>1245294</v>
      </c>
      <c r="AS464" s="1">
        <f t="shared" si="1550"/>
        <v>3735882</v>
      </c>
      <c r="AT464" s="1">
        <f t="shared" si="1550"/>
        <v>2241530</v>
      </c>
      <c r="AU464" s="1">
        <f t="shared" si="1550"/>
        <v>622647</v>
      </c>
      <c r="AV464" s="1">
        <f t="shared" si="1550"/>
        <v>186795</v>
      </c>
      <c r="AW464" s="1">
        <f t="shared" si="1550"/>
        <v>4981176</v>
      </c>
      <c r="AX464" s="1">
        <f t="shared" si="1550"/>
        <v>11207646</v>
      </c>
      <c r="AY464" s="1">
        <f t="shared" si="1536"/>
        <v>156574920</v>
      </c>
      <c r="AZ464" s="1">
        <f t="shared" si="1537"/>
        <v>78287460</v>
      </c>
      <c r="BB464" s="1">
        <f t="shared" si="1538"/>
        <v>453</v>
      </c>
    </row>
    <row r="465" spans="2:54">
      <c r="B465" s="4">
        <v>454</v>
      </c>
      <c r="C465" s="1">
        <f t="shared" ref="C465:I465" si="1551">C$5+(C$6-C$5)*(POWER(C$7,$B465-1)-1)/(POWER(C$7,$B$3-1)-1)</f>
        <v>35866.8230455721</v>
      </c>
      <c r="D465" s="1">
        <f t="shared" si="1551"/>
        <v>10760.0469136716</v>
      </c>
      <c r="E465" s="1">
        <f t="shared" si="1551"/>
        <v>7173.36460911442</v>
      </c>
      <c r="F465" s="1">
        <f t="shared" si="1551"/>
        <v>90802.0836596763</v>
      </c>
      <c r="G465" s="1">
        <f t="shared" si="1551"/>
        <v>27240.6250979029</v>
      </c>
      <c r="H465" s="1">
        <f t="shared" si="1551"/>
        <v>18160.4167319353</v>
      </c>
      <c r="I465" s="1">
        <f t="shared" si="1551"/>
        <v>0</v>
      </c>
      <c r="J465" s="1">
        <f>标准模型!$I$65/1*$B465/$B$3</f>
        <v>3.2688</v>
      </c>
      <c r="K465" s="1">
        <f>J465*标准模型!$J$63</f>
        <v>3.2688</v>
      </c>
      <c r="L465" s="1">
        <f t="shared" si="1513"/>
        <v>126668.906705248</v>
      </c>
      <c r="M465" s="1">
        <f t="shared" si="1514"/>
        <v>73173.1133629844</v>
      </c>
      <c r="N465" s="1">
        <f t="shared" si="1515"/>
        <v>48782.0755753229</v>
      </c>
      <c r="O465" s="1">
        <f t="shared" ref="O465:W465" si="1552">O$5+(O$6-O$5)*(POWER(O$7,$B465-1)-1)/(POWER(O$7,$B$3-1)-1)</f>
        <v>0.953918254807997</v>
      </c>
      <c r="P465" s="1">
        <f t="shared" si="1552"/>
        <v>0.34939794492024</v>
      </c>
      <c r="Q465" s="1">
        <f t="shared" si="1552"/>
        <v>0.524655040144399</v>
      </c>
      <c r="R465" s="1">
        <f t="shared" si="1552"/>
        <v>1.1815673019232</v>
      </c>
      <c r="S465" s="1">
        <f t="shared" si="1552"/>
        <v>0.640093731250396</v>
      </c>
      <c r="T465" s="1">
        <f t="shared" si="1552"/>
        <v>3.77028119375119</v>
      </c>
      <c r="U465" s="1">
        <f t="shared" si="1552"/>
        <v>1</v>
      </c>
      <c r="V465" s="1">
        <f t="shared" si="1552"/>
        <v>1.49504247276496</v>
      </c>
      <c r="W465" s="1">
        <f t="shared" si="1552"/>
        <v>2.45253841538559</v>
      </c>
      <c r="X465" s="1">
        <f t="shared" si="1517"/>
        <v>10.473973558431</v>
      </c>
      <c r="Y465" s="1">
        <f t="shared" si="1518"/>
        <v>21.9626413226231</v>
      </c>
      <c r="Z465" s="1">
        <f t="shared" si="1519"/>
        <v>2781983.76469618</v>
      </c>
      <c r="AA465" s="1">
        <f t="shared" si="1520"/>
        <v>73173.1133629844</v>
      </c>
      <c r="AB465" s="1">
        <f t="shared" si="1521"/>
        <v>48782.0755753229</v>
      </c>
      <c r="AC465" s="1">
        <f>AB465/(AB465+战斗公式!$M$27)</f>
        <v>0.670248480683102</v>
      </c>
      <c r="AD465" s="1">
        <f t="shared" si="1522"/>
        <v>8436606.35880993</v>
      </c>
      <c r="AE465" s="1">
        <f t="shared" si="1523"/>
        <v>11.0079076904036</v>
      </c>
      <c r="AF465" s="1">
        <f t="shared" si="1524"/>
        <v>5.24966612117702</v>
      </c>
      <c r="AG465" s="1">
        <f t="shared" si="1525"/>
        <v>4.96040203447678</v>
      </c>
      <c r="AH465" s="1">
        <f t="shared" si="1526"/>
        <v>2.02168383611222</v>
      </c>
      <c r="AI465" s="1">
        <f t="shared" si="1527"/>
        <v>1.00000000008441</v>
      </c>
      <c r="AJ465" s="1">
        <f t="shared" si="1528"/>
        <v>1.00005133396414</v>
      </c>
      <c r="AK465" s="1">
        <f t="shared" si="1529"/>
        <v>1</v>
      </c>
      <c r="AL465" s="10">
        <f t="shared" si="1530"/>
        <v>2628692</v>
      </c>
      <c r="AM465" s="10">
        <f t="shared" si="1531"/>
        <v>147933</v>
      </c>
      <c r="AN465" s="10">
        <f t="shared" si="1532"/>
        <v>48782</v>
      </c>
      <c r="AO465" s="1">
        <f t="shared" si="1533"/>
        <v>1253687</v>
      </c>
      <c r="AP465" s="1">
        <f t="shared" si="1534"/>
        <v>147933</v>
      </c>
      <c r="AR465" s="1">
        <f t="shared" ref="AR465:AX465" si="1553">ROUNDUP(AR$10*$AO465,0)</f>
        <v>1253687</v>
      </c>
      <c r="AS465" s="1">
        <f t="shared" si="1553"/>
        <v>3761061</v>
      </c>
      <c r="AT465" s="1">
        <f t="shared" si="1553"/>
        <v>2256637</v>
      </c>
      <c r="AU465" s="1">
        <f t="shared" si="1553"/>
        <v>626844</v>
      </c>
      <c r="AV465" s="1">
        <f t="shared" si="1553"/>
        <v>188054</v>
      </c>
      <c r="AW465" s="1">
        <f t="shared" si="1553"/>
        <v>5014748</v>
      </c>
      <c r="AX465" s="1">
        <f t="shared" si="1553"/>
        <v>11283183</v>
      </c>
      <c r="AY465" s="1">
        <f t="shared" si="1536"/>
        <v>157721520</v>
      </c>
      <c r="AZ465" s="1">
        <f t="shared" si="1537"/>
        <v>78860760</v>
      </c>
      <c r="BB465" s="1">
        <f t="shared" si="1538"/>
        <v>454</v>
      </c>
    </row>
    <row r="466" spans="2:54">
      <c r="B466" s="4">
        <v>455</v>
      </c>
      <c r="C466" s="1">
        <f t="shared" ref="C466:I466" si="1554">C$5+(C$6-C$5)*(POWER(C$7,$B466-1)-1)/(POWER(C$7,$B$3-1)-1)</f>
        <v>35945.8069303906</v>
      </c>
      <c r="D466" s="1">
        <f t="shared" si="1554"/>
        <v>10783.7420791172</v>
      </c>
      <c r="E466" s="1">
        <f t="shared" si="1554"/>
        <v>7189.16138607813</v>
      </c>
      <c r="F466" s="1">
        <f t="shared" si="1554"/>
        <v>91002.0428617484</v>
      </c>
      <c r="G466" s="1">
        <f t="shared" si="1554"/>
        <v>27300.6128585245</v>
      </c>
      <c r="H466" s="1">
        <f t="shared" si="1554"/>
        <v>18200.4085723497</v>
      </c>
      <c r="I466" s="1">
        <f t="shared" si="1554"/>
        <v>0</v>
      </c>
      <c r="J466" s="1">
        <f>标准模型!$I$65/1*$B466/$B$3</f>
        <v>3.276</v>
      </c>
      <c r="K466" s="1">
        <f>J466*标准模型!$J$63</f>
        <v>3.276</v>
      </c>
      <c r="L466" s="1">
        <f t="shared" si="1513"/>
        <v>126947.849792139</v>
      </c>
      <c r="M466" s="1">
        <f t="shared" si="1514"/>
        <v>73411.8939888296</v>
      </c>
      <c r="N466" s="1">
        <f t="shared" si="1515"/>
        <v>48941.2626592197</v>
      </c>
      <c r="O466" s="1">
        <f t="shared" ref="O466:W466" si="1555">O$5+(O$6-O$5)*(POWER(O$7,$B466-1)-1)/(POWER(O$7,$B$3-1)-1)</f>
        <v>0.954920054417577</v>
      </c>
      <c r="P466" s="1">
        <f t="shared" si="1555"/>
        <v>0.35046129896315</v>
      </c>
      <c r="Q466" s="1">
        <f t="shared" si="1555"/>
        <v>0.525206029929667</v>
      </c>
      <c r="R466" s="1">
        <f t="shared" si="1555"/>
        <v>1.18196802176703</v>
      </c>
      <c r="S466" s="1">
        <f t="shared" si="1555"/>
        <v>0.64139607074285</v>
      </c>
      <c r="T466" s="1">
        <f t="shared" si="1555"/>
        <v>3.77418821222855</v>
      </c>
      <c r="U466" s="1">
        <f t="shared" si="1555"/>
        <v>1</v>
      </c>
      <c r="V466" s="1">
        <f t="shared" si="1555"/>
        <v>1.49613503370669</v>
      </c>
      <c r="W466" s="1">
        <f t="shared" si="1555"/>
        <v>2.45574417413625</v>
      </c>
      <c r="X466" s="1">
        <f t="shared" si="1517"/>
        <v>10.5310100834732</v>
      </c>
      <c r="Y466" s="1">
        <f t="shared" si="1518"/>
        <v>22.0949936567775</v>
      </c>
      <c r="Z466" s="1">
        <f t="shared" si="1519"/>
        <v>2804911.93589886</v>
      </c>
      <c r="AA466" s="1">
        <f t="shared" si="1520"/>
        <v>73411.8939888296</v>
      </c>
      <c r="AB466" s="1">
        <f t="shared" si="1521"/>
        <v>48941.2626592197</v>
      </c>
      <c r="AC466" s="1">
        <f>AB466/(AB466+战斗公式!$M$27)</f>
        <v>0.670968130725573</v>
      </c>
      <c r="AD466" s="1">
        <f t="shared" si="1522"/>
        <v>8524742.42718246</v>
      </c>
      <c r="AE466" s="1">
        <f t="shared" si="1523"/>
        <v>11.0266809412295</v>
      </c>
      <c r="AF466" s="1">
        <f t="shared" si="1524"/>
        <v>5.25558368484571</v>
      </c>
      <c r="AG466" s="1">
        <f t="shared" si="1525"/>
        <v>4.96141667344926</v>
      </c>
      <c r="AH466" s="1">
        <f t="shared" si="1526"/>
        <v>2.02746618232642</v>
      </c>
      <c r="AI466" s="1">
        <f t="shared" si="1527"/>
        <v>1.00000000007975</v>
      </c>
      <c r="AJ466" s="1">
        <f t="shared" si="1528"/>
        <v>1.00004963747747</v>
      </c>
      <c r="AK466" s="1">
        <f t="shared" si="1529"/>
        <v>1</v>
      </c>
      <c r="AL466" s="10">
        <f t="shared" si="1530"/>
        <v>2647915</v>
      </c>
      <c r="AM466" s="10">
        <f t="shared" si="1531"/>
        <v>148840</v>
      </c>
      <c r="AN466" s="10">
        <f t="shared" si="1532"/>
        <v>48941</v>
      </c>
      <c r="AO466" s="1">
        <f t="shared" si="1533"/>
        <v>1262123</v>
      </c>
      <c r="AP466" s="1">
        <f t="shared" si="1534"/>
        <v>148840</v>
      </c>
      <c r="AR466" s="1">
        <f t="shared" ref="AR466:AX466" si="1556">ROUNDUP(AR$10*$AO466,0)</f>
        <v>1262123</v>
      </c>
      <c r="AS466" s="1">
        <f t="shared" si="1556"/>
        <v>3786369</v>
      </c>
      <c r="AT466" s="1">
        <f t="shared" si="1556"/>
        <v>2271822</v>
      </c>
      <c r="AU466" s="1">
        <f t="shared" si="1556"/>
        <v>631062</v>
      </c>
      <c r="AV466" s="1">
        <f t="shared" si="1556"/>
        <v>189319</v>
      </c>
      <c r="AW466" s="1">
        <f t="shared" si="1556"/>
        <v>5048492</v>
      </c>
      <c r="AX466" s="1">
        <f t="shared" si="1556"/>
        <v>11359107</v>
      </c>
      <c r="AY466" s="1">
        <f t="shared" si="1536"/>
        <v>158874900</v>
      </c>
      <c r="AZ466" s="1">
        <f t="shared" si="1537"/>
        <v>79437450</v>
      </c>
      <c r="BB466" s="1">
        <f t="shared" si="1538"/>
        <v>455</v>
      </c>
    </row>
    <row r="467" spans="2:54">
      <c r="B467" s="4">
        <v>456</v>
      </c>
      <c r="C467" s="1">
        <f t="shared" ref="C467:I467" si="1557">C$5+(C$6-C$5)*(POWER(C$7,$B467-1)-1)/(POWER(C$7,$B$3-1)-1)</f>
        <v>36024.7907362263</v>
      </c>
      <c r="D467" s="1">
        <f t="shared" si="1557"/>
        <v>10807.4372208679</v>
      </c>
      <c r="E467" s="1">
        <f t="shared" si="1557"/>
        <v>7204.95814724526</v>
      </c>
      <c r="F467" s="1">
        <f t="shared" si="1557"/>
        <v>91202.001863864</v>
      </c>
      <c r="G467" s="1">
        <f t="shared" si="1557"/>
        <v>27360.6005591592</v>
      </c>
      <c r="H467" s="1">
        <f t="shared" si="1557"/>
        <v>18240.4003727728</v>
      </c>
      <c r="I467" s="1">
        <f t="shared" si="1557"/>
        <v>0</v>
      </c>
      <c r="J467" s="1">
        <f>标准模型!$I$65/1*$B467/$B$3</f>
        <v>3.2832</v>
      </c>
      <c r="K467" s="1">
        <f>J467*标准模型!$J$63</f>
        <v>3.2832</v>
      </c>
      <c r="L467" s="1">
        <f t="shared" si="1513"/>
        <v>127226.79260009</v>
      </c>
      <c r="M467" s="1">
        <f t="shared" si="1514"/>
        <v>73651.0156635806</v>
      </c>
      <c r="N467" s="1">
        <f t="shared" si="1515"/>
        <v>49100.6771090537</v>
      </c>
      <c r="O467" s="1">
        <f t="shared" ref="O467:W467" si="1558">O$5+(O$6-O$5)*(POWER(O$7,$B467-1)-1)/(POWER(O$7,$B$3-1)-1)</f>
        <v>0.955921853025371</v>
      </c>
      <c r="P467" s="1">
        <f t="shared" si="1558"/>
        <v>0.351526248037124</v>
      </c>
      <c r="Q467" s="1">
        <f t="shared" si="1558"/>
        <v>0.525757019163954</v>
      </c>
      <c r="R467" s="1">
        <f t="shared" si="1558"/>
        <v>1.18236874121015</v>
      </c>
      <c r="S467" s="1">
        <f t="shared" si="1558"/>
        <v>0.642698408932982</v>
      </c>
      <c r="T467" s="1">
        <f t="shared" si="1558"/>
        <v>3.77809522679895</v>
      </c>
      <c r="U467" s="1">
        <f t="shared" si="1558"/>
        <v>1</v>
      </c>
      <c r="V467" s="1">
        <f t="shared" si="1558"/>
        <v>1.49722759355587</v>
      </c>
      <c r="W467" s="1">
        <f t="shared" si="1558"/>
        <v>2.45894992968119</v>
      </c>
      <c r="X467" s="1">
        <f t="shared" si="1517"/>
        <v>10.5883117600202</v>
      </c>
      <c r="Y467" s="1">
        <f t="shared" si="1518"/>
        <v>22.2280387645269</v>
      </c>
      <c r="Z467" s="1">
        <f t="shared" si="1519"/>
        <v>2828002.07780123</v>
      </c>
      <c r="AA467" s="1">
        <f t="shared" si="1520"/>
        <v>73651.0156635806</v>
      </c>
      <c r="AB467" s="1">
        <f t="shared" si="1521"/>
        <v>49100.6771090537</v>
      </c>
      <c r="AC467" s="1">
        <f>AB467/(AB467+战斗公式!$M$27)</f>
        <v>0.671685667641681</v>
      </c>
      <c r="AD467" s="1">
        <f t="shared" si="1522"/>
        <v>8613702.78137837</v>
      </c>
      <c r="AE467" s="1">
        <f t="shared" si="1523"/>
        <v>11.0454756322597</v>
      </c>
      <c r="AF467" s="1">
        <f t="shared" si="1524"/>
        <v>5.26150510942571</v>
      </c>
      <c r="AG467" s="1">
        <f t="shared" si="1525"/>
        <v>4.96242370262944</v>
      </c>
      <c r="AH467" s="1">
        <f t="shared" si="1526"/>
        <v>2.03326009323304</v>
      </c>
      <c r="AI467" s="1">
        <f t="shared" si="1527"/>
        <v>1.00000000007532</v>
      </c>
      <c r="AJ467" s="1">
        <f t="shared" si="1528"/>
        <v>1.00004797492053</v>
      </c>
      <c r="AK467" s="1">
        <f t="shared" si="1529"/>
        <v>1</v>
      </c>
      <c r="AL467" s="10">
        <f t="shared" si="1530"/>
        <v>2667249</v>
      </c>
      <c r="AM467" s="10">
        <f t="shared" si="1531"/>
        <v>149752</v>
      </c>
      <c r="AN467" s="10">
        <f t="shared" si="1532"/>
        <v>49101</v>
      </c>
      <c r="AO467" s="1">
        <f t="shared" si="1533"/>
        <v>1270603</v>
      </c>
      <c r="AP467" s="1">
        <f t="shared" si="1534"/>
        <v>149752</v>
      </c>
      <c r="AR467" s="1">
        <f t="shared" ref="AR467:AX467" si="1559">ROUNDUP(AR$10*$AO467,0)</f>
        <v>1270603</v>
      </c>
      <c r="AS467" s="1">
        <f t="shared" si="1559"/>
        <v>3811809</v>
      </c>
      <c r="AT467" s="1">
        <f t="shared" si="1559"/>
        <v>2287086</v>
      </c>
      <c r="AU467" s="1">
        <f t="shared" si="1559"/>
        <v>635302</v>
      </c>
      <c r="AV467" s="1">
        <f t="shared" si="1559"/>
        <v>190591</v>
      </c>
      <c r="AW467" s="1">
        <f t="shared" si="1559"/>
        <v>5082412</v>
      </c>
      <c r="AX467" s="1">
        <f t="shared" si="1559"/>
        <v>11435427</v>
      </c>
      <c r="AY467" s="1">
        <f t="shared" si="1536"/>
        <v>160034940</v>
      </c>
      <c r="AZ467" s="1">
        <f t="shared" si="1537"/>
        <v>80017470</v>
      </c>
      <c r="BB467" s="1">
        <f t="shared" si="1538"/>
        <v>456</v>
      </c>
    </row>
    <row r="468" spans="2:54">
      <c r="B468" s="4">
        <v>457</v>
      </c>
      <c r="C468" s="1">
        <f t="shared" ref="C468:I468" si="1560">C$5+(C$6-C$5)*(POWER(C$7,$B468-1)-1)/(POWER(C$7,$B$3-1)-1)</f>
        <v>36103.7744630704</v>
      </c>
      <c r="D468" s="1">
        <f t="shared" si="1560"/>
        <v>10831.1323389211</v>
      </c>
      <c r="E468" s="1">
        <f t="shared" si="1560"/>
        <v>7220.75489261407</v>
      </c>
      <c r="F468" s="1">
        <f t="shared" si="1560"/>
        <v>91401.9606660009</v>
      </c>
      <c r="G468" s="1">
        <f t="shared" si="1560"/>
        <v>27420.5881998003</v>
      </c>
      <c r="H468" s="1">
        <f t="shared" si="1560"/>
        <v>18280.3921332002</v>
      </c>
      <c r="I468" s="1">
        <f t="shared" si="1560"/>
        <v>0</v>
      </c>
      <c r="J468" s="1">
        <f>标准模型!$I$65/1*$B468/$B$3</f>
        <v>3.2904</v>
      </c>
      <c r="K468" s="1">
        <f>J468*标准模型!$J$63</f>
        <v>3.2904</v>
      </c>
      <c r="L468" s="1">
        <f t="shared" si="1513"/>
        <v>127505.735129071</v>
      </c>
      <c r="M468" s="1">
        <f t="shared" si="1514"/>
        <v>73890.4783867074</v>
      </c>
      <c r="N468" s="1">
        <f t="shared" si="1515"/>
        <v>49260.3189244716</v>
      </c>
      <c r="O468" s="1">
        <f t="shared" ref="O468:W468" si="1561">O$5+(O$6-O$5)*(POWER(O$7,$B468-1)-1)/(POWER(O$7,$B$3-1)-1)</f>
        <v>0.956923650631267</v>
      </c>
      <c r="P468" s="1">
        <f t="shared" si="1561"/>
        <v>0.35259279453471</v>
      </c>
      <c r="Q468" s="1">
        <f t="shared" si="1561"/>
        <v>0.526308007847197</v>
      </c>
      <c r="R468" s="1">
        <f t="shared" si="1561"/>
        <v>1.18276946025251</v>
      </c>
      <c r="S468" s="1">
        <f t="shared" si="1561"/>
        <v>0.644000745820647</v>
      </c>
      <c r="T468" s="1">
        <f t="shared" si="1561"/>
        <v>3.78200223746194</v>
      </c>
      <c r="U468" s="1">
        <f t="shared" si="1561"/>
        <v>1</v>
      </c>
      <c r="V468" s="1">
        <f t="shared" si="1561"/>
        <v>1.49832015231239</v>
      </c>
      <c r="W468" s="1">
        <f t="shared" si="1561"/>
        <v>2.46215568202005</v>
      </c>
      <c r="X468" s="1">
        <f t="shared" si="1517"/>
        <v>10.6458795978347</v>
      </c>
      <c r="Y468" s="1">
        <f t="shared" si="1518"/>
        <v>22.3617796906358</v>
      </c>
      <c r="Z468" s="1">
        <f t="shared" si="1519"/>
        <v>2851255.15824886</v>
      </c>
      <c r="AA468" s="1">
        <f t="shared" si="1520"/>
        <v>73890.4783867074</v>
      </c>
      <c r="AB468" s="1">
        <f t="shared" si="1521"/>
        <v>49260.3189244716</v>
      </c>
      <c r="AC468" s="1">
        <f>AB468/(AB468+战斗公式!$M$27)</f>
        <v>0.672401098543633</v>
      </c>
      <c r="AD468" s="1">
        <f t="shared" si="1522"/>
        <v>8703494.25951483</v>
      </c>
      <c r="AE468" s="1">
        <f t="shared" si="1523"/>
        <v>11.0642917450357</v>
      </c>
      <c r="AF468" s="1">
        <f t="shared" si="1524"/>
        <v>5.2674303826672</v>
      </c>
      <c r="AG468" s="1">
        <f t="shared" si="1525"/>
        <v>4.96342317909077</v>
      </c>
      <c r="AH468" s="1">
        <f t="shared" si="1526"/>
        <v>2.03906559196148</v>
      </c>
      <c r="AI468" s="1">
        <f t="shared" si="1527"/>
        <v>1.00000000007112</v>
      </c>
      <c r="AJ468" s="1">
        <f t="shared" si="1528"/>
        <v>1.00004634561473</v>
      </c>
      <c r="AK468" s="1">
        <f t="shared" si="1529"/>
        <v>1</v>
      </c>
      <c r="AL468" s="10">
        <f t="shared" si="1530"/>
        <v>2686696</v>
      </c>
      <c r="AM468" s="10">
        <f t="shared" si="1531"/>
        <v>150668</v>
      </c>
      <c r="AN468" s="10">
        <f t="shared" si="1532"/>
        <v>49260</v>
      </c>
      <c r="AO468" s="1">
        <f t="shared" si="1533"/>
        <v>1279128</v>
      </c>
      <c r="AP468" s="1">
        <f t="shared" si="1534"/>
        <v>150668</v>
      </c>
      <c r="AR468" s="1">
        <f t="shared" ref="AR468:AX468" si="1562">ROUNDUP(AR$10*$AO468,0)</f>
        <v>1279128</v>
      </c>
      <c r="AS468" s="1">
        <f t="shared" si="1562"/>
        <v>3837384</v>
      </c>
      <c r="AT468" s="1">
        <f t="shared" si="1562"/>
        <v>2302431</v>
      </c>
      <c r="AU468" s="1">
        <f t="shared" si="1562"/>
        <v>639564</v>
      </c>
      <c r="AV468" s="1">
        <f t="shared" si="1562"/>
        <v>191870</v>
      </c>
      <c r="AW468" s="1">
        <f t="shared" si="1562"/>
        <v>5116512</v>
      </c>
      <c r="AX468" s="1">
        <f t="shared" si="1562"/>
        <v>11512152</v>
      </c>
      <c r="AY468" s="1">
        <f t="shared" si="1536"/>
        <v>161201760</v>
      </c>
      <c r="AZ468" s="1">
        <f t="shared" si="1537"/>
        <v>80600880</v>
      </c>
      <c r="BB468" s="1">
        <f t="shared" si="1538"/>
        <v>457</v>
      </c>
    </row>
    <row r="469" spans="2:54">
      <c r="B469" s="4">
        <v>458</v>
      </c>
      <c r="C469" s="1">
        <f t="shared" ref="C469:I469" si="1563">C$5+(C$6-C$5)*(POWER(C$7,$B469-1)-1)/(POWER(C$7,$B$3-1)-1)</f>
        <v>36182.7581109404</v>
      </c>
      <c r="D469" s="1">
        <f t="shared" si="1563"/>
        <v>10854.8274332821</v>
      </c>
      <c r="E469" s="1">
        <f t="shared" si="1563"/>
        <v>7236.55162218807</v>
      </c>
      <c r="F469" s="1">
        <f t="shared" si="1563"/>
        <v>91601.9192682034</v>
      </c>
      <c r="G469" s="1">
        <f t="shared" si="1563"/>
        <v>27480.575780461</v>
      </c>
      <c r="H469" s="1">
        <f t="shared" si="1563"/>
        <v>18320.3838536407</v>
      </c>
      <c r="I469" s="1">
        <f t="shared" si="1563"/>
        <v>0</v>
      </c>
      <c r="J469" s="1">
        <f>标准模型!$I$65/1*$B469/$B$3</f>
        <v>3.2976</v>
      </c>
      <c r="K469" s="1">
        <f>J469*标准模型!$J$63</f>
        <v>3.2976</v>
      </c>
      <c r="L469" s="1">
        <f t="shared" si="1513"/>
        <v>127784.677379144</v>
      </c>
      <c r="M469" s="1">
        <f t="shared" si="1514"/>
        <v>74130.2821577342</v>
      </c>
      <c r="N469" s="1">
        <f t="shared" si="1515"/>
        <v>49420.1881051561</v>
      </c>
      <c r="O469" s="1">
        <f t="shared" ref="O469:W469" si="1564">O$5+(O$6-O$5)*(POWER(O$7,$B469-1)-1)/(POWER(O$7,$B$3-1)-1)</f>
        <v>0.957925447235488</v>
      </c>
      <c r="P469" s="1">
        <f t="shared" si="1564"/>
        <v>0.353660940852041</v>
      </c>
      <c r="Q469" s="1">
        <f t="shared" si="1564"/>
        <v>0.526858995979518</v>
      </c>
      <c r="R469" s="1">
        <f t="shared" si="1564"/>
        <v>1.1831701788942</v>
      </c>
      <c r="S469" s="1">
        <f t="shared" si="1564"/>
        <v>0.645303081406135</v>
      </c>
      <c r="T469" s="1">
        <f t="shared" si="1564"/>
        <v>3.7859092442184</v>
      </c>
      <c r="U469" s="1">
        <f t="shared" si="1564"/>
        <v>1</v>
      </c>
      <c r="V469" s="1">
        <f t="shared" si="1564"/>
        <v>1.49941270997648</v>
      </c>
      <c r="W469" s="1">
        <f t="shared" si="1564"/>
        <v>2.46536143115356</v>
      </c>
      <c r="X469" s="1">
        <f t="shared" si="1517"/>
        <v>10.7037146097331</v>
      </c>
      <c r="Y469" s="1">
        <f t="shared" si="1518"/>
        <v>22.4962194907632</v>
      </c>
      <c r="Z469" s="1">
        <f t="shared" si="1519"/>
        <v>2874672.14987758</v>
      </c>
      <c r="AA469" s="1">
        <f t="shared" si="1520"/>
        <v>74130.2821577342</v>
      </c>
      <c r="AB469" s="1">
        <f t="shared" si="1521"/>
        <v>49420.1881051561</v>
      </c>
      <c r="AC469" s="1">
        <f>AB469/(AB469+战斗公式!$M$27)</f>
        <v>0.673114430521126</v>
      </c>
      <c r="AD469" s="1">
        <f t="shared" si="1522"/>
        <v>8794123.74936105</v>
      </c>
      <c r="AE469" s="1">
        <f t="shared" si="1523"/>
        <v>11.0831292611524</v>
      </c>
      <c r="AF469" s="1">
        <f t="shared" si="1524"/>
        <v>5.27335949237456</v>
      </c>
      <c r="AG469" s="1">
        <f t="shared" si="1525"/>
        <v>4.96441515947865</v>
      </c>
      <c r="AH469" s="1">
        <f t="shared" si="1526"/>
        <v>2.04488270168737</v>
      </c>
      <c r="AI469" s="1">
        <f t="shared" si="1527"/>
        <v>1.00000000006712</v>
      </c>
      <c r="AJ469" s="1">
        <f t="shared" si="1528"/>
        <v>1.00004474889505</v>
      </c>
      <c r="AK469" s="1">
        <f t="shared" si="1529"/>
        <v>1</v>
      </c>
      <c r="AL469" s="10">
        <f t="shared" si="1530"/>
        <v>2706257</v>
      </c>
      <c r="AM469" s="10">
        <f t="shared" si="1531"/>
        <v>151588</v>
      </c>
      <c r="AN469" s="10">
        <f t="shared" si="1532"/>
        <v>49420</v>
      </c>
      <c r="AO469" s="1">
        <f t="shared" si="1533"/>
        <v>1287696</v>
      </c>
      <c r="AP469" s="1">
        <f t="shared" si="1534"/>
        <v>151588</v>
      </c>
      <c r="AR469" s="1">
        <f t="shared" ref="AR469:AX469" si="1565">ROUNDUP(AR$10*$AO469,0)</f>
        <v>1287696</v>
      </c>
      <c r="AS469" s="1">
        <f t="shared" si="1565"/>
        <v>3863088</v>
      </c>
      <c r="AT469" s="1">
        <f t="shared" si="1565"/>
        <v>2317853</v>
      </c>
      <c r="AU469" s="1">
        <f t="shared" si="1565"/>
        <v>643848</v>
      </c>
      <c r="AV469" s="1">
        <f t="shared" si="1565"/>
        <v>193155</v>
      </c>
      <c r="AW469" s="1">
        <f t="shared" si="1565"/>
        <v>5150784</v>
      </c>
      <c r="AX469" s="1">
        <f t="shared" si="1565"/>
        <v>11589264</v>
      </c>
      <c r="AY469" s="1">
        <f t="shared" si="1536"/>
        <v>162375420</v>
      </c>
      <c r="AZ469" s="1">
        <f t="shared" si="1537"/>
        <v>81187710</v>
      </c>
      <c r="BB469" s="1">
        <f t="shared" si="1538"/>
        <v>458</v>
      </c>
    </row>
    <row r="470" spans="2:54">
      <c r="B470" s="4">
        <v>459</v>
      </c>
      <c r="C470" s="1">
        <f t="shared" ref="C470:I470" si="1566">C$5+(C$6-C$5)*(POWER(C$7,$B470-1)-1)/(POWER(C$7,$B$3-1)-1)</f>
        <v>36261.7416798188</v>
      </c>
      <c r="D470" s="1">
        <f t="shared" si="1566"/>
        <v>10878.5225039456</v>
      </c>
      <c r="E470" s="1">
        <f t="shared" si="1566"/>
        <v>7252.34833596375</v>
      </c>
      <c r="F470" s="1">
        <f t="shared" si="1566"/>
        <v>91801.8776704272</v>
      </c>
      <c r="G470" s="1">
        <f t="shared" si="1566"/>
        <v>27540.5633011282</v>
      </c>
      <c r="H470" s="1">
        <f t="shared" si="1566"/>
        <v>18360.3755340854</v>
      </c>
      <c r="I470" s="1">
        <f t="shared" si="1566"/>
        <v>0</v>
      </c>
      <c r="J470" s="1">
        <f>标准模型!$I$65/1*$B470/$B$3</f>
        <v>3.3048</v>
      </c>
      <c r="K470" s="1">
        <f>J470*标准模型!$J$63</f>
        <v>3.3048</v>
      </c>
      <c r="L470" s="1">
        <f t="shared" si="1513"/>
        <v>128063.619350246</v>
      </c>
      <c r="M470" s="1">
        <f t="shared" si="1514"/>
        <v>74370.4269761133</v>
      </c>
      <c r="N470" s="1">
        <f t="shared" si="1515"/>
        <v>49580.2846507422</v>
      </c>
      <c r="O470" s="1">
        <f t="shared" ref="O470:W470" si="1567">O$5+(O$6-O$5)*(POWER(O$7,$B470-1)-1)/(POWER(O$7,$B$3-1)-1)</f>
        <v>0.958927242837812</v>
      </c>
      <c r="P470" s="1">
        <f t="shared" si="1567"/>
        <v>0.354730689388849</v>
      </c>
      <c r="Q470" s="1">
        <f t="shared" si="1567"/>
        <v>0.527409983560796</v>
      </c>
      <c r="R470" s="1">
        <f t="shared" si="1567"/>
        <v>1.18357089713512</v>
      </c>
      <c r="S470" s="1">
        <f t="shared" si="1567"/>
        <v>0.646605415689155</v>
      </c>
      <c r="T470" s="1">
        <f t="shared" si="1567"/>
        <v>3.78981624706747</v>
      </c>
      <c r="U470" s="1">
        <f t="shared" si="1567"/>
        <v>1</v>
      </c>
      <c r="V470" s="1">
        <f t="shared" si="1567"/>
        <v>1.5005052665479</v>
      </c>
      <c r="W470" s="1">
        <f t="shared" si="1567"/>
        <v>2.468567177081</v>
      </c>
      <c r="X470" s="1">
        <f t="shared" si="1517"/>
        <v>10.7618178115548</v>
      </c>
      <c r="Y470" s="1">
        <f t="shared" si="1518"/>
        <v>22.6313612313988</v>
      </c>
      <c r="Z470" s="1">
        <f t="shared" si="1519"/>
        <v>2898254.03011577</v>
      </c>
      <c r="AA470" s="1">
        <f t="shared" si="1520"/>
        <v>74370.4269761133</v>
      </c>
      <c r="AB470" s="1">
        <f t="shared" si="1521"/>
        <v>49580.2846507422</v>
      </c>
      <c r="AC470" s="1">
        <f>AB470/(AB470+战斗公式!$M$27)</f>
        <v>0.673825670641002</v>
      </c>
      <c r="AD470" s="1">
        <f t="shared" si="1522"/>
        <v>8885598.18858662</v>
      </c>
      <c r="AE470" s="1">
        <f t="shared" si="1523"/>
        <v>11.1019881622386</v>
      </c>
      <c r="AF470" s="1">
        <f t="shared" si="1524"/>
        <v>5.27929242640016</v>
      </c>
      <c r="AG470" s="1">
        <f t="shared" si="1525"/>
        <v>4.96539970001361</v>
      </c>
      <c r="AH470" s="1">
        <f t="shared" si="1526"/>
        <v>2.05071144563271</v>
      </c>
      <c r="AI470" s="1">
        <f t="shared" si="1527"/>
        <v>1.00000000006332</v>
      </c>
      <c r="AJ470" s="1">
        <f t="shared" si="1528"/>
        <v>1.00004318410976</v>
      </c>
      <c r="AK470" s="1">
        <f t="shared" si="1529"/>
        <v>1</v>
      </c>
      <c r="AL470" s="10">
        <f t="shared" si="1530"/>
        <v>2725932</v>
      </c>
      <c r="AM470" s="10">
        <f t="shared" si="1531"/>
        <v>152512</v>
      </c>
      <c r="AN470" s="10">
        <f t="shared" si="1532"/>
        <v>49580</v>
      </c>
      <c r="AO470" s="1">
        <f t="shared" si="1533"/>
        <v>1296309</v>
      </c>
      <c r="AP470" s="1">
        <f t="shared" si="1534"/>
        <v>152512</v>
      </c>
      <c r="AR470" s="1">
        <f t="shared" ref="AR470:AX470" si="1568">ROUNDUP(AR$10*$AO470,0)</f>
        <v>1296309</v>
      </c>
      <c r="AS470" s="1">
        <f t="shared" si="1568"/>
        <v>3888927</v>
      </c>
      <c r="AT470" s="1">
        <f t="shared" si="1568"/>
        <v>2333357</v>
      </c>
      <c r="AU470" s="1">
        <f t="shared" si="1568"/>
        <v>648155</v>
      </c>
      <c r="AV470" s="1">
        <f t="shared" si="1568"/>
        <v>194447</v>
      </c>
      <c r="AW470" s="1">
        <f t="shared" si="1568"/>
        <v>5185236</v>
      </c>
      <c r="AX470" s="1">
        <f t="shared" si="1568"/>
        <v>11666781</v>
      </c>
      <c r="AY470" s="1">
        <f t="shared" si="1536"/>
        <v>163555920</v>
      </c>
      <c r="AZ470" s="1">
        <f t="shared" si="1537"/>
        <v>81777960</v>
      </c>
      <c r="BB470" s="1">
        <f t="shared" si="1538"/>
        <v>459</v>
      </c>
    </row>
    <row r="471" spans="2:54">
      <c r="B471" s="4">
        <v>460</v>
      </c>
      <c r="C471" s="1">
        <f t="shared" ref="C471:I471" si="1569">C$5+(C$6-C$5)*(POWER(C$7,$B471-1)-1)/(POWER(C$7,$B$3-1)-1)</f>
        <v>36340.7251697143</v>
      </c>
      <c r="D471" s="1">
        <f t="shared" si="1569"/>
        <v>10902.2175509143</v>
      </c>
      <c r="E471" s="1">
        <f t="shared" si="1569"/>
        <v>7268.14503394286</v>
      </c>
      <c r="F471" s="1">
        <f t="shared" si="1569"/>
        <v>92001.8358726945</v>
      </c>
      <c r="G471" s="1">
        <f t="shared" si="1569"/>
        <v>27600.5507618083</v>
      </c>
      <c r="H471" s="1">
        <f t="shared" si="1569"/>
        <v>18400.3671745389</v>
      </c>
      <c r="I471" s="1">
        <f t="shared" si="1569"/>
        <v>0</v>
      </c>
      <c r="J471" s="1">
        <f>标准模型!$I$65/1*$B471/$B$3</f>
        <v>3.312</v>
      </c>
      <c r="K471" s="1">
        <f>J471*标准模型!$J$63</f>
        <v>3.312</v>
      </c>
      <c r="L471" s="1">
        <f t="shared" si="1513"/>
        <v>128342.561042409</v>
      </c>
      <c r="M471" s="1">
        <f t="shared" si="1514"/>
        <v>74610.9128413508</v>
      </c>
      <c r="N471" s="1">
        <f t="shared" si="1515"/>
        <v>49740.6085609005</v>
      </c>
      <c r="O471" s="1">
        <f t="shared" ref="O471:W471" si="1570">O$5+(O$6-O$5)*(POWER(O$7,$B471-1)-1)/(POWER(O$7,$B$3-1)-1)</f>
        <v>0.959929037438349</v>
      </c>
      <c r="P471" s="1">
        <f t="shared" si="1570"/>
        <v>0.355802042548462</v>
      </c>
      <c r="Q471" s="1">
        <f t="shared" si="1570"/>
        <v>0.527960970591092</v>
      </c>
      <c r="R471" s="1">
        <f t="shared" si="1570"/>
        <v>1.18397161497534</v>
      </c>
      <c r="S471" s="1">
        <f t="shared" si="1570"/>
        <v>0.647907748669854</v>
      </c>
      <c r="T471" s="1">
        <f t="shared" si="1570"/>
        <v>3.79372324600956</v>
      </c>
      <c r="U471" s="1">
        <f t="shared" si="1570"/>
        <v>1</v>
      </c>
      <c r="V471" s="1">
        <f t="shared" si="1570"/>
        <v>1.50159782202678</v>
      </c>
      <c r="W471" s="1">
        <f t="shared" si="1570"/>
        <v>2.47177291980272</v>
      </c>
      <c r="X471" s="1">
        <f t="shared" si="1517"/>
        <v>10.8201902222079</v>
      </c>
      <c r="Y471" s="1">
        <f t="shared" si="1518"/>
        <v>22.7672079899893</v>
      </c>
      <c r="Z471" s="1">
        <f t="shared" si="1519"/>
        <v>2922001.78122042</v>
      </c>
      <c r="AA471" s="1">
        <f t="shared" si="1520"/>
        <v>74610.9128413508</v>
      </c>
      <c r="AB471" s="1">
        <f t="shared" si="1521"/>
        <v>49740.6085609005</v>
      </c>
      <c r="AC471" s="1">
        <f>AB471/(AB471+战斗公式!$M$27)</f>
        <v>0.674534825947646</v>
      </c>
      <c r="AD471" s="1">
        <f t="shared" si="1522"/>
        <v>8977924.56513454</v>
      </c>
      <c r="AE471" s="1">
        <f t="shared" si="1523"/>
        <v>11.1208684299756</v>
      </c>
      <c r="AF471" s="1">
        <f t="shared" si="1524"/>
        <v>5.28522917265003</v>
      </c>
      <c r="AG471" s="1">
        <f t="shared" si="1525"/>
        <v>4.96637685649456</v>
      </c>
      <c r="AH471" s="1">
        <f t="shared" si="1526"/>
        <v>2.05655184706595</v>
      </c>
      <c r="AI471" s="1">
        <f t="shared" si="1527"/>
        <v>1.00000000005972</v>
      </c>
      <c r="AJ471" s="1">
        <f t="shared" si="1528"/>
        <v>1.00004165062018</v>
      </c>
      <c r="AK471" s="1">
        <f t="shared" si="1529"/>
        <v>1</v>
      </c>
      <c r="AL471" s="10">
        <f t="shared" si="1530"/>
        <v>2745720</v>
      </c>
      <c r="AM471" s="10">
        <f t="shared" si="1531"/>
        <v>153441</v>
      </c>
      <c r="AN471" s="10">
        <f t="shared" si="1532"/>
        <v>49741</v>
      </c>
      <c r="AO471" s="1">
        <f t="shared" si="1533"/>
        <v>1304967</v>
      </c>
      <c r="AP471" s="1">
        <f t="shared" si="1534"/>
        <v>153441</v>
      </c>
      <c r="AR471" s="1">
        <f t="shared" ref="AR471:AX471" si="1571">ROUNDUP(AR$10*$AO471,0)</f>
        <v>1304967</v>
      </c>
      <c r="AS471" s="1">
        <f t="shared" si="1571"/>
        <v>3914901</v>
      </c>
      <c r="AT471" s="1">
        <f t="shared" si="1571"/>
        <v>2348941</v>
      </c>
      <c r="AU471" s="1">
        <f t="shared" si="1571"/>
        <v>652484</v>
      </c>
      <c r="AV471" s="1">
        <f t="shared" si="1571"/>
        <v>195746</v>
      </c>
      <c r="AW471" s="1">
        <f t="shared" si="1571"/>
        <v>5219868</v>
      </c>
      <c r="AX471" s="1">
        <f t="shared" si="1571"/>
        <v>11744703</v>
      </c>
      <c r="AY471" s="1">
        <f t="shared" si="1536"/>
        <v>164743200</v>
      </c>
      <c r="AZ471" s="1">
        <f t="shared" si="1537"/>
        <v>82371600</v>
      </c>
      <c r="BB471" s="1">
        <f t="shared" si="1538"/>
        <v>460</v>
      </c>
    </row>
    <row r="472" spans="2:54">
      <c r="B472" s="4">
        <v>461</v>
      </c>
      <c r="C472" s="1">
        <f t="shared" ref="C472:I472" si="1572">C$5+(C$6-C$5)*(POWER(C$7,$B472-1)-1)/(POWER(C$7,$B$3-1)-1)</f>
        <v>36419.7085806271</v>
      </c>
      <c r="D472" s="1">
        <f t="shared" si="1572"/>
        <v>10925.9125741881</v>
      </c>
      <c r="E472" s="1">
        <f t="shared" si="1572"/>
        <v>7283.94171612541</v>
      </c>
      <c r="F472" s="1">
        <f t="shared" si="1572"/>
        <v>92201.7938750052</v>
      </c>
      <c r="G472" s="1">
        <f t="shared" si="1572"/>
        <v>27660.5381625016</v>
      </c>
      <c r="H472" s="1">
        <f t="shared" si="1572"/>
        <v>18440.358775001</v>
      </c>
      <c r="I472" s="1">
        <f t="shared" si="1572"/>
        <v>0</v>
      </c>
      <c r="J472" s="1">
        <f>标准模型!$I$65/1*$B472/$B$3</f>
        <v>3.3192</v>
      </c>
      <c r="K472" s="1">
        <f>J472*标准模型!$J$63</f>
        <v>3.3192</v>
      </c>
      <c r="L472" s="1">
        <f t="shared" si="1513"/>
        <v>128621.502455632</v>
      </c>
      <c r="M472" s="1">
        <f t="shared" si="1514"/>
        <v>74851.7397529349</v>
      </c>
      <c r="N472" s="1">
        <f t="shared" si="1515"/>
        <v>49901.1598352899</v>
      </c>
      <c r="O472" s="1">
        <f t="shared" ref="O472:W472" si="1573">O$5+(O$6-O$5)*(POWER(O$7,$B472-1)-1)/(POWER(O$7,$B$3-1)-1)</f>
        <v>0.9609308310371</v>
      </c>
      <c r="P472" s="1">
        <f t="shared" si="1573"/>
        <v>0.356875002737814</v>
      </c>
      <c r="Q472" s="1">
        <f t="shared" si="1573"/>
        <v>0.528511957070405</v>
      </c>
      <c r="R472" s="1">
        <f t="shared" si="1573"/>
        <v>1.18437233241484</v>
      </c>
      <c r="S472" s="1">
        <f t="shared" si="1573"/>
        <v>0.64921008034823</v>
      </c>
      <c r="T472" s="1">
        <f t="shared" si="1573"/>
        <v>3.79763024104469</v>
      </c>
      <c r="U472" s="1">
        <f t="shared" si="1573"/>
        <v>1</v>
      </c>
      <c r="V472" s="1">
        <f t="shared" si="1573"/>
        <v>1.50269037641311</v>
      </c>
      <c r="W472" s="1">
        <f t="shared" si="1573"/>
        <v>2.47497865931872</v>
      </c>
      <c r="X472" s="1">
        <f t="shared" si="1517"/>
        <v>10.878832863655</v>
      </c>
      <c r="Y472" s="1">
        <f t="shared" si="1518"/>
        <v>22.9037628549159</v>
      </c>
      <c r="Z472" s="1">
        <f t="shared" si="1519"/>
        <v>2945916.39028678</v>
      </c>
      <c r="AA472" s="1">
        <f t="shared" si="1520"/>
        <v>74851.7397529349</v>
      </c>
      <c r="AB472" s="1">
        <f t="shared" si="1521"/>
        <v>49901.1598352899</v>
      </c>
      <c r="AC472" s="1">
        <f>AB472/(AB472+战斗公式!$M$27)</f>
        <v>0.675241903462802</v>
      </c>
      <c r="AD472" s="1">
        <f t="shared" si="1522"/>
        <v>9071109.91749933</v>
      </c>
      <c r="AE472" s="1">
        <f t="shared" si="1523"/>
        <v>11.1397700460864</v>
      </c>
      <c r="AF472" s="1">
        <f t="shared" si="1524"/>
        <v>5.2911697190802</v>
      </c>
      <c r="AG472" s="1">
        <f t="shared" si="1525"/>
        <v>4.9673466843019</v>
      </c>
      <c r="AH472" s="1">
        <f t="shared" si="1526"/>
        <v>2.06240392930205</v>
      </c>
      <c r="AI472" s="1">
        <f t="shared" si="1527"/>
        <v>1.00000000005629</v>
      </c>
      <c r="AJ472" s="1">
        <f t="shared" si="1528"/>
        <v>1.00004014780038</v>
      </c>
      <c r="AK472" s="1">
        <f t="shared" si="1529"/>
        <v>1</v>
      </c>
      <c r="AL472" s="10">
        <f t="shared" si="1530"/>
        <v>2765624</v>
      </c>
      <c r="AM472" s="10">
        <f t="shared" si="1531"/>
        <v>154375</v>
      </c>
      <c r="AN472" s="10">
        <f t="shared" si="1532"/>
        <v>49901</v>
      </c>
      <c r="AO472" s="1">
        <f t="shared" si="1533"/>
        <v>1313669</v>
      </c>
      <c r="AP472" s="1">
        <f t="shared" si="1534"/>
        <v>154375</v>
      </c>
      <c r="AR472" s="1">
        <f t="shared" ref="AR472:AX472" si="1574">ROUNDUP(AR$10*$AO472,0)</f>
        <v>1313669</v>
      </c>
      <c r="AS472" s="1">
        <f t="shared" si="1574"/>
        <v>3941007</v>
      </c>
      <c r="AT472" s="1">
        <f t="shared" si="1574"/>
        <v>2364605</v>
      </c>
      <c r="AU472" s="1">
        <f t="shared" si="1574"/>
        <v>656835</v>
      </c>
      <c r="AV472" s="1">
        <f t="shared" si="1574"/>
        <v>197051</v>
      </c>
      <c r="AW472" s="1">
        <f t="shared" si="1574"/>
        <v>5254676</v>
      </c>
      <c r="AX472" s="1">
        <f t="shared" si="1574"/>
        <v>11823021</v>
      </c>
      <c r="AY472" s="1">
        <f t="shared" si="1536"/>
        <v>165937440</v>
      </c>
      <c r="AZ472" s="1">
        <f t="shared" si="1537"/>
        <v>82968720</v>
      </c>
      <c r="BB472" s="1">
        <f t="shared" si="1538"/>
        <v>461</v>
      </c>
    </row>
    <row r="473" spans="2:54">
      <c r="B473" s="4">
        <v>462</v>
      </c>
      <c r="C473" s="1">
        <f t="shared" ref="C473:I473" si="1575">C$5+(C$6-C$5)*(POWER(C$7,$B473-1)-1)/(POWER(C$7,$B$3-1)-1)</f>
        <v>36498.6919125569</v>
      </c>
      <c r="D473" s="1">
        <f t="shared" si="1575"/>
        <v>10949.6075737671</v>
      </c>
      <c r="E473" s="1">
        <f t="shared" si="1575"/>
        <v>7299.73838251139</v>
      </c>
      <c r="F473" s="1">
        <f t="shared" si="1575"/>
        <v>92401.7516773594</v>
      </c>
      <c r="G473" s="1">
        <f t="shared" si="1575"/>
        <v>27720.5255032078</v>
      </c>
      <c r="H473" s="1">
        <f t="shared" si="1575"/>
        <v>18480.3503354719</v>
      </c>
      <c r="I473" s="1">
        <f t="shared" si="1575"/>
        <v>0</v>
      </c>
      <c r="J473" s="1">
        <f>标准模型!$I$65/1*$B473/$B$3</f>
        <v>3.3264</v>
      </c>
      <c r="K473" s="1">
        <f>J473*标准模型!$J$63</f>
        <v>3.3264</v>
      </c>
      <c r="L473" s="1">
        <f t="shared" si="1513"/>
        <v>128900.443589916</v>
      </c>
      <c r="M473" s="1">
        <f t="shared" si="1514"/>
        <v>75092.9077103537</v>
      </c>
      <c r="N473" s="1">
        <f t="shared" si="1515"/>
        <v>50061.9384735691</v>
      </c>
      <c r="O473" s="1">
        <f t="shared" ref="O473:W473" si="1576">O$5+(O$6-O$5)*(POWER(O$7,$B473-1)-1)/(POWER(O$7,$B$3-1)-1)</f>
        <v>0.961932623634065</v>
      </c>
      <c r="P473" s="1">
        <f t="shared" si="1576"/>
        <v>0.357949572367451</v>
      </c>
      <c r="Q473" s="1">
        <f t="shared" si="1576"/>
        <v>0.529062942998736</v>
      </c>
      <c r="R473" s="1">
        <f t="shared" si="1576"/>
        <v>1.18477304945363</v>
      </c>
      <c r="S473" s="1">
        <f t="shared" si="1576"/>
        <v>0.650512410724284</v>
      </c>
      <c r="T473" s="1">
        <f t="shared" si="1576"/>
        <v>3.80153723217285</v>
      </c>
      <c r="U473" s="1">
        <f t="shared" si="1576"/>
        <v>1</v>
      </c>
      <c r="V473" s="1">
        <f t="shared" si="1576"/>
        <v>1.50378292970689</v>
      </c>
      <c r="W473" s="1">
        <f t="shared" si="1576"/>
        <v>2.47818439562901</v>
      </c>
      <c r="X473" s="1">
        <f t="shared" si="1517"/>
        <v>10.9377467609266</v>
      </c>
      <c r="Y473" s="1">
        <f t="shared" si="1518"/>
        <v>23.0410289255394</v>
      </c>
      <c r="Z473" s="1">
        <f t="shared" si="1519"/>
        <v>2969998.84927012</v>
      </c>
      <c r="AA473" s="1">
        <f t="shared" si="1520"/>
        <v>75092.9077103537</v>
      </c>
      <c r="AB473" s="1">
        <f t="shared" si="1521"/>
        <v>50061.9384735691</v>
      </c>
      <c r="AC473" s="1">
        <f>AB473/(AB473+战斗公式!$M$27)</f>
        <v>0.675946910185655</v>
      </c>
      <c r="AD473" s="1">
        <f t="shared" si="1522"/>
        <v>9165161.33505062</v>
      </c>
      <c r="AE473" s="1">
        <f t="shared" si="1523"/>
        <v>11.158692992338</v>
      </c>
      <c r="AF473" s="1">
        <f t="shared" si="1524"/>
        <v>5.29711405369727</v>
      </c>
      <c r="AG473" s="1">
        <f t="shared" si="1525"/>
        <v>4.96830923840069</v>
      </c>
      <c r="AH473" s="1">
        <f t="shared" si="1526"/>
        <v>2.06826771570263</v>
      </c>
      <c r="AI473" s="1">
        <f t="shared" si="1527"/>
        <v>1.00000000005304</v>
      </c>
      <c r="AJ473" s="1">
        <f t="shared" si="1528"/>
        <v>1.00003867503699</v>
      </c>
      <c r="AK473" s="1">
        <f t="shared" si="1529"/>
        <v>1</v>
      </c>
      <c r="AL473" s="10">
        <f t="shared" si="1530"/>
        <v>2785644</v>
      </c>
      <c r="AM473" s="10">
        <f t="shared" si="1531"/>
        <v>155312</v>
      </c>
      <c r="AN473" s="10">
        <f t="shared" si="1532"/>
        <v>50062</v>
      </c>
      <c r="AO473" s="1">
        <f t="shared" si="1533"/>
        <v>1322417</v>
      </c>
      <c r="AP473" s="1">
        <f t="shared" si="1534"/>
        <v>155312</v>
      </c>
      <c r="AR473" s="1">
        <f t="shared" ref="AR473:AX473" si="1577">ROUNDUP(AR$10*$AO473,0)</f>
        <v>1322417</v>
      </c>
      <c r="AS473" s="1">
        <f t="shared" si="1577"/>
        <v>3967251</v>
      </c>
      <c r="AT473" s="1">
        <f t="shared" si="1577"/>
        <v>2380351</v>
      </c>
      <c r="AU473" s="1">
        <f t="shared" si="1577"/>
        <v>661209</v>
      </c>
      <c r="AV473" s="1">
        <f t="shared" si="1577"/>
        <v>198363</v>
      </c>
      <c r="AW473" s="1">
        <f t="shared" si="1577"/>
        <v>5289668</v>
      </c>
      <c r="AX473" s="1">
        <f t="shared" si="1577"/>
        <v>11901753</v>
      </c>
      <c r="AY473" s="1">
        <f t="shared" si="1536"/>
        <v>167138640</v>
      </c>
      <c r="AZ473" s="1">
        <f t="shared" si="1537"/>
        <v>83569320</v>
      </c>
      <c r="BB473" s="1">
        <f t="shared" si="1538"/>
        <v>462</v>
      </c>
    </row>
    <row r="474" spans="2:54">
      <c r="B474" s="4">
        <v>463</v>
      </c>
      <c r="C474" s="1">
        <f t="shared" ref="C474:I474" si="1578">C$5+(C$6-C$5)*(POWER(C$7,$B474-1)-1)/(POWER(C$7,$B$3-1)-1)</f>
        <v>36577.675165504</v>
      </c>
      <c r="D474" s="1">
        <f t="shared" si="1578"/>
        <v>10973.3025496512</v>
      </c>
      <c r="E474" s="1">
        <f t="shared" si="1578"/>
        <v>7315.5350331008</v>
      </c>
      <c r="F474" s="1">
        <f t="shared" si="1578"/>
        <v>92601.709279757</v>
      </c>
      <c r="G474" s="1">
        <f t="shared" si="1578"/>
        <v>27780.5127839271</v>
      </c>
      <c r="H474" s="1">
        <f t="shared" si="1578"/>
        <v>18520.3418559514</v>
      </c>
      <c r="I474" s="1">
        <f t="shared" si="1578"/>
        <v>0</v>
      </c>
      <c r="J474" s="1">
        <f>标准模型!$I$65/1*$B474/$B$3</f>
        <v>3.3336</v>
      </c>
      <c r="K474" s="1">
        <f>J474*标准模型!$J$63</f>
        <v>3.3336</v>
      </c>
      <c r="L474" s="1">
        <f t="shared" si="1513"/>
        <v>129179.384445261</v>
      </c>
      <c r="M474" s="1">
        <f t="shared" si="1514"/>
        <v>75334.4167130956</v>
      </c>
      <c r="N474" s="1">
        <f t="shared" si="1515"/>
        <v>50222.944475397</v>
      </c>
      <c r="O474" s="1">
        <f t="shared" ref="O474:W474" si="1579">O$5+(O$6-O$5)*(POWER(O$7,$B474-1)-1)/(POWER(O$7,$B$3-1)-1)</f>
        <v>0.962934415229244</v>
      </c>
      <c r="P474" s="1">
        <f t="shared" si="1579"/>
        <v>0.359025753851531</v>
      </c>
      <c r="Q474" s="1">
        <f t="shared" si="1579"/>
        <v>0.529613928376084</v>
      </c>
      <c r="R474" s="1">
        <f t="shared" si="1579"/>
        <v>1.1851737660917</v>
      </c>
      <c r="S474" s="1">
        <f t="shared" si="1579"/>
        <v>0.651814739798017</v>
      </c>
      <c r="T474" s="1">
        <f t="shared" si="1579"/>
        <v>3.80544421939405</v>
      </c>
      <c r="U474" s="1">
        <f t="shared" si="1579"/>
        <v>1</v>
      </c>
      <c r="V474" s="1">
        <f t="shared" si="1579"/>
        <v>1.50487548190813</v>
      </c>
      <c r="W474" s="1">
        <f t="shared" si="1579"/>
        <v>2.48139012873358</v>
      </c>
      <c r="X474" s="1">
        <f t="shared" si="1517"/>
        <v>10.9969329421284</v>
      </c>
      <c r="Y474" s="1">
        <f t="shared" si="1518"/>
        <v>23.1790093122317</v>
      </c>
      <c r="Z474" s="1">
        <f t="shared" si="1519"/>
        <v>2994250.15500507</v>
      </c>
      <c r="AA474" s="1">
        <f t="shared" si="1520"/>
        <v>75334.4167130956</v>
      </c>
      <c r="AB474" s="1">
        <f t="shared" si="1521"/>
        <v>50222.944475397</v>
      </c>
      <c r="AC474" s="1">
        <f>AB474/(AB474+战斗公式!$M$27)</f>
        <v>0.676649853092862</v>
      </c>
      <c r="AD474" s="1">
        <f t="shared" si="1522"/>
        <v>9260085.95834959</v>
      </c>
      <c r="AE474" s="1">
        <f t="shared" si="1523"/>
        <v>11.1776372505411</v>
      </c>
      <c r="AF474" s="1">
        <f t="shared" si="1524"/>
        <v>5.30306216455815</v>
      </c>
      <c r="AG474" s="1">
        <f t="shared" si="1525"/>
        <v>4.96926457334374</v>
      </c>
      <c r="AH474" s="1">
        <f t="shared" si="1526"/>
        <v>2.074143229676</v>
      </c>
      <c r="AI474" s="1">
        <f t="shared" si="1527"/>
        <v>1.00000000004994</v>
      </c>
      <c r="AJ474" s="1">
        <f t="shared" si="1528"/>
        <v>1.00003723172886</v>
      </c>
      <c r="AK474" s="1">
        <f t="shared" si="1529"/>
        <v>1</v>
      </c>
      <c r="AL474" s="10">
        <f t="shared" si="1530"/>
        <v>2805779</v>
      </c>
      <c r="AM474" s="10">
        <f t="shared" si="1531"/>
        <v>156254</v>
      </c>
      <c r="AN474" s="10">
        <f t="shared" si="1532"/>
        <v>50223</v>
      </c>
      <c r="AO474" s="1">
        <f t="shared" si="1533"/>
        <v>1331209</v>
      </c>
      <c r="AP474" s="1">
        <f t="shared" si="1534"/>
        <v>156254</v>
      </c>
      <c r="AR474" s="1">
        <f t="shared" ref="AR474:AX474" si="1580">ROUNDUP(AR$10*$AO474,0)</f>
        <v>1331209</v>
      </c>
      <c r="AS474" s="1">
        <f t="shared" si="1580"/>
        <v>3993627</v>
      </c>
      <c r="AT474" s="1">
        <f t="shared" si="1580"/>
        <v>2396177</v>
      </c>
      <c r="AU474" s="1">
        <f t="shared" si="1580"/>
        <v>665605</v>
      </c>
      <c r="AV474" s="1">
        <f t="shared" si="1580"/>
        <v>199682</v>
      </c>
      <c r="AW474" s="1">
        <f t="shared" si="1580"/>
        <v>5324836</v>
      </c>
      <c r="AX474" s="1">
        <f t="shared" si="1580"/>
        <v>11980881</v>
      </c>
      <c r="AY474" s="1">
        <f t="shared" si="1536"/>
        <v>168346740</v>
      </c>
      <c r="AZ474" s="1">
        <f t="shared" si="1537"/>
        <v>84173370</v>
      </c>
      <c r="BB474" s="1">
        <f t="shared" si="1538"/>
        <v>463</v>
      </c>
    </row>
    <row r="475" spans="2:54">
      <c r="B475" s="4">
        <v>464</v>
      </c>
      <c r="C475" s="1">
        <f t="shared" ref="C475:I475" si="1581">C$5+(C$6-C$5)*(POWER(C$7,$B475-1)-1)/(POWER(C$7,$B$3-1)-1)</f>
        <v>36656.6583394683</v>
      </c>
      <c r="D475" s="1">
        <f t="shared" si="1581"/>
        <v>10996.9975018405</v>
      </c>
      <c r="E475" s="1">
        <f t="shared" si="1581"/>
        <v>7331.33166789365</v>
      </c>
      <c r="F475" s="1">
        <f t="shared" si="1581"/>
        <v>92801.6666821981</v>
      </c>
      <c r="G475" s="1">
        <f t="shared" si="1581"/>
        <v>27840.5000046594</v>
      </c>
      <c r="H475" s="1">
        <f t="shared" si="1581"/>
        <v>18560.3333364396</v>
      </c>
      <c r="I475" s="1">
        <f t="shared" si="1581"/>
        <v>0</v>
      </c>
      <c r="J475" s="1">
        <f>标准模型!$I$65/1*$B475/$B$3</f>
        <v>3.3408</v>
      </c>
      <c r="K475" s="1">
        <f>J475*标准模型!$J$63</f>
        <v>3.3408</v>
      </c>
      <c r="L475" s="1">
        <f t="shared" si="1513"/>
        <v>129458.325021666</v>
      </c>
      <c r="M475" s="1">
        <f t="shared" si="1514"/>
        <v>75576.2667606485</v>
      </c>
      <c r="N475" s="1">
        <f t="shared" si="1515"/>
        <v>50384.1778404324</v>
      </c>
      <c r="O475" s="1">
        <f t="shared" ref="O475:W475" si="1582">O$5+(O$6-O$5)*(POWER(O$7,$B475-1)-1)/(POWER(O$7,$B$3-1)-1)</f>
        <v>0.963936205822636</v>
      </c>
      <c r="P475" s="1">
        <f t="shared" si="1582"/>
        <v>0.360103549607838</v>
      </c>
      <c r="Q475" s="1">
        <f t="shared" si="1582"/>
        <v>0.53016491320245</v>
      </c>
      <c r="R475" s="1">
        <f t="shared" si="1582"/>
        <v>1.18557448232905</v>
      </c>
      <c r="S475" s="1">
        <f t="shared" si="1582"/>
        <v>0.653117067569426</v>
      </c>
      <c r="T475" s="1">
        <f t="shared" si="1582"/>
        <v>3.80935120270828</v>
      </c>
      <c r="U475" s="1">
        <f t="shared" si="1582"/>
        <v>1</v>
      </c>
      <c r="V475" s="1">
        <f t="shared" si="1582"/>
        <v>1.50596803301682</v>
      </c>
      <c r="W475" s="1">
        <f t="shared" si="1582"/>
        <v>2.48459585863243</v>
      </c>
      <c r="X475" s="1">
        <f t="shared" si="1517"/>
        <v>11.0563924384489</v>
      </c>
      <c r="Y475" s="1">
        <f t="shared" si="1518"/>
        <v>23.3177071364077</v>
      </c>
      <c r="Z475" s="1">
        <f t="shared" si="1519"/>
        <v>3018671.3092251</v>
      </c>
      <c r="AA475" s="1">
        <f t="shared" si="1520"/>
        <v>75576.2667606485</v>
      </c>
      <c r="AB475" s="1">
        <f t="shared" si="1521"/>
        <v>50384.1778404324</v>
      </c>
      <c r="AC475" s="1">
        <f>AB475/(AB475+战斗公式!$M$27)</f>
        <v>0.677350739138579</v>
      </c>
      <c r="AD475" s="1">
        <f t="shared" si="1522"/>
        <v>9355890.97946712</v>
      </c>
      <c r="AE475" s="1">
        <f t="shared" si="1523"/>
        <v>11.19660280255</v>
      </c>
      <c r="AF475" s="1">
        <f t="shared" si="1524"/>
        <v>5.30901403976982</v>
      </c>
      <c r="AG475" s="1">
        <f t="shared" si="1525"/>
        <v>4.97021274327471</v>
      </c>
      <c r="AH475" s="1">
        <f t="shared" si="1526"/>
        <v>2.08003049467732</v>
      </c>
      <c r="AI475" s="1">
        <f t="shared" si="1527"/>
        <v>1.00000000004701</v>
      </c>
      <c r="AJ475" s="1">
        <f t="shared" si="1528"/>
        <v>1.00003581728689</v>
      </c>
      <c r="AK475" s="1">
        <f t="shared" si="1529"/>
        <v>1</v>
      </c>
      <c r="AL475" s="10">
        <f t="shared" si="1530"/>
        <v>2826031</v>
      </c>
      <c r="AM475" s="10">
        <f t="shared" si="1531"/>
        <v>157201</v>
      </c>
      <c r="AN475" s="10">
        <f t="shared" si="1532"/>
        <v>50384</v>
      </c>
      <c r="AO475" s="1">
        <f t="shared" si="1533"/>
        <v>1340047</v>
      </c>
      <c r="AP475" s="1">
        <f t="shared" si="1534"/>
        <v>157201</v>
      </c>
      <c r="AR475" s="1">
        <f t="shared" ref="AR475:AX475" si="1583">ROUNDUP(AR$10*$AO475,0)</f>
        <v>1340047</v>
      </c>
      <c r="AS475" s="1">
        <f t="shared" si="1583"/>
        <v>4020141</v>
      </c>
      <c r="AT475" s="1">
        <f t="shared" si="1583"/>
        <v>2412085</v>
      </c>
      <c r="AU475" s="1">
        <f t="shared" si="1583"/>
        <v>670024</v>
      </c>
      <c r="AV475" s="1">
        <f t="shared" si="1583"/>
        <v>201008</v>
      </c>
      <c r="AW475" s="1">
        <f t="shared" si="1583"/>
        <v>5360188</v>
      </c>
      <c r="AX475" s="1">
        <f t="shared" si="1583"/>
        <v>12060423</v>
      </c>
      <c r="AY475" s="1">
        <f t="shared" si="1536"/>
        <v>169561860</v>
      </c>
      <c r="AZ475" s="1">
        <f t="shared" si="1537"/>
        <v>84780930</v>
      </c>
      <c r="BB475" s="1">
        <f t="shared" si="1538"/>
        <v>464</v>
      </c>
    </row>
    <row r="476" spans="2:54">
      <c r="B476" s="4">
        <v>465</v>
      </c>
      <c r="C476" s="1">
        <f t="shared" ref="C476:I476" si="1584">C$5+(C$6-C$5)*(POWER(C$7,$B476-1)-1)/(POWER(C$7,$B$3-1)-1)</f>
        <v>36735.6414344497</v>
      </c>
      <c r="D476" s="1">
        <f t="shared" si="1584"/>
        <v>11020.6924303349</v>
      </c>
      <c r="E476" s="1">
        <f t="shared" si="1584"/>
        <v>7347.12828688993</v>
      </c>
      <c r="F476" s="1">
        <f t="shared" si="1584"/>
        <v>93001.6238846826</v>
      </c>
      <c r="G476" s="1">
        <f t="shared" si="1584"/>
        <v>27900.4871654048</v>
      </c>
      <c r="H476" s="1">
        <f t="shared" si="1584"/>
        <v>18600.3247769365</v>
      </c>
      <c r="I476" s="1">
        <f t="shared" si="1584"/>
        <v>0</v>
      </c>
      <c r="J476" s="1">
        <f>标准模型!$I$65/1*$B476/$B$3</f>
        <v>3.348</v>
      </c>
      <c r="K476" s="1">
        <f>J476*标准模型!$J$63</f>
        <v>3.348</v>
      </c>
      <c r="L476" s="1">
        <f t="shared" si="1513"/>
        <v>129737.265319132</v>
      </c>
      <c r="M476" s="1">
        <f t="shared" si="1514"/>
        <v>75818.4578525009</v>
      </c>
      <c r="N476" s="1">
        <f t="shared" si="1515"/>
        <v>50545.6385683339</v>
      </c>
      <c r="O476" s="1">
        <f t="shared" ref="O476:W476" si="1585">O$5+(O$6-O$5)*(POWER(O$7,$B476-1)-1)/(POWER(O$7,$B$3-1)-1)</f>
        <v>0.964937995414242</v>
      </c>
      <c r="P476" s="1">
        <f t="shared" si="1585"/>
        <v>0.36118296205778</v>
      </c>
      <c r="Q476" s="1">
        <f t="shared" si="1585"/>
        <v>0.530715897477833</v>
      </c>
      <c r="R476" s="1">
        <f t="shared" si="1585"/>
        <v>1.1859751981657</v>
      </c>
      <c r="S476" s="1">
        <f t="shared" si="1585"/>
        <v>0.654419394038514</v>
      </c>
      <c r="T476" s="1">
        <f t="shared" si="1585"/>
        <v>3.81325818211554</v>
      </c>
      <c r="U476" s="1">
        <f t="shared" si="1585"/>
        <v>1</v>
      </c>
      <c r="V476" s="1">
        <f t="shared" si="1585"/>
        <v>1.50706058303297</v>
      </c>
      <c r="W476" s="1">
        <f t="shared" si="1585"/>
        <v>2.48780158532557</v>
      </c>
      <c r="X476" s="1">
        <f t="shared" si="1517"/>
        <v>11.1161262841676</v>
      </c>
      <c r="Y476" s="1">
        <f t="shared" si="1518"/>
        <v>23.4571255305574</v>
      </c>
      <c r="Z476" s="1">
        <f t="shared" si="1519"/>
        <v>3043263.31858211</v>
      </c>
      <c r="AA476" s="1">
        <f t="shared" si="1520"/>
        <v>75818.4578525009</v>
      </c>
      <c r="AB476" s="1">
        <f t="shared" si="1521"/>
        <v>50545.6385683339</v>
      </c>
      <c r="AC476" s="1">
        <f>AB476/(AB476+战斗公式!$M$27)</f>
        <v>0.678049575254495</v>
      </c>
      <c r="AD476" s="1">
        <f t="shared" si="1522"/>
        <v>9452583.64230377</v>
      </c>
      <c r="AE476" s="1">
        <f t="shared" si="1523"/>
        <v>11.2155896302621</v>
      </c>
      <c r="AF476" s="1">
        <f t="shared" si="1524"/>
        <v>5.31496966748901</v>
      </c>
      <c r="AG476" s="1">
        <f t="shared" si="1525"/>
        <v>4.97115380193121</v>
      </c>
      <c r="AH476" s="1">
        <f t="shared" si="1526"/>
        <v>2.08592953420865</v>
      </c>
      <c r="AI476" s="1">
        <f t="shared" si="1527"/>
        <v>1.00000000004422</v>
      </c>
      <c r="AJ476" s="1">
        <f t="shared" si="1528"/>
        <v>1.00003443113377</v>
      </c>
      <c r="AK476" s="1">
        <f t="shared" si="1529"/>
        <v>1</v>
      </c>
      <c r="AL476" s="10">
        <f t="shared" si="1530"/>
        <v>2846400</v>
      </c>
      <c r="AM476" s="10">
        <f t="shared" si="1531"/>
        <v>158152</v>
      </c>
      <c r="AN476" s="10">
        <f t="shared" si="1532"/>
        <v>50546</v>
      </c>
      <c r="AO476" s="1">
        <f t="shared" si="1533"/>
        <v>1348930</v>
      </c>
      <c r="AP476" s="1">
        <f t="shared" si="1534"/>
        <v>158152</v>
      </c>
      <c r="AR476" s="1">
        <f t="shared" ref="AR476:AX476" si="1586">ROUNDUP(AR$10*$AO476,0)</f>
        <v>1348930</v>
      </c>
      <c r="AS476" s="1">
        <f t="shared" si="1586"/>
        <v>4046790</v>
      </c>
      <c r="AT476" s="1">
        <f t="shared" si="1586"/>
        <v>2428074</v>
      </c>
      <c r="AU476" s="1">
        <f t="shared" si="1586"/>
        <v>674465</v>
      </c>
      <c r="AV476" s="1">
        <f t="shared" si="1586"/>
        <v>202340</v>
      </c>
      <c r="AW476" s="1">
        <f t="shared" si="1586"/>
        <v>5395720</v>
      </c>
      <c r="AX476" s="1">
        <f t="shared" si="1586"/>
        <v>12140370</v>
      </c>
      <c r="AY476" s="1">
        <f t="shared" si="1536"/>
        <v>170784000</v>
      </c>
      <c r="AZ476" s="1">
        <f t="shared" si="1537"/>
        <v>85392000</v>
      </c>
      <c r="BB476" s="1">
        <f t="shared" si="1538"/>
        <v>465</v>
      </c>
    </row>
    <row r="477" spans="2:54">
      <c r="B477" s="4">
        <v>466</v>
      </c>
      <c r="C477" s="1">
        <f t="shared" ref="C477:I477" si="1587">C$5+(C$6-C$5)*(POWER(C$7,$B477-1)-1)/(POWER(C$7,$B$3-1)-1)</f>
        <v>36814.6244504482</v>
      </c>
      <c r="D477" s="1">
        <f t="shared" si="1587"/>
        <v>11044.3873351345</v>
      </c>
      <c r="E477" s="1">
        <f t="shared" si="1587"/>
        <v>7362.92489008964</v>
      </c>
      <c r="F477" s="1">
        <f t="shared" si="1587"/>
        <v>93201.5808872107</v>
      </c>
      <c r="G477" s="1">
        <f t="shared" si="1587"/>
        <v>27960.4742661632</v>
      </c>
      <c r="H477" s="1">
        <f t="shared" si="1587"/>
        <v>18640.3161774421</v>
      </c>
      <c r="I477" s="1">
        <f t="shared" si="1587"/>
        <v>0</v>
      </c>
      <c r="J477" s="1">
        <f>标准模型!$I$65/1*$B477/$B$3</f>
        <v>3.3552</v>
      </c>
      <c r="K477" s="1">
        <f>J477*标准模型!$J$63</f>
        <v>3.3552</v>
      </c>
      <c r="L477" s="1">
        <f t="shared" si="1513"/>
        <v>130016.205337659</v>
      </c>
      <c r="M477" s="1">
        <f t="shared" si="1514"/>
        <v>76060.9899881408</v>
      </c>
      <c r="N477" s="1">
        <f t="shared" si="1515"/>
        <v>50707.3266587605</v>
      </c>
      <c r="O477" s="1">
        <f t="shared" ref="O477:W477" si="1588">O$5+(O$6-O$5)*(POWER(O$7,$B477-1)-1)/(POWER(O$7,$B$3-1)-1)</f>
        <v>0.965939784004062</v>
      </c>
      <c r="P477" s="1">
        <f t="shared" si="1588"/>
        <v>0.362263993626396</v>
      </c>
      <c r="Q477" s="1">
        <f t="shared" si="1588"/>
        <v>0.531266881202234</v>
      </c>
      <c r="R477" s="1">
        <f t="shared" si="1588"/>
        <v>1.18637591360162</v>
      </c>
      <c r="S477" s="1">
        <f t="shared" si="1588"/>
        <v>0.65572171920528</v>
      </c>
      <c r="T477" s="1">
        <f t="shared" si="1588"/>
        <v>3.81716515761584</v>
      </c>
      <c r="U477" s="1">
        <f t="shared" si="1588"/>
        <v>1</v>
      </c>
      <c r="V477" s="1">
        <f t="shared" si="1588"/>
        <v>1.50815313195657</v>
      </c>
      <c r="W477" s="1">
        <f t="shared" si="1588"/>
        <v>2.491007308813</v>
      </c>
      <c r="X477" s="1">
        <f t="shared" si="1517"/>
        <v>11.1761355166623</v>
      </c>
      <c r="Y477" s="1">
        <f t="shared" si="1518"/>
        <v>23.5972676382771</v>
      </c>
      <c r="Z477" s="1">
        <f t="shared" si="1519"/>
        <v>3068027.19466593</v>
      </c>
      <c r="AA477" s="1">
        <f t="shared" si="1520"/>
        <v>76060.9899881408</v>
      </c>
      <c r="AB477" s="1">
        <f t="shared" si="1521"/>
        <v>50707.3266587605</v>
      </c>
      <c r="AC477" s="1">
        <f>AB477/(AB477+战斗公式!$M$27)</f>
        <v>0.678746368349862</v>
      </c>
      <c r="AD477" s="1">
        <f t="shared" si="1522"/>
        <v>9550171.2429112</v>
      </c>
      <c r="AE477" s="1">
        <f t="shared" si="1523"/>
        <v>11.234597715618</v>
      </c>
      <c r="AF477" s="1">
        <f t="shared" si="1524"/>
        <v>5.32092903592204</v>
      </c>
      <c r="AG477" s="1">
        <f t="shared" si="1525"/>
        <v>4.97208780264777</v>
      </c>
      <c r="AH477" s="1">
        <f t="shared" si="1526"/>
        <v>2.09184037181904</v>
      </c>
      <c r="AI477" s="1">
        <f t="shared" si="1527"/>
        <v>1.00000000004156</v>
      </c>
      <c r="AJ477" s="1">
        <f t="shared" si="1528"/>
        <v>1.0000330727037</v>
      </c>
      <c r="AK477" s="1">
        <f t="shared" si="1529"/>
        <v>1</v>
      </c>
      <c r="AL477" s="10">
        <f t="shared" si="1530"/>
        <v>2866887</v>
      </c>
      <c r="AM477" s="10">
        <f t="shared" si="1531"/>
        <v>159107</v>
      </c>
      <c r="AN477" s="10">
        <f t="shared" si="1532"/>
        <v>50707</v>
      </c>
      <c r="AO477" s="1">
        <f t="shared" si="1533"/>
        <v>1357859</v>
      </c>
      <c r="AP477" s="1">
        <f t="shared" si="1534"/>
        <v>159107</v>
      </c>
      <c r="AR477" s="1">
        <f t="shared" ref="AR477:AX477" si="1589">ROUNDUP(AR$10*$AO477,0)</f>
        <v>1357859</v>
      </c>
      <c r="AS477" s="1">
        <f t="shared" si="1589"/>
        <v>4073577</v>
      </c>
      <c r="AT477" s="1">
        <f t="shared" si="1589"/>
        <v>2444147</v>
      </c>
      <c r="AU477" s="1">
        <f t="shared" si="1589"/>
        <v>678930</v>
      </c>
      <c r="AV477" s="1">
        <f t="shared" si="1589"/>
        <v>203679</v>
      </c>
      <c r="AW477" s="1">
        <f t="shared" si="1589"/>
        <v>5431436</v>
      </c>
      <c r="AX477" s="1">
        <f t="shared" si="1589"/>
        <v>12220731</v>
      </c>
      <c r="AY477" s="1">
        <f t="shared" si="1536"/>
        <v>172013220</v>
      </c>
      <c r="AZ477" s="1">
        <f t="shared" si="1537"/>
        <v>86006610</v>
      </c>
      <c r="BB477" s="1">
        <f t="shared" si="1538"/>
        <v>466</v>
      </c>
    </row>
    <row r="478" spans="2:54">
      <c r="B478" s="4">
        <v>467</v>
      </c>
      <c r="C478" s="1">
        <f t="shared" ref="C478:I478" si="1590">C$5+(C$6-C$5)*(POWER(C$7,$B478-1)-1)/(POWER(C$7,$B$3-1)-1)</f>
        <v>36893.607387464</v>
      </c>
      <c r="D478" s="1">
        <f t="shared" si="1590"/>
        <v>11068.0822162392</v>
      </c>
      <c r="E478" s="1">
        <f t="shared" si="1590"/>
        <v>7378.72147749279</v>
      </c>
      <c r="F478" s="1">
        <f t="shared" si="1590"/>
        <v>93401.5376897822</v>
      </c>
      <c r="G478" s="1">
        <f t="shared" si="1590"/>
        <v>28020.4613069346</v>
      </c>
      <c r="H478" s="1">
        <f t="shared" si="1590"/>
        <v>18680.3075379564</v>
      </c>
      <c r="I478" s="1">
        <f t="shared" si="1590"/>
        <v>0</v>
      </c>
      <c r="J478" s="1">
        <f>标准模型!$I$65/1*$B478/$B$3</f>
        <v>3.3624</v>
      </c>
      <c r="K478" s="1">
        <f>J478*标准模型!$J$63</f>
        <v>3.3624</v>
      </c>
      <c r="L478" s="1">
        <f t="shared" si="1513"/>
        <v>130295.145077246</v>
      </c>
      <c r="M478" s="1">
        <f t="shared" si="1514"/>
        <v>76303.8631670565</v>
      </c>
      <c r="N478" s="1">
        <f t="shared" si="1515"/>
        <v>50869.242111371</v>
      </c>
      <c r="O478" s="1">
        <f t="shared" ref="O478:W478" si="1591">O$5+(O$6-O$5)*(POWER(O$7,$B478-1)-1)/(POWER(O$7,$B$3-1)-1)</f>
        <v>0.966941571592095</v>
      </c>
      <c r="P478" s="1">
        <f t="shared" si="1591"/>
        <v>0.363346646742365</v>
      </c>
      <c r="Q478" s="1">
        <f t="shared" si="1591"/>
        <v>0.531817864375652</v>
      </c>
      <c r="R478" s="1">
        <f t="shared" si="1591"/>
        <v>1.18677662863684</v>
      </c>
      <c r="S478" s="1">
        <f t="shared" si="1591"/>
        <v>0.657024043069723</v>
      </c>
      <c r="T478" s="1">
        <f t="shared" si="1591"/>
        <v>3.82107212920917</v>
      </c>
      <c r="U478" s="1">
        <f t="shared" si="1591"/>
        <v>1</v>
      </c>
      <c r="V478" s="1">
        <f t="shared" si="1591"/>
        <v>1.50924567978762</v>
      </c>
      <c r="W478" s="1">
        <f t="shared" si="1591"/>
        <v>2.4942130290947</v>
      </c>
      <c r="X478" s="1">
        <f t="shared" si="1517"/>
        <v>11.2364211764168</v>
      </c>
      <c r="Y478" s="1">
        <f t="shared" si="1518"/>
        <v>23.7381366143021</v>
      </c>
      <c r="Z478" s="1">
        <f t="shared" si="1519"/>
        <v>3092963.95402398</v>
      </c>
      <c r="AA478" s="1">
        <f t="shared" si="1520"/>
        <v>76303.8631670565</v>
      </c>
      <c r="AB478" s="1">
        <f t="shared" si="1521"/>
        <v>50869.242111371</v>
      </c>
      <c r="AC478" s="1">
        <f>AB478/(AB478+战斗公式!$M$27)</f>
        <v>0.679441125311526</v>
      </c>
      <c r="AD478" s="1">
        <f t="shared" si="1522"/>
        <v>9648661.1298152</v>
      </c>
      <c r="AE478" s="1">
        <f t="shared" si="1523"/>
        <v>11.2536270406011</v>
      </c>
      <c r="AF478" s="1">
        <f t="shared" si="1524"/>
        <v>5.32689213332442</v>
      </c>
      <c r="AG478" s="1">
        <f t="shared" si="1525"/>
        <v>4.97301479835897</v>
      </c>
      <c r="AH478" s="1">
        <f t="shared" si="1526"/>
        <v>2.09776303110464</v>
      </c>
      <c r="AI478" s="1">
        <f t="shared" si="1527"/>
        <v>1.00000000003905</v>
      </c>
      <c r="AJ478" s="1">
        <f t="shared" si="1528"/>
        <v>1.00003174144224</v>
      </c>
      <c r="AK478" s="1">
        <f t="shared" si="1529"/>
        <v>1</v>
      </c>
      <c r="AL478" s="10">
        <f t="shared" si="1530"/>
        <v>2887491</v>
      </c>
      <c r="AM478" s="10">
        <f t="shared" si="1531"/>
        <v>160067</v>
      </c>
      <c r="AN478" s="10">
        <f t="shared" si="1532"/>
        <v>50869</v>
      </c>
      <c r="AO478" s="1">
        <f t="shared" si="1533"/>
        <v>1366834</v>
      </c>
      <c r="AP478" s="1">
        <f t="shared" si="1534"/>
        <v>160067</v>
      </c>
      <c r="AR478" s="1">
        <f t="shared" ref="AR478:AX478" si="1592">ROUNDUP(AR$10*$AO478,0)</f>
        <v>1366834</v>
      </c>
      <c r="AS478" s="1">
        <f t="shared" si="1592"/>
        <v>4100502</v>
      </c>
      <c r="AT478" s="1">
        <f t="shared" si="1592"/>
        <v>2460302</v>
      </c>
      <c r="AU478" s="1">
        <f t="shared" si="1592"/>
        <v>683417</v>
      </c>
      <c r="AV478" s="1">
        <f t="shared" si="1592"/>
        <v>205026</v>
      </c>
      <c r="AW478" s="1">
        <f t="shared" si="1592"/>
        <v>5467336</v>
      </c>
      <c r="AX478" s="1">
        <f t="shared" si="1592"/>
        <v>12301506</v>
      </c>
      <c r="AY478" s="1">
        <f t="shared" si="1536"/>
        <v>173249460</v>
      </c>
      <c r="AZ478" s="1">
        <f t="shared" si="1537"/>
        <v>86624730</v>
      </c>
      <c r="BB478" s="1">
        <f t="shared" si="1538"/>
        <v>467</v>
      </c>
    </row>
    <row r="479" spans="2:54">
      <c r="B479" s="4">
        <v>468</v>
      </c>
      <c r="C479" s="1">
        <f t="shared" ref="C479:I479" si="1593">C$5+(C$6-C$5)*(POWER(C$7,$B479-1)-1)/(POWER(C$7,$B$3-1)-1)</f>
        <v>36972.5902454969</v>
      </c>
      <c r="D479" s="1">
        <f t="shared" si="1593"/>
        <v>11091.7770736491</v>
      </c>
      <c r="E479" s="1">
        <f t="shared" si="1593"/>
        <v>7394.51804909937</v>
      </c>
      <c r="F479" s="1">
        <f t="shared" si="1593"/>
        <v>93601.4942923971</v>
      </c>
      <c r="G479" s="1">
        <f t="shared" si="1593"/>
        <v>28080.4482877191</v>
      </c>
      <c r="H479" s="1">
        <f t="shared" si="1593"/>
        <v>18720.2988584794</v>
      </c>
      <c r="I479" s="1">
        <f t="shared" si="1593"/>
        <v>0</v>
      </c>
      <c r="J479" s="1">
        <f>标准模型!$I$65/1*$B479/$B$3</f>
        <v>3.3696</v>
      </c>
      <c r="K479" s="1">
        <f>J479*标准模型!$J$63</f>
        <v>3.3696</v>
      </c>
      <c r="L479" s="1">
        <f t="shared" si="1513"/>
        <v>130574.084537894</v>
      </c>
      <c r="M479" s="1">
        <f t="shared" si="1514"/>
        <v>76547.0773887361</v>
      </c>
      <c r="N479" s="1">
        <f t="shared" si="1515"/>
        <v>51031.384925824</v>
      </c>
      <c r="O479" s="1">
        <f t="shared" ref="O479:W479" si="1594">O$5+(O$6-O$5)*(POWER(O$7,$B479-1)-1)/(POWER(O$7,$B$3-1)-1)</f>
        <v>0.967943358178342</v>
      </c>
      <c r="P479" s="1">
        <f t="shared" si="1594"/>
        <v>0.364430923838008</v>
      </c>
      <c r="Q479" s="1">
        <f t="shared" si="1594"/>
        <v>0.532368846998088</v>
      </c>
      <c r="R479" s="1">
        <f t="shared" si="1594"/>
        <v>1.18717734327134</v>
      </c>
      <c r="S479" s="1">
        <f t="shared" si="1594"/>
        <v>0.658326365631845</v>
      </c>
      <c r="T479" s="1">
        <f t="shared" si="1594"/>
        <v>3.82497909689553</v>
      </c>
      <c r="U479" s="1">
        <f t="shared" si="1594"/>
        <v>1</v>
      </c>
      <c r="V479" s="1">
        <f t="shared" si="1594"/>
        <v>1.51033822652612</v>
      </c>
      <c r="W479" s="1">
        <f t="shared" si="1594"/>
        <v>2.49741874617069</v>
      </c>
      <c r="X479" s="1">
        <f t="shared" si="1517"/>
        <v>11.2969843070288</v>
      </c>
      <c r="Y479" s="1">
        <f t="shared" si="1518"/>
        <v>23.8797356245386</v>
      </c>
      <c r="Z479" s="1">
        <f t="shared" si="1519"/>
        <v>3118074.61818106</v>
      </c>
      <c r="AA479" s="1">
        <f t="shared" si="1520"/>
        <v>76547.0773887361</v>
      </c>
      <c r="AB479" s="1">
        <f t="shared" si="1521"/>
        <v>51031.384925824</v>
      </c>
      <c r="AC479" s="1">
        <f>AB479/(AB479+战斗公式!$M$27)</f>
        <v>0.680133853003961</v>
      </c>
      <c r="AD479" s="1">
        <f t="shared" si="1522"/>
        <v>9748060.70434104</v>
      </c>
      <c r="AE479" s="1">
        <f t="shared" si="1523"/>
        <v>11.272677587237</v>
      </c>
      <c r="AF479" s="1">
        <f t="shared" si="1524"/>
        <v>5.33285894800072</v>
      </c>
      <c r="AG479" s="1">
        <f t="shared" si="1525"/>
        <v>4.97393484160233</v>
      </c>
      <c r="AH479" s="1">
        <f t="shared" si="1526"/>
        <v>2.10369753570882</v>
      </c>
      <c r="AI479" s="1">
        <f t="shared" si="1527"/>
        <v>1.00000000003665</v>
      </c>
      <c r="AJ479" s="1">
        <f t="shared" si="1528"/>
        <v>1.00003043680601</v>
      </c>
      <c r="AK479" s="1">
        <f t="shared" si="1529"/>
        <v>1</v>
      </c>
      <c r="AL479" s="10">
        <f t="shared" si="1530"/>
        <v>2908215</v>
      </c>
      <c r="AM479" s="10">
        <f t="shared" si="1531"/>
        <v>161032</v>
      </c>
      <c r="AN479" s="10">
        <f t="shared" si="1532"/>
        <v>51031</v>
      </c>
      <c r="AO479" s="1">
        <f t="shared" si="1533"/>
        <v>1375855</v>
      </c>
      <c r="AP479" s="1">
        <f t="shared" si="1534"/>
        <v>161032</v>
      </c>
      <c r="AR479" s="1">
        <f t="shared" ref="AR479:AX479" si="1595">ROUNDUP(AR$10*$AO479,0)</f>
        <v>1375855</v>
      </c>
      <c r="AS479" s="1">
        <f t="shared" si="1595"/>
        <v>4127565</v>
      </c>
      <c r="AT479" s="1">
        <f t="shared" si="1595"/>
        <v>2476539</v>
      </c>
      <c r="AU479" s="1">
        <f t="shared" si="1595"/>
        <v>687928</v>
      </c>
      <c r="AV479" s="1">
        <f t="shared" si="1595"/>
        <v>206379</v>
      </c>
      <c r="AW479" s="1">
        <f t="shared" si="1595"/>
        <v>5503420</v>
      </c>
      <c r="AX479" s="1">
        <f t="shared" si="1595"/>
        <v>12382695</v>
      </c>
      <c r="AY479" s="1">
        <f t="shared" si="1536"/>
        <v>174492900</v>
      </c>
      <c r="AZ479" s="1">
        <f t="shared" si="1537"/>
        <v>87246450</v>
      </c>
      <c r="BB479" s="1">
        <f t="shared" si="1538"/>
        <v>468</v>
      </c>
    </row>
    <row r="480" spans="2:54">
      <c r="B480" s="4">
        <v>469</v>
      </c>
      <c r="C480" s="1">
        <f t="shared" ref="C480:I480" si="1596">C$5+(C$6-C$5)*(POWER(C$7,$B480-1)-1)/(POWER(C$7,$B$3-1)-1)</f>
        <v>37051.5730245469</v>
      </c>
      <c r="D480" s="1">
        <f t="shared" si="1596"/>
        <v>11115.4719073641</v>
      </c>
      <c r="E480" s="1">
        <f t="shared" si="1596"/>
        <v>7410.31460490938</v>
      </c>
      <c r="F480" s="1">
        <f t="shared" si="1596"/>
        <v>93801.4506950555</v>
      </c>
      <c r="G480" s="1">
        <f t="shared" si="1596"/>
        <v>28140.4352085167</v>
      </c>
      <c r="H480" s="1">
        <f t="shared" si="1596"/>
        <v>18760.2901390111</v>
      </c>
      <c r="I480" s="1">
        <f t="shared" si="1596"/>
        <v>0</v>
      </c>
      <c r="J480" s="1">
        <f>标准模型!$I$65/1*$B480/$B$3</f>
        <v>3.3768</v>
      </c>
      <c r="K480" s="1">
        <f>J480*标准模型!$J$63</f>
        <v>3.3768</v>
      </c>
      <c r="L480" s="1">
        <f t="shared" si="1513"/>
        <v>130853.023719602</v>
      </c>
      <c r="M480" s="1">
        <f t="shared" si="1514"/>
        <v>76790.6326526677</v>
      </c>
      <c r="N480" s="1">
        <f t="shared" si="1515"/>
        <v>51193.7551017785</v>
      </c>
      <c r="O480" s="1">
        <f t="shared" ref="O480:W480" si="1597">O$5+(O$6-O$5)*(POWER(O$7,$B480-1)-1)/(POWER(O$7,$B$3-1)-1)</f>
        <v>0.968945143762803</v>
      </c>
      <c r="P480" s="1">
        <f t="shared" si="1597"/>
        <v>0.365516827349295</v>
      </c>
      <c r="Q480" s="1">
        <f t="shared" si="1597"/>
        <v>0.532919829069542</v>
      </c>
      <c r="R480" s="1">
        <f t="shared" si="1597"/>
        <v>1.18757805750512</v>
      </c>
      <c r="S480" s="1">
        <f t="shared" si="1597"/>
        <v>0.659628686891644</v>
      </c>
      <c r="T480" s="1">
        <f t="shared" si="1597"/>
        <v>3.82888606067493</v>
      </c>
      <c r="U480" s="1">
        <f t="shared" si="1597"/>
        <v>1</v>
      </c>
      <c r="V480" s="1">
        <f t="shared" si="1597"/>
        <v>1.51143077217208</v>
      </c>
      <c r="W480" s="1">
        <f t="shared" si="1597"/>
        <v>2.50062446004097</v>
      </c>
      <c r="X480" s="1">
        <f t="shared" si="1517"/>
        <v>11.3578259552179</v>
      </c>
      <c r="Y480" s="1">
        <f t="shared" si="1518"/>
        <v>24.0220678460959</v>
      </c>
      <c r="Z480" s="1">
        <f t="shared" si="1519"/>
        <v>3143360.21365908</v>
      </c>
      <c r="AA480" s="1">
        <f t="shared" si="1520"/>
        <v>76790.6326526677</v>
      </c>
      <c r="AB480" s="1">
        <f t="shared" si="1521"/>
        <v>51193.7551017785</v>
      </c>
      <c r="AC480" s="1">
        <f>AB480/(AB480+战斗公式!$M$27)</f>
        <v>0.680824558269303</v>
      </c>
      <c r="AD480" s="1">
        <f t="shared" si="1522"/>
        <v>9848377.4209398</v>
      </c>
      <c r="AE480" s="1">
        <f t="shared" si="1523"/>
        <v>11.2917493375941</v>
      </c>
      <c r="AF480" s="1">
        <f t="shared" si="1524"/>
        <v>5.33882946830428</v>
      </c>
      <c r="AG480" s="1">
        <f t="shared" si="1525"/>
        <v>4.97484798452136</v>
      </c>
      <c r="AH480" s="1">
        <f t="shared" si="1526"/>
        <v>2.10964390932221</v>
      </c>
      <c r="AI480" s="1">
        <f t="shared" si="1527"/>
        <v>1.00000000003438</v>
      </c>
      <c r="AJ480" s="1">
        <f t="shared" si="1528"/>
        <v>1.0000291582625</v>
      </c>
      <c r="AK480" s="1">
        <f t="shared" si="1529"/>
        <v>1</v>
      </c>
      <c r="AL480" s="10">
        <f t="shared" si="1530"/>
        <v>2929058</v>
      </c>
      <c r="AM480" s="10">
        <f t="shared" si="1531"/>
        <v>162001</v>
      </c>
      <c r="AN480" s="10">
        <f t="shared" si="1532"/>
        <v>51194</v>
      </c>
      <c r="AO480" s="1">
        <f t="shared" si="1533"/>
        <v>1384922</v>
      </c>
      <c r="AP480" s="1">
        <f t="shared" si="1534"/>
        <v>162001</v>
      </c>
      <c r="AR480" s="1">
        <f t="shared" ref="AR480:AX480" si="1598">ROUNDUP(AR$10*$AO480,0)</f>
        <v>1384922</v>
      </c>
      <c r="AS480" s="1">
        <f t="shared" si="1598"/>
        <v>4154766</v>
      </c>
      <c r="AT480" s="1">
        <f t="shared" si="1598"/>
        <v>2492860</v>
      </c>
      <c r="AU480" s="1">
        <f t="shared" si="1598"/>
        <v>692461</v>
      </c>
      <c r="AV480" s="1">
        <f t="shared" si="1598"/>
        <v>207739</v>
      </c>
      <c r="AW480" s="1">
        <f t="shared" si="1598"/>
        <v>5539688</v>
      </c>
      <c r="AX480" s="1">
        <f t="shared" si="1598"/>
        <v>12464298</v>
      </c>
      <c r="AY480" s="1">
        <f t="shared" si="1536"/>
        <v>175743480</v>
      </c>
      <c r="AZ480" s="1">
        <f t="shared" si="1537"/>
        <v>87871740</v>
      </c>
      <c r="BB480" s="1">
        <f t="shared" si="1538"/>
        <v>469</v>
      </c>
    </row>
    <row r="481" spans="2:54">
      <c r="B481" s="4">
        <v>470</v>
      </c>
      <c r="C481" s="1">
        <f t="shared" ref="C481:I481" si="1599">C$5+(C$6-C$5)*(POWER(C$7,$B481-1)-1)/(POWER(C$7,$B$3-1)-1)</f>
        <v>37130.5557246142</v>
      </c>
      <c r="D481" s="1">
        <f t="shared" si="1599"/>
        <v>11139.1667173842</v>
      </c>
      <c r="E481" s="1">
        <f t="shared" si="1599"/>
        <v>7426.11114492283</v>
      </c>
      <c r="F481" s="1">
        <f t="shared" si="1599"/>
        <v>94001.4068977574</v>
      </c>
      <c r="G481" s="1">
        <f t="shared" si="1599"/>
        <v>28200.4220693272</v>
      </c>
      <c r="H481" s="1">
        <f t="shared" si="1599"/>
        <v>18800.2813795515</v>
      </c>
      <c r="I481" s="1">
        <f t="shared" si="1599"/>
        <v>0</v>
      </c>
      <c r="J481" s="1">
        <f>标准模型!$I$65/1*$B481/$B$3</f>
        <v>3.384</v>
      </c>
      <c r="K481" s="1">
        <f>J481*标准模型!$J$63</f>
        <v>3.384</v>
      </c>
      <c r="L481" s="1">
        <f t="shared" si="1513"/>
        <v>131131.962622372</v>
      </c>
      <c r="M481" s="1">
        <f t="shared" si="1514"/>
        <v>77034.5289583398</v>
      </c>
      <c r="N481" s="1">
        <f t="shared" si="1515"/>
        <v>51356.3526388932</v>
      </c>
      <c r="O481" s="1">
        <f t="shared" ref="O481:W481" si="1600">O$5+(O$6-O$5)*(POWER(O$7,$B481-1)-1)/(POWER(O$7,$B$3-1)-1)</f>
        <v>0.969946928345478</v>
      </c>
      <c r="P481" s="1">
        <f t="shared" si="1600"/>
        <v>0.366604359715849</v>
      </c>
      <c r="Q481" s="1">
        <f t="shared" si="1600"/>
        <v>0.533470810590013</v>
      </c>
      <c r="R481" s="1">
        <f t="shared" si="1600"/>
        <v>1.18797877133819</v>
      </c>
      <c r="S481" s="1">
        <f t="shared" si="1600"/>
        <v>0.660931006849121</v>
      </c>
      <c r="T481" s="1">
        <f t="shared" si="1600"/>
        <v>3.83279302054736</v>
      </c>
      <c r="U481" s="1">
        <f t="shared" si="1600"/>
        <v>1</v>
      </c>
      <c r="V481" s="1">
        <f t="shared" si="1600"/>
        <v>1.5125233167255</v>
      </c>
      <c r="W481" s="1">
        <f t="shared" si="1600"/>
        <v>2.50383017070553</v>
      </c>
      <c r="X481" s="1">
        <f t="shared" si="1517"/>
        <v>11.4189471708328</v>
      </c>
      <c r="Y481" s="1">
        <f t="shared" si="1518"/>
        <v>24.1651364673183</v>
      </c>
      <c r="Z481" s="1">
        <f t="shared" si="1519"/>
        <v>3168821.77199689</v>
      </c>
      <c r="AA481" s="1">
        <f t="shared" si="1520"/>
        <v>77034.5289583398</v>
      </c>
      <c r="AB481" s="1">
        <f t="shared" si="1521"/>
        <v>51356.3526388932</v>
      </c>
      <c r="AC481" s="1">
        <f>AB481/(AB481+战斗公式!$M$27)</f>
        <v>0.681513247927381</v>
      </c>
      <c r="AD481" s="1">
        <f t="shared" si="1522"/>
        <v>9949618.78751666</v>
      </c>
      <c r="AE481" s="1">
        <f t="shared" si="1523"/>
        <v>11.3108422737825</v>
      </c>
      <c r="AF481" s="1">
        <f t="shared" si="1524"/>
        <v>5.34480368263689</v>
      </c>
      <c r="AG481" s="1">
        <f t="shared" si="1525"/>
        <v>4.97575427886851</v>
      </c>
      <c r="AH481" s="1">
        <f t="shared" si="1526"/>
        <v>2.11560217568283</v>
      </c>
      <c r="AI481" s="1">
        <f t="shared" si="1527"/>
        <v>1.00000000003222</v>
      </c>
      <c r="AJ481" s="1">
        <f t="shared" si="1528"/>
        <v>1.00002790528986</v>
      </c>
      <c r="AK481" s="1">
        <f t="shared" si="1529"/>
        <v>1</v>
      </c>
      <c r="AL481" s="10">
        <f t="shared" si="1530"/>
        <v>2950020</v>
      </c>
      <c r="AM481" s="10">
        <f t="shared" si="1531"/>
        <v>162974</v>
      </c>
      <c r="AN481" s="10">
        <f t="shared" si="1532"/>
        <v>51356</v>
      </c>
      <c r="AO481" s="1">
        <f t="shared" si="1533"/>
        <v>1394036</v>
      </c>
      <c r="AP481" s="1">
        <f t="shared" si="1534"/>
        <v>162974</v>
      </c>
      <c r="AR481" s="1">
        <f t="shared" ref="AR481:AX481" si="1601">ROUNDUP(AR$10*$AO481,0)</f>
        <v>1394036</v>
      </c>
      <c r="AS481" s="1">
        <f t="shared" si="1601"/>
        <v>4182108</v>
      </c>
      <c r="AT481" s="1">
        <f t="shared" si="1601"/>
        <v>2509265</v>
      </c>
      <c r="AU481" s="1">
        <f t="shared" si="1601"/>
        <v>697018</v>
      </c>
      <c r="AV481" s="1">
        <f t="shared" si="1601"/>
        <v>209106</v>
      </c>
      <c r="AW481" s="1">
        <f t="shared" si="1601"/>
        <v>5576144</v>
      </c>
      <c r="AX481" s="1">
        <f t="shared" si="1601"/>
        <v>12546324</v>
      </c>
      <c r="AY481" s="1">
        <f t="shared" si="1536"/>
        <v>177001200</v>
      </c>
      <c r="AZ481" s="1">
        <f t="shared" si="1537"/>
        <v>88500600</v>
      </c>
      <c r="BB481" s="1">
        <f t="shared" si="1538"/>
        <v>470</v>
      </c>
    </row>
    <row r="482" spans="2:54">
      <c r="B482" s="4">
        <v>471</v>
      </c>
      <c r="C482" s="1">
        <f t="shared" ref="C482:I482" si="1602">C$5+(C$6-C$5)*(POWER(C$7,$B482-1)-1)/(POWER(C$7,$B$3-1)-1)</f>
        <v>37209.5383456986</v>
      </c>
      <c r="D482" s="1">
        <f t="shared" si="1602"/>
        <v>11162.8615037096</v>
      </c>
      <c r="E482" s="1">
        <f t="shared" si="1602"/>
        <v>7441.90766913971</v>
      </c>
      <c r="F482" s="1">
        <f t="shared" si="1602"/>
        <v>94201.3629005027</v>
      </c>
      <c r="G482" s="1">
        <f t="shared" si="1602"/>
        <v>28260.4088701508</v>
      </c>
      <c r="H482" s="1">
        <f t="shared" si="1602"/>
        <v>18840.2725801005</v>
      </c>
      <c r="I482" s="1">
        <f t="shared" si="1602"/>
        <v>0</v>
      </c>
      <c r="J482" s="1">
        <f>标准模型!$I$65/1*$B482/$B$3</f>
        <v>3.3912</v>
      </c>
      <c r="K482" s="1">
        <f>J482*标准模型!$J$63</f>
        <v>3.3912</v>
      </c>
      <c r="L482" s="1">
        <f t="shared" si="1513"/>
        <v>131410.901246201</v>
      </c>
      <c r="M482" s="1">
        <f t="shared" si="1514"/>
        <v>77278.7663052403</v>
      </c>
      <c r="N482" s="1">
        <f t="shared" si="1515"/>
        <v>51519.1775368268</v>
      </c>
      <c r="O482" s="1">
        <f t="shared" ref="O482:W482" si="1603">O$5+(O$6-O$5)*(POWER(O$7,$B482-1)-1)/(POWER(O$7,$B$3-1)-1)</f>
        <v>0.970948711926366</v>
      </c>
      <c r="P482" s="1">
        <f t="shared" si="1603"/>
        <v>0.367693523380952</v>
      </c>
      <c r="Q482" s="1">
        <f t="shared" si="1603"/>
        <v>0.534021791559501</v>
      </c>
      <c r="R482" s="1">
        <f t="shared" si="1603"/>
        <v>1.18837948477055</v>
      </c>
      <c r="S482" s="1">
        <f t="shared" si="1603"/>
        <v>0.662233325504276</v>
      </c>
      <c r="T482" s="1">
        <f t="shared" si="1603"/>
        <v>3.83669997651283</v>
      </c>
      <c r="U482" s="1">
        <f t="shared" si="1603"/>
        <v>1</v>
      </c>
      <c r="V482" s="1">
        <f t="shared" si="1603"/>
        <v>1.51361586018636</v>
      </c>
      <c r="W482" s="1">
        <f t="shared" si="1603"/>
        <v>2.50703587816437</v>
      </c>
      <c r="X482" s="1">
        <f t="shared" si="1517"/>
        <v>11.4803490068597</v>
      </c>
      <c r="Y482" s="1">
        <f t="shared" si="1518"/>
        <v>24.308944687818</v>
      </c>
      <c r="Z482" s="1">
        <f t="shared" si="1519"/>
        <v>3194460.32977021</v>
      </c>
      <c r="AA482" s="1">
        <f t="shared" si="1520"/>
        <v>77278.7663052403</v>
      </c>
      <c r="AB482" s="1">
        <f t="shared" si="1521"/>
        <v>51519.1775368268</v>
      </c>
      <c r="AC482" s="1">
        <f>AB482/(AB482+战斗公式!$M$27)</f>
        <v>0.682199928775755</v>
      </c>
      <c r="AD482" s="1">
        <f t="shared" si="1522"/>
        <v>10051792.3657611</v>
      </c>
      <c r="AE482" s="1">
        <f t="shared" si="1523"/>
        <v>11.3299563779543</v>
      </c>
      <c r="AF482" s="1">
        <f t="shared" si="1524"/>
        <v>5.35078157944864</v>
      </c>
      <c r="AG482" s="1">
        <f t="shared" si="1525"/>
        <v>4.97665377600804</v>
      </c>
      <c r="AH482" s="1">
        <f t="shared" si="1526"/>
        <v>2.12157235857616</v>
      </c>
      <c r="AI482" s="1">
        <f t="shared" si="1527"/>
        <v>1.00000000003017</v>
      </c>
      <c r="AJ482" s="1">
        <f t="shared" si="1528"/>
        <v>1.00002667737668</v>
      </c>
      <c r="AK482" s="1">
        <f t="shared" si="1529"/>
        <v>1</v>
      </c>
      <c r="AL482" s="10">
        <f t="shared" si="1530"/>
        <v>2971103</v>
      </c>
      <c r="AM482" s="10">
        <f t="shared" si="1531"/>
        <v>163952</v>
      </c>
      <c r="AN482" s="10">
        <f t="shared" si="1532"/>
        <v>51519</v>
      </c>
      <c r="AO482" s="1">
        <f t="shared" si="1533"/>
        <v>1403196</v>
      </c>
      <c r="AP482" s="1">
        <f t="shared" si="1534"/>
        <v>163952</v>
      </c>
      <c r="AR482" s="1">
        <f t="shared" ref="AR482:AX482" si="1604">ROUNDUP(AR$10*$AO482,0)</f>
        <v>1403196</v>
      </c>
      <c r="AS482" s="1">
        <f t="shared" si="1604"/>
        <v>4209588</v>
      </c>
      <c r="AT482" s="1">
        <f t="shared" si="1604"/>
        <v>2525753</v>
      </c>
      <c r="AU482" s="1">
        <f t="shared" si="1604"/>
        <v>701598</v>
      </c>
      <c r="AV482" s="1">
        <f t="shared" si="1604"/>
        <v>210480</v>
      </c>
      <c r="AW482" s="1">
        <f t="shared" si="1604"/>
        <v>5612784</v>
      </c>
      <c r="AX482" s="1">
        <f t="shared" si="1604"/>
        <v>12628764</v>
      </c>
      <c r="AY482" s="1">
        <f t="shared" si="1536"/>
        <v>178266180</v>
      </c>
      <c r="AZ482" s="1">
        <f t="shared" si="1537"/>
        <v>89133090</v>
      </c>
      <c r="BB482" s="1">
        <f t="shared" si="1538"/>
        <v>471</v>
      </c>
    </row>
    <row r="483" spans="2:54">
      <c r="B483" s="4">
        <v>472</v>
      </c>
      <c r="C483" s="1">
        <f t="shared" ref="C483:I483" si="1605">C$5+(C$6-C$5)*(POWER(C$7,$B483-1)-1)/(POWER(C$7,$B$3-1)-1)</f>
        <v>37288.5208878001</v>
      </c>
      <c r="D483" s="1">
        <f t="shared" si="1605"/>
        <v>11186.55626634</v>
      </c>
      <c r="E483" s="1">
        <f t="shared" si="1605"/>
        <v>7457.70417756003</v>
      </c>
      <c r="F483" s="1">
        <f t="shared" si="1605"/>
        <v>94401.3187032915</v>
      </c>
      <c r="G483" s="1">
        <f t="shared" si="1605"/>
        <v>28320.3956109874</v>
      </c>
      <c r="H483" s="1">
        <f t="shared" si="1605"/>
        <v>18880.2637406583</v>
      </c>
      <c r="I483" s="1">
        <f t="shared" si="1605"/>
        <v>0</v>
      </c>
      <c r="J483" s="1">
        <f>标准模型!$I$65/1*$B483/$B$3</f>
        <v>3.3984</v>
      </c>
      <c r="K483" s="1">
        <f>J483*标准模型!$J$63</f>
        <v>3.3984</v>
      </c>
      <c r="L483" s="1">
        <f t="shared" si="1513"/>
        <v>131689.839591092</v>
      </c>
      <c r="M483" s="1">
        <f t="shared" si="1514"/>
        <v>77523.3446928575</v>
      </c>
      <c r="N483" s="1">
        <f t="shared" si="1515"/>
        <v>51682.2297952383</v>
      </c>
      <c r="O483" s="1">
        <f t="shared" ref="O483:W483" si="1606">O$5+(O$6-O$5)*(POWER(O$7,$B483-1)-1)/(POWER(O$7,$B$3-1)-1)</f>
        <v>0.971950494505468</v>
      </c>
      <c r="P483" s="1">
        <f t="shared" si="1606"/>
        <v>0.368784320791553</v>
      </c>
      <c r="Q483" s="1">
        <f t="shared" si="1606"/>
        <v>0.534572771978008</v>
      </c>
      <c r="R483" s="1">
        <f t="shared" si="1606"/>
        <v>1.18878019780219</v>
      </c>
      <c r="S483" s="1">
        <f t="shared" si="1606"/>
        <v>0.663535642857109</v>
      </c>
      <c r="T483" s="1">
        <f t="shared" si="1606"/>
        <v>3.84060692857133</v>
      </c>
      <c r="U483" s="1">
        <f t="shared" si="1606"/>
        <v>1</v>
      </c>
      <c r="V483" s="1">
        <f t="shared" si="1606"/>
        <v>1.51470840255468</v>
      </c>
      <c r="W483" s="1">
        <f t="shared" si="1606"/>
        <v>2.5102415824175</v>
      </c>
      <c r="X483" s="1">
        <f t="shared" si="1517"/>
        <v>11.5420325194298</v>
      </c>
      <c r="Y483" s="1">
        <f t="shared" si="1518"/>
        <v>24.4534957185072</v>
      </c>
      <c r="Z483" s="1">
        <f t="shared" si="1519"/>
        <v>3220276.92861166</v>
      </c>
      <c r="AA483" s="1">
        <f t="shared" si="1520"/>
        <v>77523.3446928575</v>
      </c>
      <c r="AB483" s="1">
        <f t="shared" si="1521"/>
        <v>51682.2297952383</v>
      </c>
      <c r="AC483" s="1">
        <f>AB483/(AB483+战斗公式!$M$27)</f>
        <v>0.682884607589746</v>
      </c>
      <c r="AD483" s="1">
        <f t="shared" si="1522"/>
        <v>10154905.7714788</v>
      </c>
      <c r="AE483" s="1">
        <f t="shared" si="1523"/>
        <v>11.3490916323031</v>
      </c>
      <c r="AF483" s="1">
        <f t="shared" si="1524"/>
        <v>5.35676314723757</v>
      </c>
      <c r="AG483" s="1">
        <f t="shared" si="1525"/>
        <v>4.97754652691904</v>
      </c>
      <c r="AH483" s="1">
        <f t="shared" si="1526"/>
        <v>2.12755448183528</v>
      </c>
      <c r="AI483" s="1">
        <f t="shared" si="1527"/>
        <v>1.00000000002822</v>
      </c>
      <c r="AJ483" s="1">
        <f t="shared" si="1528"/>
        <v>1.00002547402176</v>
      </c>
      <c r="AK483" s="1">
        <f t="shared" si="1529"/>
        <v>1</v>
      </c>
      <c r="AL483" s="10">
        <f t="shared" si="1530"/>
        <v>2992307</v>
      </c>
      <c r="AM483" s="10">
        <f t="shared" si="1531"/>
        <v>164935</v>
      </c>
      <c r="AN483" s="10">
        <f t="shared" si="1532"/>
        <v>51682</v>
      </c>
      <c r="AO483" s="1">
        <f t="shared" si="1533"/>
        <v>1412403</v>
      </c>
      <c r="AP483" s="1">
        <f t="shared" si="1534"/>
        <v>164935</v>
      </c>
      <c r="AR483" s="1">
        <f t="shared" ref="AR483:AX483" si="1607">ROUNDUP(AR$10*$AO483,0)</f>
        <v>1412403</v>
      </c>
      <c r="AS483" s="1">
        <f t="shared" si="1607"/>
        <v>4237209</v>
      </c>
      <c r="AT483" s="1">
        <f t="shared" si="1607"/>
        <v>2542326</v>
      </c>
      <c r="AU483" s="1">
        <f t="shared" si="1607"/>
        <v>706202</v>
      </c>
      <c r="AV483" s="1">
        <f t="shared" si="1607"/>
        <v>211861</v>
      </c>
      <c r="AW483" s="1">
        <f t="shared" si="1607"/>
        <v>5649612</v>
      </c>
      <c r="AX483" s="1">
        <f t="shared" si="1607"/>
        <v>12711627</v>
      </c>
      <c r="AY483" s="1">
        <f t="shared" si="1536"/>
        <v>179538420</v>
      </c>
      <c r="AZ483" s="1">
        <f t="shared" si="1537"/>
        <v>89769210</v>
      </c>
      <c r="BB483" s="1">
        <f t="shared" si="1538"/>
        <v>472</v>
      </c>
    </row>
    <row r="484" spans="2:54">
      <c r="B484" s="4">
        <v>473</v>
      </c>
      <c r="C484" s="1">
        <f t="shared" ref="C484:I484" si="1608">C$5+(C$6-C$5)*(POWER(C$7,$B484-1)-1)/(POWER(C$7,$B$3-1)-1)</f>
        <v>37367.5033509189</v>
      </c>
      <c r="D484" s="1">
        <f t="shared" si="1608"/>
        <v>11210.2510052757</v>
      </c>
      <c r="E484" s="1">
        <f t="shared" si="1608"/>
        <v>7473.50067018377</v>
      </c>
      <c r="F484" s="1">
        <f t="shared" si="1608"/>
        <v>94601.2743061237</v>
      </c>
      <c r="G484" s="1">
        <f t="shared" si="1608"/>
        <v>28380.3822918371</v>
      </c>
      <c r="H484" s="1">
        <f t="shared" si="1608"/>
        <v>18920.2548612247</v>
      </c>
      <c r="I484" s="1">
        <f t="shared" si="1608"/>
        <v>0</v>
      </c>
      <c r="J484" s="1">
        <f>标准模型!$I$65/1*$B484/$B$3</f>
        <v>3.4056</v>
      </c>
      <c r="K484" s="1">
        <f>J484*标准模型!$J$63</f>
        <v>3.4056</v>
      </c>
      <c r="L484" s="1">
        <f t="shared" si="1513"/>
        <v>131968.777657043</v>
      </c>
      <c r="M484" s="1">
        <f t="shared" si="1514"/>
        <v>77768.2641206796</v>
      </c>
      <c r="N484" s="1">
        <f t="shared" si="1515"/>
        <v>51845.5094137864</v>
      </c>
      <c r="O484" s="1">
        <f t="shared" ref="O484:W484" si="1609">O$5+(O$6-O$5)*(POWER(O$7,$B484-1)-1)/(POWER(O$7,$B$3-1)-1)</f>
        <v>0.972952276082784</v>
      </c>
      <c r="P484" s="1">
        <f t="shared" si="1609"/>
        <v>0.36987675439827</v>
      </c>
      <c r="Q484" s="1">
        <f t="shared" si="1609"/>
        <v>0.535123751845531</v>
      </c>
      <c r="R484" s="1">
        <f t="shared" si="1609"/>
        <v>1.18918091043311</v>
      </c>
      <c r="S484" s="1">
        <f t="shared" si="1609"/>
        <v>0.664837958907619</v>
      </c>
      <c r="T484" s="1">
        <f t="shared" si="1609"/>
        <v>3.84451387672286</v>
      </c>
      <c r="U484" s="1">
        <f t="shared" si="1609"/>
        <v>1</v>
      </c>
      <c r="V484" s="1">
        <f t="shared" si="1609"/>
        <v>1.51580094383046</v>
      </c>
      <c r="W484" s="1">
        <f t="shared" si="1609"/>
        <v>2.51344728346491</v>
      </c>
      <c r="X484" s="1">
        <f t="shared" si="1517"/>
        <v>11.6039987678271</v>
      </c>
      <c r="Y484" s="1">
        <f t="shared" si="1518"/>
        <v>24.5987927816305</v>
      </c>
      <c r="Z484" s="1">
        <f t="shared" si="1519"/>
        <v>3246272.61523066</v>
      </c>
      <c r="AA484" s="1">
        <f t="shared" si="1520"/>
        <v>77768.2641206796</v>
      </c>
      <c r="AB484" s="1">
        <f t="shared" si="1521"/>
        <v>51845.5094137864</v>
      </c>
      <c r="AC484" s="1">
        <f>AB484/(AB484+战斗公式!$M$27)</f>
        <v>0.683567291122478</v>
      </c>
      <c r="AD484" s="1">
        <f t="shared" si="1522"/>
        <v>10258966.6749248</v>
      </c>
      <c r="AE484" s="1">
        <f t="shared" si="1523"/>
        <v>11.3682480190638</v>
      </c>
      <c r="AF484" s="1">
        <f t="shared" si="1524"/>
        <v>5.36274837454952</v>
      </c>
      <c r="AG484" s="1">
        <f t="shared" si="1525"/>
        <v>4.9784325821982</v>
      </c>
      <c r="AH484" s="1">
        <f t="shared" si="1526"/>
        <v>2.13354856934092</v>
      </c>
      <c r="AI484" s="1">
        <f t="shared" si="1527"/>
        <v>1.00000000002637</v>
      </c>
      <c r="AJ484" s="1">
        <f t="shared" si="1528"/>
        <v>1.00002429473393</v>
      </c>
      <c r="AK484" s="1">
        <f t="shared" si="1529"/>
        <v>1</v>
      </c>
      <c r="AL484" s="10">
        <f t="shared" si="1530"/>
        <v>3013632</v>
      </c>
      <c r="AM484" s="10">
        <f t="shared" si="1531"/>
        <v>165922</v>
      </c>
      <c r="AN484" s="10">
        <f t="shared" si="1532"/>
        <v>51846</v>
      </c>
      <c r="AO484" s="1">
        <f t="shared" si="1533"/>
        <v>1421656</v>
      </c>
      <c r="AP484" s="1">
        <f t="shared" si="1534"/>
        <v>165922</v>
      </c>
      <c r="AR484" s="1">
        <f t="shared" ref="AR484:AX484" si="1610">ROUNDUP(AR$10*$AO484,0)</f>
        <v>1421656</v>
      </c>
      <c r="AS484" s="1">
        <f t="shared" si="1610"/>
        <v>4264968</v>
      </c>
      <c r="AT484" s="1">
        <f t="shared" si="1610"/>
        <v>2558981</v>
      </c>
      <c r="AU484" s="1">
        <f t="shared" si="1610"/>
        <v>710828</v>
      </c>
      <c r="AV484" s="1">
        <f t="shared" si="1610"/>
        <v>213249</v>
      </c>
      <c r="AW484" s="1">
        <f t="shared" si="1610"/>
        <v>5686624</v>
      </c>
      <c r="AX484" s="1">
        <f t="shared" si="1610"/>
        <v>12794904</v>
      </c>
      <c r="AY484" s="1">
        <f t="shared" si="1536"/>
        <v>180817920</v>
      </c>
      <c r="AZ484" s="1">
        <f t="shared" si="1537"/>
        <v>90408960</v>
      </c>
      <c r="BB484" s="1">
        <f t="shared" si="1538"/>
        <v>473</v>
      </c>
    </row>
    <row r="485" spans="2:54">
      <c r="B485" s="4">
        <v>474</v>
      </c>
      <c r="C485" s="1">
        <f t="shared" ref="C485:I485" si="1611">C$5+(C$6-C$5)*(POWER(C$7,$B485-1)-1)/(POWER(C$7,$B$3-1)-1)</f>
        <v>37446.4857350548</v>
      </c>
      <c r="D485" s="1">
        <f t="shared" si="1611"/>
        <v>11233.9457205164</v>
      </c>
      <c r="E485" s="1">
        <f t="shared" si="1611"/>
        <v>7489.29714701096</v>
      </c>
      <c r="F485" s="1">
        <f t="shared" si="1611"/>
        <v>94801.2297089994</v>
      </c>
      <c r="G485" s="1">
        <f t="shared" si="1611"/>
        <v>28440.3689126998</v>
      </c>
      <c r="H485" s="1">
        <f t="shared" si="1611"/>
        <v>18960.2459417999</v>
      </c>
      <c r="I485" s="1">
        <f t="shared" si="1611"/>
        <v>0</v>
      </c>
      <c r="J485" s="1">
        <f>标准模型!$I$65/1*$B485/$B$3</f>
        <v>3.4128</v>
      </c>
      <c r="K485" s="1">
        <f>J485*标准模型!$J$63</f>
        <v>3.4128</v>
      </c>
      <c r="L485" s="1">
        <f t="shared" si="1513"/>
        <v>132247.715444054</v>
      </c>
      <c r="M485" s="1">
        <f t="shared" si="1514"/>
        <v>78013.5245881947</v>
      </c>
      <c r="N485" s="1">
        <f t="shared" si="1515"/>
        <v>52009.0163921298</v>
      </c>
      <c r="O485" s="1">
        <f t="shared" ref="O485:W485" si="1612">O$5+(O$6-O$5)*(POWER(O$7,$B485-1)-1)/(POWER(O$7,$B$3-1)-1)</f>
        <v>0.973954056658314</v>
      </c>
      <c r="P485" s="1">
        <f t="shared" si="1612"/>
        <v>0.370970826655397</v>
      </c>
      <c r="Q485" s="1">
        <f t="shared" si="1612"/>
        <v>0.535674731162073</v>
      </c>
      <c r="R485" s="1">
        <f t="shared" si="1612"/>
        <v>1.18958162266333</v>
      </c>
      <c r="S485" s="1">
        <f t="shared" si="1612"/>
        <v>0.666140273655808</v>
      </c>
      <c r="T485" s="1">
        <f t="shared" si="1612"/>
        <v>3.84842082096742</v>
      </c>
      <c r="U485" s="1">
        <f t="shared" si="1612"/>
        <v>1</v>
      </c>
      <c r="V485" s="1">
        <f t="shared" si="1612"/>
        <v>1.51689348401368</v>
      </c>
      <c r="W485" s="1">
        <f t="shared" si="1612"/>
        <v>2.5166529813066</v>
      </c>
      <c r="X485" s="1">
        <f t="shared" si="1517"/>
        <v>11.6662488144967</v>
      </c>
      <c r="Y485" s="1">
        <f t="shared" si="1518"/>
        <v>24.7448391107981</v>
      </c>
      <c r="Z485" s="1">
        <f t="shared" si="1519"/>
        <v>3272448.44143373</v>
      </c>
      <c r="AA485" s="1">
        <f t="shared" si="1520"/>
        <v>78013.5245881947</v>
      </c>
      <c r="AB485" s="1">
        <f t="shared" si="1521"/>
        <v>52009.0163921298</v>
      </c>
      <c r="AC485" s="1">
        <f>AB485/(AB485+战斗公式!$M$27)</f>
        <v>0.684247986104909</v>
      </c>
      <c r="AD485" s="1">
        <f t="shared" si="1522"/>
        <v>10363982.801139</v>
      </c>
      <c r="AE485" s="1">
        <f t="shared" si="1523"/>
        <v>11.3874255205127</v>
      </c>
      <c r="AF485" s="1">
        <f t="shared" si="1524"/>
        <v>5.36873724997782</v>
      </c>
      <c r="AG485" s="1">
        <f t="shared" si="1525"/>
        <v>4.97931199206276</v>
      </c>
      <c r="AH485" s="1">
        <f t="shared" si="1526"/>
        <v>2.13955464502158</v>
      </c>
      <c r="AI485" s="1">
        <f t="shared" si="1527"/>
        <v>1.00000000002461</v>
      </c>
      <c r="AJ485" s="1">
        <f t="shared" si="1528"/>
        <v>1.00002313903187</v>
      </c>
      <c r="AK485" s="1">
        <f t="shared" si="1529"/>
        <v>1</v>
      </c>
      <c r="AL485" s="10">
        <f t="shared" si="1530"/>
        <v>3035079</v>
      </c>
      <c r="AM485" s="10">
        <f t="shared" si="1531"/>
        <v>166914</v>
      </c>
      <c r="AN485" s="10">
        <f t="shared" si="1532"/>
        <v>52009</v>
      </c>
      <c r="AO485" s="1">
        <f t="shared" si="1533"/>
        <v>1430957</v>
      </c>
      <c r="AP485" s="1">
        <f t="shared" si="1534"/>
        <v>166914</v>
      </c>
      <c r="AR485" s="1">
        <f t="shared" ref="AR485:AX485" si="1613">ROUNDUP(AR$10*$AO485,0)</f>
        <v>1430957</v>
      </c>
      <c r="AS485" s="1">
        <f t="shared" si="1613"/>
        <v>4292871</v>
      </c>
      <c r="AT485" s="1">
        <f t="shared" si="1613"/>
        <v>2575723</v>
      </c>
      <c r="AU485" s="1">
        <f t="shared" si="1613"/>
        <v>715479</v>
      </c>
      <c r="AV485" s="1">
        <f t="shared" si="1613"/>
        <v>214644</v>
      </c>
      <c r="AW485" s="1">
        <f t="shared" si="1613"/>
        <v>5723828</v>
      </c>
      <c r="AX485" s="1">
        <f t="shared" si="1613"/>
        <v>12878613</v>
      </c>
      <c r="AY485" s="1">
        <f t="shared" si="1536"/>
        <v>182104740</v>
      </c>
      <c r="AZ485" s="1">
        <f t="shared" si="1537"/>
        <v>91052370</v>
      </c>
      <c r="BB485" s="1">
        <f t="shared" si="1538"/>
        <v>474</v>
      </c>
    </row>
    <row r="486" spans="2:54">
      <c r="B486" s="4">
        <v>475</v>
      </c>
      <c r="C486" s="1">
        <f t="shared" ref="C486:I486" si="1614">C$5+(C$6-C$5)*(POWER(C$7,$B486-1)-1)/(POWER(C$7,$B$3-1)-1)</f>
        <v>37525.4680402078</v>
      </c>
      <c r="D486" s="1">
        <f t="shared" si="1614"/>
        <v>11257.6404120624</v>
      </c>
      <c r="E486" s="1">
        <f t="shared" si="1614"/>
        <v>7505.09360804157</v>
      </c>
      <c r="F486" s="1">
        <f t="shared" si="1614"/>
        <v>95001.1849119186</v>
      </c>
      <c r="G486" s="1">
        <f t="shared" si="1614"/>
        <v>28500.3554735756</v>
      </c>
      <c r="H486" s="1">
        <f t="shared" si="1614"/>
        <v>19000.2369823837</v>
      </c>
      <c r="I486" s="1">
        <f t="shared" si="1614"/>
        <v>0</v>
      </c>
      <c r="J486" s="1">
        <f>标准模型!$I$65/1*$B486/$B$3</f>
        <v>3.42</v>
      </c>
      <c r="K486" s="1">
        <f>J486*标准模型!$J$63</f>
        <v>3.42</v>
      </c>
      <c r="L486" s="1">
        <f t="shared" si="1513"/>
        <v>132526.652952126</v>
      </c>
      <c r="M486" s="1">
        <f t="shared" si="1514"/>
        <v>78259.1260948912</v>
      </c>
      <c r="N486" s="1">
        <f t="shared" si="1515"/>
        <v>52172.7507299275</v>
      </c>
      <c r="O486" s="1">
        <f t="shared" ref="O486:W486" si="1615">O$5+(O$6-O$5)*(POWER(O$7,$B486-1)-1)/(POWER(O$7,$B$3-1)-1)</f>
        <v>0.974955836232057</v>
      </c>
      <c r="P486" s="1">
        <f t="shared" si="1615"/>
        <v>0.37206654002091</v>
      </c>
      <c r="Q486" s="1">
        <f t="shared" si="1615"/>
        <v>0.536225709927631</v>
      </c>
      <c r="R486" s="1">
        <f t="shared" si="1615"/>
        <v>1.18998233449282</v>
      </c>
      <c r="S486" s="1">
        <f t="shared" si="1615"/>
        <v>0.667442587101674</v>
      </c>
      <c r="T486" s="1">
        <f t="shared" si="1615"/>
        <v>3.85232776130502</v>
      </c>
      <c r="U486" s="1">
        <f t="shared" si="1615"/>
        <v>1</v>
      </c>
      <c r="V486" s="1">
        <f t="shared" si="1615"/>
        <v>1.51798602310436</v>
      </c>
      <c r="W486" s="1">
        <f t="shared" si="1615"/>
        <v>2.51985867594258</v>
      </c>
      <c r="X486" s="1">
        <f t="shared" si="1517"/>
        <v>11.7287837250521</v>
      </c>
      <c r="Y486" s="1">
        <f t="shared" si="1518"/>
        <v>24.8916379510177</v>
      </c>
      <c r="Z486" s="1">
        <f t="shared" si="1519"/>
        <v>3298805.4641445</v>
      </c>
      <c r="AA486" s="1">
        <f t="shared" si="1520"/>
        <v>78259.1260948912</v>
      </c>
      <c r="AB486" s="1">
        <f t="shared" si="1521"/>
        <v>52172.7507299275</v>
      </c>
      <c r="AC486" s="1">
        <f>AB486/(AB486+战斗公式!$M$27)</f>
        <v>0.684926699245867</v>
      </c>
      <c r="AD486" s="1">
        <f t="shared" si="1522"/>
        <v>10469961.9302834</v>
      </c>
      <c r="AE486" s="1">
        <f t="shared" si="1523"/>
        <v>11.4066241189665</v>
      </c>
      <c r="AF486" s="1">
        <f t="shared" si="1524"/>
        <v>5.37472976216301</v>
      </c>
      <c r="AG486" s="1">
        <f t="shared" si="1525"/>
        <v>4.98018480635334</v>
      </c>
      <c r="AH486" s="1">
        <f t="shared" si="1526"/>
        <v>2.14557273285359</v>
      </c>
      <c r="AI486" s="1">
        <f t="shared" si="1527"/>
        <v>1.00000000002294</v>
      </c>
      <c r="AJ486" s="1">
        <f t="shared" si="1528"/>
        <v>1.00002200644384</v>
      </c>
      <c r="AK486" s="1">
        <f t="shared" si="1529"/>
        <v>1</v>
      </c>
      <c r="AL486" s="10">
        <f t="shared" si="1530"/>
        <v>3056649</v>
      </c>
      <c r="AM486" s="10">
        <f t="shared" si="1531"/>
        <v>167911</v>
      </c>
      <c r="AN486" s="10">
        <f t="shared" si="1532"/>
        <v>52173</v>
      </c>
      <c r="AO486" s="1">
        <f t="shared" si="1533"/>
        <v>1440305</v>
      </c>
      <c r="AP486" s="1">
        <f t="shared" si="1534"/>
        <v>167911</v>
      </c>
      <c r="AR486" s="1">
        <f t="shared" ref="AR486:AX486" si="1616">ROUNDUP(AR$10*$AO486,0)</f>
        <v>1440305</v>
      </c>
      <c r="AS486" s="1">
        <f t="shared" si="1616"/>
        <v>4320915</v>
      </c>
      <c r="AT486" s="1">
        <f t="shared" si="1616"/>
        <v>2592549</v>
      </c>
      <c r="AU486" s="1">
        <f t="shared" si="1616"/>
        <v>720153</v>
      </c>
      <c r="AV486" s="1">
        <f t="shared" si="1616"/>
        <v>216046</v>
      </c>
      <c r="AW486" s="1">
        <f t="shared" si="1616"/>
        <v>5761220</v>
      </c>
      <c r="AX486" s="1">
        <f t="shared" si="1616"/>
        <v>12962745</v>
      </c>
      <c r="AY486" s="1">
        <f t="shared" si="1536"/>
        <v>183398940</v>
      </c>
      <c r="AZ486" s="1">
        <f t="shared" si="1537"/>
        <v>91699470</v>
      </c>
      <c r="BB486" s="1">
        <f t="shared" si="1538"/>
        <v>475</v>
      </c>
    </row>
    <row r="487" spans="2:54">
      <c r="B487" s="4">
        <v>476</v>
      </c>
      <c r="C487" s="1">
        <f t="shared" ref="C487:I487" si="1617">C$5+(C$6-C$5)*(POWER(C$7,$B487-1)-1)/(POWER(C$7,$B$3-1)-1)</f>
        <v>37604.4502663781</v>
      </c>
      <c r="D487" s="1">
        <f t="shared" si="1617"/>
        <v>11281.3350799134</v>
      </c>
      <c r="E487" s="1">
        <f t="shared" si="1617"/>
        <v>7520.89005327562</v>
      </c>
      <c r="F487" s="1">
        <f t="shared" si="1617"/>
        <v>95201.1399148812</v>
      </c>
      <c r="G487" s="1">
        <f t="shared" si="1617"/>
        <v>28560.3419744644</v>
      </c>
      <c r="H487" s="1">
        <f t="shared" si="1617"/>
        <v>19040.2279829762</v>
      </c>
      <c r="I487" s="1">
        <f t="shared" si="1617"/>
        <v>0</v>
      </c>
      <c r="J487" s="1">
        <f>标准模型!$I$65/1*$B487/$B$3</f>
        <v>3.4272</v>
      </c>
      <c r="K487" s="1">
        <f>J487*标准模型!$J$63</f>
        <v>3.4272</v>
      </c>
      <c r="L487" s="1">
        <f t="shared" si="1513"/>
        <v>132805.590181259</v>
      </c>
      <c r="M487" s="1">
        <f t="shared" si="1514"/>
        <v>78505.0686402571</v>
      </c>
      <c r="N487" s="1">
        <f t="shared" si="1515"/>
        <v>52336.7124268381</v>
      </c>
      <c r="O487" s="1">
        <f t="shared" ref="O487:W487" si="1618">O$5+(O$6-O$5)*(POWER(O$7,$B487-1)-1)/(POWER(O$7,$B$3-1)-1)</f>
        <v>0.975957614804014</v>
      </c>
      <c r="P487" s="1">
        <f t="shared" si="1618"/>
        <v>0.373163896956471</v>
      </c>
      <c r="Q487" s="1">
        <f t="shared" si="1618"/>
        <v>0.536776688142208</v>
      </c>
      <c r="R487" s="1">
        <f t="shared" si="1618"/>
        <v>1.19038304592161</v>
      </c>
      <c r="S487" s="1">
        <f t="shared" si="1618"/>
        <v>0.668744899245218</v>
      </c>
      <c r="T487" s="1">
        <f t="shared" si="1618"/>
        <v>3.85623469773566</v>
      </c>
      <c r="U487" s="1">
        <f t="shared" si="1618"/>
        <v>1</v>
      </c>
      <c r="V487" s="1">
        <f t="shared" si="1618"/>
        <v>1.5190785611025</v>
      </c>
      <c r="W487" s="1">
        <f t="shared" si="1618"/>
        <v>2.52306436737285</v>
      </c>
      <c r="X487" s="1">
        <f t="shared" si="1517"/>
        <v>11.7916045682836</v>
      </c>
      <c r="Y487" s="1">
        <f t="shared" si="1518"/>
        <v>25.0391925587279</v>
      </c>
      <c r="Z487" s="1">
        <f t="shared" si="1519"/>
        <v>3325344.74542405</v>
      </c>
      <c r="AA487" s="1">
        <f t="shared" si="1520"/>
        <v>78505.0686402571</v>
      </c>
      <c r="AB487" s="1">
        <f t="shared" si="1521"/>
        <v>52336.7124268381</v>
      </c>
      <c r="AC487" s="1">
        <f>AB487/(AB487+战斗公式!$M$27)</f>
        <v>0.685603437232094</v>
      </c>
      <c r="AD487" s="1">
        <f t="shared" si="1522"/>
        <v>10576911.8979805</v>
      </c>
      <c r="AE487" s="1">
        <f t="shared" si="1523"/>
        <v>11.4258437967833</v>
      </c>
      <c r="AF487" s="1">
        <f t="shared" si="1524"/>
        <v>5.38072589979274</v>
      </c>
      <c r="AG487" s="1">
        <f t="shared" si="1525"/>
        <v>4.98105107453675</v>
      </c>
      <c r="AH487" s="1">
        <f t="shared" si="1526"/>
        <v>2.15160285686127</v>
      </c>
      <c r="AI487" s="1">
        <f t="shared" si="1527"/>
        <v>1.00000000002135</v>
      </c>
      <c r="AJ487" s="1">
        <f t="shared" si="1528"/>
        <v>1.00002089650757</v>
      </c>
      <c r="AK487" s="1">
        <f t="shared" si="1529"/>
        <v>1</v>
      </c>
      <c r="AL487" s="10">
        <f t="shared" si="1530"/>
        <v>3078342</v>
      </c>
      <c r="AM487" s="10">
        <f t="shared" si="1531"/>
        <v>168912</v>
      </c>
      <c r="AN487" s="10">
        <f t="shared" si="1532"/>
        <v>52337</v>
      </c>
      <c r="AO487" s="1">
        <f t="shared" si="1533"/>
        <v>1449701</v>
      </c>
      <c r="AP487" s="1">
        <f t="shared" si="1534"/>
        <v>168912</v>
      </c>
      <c r="AR487" s="1">
        <f t="shared" ref="AR487:AX487" si="1619">ROUNDUP(AR$10*$AO487,0)</f>
        <v>1449701</v>
      </c>
      <c r="AS487" s="1">
        <f t="shared" si="1619"/>
        <v>4349103</v>
      </c>
      <c r="AT487" s="1">
        <f t="shared" si="1619"/>
        <v>2609462</v>
      </c>
      <c r="AU487" s="1">
        <f t="shared" si="1619"/>
        <v>724851</v>
      </c>
      <c r="AV487" s="1">
        <f t="shared" si="1619"/>
        <v>217456</v>
      </c>
      <c r="AW487" s="1">
        <f t="shared" si="1619"/>
        <v>5798804</v>
      </c>
      <c r="AX487" s="1">
        <f t="shared" si="1619"/>
        <v>13047309</v>
      </c>
      <c r="AY487" s="1">
        <f t="shared" si="1536"/>
        <v>184700520</v>
      </c>
      <c r="AZ487" s="1">
        <f t="shared" si="1537"/>
        <v>92350260</v>
      </c>
      <c r="BB487" s="1">
        <f t="shared" si="1538"/>
        <v>476</v>
      </c>
    </row>
    <row r="488" spans="2:54">
      <c r="B488" s="4">
        <v>477</v>
      </c>
      <c r="C488" s="1">
        <f t="shared" ref="C488:I488" si="1620">C$5+(C$6-C$5)*(POWER(C$7,$B488-1)-1)/(POWER(C$7,$B$3-1)-1)</f>
        <v>37683.4324135655</v>
      </c>
      <c r="D488" s="1">
        <f t="shared" si="1620"/>
        <v>11305.0297240696</v>
      </c>
      <c r="E488" s="1">
        <f t="shared" si="1620"/>
        <v>7536.6864827131</v>
      </c>
      <c r="F488" s="1">
        <f t="shared" si="1620"/>
        <v>95401.0947178873</v>
      </c>
      <c r="G488" s="1">
        <f t="shared" si="1620"/>
        <v>28620.3284153662</v>
      </c>
      <c r="H488" s="1">
        <f t="shared" si="1620"/>
        <v>19080.2189435775</v>
      </c>
      <c r="I488" s="1">
        <f t="shared" si="1620"/>
        <v>0</v>
      </c>
      <c r="J488" s="1">
        <f>标准模型!$I$65/1*$B488/$B$3</f>
        <v>3.4344</v>
      </c>
      <c r="K488" s="1">
        <f>J488*标准模型!$J$63</f>
        <v>3.4344</v>
      </c>
      <c r="L488" s="1">
        <f t="shared" si="1513"/>
        <v>133084.527131453</v>
      </c>
      <c r="M488" s="1">
        <f t="shared" si="1514"/>
        <v>78751.3522237806</v>
      </c>
      <c r="N488" s="1">
        <f t="shared" si="1515"/>
        <v>52500.9014825204</v>
      </c>
      <c r="O488" s="1">
        <f t="shared" ref="O488:W488" si="1621">O$5+(O$6-O$5)*(POWER(O$7,$B488-1)-1)/(POWER(O$7,$B$3-1)-1)</f>
        <v>0.976959392374185</v>
      </c>
      <c r="P488" s="1">
        <f t="shared" si="1621"/>
        <v>0.374262899927435</v>
      </c>
      <c r="Q488" s="1">
        <f t="shared" si="1621"/>
        <v>0.537327665805802</v>
      </c>
      <c r="R488" s="1">
        <f t="shared" si="1621"/>
        <v>1.19078375694967</v>
      </c>
      <c r="S488" s="1">
        <f t="shared" si="1621"/>
        <v>0.67004721008644</v>
      </c>
      <c r="T488" s="1">
        <f t="shared" si="1621"/>
        <v>3.86014163025932</v>
      </c>
      <c r="U488" s="1">
        <f t="shared" si="1621"/>
        <v>1</v>
      </c>
      <c r="V488" s="1">
        <f t="shared" si="1621"/>
        <v>1.52017109800809</v>
      </c>
      <c r="W488" s="1">
        <f t="shared" si="1621"/>
        <v>2.52627005559739</v>
      </c>
      <c r="X488" s="1">
        <f t="shared" si="1517"/>
        <v>11.8547124161659</v>
      </c>
      <c r="Y488" s="1">
        <f t="shared" si="1518"/>
        <v>25.1875062018301</v>
      </c>
      <c r="Z488" s="1">
        <f t="shared" si="1519"/>
        <v>3352067.3524911</v>
      </c>
      <c r="AA488" s="1">
        <f t="shared" si="1520"/>
        <v>78751.3522237806</v>
      </c>
      <c r="AB488" s="1">
        <f t="shared" si="1521"/>
        <v>52500.9014825204</v>
      </c>
      <c r="AC488" s="1">
        <f>AB488/(AB488+战斗公式!$M$27)</f>
        <v>0.686278206728273</v>
      </c>
      <c r="AD488" s="1">
        <f t="shared" si="1522"/>
        <v>10684840.5956539</v>
      </c>
      <c r="AE488" s="1">
        <f t="shared" si="1523"/>
        <v>11.4450845363608</v>
      </c>
      <c r="AF488" s="1">
        <f t="shared" si="1524"/>
        <v>5.3867256516013</v>
      </c>
      <c r="AG488" s="1">
        <f t="shared" si="1525"/>
        <v>4.98191084570877</v>
      </c>
      <c r="AH488" s="1">
        <f t="shared" si="1526"/>
        <v>2.15764504111696</v>
      </c>
      <c r="AI488" s="1">
        <f t="shared" si="1527"/>
        <v>1.00000000001984</v>
      </c>
      <c r="AJ488" s="1">
        <f t="shared" si="1528"/>
        <v>1.00001980877003</v>
      </c>
      <c r="AK488" s="1">
        <f t="shared" si="1529"/>
        <v>1</v>
      </c>
      <c r="AL488" s="10">
        <f t="shared" si="1530"/>
        <v>3100158</v>
      </c>
      <c r="AM488" s="10">
        <f t="shared" si="1531"/>
        <v>169917</v>
      </c>
      <c r="AN488" s="10">
        <f t="shared" si="1532"/>
        <v>52501</v>
      </c>
      <c r="AO488" s="1">
        <f t="shared" si="1533"/>
        <v>1459144</v>
      </c>
      <c r="AP488" s="1">
        <f t="shared" si="1534"/>
        <v>169917</v>
      </c>
      <c r="AR488" s="1">
        <f t="shared" ref="AR488:AX488" si="1622">ROUNDUP(AR$10*$AO488,0)</f>
        <v>1459144</v>
      </c>
      <c r="AS488" s="1">
        <f t="shared" si="1622"/>
        <v>4377432</v>
      </c>
      <c r="AT488" s="1">
        <f t="shared" si="1622"/>
        <v>2626460</v>
      </c>
      <c r="AU488" s="1">
        <f t="shared" si="1622"/>
        <v>729572</v>
      </c>
      <c r="AV488" s="1">
        <f t="shared" si="1622"/>
        <v>218872</v>
      </c>
      <c r="AW488" s="1">
        <f t="shared" si="1622"/>
        <v>5836576</v>
      </c>
      <c r="AX488" s="1">
        <f t="shared" si="1622"/>
        <v>13132296</v>
      </c>
      <c r="AY488" s="1">
        <f t="shared" si="1536"/>
        <v>186009480</v>
      </c>
      <c r="AZ488" s="1">
        <f t="shared" si="1537"/>
        <v>93004740</v>
      </c>
      <c r="BB488" s="1">
        <f t="shared" si="1538"/>
        <v>477</v>
      </c>
    </row>
    <row r="489" spans="2:54">
      <c r="B489" s="4">
        <v>478</v>
      </c>
      <c r="C489" s="1">
        <f t="shared" ref="C489:I489" si="1623">C$5+(C$6-C$5)*(POWER(C$7,$B489-1)-1)/(POWER(C$7,$B$3-1)-1)</f>
        <v>37762.4144817701</v>
      </c>
      <c r="D489" s="1">
        <f t="shared" si="1623"/>
        <v>11328.724344531</v>
      </c>
      <c r="E489" s="1">
        <f t="shared" si="1623"/>
        <v>7552.48289635401</v>
      </c>
      <c r="F489" s="1">
        <f t="shared" si="1623"/>
        <v>95601.0493209369</v>
      </c>
      <c r="G489" s="1">
        <f t="shared" si="1623"/>
        <v>28680.3147962811</v>
      </c>
      <c r="H489" s="1">
        <f t="shared" si="1623"/>
        <v>19120.2098641874</v>
      </c>
      <c r="I489" s="1">
        <f t="shared" si="1623"/>
        <v>0</v>
      </c>
      <c r="J489" s="1">
        <f>标准模型!$I$65/1*$B489/$B$3</f>
        <v>3.4416</v>
      </c>
      <c r="K489" s="1">
        <f>J489*标准模型!$J$63</f>
        <v>3.4416</v>
      </c>
      <c r="L489" s="1">
        <f t="shared" si="1513"/>
        <v>133363.463802707</v>
      </c>
      <c r="M489" s="1">
        <f t="shared" si="1514"/>
        <v>78997.97684495</v>
      </c>
      <c r="N489" s="1">
        <f t="shared" si="1515"/>
        <v>52665.3178966334</v>
      </c>
      <c r="O489" s="1">
        <f t="shared" ref="O489:W489" si="1624">O$5+(O$6-O$5)*(POWER(O$7,$B489-1)-1)/(POWER(O$7,$B$3-1)-1)</f>
        <v>0.97796116894257</v>
      </c>
      <c r="P489" s="1">
        <f t="shared" si="1624"/>
        <v>0.375363551402856</v>
      </c>
      <c r="Q489" s="1">
        <f t="shared" si="1624"/>
        <v>0.537878642918413</v>
      </c>
      <c r="R489" s="1">
        <f t="shared" si="1624"/>
        <v>1.19118446757703</v>
      </c>
      <c r="S489" s="1">
        <f t="shared" si="1624"/>
        <v>0.67134951962534</v>
      </c>
      <c r="T489" s="1">
        <f t="shared" si="1624"/>
        <v>3.86404855887602</v>
      </c>
      <c r="U489" s="1">
        <f t="shared" si="1624"/>
        <v>1</v>
      </c>
      <c r="V489" s="1">
        <f t="shared" si="1624"/>
        <v>1.52126363382113</v>
      </c>
      <c r="W489" s="1">
        <f t="shared" si="1624"/>
        <v>2.52947574061622</v>
      </c>
      <c r="X489" s="1">
        <f t="shared" si="1517"/>
        <v>11.9181083438664</v>
      </c>
      <c r="Y489" s="1">
        <f t="shared" si="1518"/>
        <v>25.3365821597232</v>
      </c>
      <c r="Z489" s="1">
        <f t="shared" si="1519"/>
        <v>3378974.35774255</v>
      </c>
      <c r="AA489" s="1">
        <f t="shared" si="1520"/>
        <v>78997.97684495</v>
      </c>
      <c r="AB489" s="1">
        <f t="shared" si="1521"/>
        <v>52665.3178966334</v>
      </c>
      <c r="AC489" s="1">
        <f>AB489/(AB489+战斗公式!$M$27)</f>
        <v>0.686951014377077</v>
      </c>
      <c r="AD489" s="1">
        <f t="shared" si="1522"/>
        <v>10793755.9708711</v>
      </c>
      <c r="AE489" s="1">
        <f t="shared" si="1523"/>
        <v>11.4643463201377</v>
      </c>
      <c r="AF489" s="1">
        <f t="shared" si="1524"/>
        <v>5.39272900636963</v>
      </c>
      <c r="AG489" s="1">
        <f t="shared" si="1525"/>
        <v>4.98276416859701</v>
      </c>
      <c r="AH489" s="1">
        <f t="shared" si="1526"/>
        <v>2.16369930974116</v>
      </c>
      <c r="AI489" s="1">
        <f t="shared" si="1527"/>
        <v>1.00000000001841</v>
      </c>
      <c r="AJ489" s="1">
        <f t="shared" si="1528"/>
        <v>1.00001874278725</v>
      </c>
      <c r="AK489" s="1">
        <f t="shared" si="1529"/>
        <v>1</v>
      </c>
      <c r="AL489" s="10">
        <f t="shared" si="1530"/>
        <v>3122099</v>
      </c>
      <c r="AM489" s="10">
        <f t="shared" si="1531"/>
        <v>170928</v>
      </c>
      <c r="AN489" s="10">
        <f t="shared" si="1532"/>
        <v>52665</v>
      </c>
      <c r="AO489" s="1">
        <f t="shared" si="1533"/>
        <v>1468636</v>
      </c>
      <c r="AP489" s="1">
        <f t="shared" si="1534"/>
        <v>170928</v>
      </c>
      <c r="AR489" s="1">
        <f t="shared" ref="AR489:AX489" si="1625">ROUNDUP(AR$10*$AO489,0)</f>
        <v>1468636</v>
      </c>
      <c r="AS489" s="1">
        <f t="shared" si="1625"/>
        <v>4405908</v>
      </c>
      <c r="AT489" s="1">
        <f t="shared" si="1625"/>
        <v>2643545</v>
      </c>
      <c r="AU489" s="1">
        <f t="shared" si="1625"/>
        <v>734318</v>
      </c>
      <c r="AV489" s="1">
        <f t="shared" si="1625"/>
        <v>220296</v>
      </c>
      <c r="AW489" s="1">
        <f t="shared" si="1625"/>
        <v>5874544</v>
      </c>
      <c r="AX489" s="1">
        <f t="shared" si="1625"/>
        <v>13217724</v>
      </c>
      <c r="AY489" s="1">
        <f t="shared" si="1536"/>
        <v>187325940</v>
      </c>
      <c r="AZ489" s="1">
        <f t="shared" si="1537"/>
        <v>93662970</v>
      </c>
      <c r="BB489" s="1">
        <f t="shared" si="1538"/>
        <v>478</v>
      </c>
    </row>
    <row r="490" spans="2:54">
      <c r="B490" s="4">
        <v>479</v>
      </c>
      <c r="C490" s="1">
        <f t="shared" ref="C490:I490" si="1626">C$5+(C$6-C$5)*(POWER(C$7,$B490-1)-1)/(POWER(C$7,$B$3-1)-1)</f>
        <v>37841.3964709918</v>
      </c>
      <c r="D490" s="1">
        <f t="shared" si="1626"/>
        <v>11352.4189412975</v>
      </c>
      <c r="E490" s="1">
        <f t="shared" si="1626"/>
        <v>7568.27929419836</v>
      </c>
      <c r="F490" s="1">
        <f t="shared" si="1626"/>
        <v>95801.0037240299</v>
      </c>
      <c r="G490" s="1">
        <f t="shared" si="1626"/>
        <v>28740.301117209</v>
      </c>
      <c r="H490" s="1">
        <f t="shared" si="1626"/>
        <v>19160.200744806</v>
      </c>
      <c r="I490" s="1">
        <f t="shared" si="1626"/>
        <v>0</v>
      </c>
      <c r="J490" s="1">
        <f>标准模型!$I$65/1*$B490/$B$3</f>
        <v>3.4488</v>
      </c>
      <c r="K490" s="1">
        <f>J490*标准模型!$J$63</f>
        <v>3.4488</v>
      </c>
      <c r="L490" s="1">
        <f t="shared" si="1513"/>
        <v>133642.400195022</v>
      </c>
      <c r="M490" s="1">
        <f t="shared" si="1514"/>
        <v>79244.9425032535</v>
      </c>
      <c r="N490" s="1">
        <f t="shared" si="1515"/>
        <v>52829.9616688356</v>
      </c>
      <c r="O490" s="1">
        <f t="shared" ref="O490:W490" si="1627">O$5+(O$6-O$5)*(POWER(O$7,$B490-1)-1)/(POWER(O$7,$B$3-1)-1)</f>
        <v>0.978962944509168</v>
      </c>
      <c r="P490" s="1">
        <f t="shared" si="1627"/>
        <v>0.37646585385549</v>
      </c>
      <c r="Q490" s="1">
        <f t="shared" si="1627"/>
        <v>0.538429619480042</v>
      </c>
      <c r="R490" s="1">
        <f t="shared" si="1627"/>
        <v>1.19158517780367</v>
      </c>
      <c r="S490" s="1">
        <f t="shared" si="1627"/>
        <v>0.672651827861918</v>
      </c>
      <c r="T490" s="1">
        <f t="shared" si="1627"/>
        <v>3.86795548358575</v>
      </c>
      <c r="U490" s="1">
        <f t="shared" si="1627"/>
        <v>1</v>
      </c>
      <c r="V490" s="1">
        <f t="shared" si="1627"/>
        <v>1.52235616854162</v>
      </c>
      <c r="W490" s="1">
        <f t="shared" si="1627"/>
        <v>2.53268142242934</v>
      </c>
      <c r="X490" s="1">
        <f t="shared" si="1517"/>
        <v>11.9817934297526</v>
      </c>
      <c r="Y490" s="1">
        <f t="shared" si="1518"/>
        <v>25.4864237233346</v>
      </c>
      <c r="Z490" s="1">
        <f t="shared" si="1519"/>
        <v>3406066.83877378</v>
      </c>
      <c r="AA490" s="1">
        <f t="shared" si="1520"/>
        <v>79244.9425032535</v>
      </c>
      <c r="AB490" s="1">
        <f t="shared" si="1521"/>
        <v>52829.9616688356</v>
      </c>
      <c r="AC490" s="1">
        <f>AB490/(AB490+战斗公式!$M$27)</f>
        <v>0.687621866799199</v>
      </c>
      <c r="AD490" s="1">
        <f t="shared" si="1522"/>
        <v>10903666.0276868</v>
      </c>
      <c r="AE490" s="1">
        <f t="shared" si="1523"/>
        <v>11.4836291305921</v>
      </c>
      <c r="AF490" s="1">
        <f t="shared" si="1524"/>
        <v>5.39873595292489</v>
      </c>
      <c r="AG490" s="1">
        <f t="shared" si="1525"/>
        <v>4.98361109156359</v>
      </c>
      <c r="AH490" s="1">
        <f t="shared" si="1526"/>
        <v>2.16976568690262</v>
      </c>
      <c r="AI490" s="1">
        <f t="shared" si="1527"/>
        <v>1.00000000001705</v>
      </c>
      <c r="AJ490" s="1">
        <f t="shared" si="1528"/>
        <v>1.00001769812411</v>
      </c>
      <c r="AK490" s="1">
        <f t="shared" si="1529"/>
        <v>1</v>
      </c>
      <c r="AL490" s="10">
        <f t="shared" si="1530"/>
        <v>3144164</v>
      </c>
      <c r="AM490" s="10">
        <f t="shared" si="1531"/>
        <v>171943</v>
      </c>
      <c r="AN490" s="10">
        <f t="shared" si="1532"/>
        <v>52830</v>
      </c>
      <c r="AO490" s="1">
        <f t="shared" si="1533"/>
        <v>1478175</v>
      </c>
      <c r="AP490" s="1">
        <f t="shared" si="1534"/>
        <v>171943</v>
      </c>
      <c r="AR490" s="1">
        <f t="shared" ref="AR490:AX490" si="1628">ROUNDUP(AR$10*$AO490,0)</f>
        <v>1478175</v>
      </c>
      <c r="AS490" s="1">
        <f t="shared" si="1628"/>
        <v>4434525</v>
      </c>
      <c r="AT490" s="1">
        <f t="shared" si="1628"/>
        <v>2660715</v>
      </c>
      <c r="AU490" s="1">
        <f t="shared" si="1628"/>
        <v>739088</v>
      </c>
      <c r="AV490" s="1">
        <f t="shared" si="1628"/>
        <v>221727</v>
      </c>
      <c r="AW490" s="1">
        <f t="shared" si="1628"/>
        <v>5912700</v>
      </c>
      <c r="AX490" s="1">
        <f t="shared" si="1628"/>
        <v>13303575</v>
      </c>
      <c r="AY490" s="1">
        <f t="shared" si="1536"/>
        <v>188649840</v>
      </c>
      <c r="AZ490" s="1">
        <f t="shared" si="1537"/>
        <v>94324920</v>
      </c>
      <c r="BB490" s="1">
        <f t="shared" si="1538"/>
        <v>479</v>
      </c>
    </row>
    <row r="491" spans="2:54">
      <c r="B491" s="4">
        <v>480</v>
      </c>
      <c r="C491" s="1">
        <f t="shared" ref="C491:I491" si="1629">C$5+(C$6-C$5)*(POWER(C$7,$B491-1)-1)/(POWER(C$7,$B$3-1)-1)</f>
        <v>37920.3783812395</v>
      </c>
      <c r="D491" s="1">
        <f t="shared" si="1629"/>
        <v>11376.1135143718</v>
      </c>
      <c r="E491" s="1">
        <f t="shared" si="1629"/>
        <v>7584.0756762479</v>
      </c>
      <c r="F491" s="1">
        <f t="shared" si="1629"/>
        <v>96000.9579271886</v>
      </c>
      <c r="G491" s="1">
        <f t="shared" si="1629"/>
        <v>28800.2873781566</v>
      </c>
      <c r="H491" s="1">
        <f t="shared" si="1629"/>
        <v>19200.1915854377</v>
      </c>
      <c r="I491" s="1">
        <f t="shared" si="1629"/>
        <v>0</v>
      </c>
      <c r="J491" s="1">
        <f>标准模型!$I$65/1*$B491/$B$3</f>
        <v>3.456</v>
      </c>
      <c r="K491" s="1">
        <f>J491*标准模型!$J$63</f>
        <v>3.456</v>
      </c>
      <c r="L491" s="1">
        <f t="shared" si="1513"/>
        <v>133921.336308428</v>
      </c>
      <c r="M491" s="1">
        <f t="shared" si="1514"/>
        <v>79492.2491981975</v>
      </c>
      <c r="N491" s="1">
        <f t="shared" si="1515"/>
        <v>52994.8327987984</v>
      </c>
      <c r="O491" s="1">
        <f t="shared" ref="O491:W491" si="1630">O$5+(O$6-O$5)*(POWER(O$7,$B491-1)-1)/(POWER(O$7,$B$3-1)-1)</f>
        <v>0.979964719074091</v>
      </c>
      <c r="P491" s="1">
        <f t="shared" si="1630"/>
        <v>0.377569809761803</v>
      </c>
      <c r="Q491" s="1">
        <f t="shared" si="1630"/>
        <v>0.53898059549075</v>
      </c>
      <c r="R491" s="1">
        <f t="shared" si="1630"/>
        <v>1.19198588762964</v>
      </c>
      <c r="S491" s="1">
        <f t="shared" si="1630"/>
        <v>0.673954134796318</v>
      </c>
      <c r="T491" s="1">
        <f t="shared" si="1630"/>
        <v>3.87186240438896</v>
      </c>
      <c r="U491" s="1">
        <f t="shared" si="1630"/>
        <v>1</v>
      </c>
      <c r="V491" s="1">
        <f t="shared" si="1630"/>
        <v>1.52344870216969</v>
      </c>
      <c r="W491" s="1">
        <f t="shared" si="1630"/>
        <v>2.53588710103709</v>
      </c>
      <c r="X491" s="1">
        <f t="shared" si="1517"/>
        <v>12.0457687554069</v>
      </c>
      <c r="Y491" s="1">
        <f t="shared" si="1518"/>
        <v>25.6370341951699</v>
      </c>
      <c r="Z491" s="1">
        <f t="shared" si="1519"/>
        <v>3433345.87840202</v>
      </c>
      <c r="AA491" s="1">
        <f t="shared" si="1520"/>
        <v>79492.2491981975</v>
      </c>
      <c r="AB491" s="1">
        <f t="shared" si="1521"/>
        <v>52994.8327987984</v>
      </c>
      <c r="AC491" s="1">
        <f>AB491/(AB491+战斗公式!$M$27)</f>
        <v>0.688290770593445</v>
      </c>
      <c r="AD491" s="1">
        <f t="shared" si="1522"/>
        <v>11014578.8270003</v>
      </c>
      <c r="AE491" s="1">
        <f t="shared" si="1523"/>
        <v>11.5029329502451</v>
      </c>
      <c r="AF491" s="1">
        <f t="shared" si="1524"/>
        <v>5.40474648014115</v>
      </c>
      <c r="AG491" s="1">
        <f t="shared" si="1525"/>
        <v>4.98445166260791</v>
      </c>
      <c r="AH491" s="1">
        <f t="shared" si="1526"/>
        <v>2.17584419681839</v>
      </c>
      <c r="AI491" s="1">
        <f t="shared" si="1527"/>
        <v>1.00000000001576</v>
      </c>
      <c r="AJ491" s="1">
        <f t="shared" si="1528"/>
        <v>1.00001667435424</v>
      </c>
      <c r="AK491" s="1">
        <f t="shared" si="1529"/>
        <v>1</v>
      </c>
      <c r="AL491" s="10">
        <f t="shared" si="1530"/>
        <v>3166355</v>
      </c>
      <c r="AM491" s="10">
        <f t="shared" si="1531"/>
        <v>172963</v>
      </c>
      <c r="AN491" s="10">
        <f t="shared" si="1532"/>
        <v>52995</v>
      </c>
      <c r="AO491" s="1">
        <f t="shared" si="1533"/>
        <v>1487762</v>
      </c>
      <c r="AP491" s="1">
        <f t="shared" si="1534"/>
        <v>172963</v>
      </c>
      <c r="AR491" s="1">
        <f t="shared" ref="AR491:AX491" si="1631">ROUNDUP(AR$10*$AO491,0)</f>
        <v>1487762</v>
      </c>
      <c r="AS491" s="1">
        <f t="shared" si="1631"/>
        <v>4463286</v>
      </c>
      <c r="AT491" s="1">
        <f t="shared" si="1631"/>
        <v>2677972</v>
      </c>
      <c r="AU491" s="1">
        <f t="shared" si="1631"/>
        <v>743881</v>
      </c>
      <c r="AV491" s="1">
        <f t="shared" si="1631"/>
        <v>223165</v>
      </c>
      <c r="AW491" s="1">
        <f t="shared" si="1631"/>
        <v>5951048</v>
      </c>
      <c r="AX491" s="1">
        <f t="shared" si="1631"/>
        <v>13389858</v>
      </c>
      <c r="AY491" s="1">
        <f t="shared" si="1536"/>
        <v>189981300</v>
      </c>
      <c r="AZ491" s="1">
        <f t="shared" si="1537"/>
        <v>94990650</v>
      </c>
      <c r="BB491" s="1">
        <f t="shared" si="1538"/>
        <v>480</v>
      </c>
    </row>
    <row r="492" spans="2:54">
      <c r="B492" s="4">
        <v>481</v>
      </c>
      <c r="C492" s="1">
        <f t="shared" ref="C492:I492" si="1632">C$5+(C$6-C$5)*(POWER(C$7,$B492-1)-1)/(POWER(C$7,$B$3-1)-1)</f>
        <v>37999.3602124956</v>
      </c>
      <c r="D492" s="1">
        <f t="shared" si="1632"/>
        <v>11399.8080637487</v>
      </c>
      <c r="E492" s="1">
        <f t="shared" si="1632"/>
        <v>7599.87204249911</v>
      </c>
      <c r="F492" s="1">
        <f t="shared" si="1632"/>
        <v>96200.9119303685</v>
      </c>
      <c r="G492" s="1">
        <f t="shared" si="1632"/>
        <v>28860.2735791106</v>
      </c>
      <c r="H492" s="1">
        <f t="shared" si="1632"/>
        <v>19240.1823860737</v>
      </c>
      <c r="I492" s="1">
        <f t="shared" si="1632"/>
        <v>0</v>
      </c>
      <c r="J492" s="1">
        <f>标准模型!$I$65/1*$B492/$B$3</f>
        <v>3.4632</v>
      </c>
      <c r="K492" s="1">
        <f>J492*标准模型!$J$63</f>
        <v>3.4632</v>
      </c>
      <c r="L492" s="1">
        <f t="shared" si="1513"/>
        <v>134200.272142864</v>
      </c>
      <c r="M492" s="1">
        <f t="shared" si="1514"/>
        <v>79739.8969292336</v>
      </c>
      <c r="N492" s="1">
        <f t="shared" si="1515"/>
        <v>53159.9312861558</v>
      </c>
      <c r="O492" s="1">
        <f t="shared" ref="O492:W492" si="1633">O$5+(O$6-O$5)*(POWER(O$7,$B492-1)-1)/(POWER(O$7,$B$3-1)-1)</f>
        <v>0.980966492637117</v>
      </c>
      <c r="P492" s="1">
        <f t="shared" si="1633"/>
        <v>0.378675421601975</v>
      </c>
      <c r="Q492" s="1">
        <f t="shared" si="1633"/>
        <v>0.539531570950414</v>
      </c>
      <c r="R492" s="1">
        <f t="shared" si="1633"/>
        <v>1.19238659705485</v>
      </c>
      <c r="S492" s="1">
        <f t="shared" si="1633"/>
        <v>0.675256440428252</v>
      </c>
      <c r="T492" s="1">
        <f t="shared" si="1633"/>
        <v>3.87576932128476</v>
      </c>
      <c r="U492" s="1">
        <f t="shared" si="1633"/>
        <v>1</v>
      </c>
      <c r="V492" s="1">
        <f t="shared" si="1633"/>
        <v>1.5245412347051</v>
      </c>
      <c r="W492" s="1">
        <f t="shared" si="1633"/>
        <v>2.53909277643877</v>
      </c>
      <c r="X492" s="1">
        <f t="shared" si="1517"/>
        <v>12.1100354056097</v>
      </c>
      <c r="Y492" s="1">
        <f t="shared" si="1518"/>
        <v>25.7884168892848</v>
      </c>
      <c r="Z492" s="1">
        <f t="shared" si="1519"/>
        <v>3460812.56467565</v>
      </c>
      <c r="AA492" s="1">
        <f t="shared" si="1520"/>
        <v>79739.8969292336</v>
      </c>
      <c r="AB492" s="1">
        <f t="shared" si="1521"/>
        <v>53159.9312861558</v>
      </c>
      <c r="AC492" s="1">
        <f>AB492/(AB492+战斗公式!$M$27)</f>
        <v>0.688957732336574</v>
      </c>
      <c r="AD492" s="1">
        <f t="shared" si="1522"/>
        <v>11126502.4868599</v>
      </c>
      <c r="AE492" s="1">
        <f t="shared" si="1523"/>
        <v>11.5222577616486</v>
      </c>
      <c r="AF492" s="1">
        <f t="shared" si="1524"/>
        <v>5.41076057693574</v>
      </c>
      <c r="AG492" s="1">
        <f t="shared" si="1525"/>
        <v>4.9852859293694</v>
      </c>
      <c r="AH492" s="1">
        <f t="shared" si="1526"/>
        <v>2.181934863754</v>
      </c>
      <c r="AI492" s="1">
        <f t="shared" si="1527"/>
        <v>1.00000000001453</v>
      </c>
      <c r="AJ492" s="1">
        <f t="shared" si="1528"/>
        <v>1.00001567105977</v>
      </c>
      <c r="AK492" s="1">
        <f t="shared" si="1529"/>
        <v>1</v>
      </c>
      <c r="AL492" s="10">
        <f t="shared" si="1530"/>
        <v>3188672</v>
      </c>
      <c r="AM492" s="10">
        <f t="shared" si="1531"/>
        <v>173987</v>
      </c>
      <c r="AN492" s="10">
        <f t="shared" si="1532"/>
        <v>53160</v>
      </c>
      <c r="AO492" s="1">
        <f t="shared" si="1533"/>
        <v>1497398</v>
      </c>
      <c r="AP492" s="1">
        <f t="shared" si="1534"/>
        <v>173987</v>
      </c>
      <c r="AR492" s="1">
        <f t="shared" ref="AR492:AX492" si="1634">ROUNDUP(AR$10*$AO492,0)</f>
        <v>1497398</v>
      </c>
      <c r="AS492" s="1">
        <f t="shared" si="1634"/>
        <v>4492194</v>
      </c>
      <c r="AT492" s="1">
        <f t="shared" si="1634"/>
        <v>2695317</v>
      </c>
      <c r="AU492" s="1">
        <f t="shared" si="1634"/>
        <v>748699</v>
      </c>
      <c r="AV492" s="1">
        <f t="shared" si="1634"/>
        <v>224610</v>
      </c>
      <c r="AW492" s="1">
        <f t="shared" si="1634"/>
        <v>5989592</v>
      </c>
      <c r="AX492" s="1">
        <f t="shared" si="1634"/>
        <v>13476582</v>
      </c>
      <c r="AY492" s="1">
        <f t="shared" si="1536"/>
        <v>191320320</v>
      </c>
      <c r="AZ492" s="1">
        <f t="shared" si="1537"/>
        <v>95660160</v>
      </c>
      <c r="BB492" s="1">
        <f t="shared" si="1538"/>
        <v>481</v>
      </c>
    </row>
    <row r="493" spans="2:54">
      <c r="B493" s="4">
        <v>482</v>
      </c>
      <c r="C493" s="1">
        <f t="shared" ref="C493:I493" si="1635">C$5+(C$6-C$5)*(POWER(C$7,$B493-1)-1)/(POWER(C$7,$B$3-1)-1)</f>
        <v>38078.3419647776</v>
      </c>
      <c r="D493" s="1">
        <f t="shared" si="1635"/>
        <v>11423.5025894333</v>
      </c>
      <c r="E493" s="1">
        <f t="shared" si="1635"/>
        <v>7615.66839295552</v>
      </c>
      <c r="F493" s="1">
        <f t="shared" si="1635"/>
        <v>96400.8657336141</v>
      </c>
      <c r="G493" s="1">
        <f t="shared" si="1635"/>
        <v>28920.2597200842</v>
      </c>
      <c r="H493" s="1">
        <f t="shared" si="1635"/>
        <v>19280.1731467228</v>
      </c>
      <c r="I493" s="1">
        <f t="shared" si="1635"/>
        <v>0</v>
      </c>
      <c r="J493" s="1">
        <f>标准模型!$I$65/1*$B493/$B$3</f>
        <v>3.4704</v>
      </c>
      <c r="K493" s="1">
        <f>J493*标准模型!$J$63</f>
        <v>3.4704</v>
      </c>
      <c r="L493" s="1">
        <f t="shared" si="1513"/>
        <v>134479.207698392</v>
      </c>
      <c r="M493" s="1">
        <f t="shared" si="1514"/>
        <v>79987.8856958867</v>
      </c>
      <c r="N493" s="1">
        <f t="shared" si="1515"/>
        <v>53325.2571305912</v>
      </c>
      <c r="O493" s="1">
        <f t="shared" ref="O493:W493" si="1636">O$5+(O$6-O$5)*(POWER(O$7,$B493-1)-1)/(POWER(O$7,$B$3-1)-1)</f>
        <v>0.981968265198468</v>
      </c>
      <c r="P493" s="1">
        <f t="shared" si="1636"/>
        <v>0.379782691859908</v>
      </c>
      <c r="Q493" s="1">
        <f t="shared" si="1636"/>
        <v>0.540082545859157</v>
      </c>
      <c r="R493" s="1">
        <f t="shared" si="1636"/>
        <v>1.19278730607939</v>
      </c>
      <c r="S493" s="1">
        <f t="shared" si="1636"/>
        <v>0.676558744758008</v>
      </c>
      <c r="T493" s="1">
        <f t="shared" si="1636"/>
        <v>3.87967623427402</v>
      </c>
      <c r="U493" s="1">
        <f t="shared" si="1636"/>
        <v>1</v>
      </c>
      <c r="V493" s="1">
        <f t="shared" si="1636"/>
        <v>1.52563376614807</v>
      </c>
      <c r="W493" s="1">
        <f t="shared" si="1636"/>
        <v>2.5422984486351</v>
      </c>
      <c r="X493" s="1">
        <f t="shared" si="1517"/>
        <v>12.1745944683904</v>
      </c>
      <c r="Y493" s="1">
        <f t="shared" si="1518"/>
        <v>25.9405751314247</v>
      </c>
      <c r="Z493" s="1">
        <f t="shared" si="1519"/>
        <v>3488467.9909146</v>
      </c>
      <c r="AA493" s="1">
        <f t="shared" si="1520"/>
        <v>79987.8856958867</v>
      </c>
      <c r="AB493" s="1">
        <f t="shared" si="1521"/>
        <v>53325.2571305912</v>
      </c>
      <c r="AC493" s="1">
        <f>AB493/(AB493+战斗公式!$M$27)</f>
        <v>0.689622758583687</v>
      </c>
      <c r="AD493" s="1">
        <f t="shared" si="1522"/>
        <v>11239445.1828879</v>
      </c>
      <c r="AE493" s="1">
        <f t="shared" si="1523"/>
        <v>11.5416035474053</v>
      </c>
      <c r="AF493" s="1">
        <f t="shared" si="1524"/>
        <v>5.416778232275</v>
      </c>
      <c r="AG493" s="1">
        <f t="shared" si="1525"/>
        <v>4.98611393913019</v>
      </c>
      <c r="AH493" s="1">
        <f t="shared" si="1526"/>
        <v>2.18803771202348</v>
      </c>
      <c r="AI493" s="1">
        <f t="shared" si="1527"/>
        <v>1.00000000001336</v>
      </c>
      <c r="AJ493" s="1">
        <f t="shared" si="1528"/>
        <v>1.00001468783119</v>
      </c>
      <c r="AK493" s="1">
        <f t="shared" si="1529"/>
        <v>1</v>
      </c>
      <c r="AL493" s="10">
        <f t="shared" si="1530"/>
        <v>3211115</v>
      </c>
      <c r="AM493" s="10">
        <f t="shared" si="1531"/>
        <v>175017</v>
      </c>
      <c r="AN493" s="10">
        <f t="shared" si="1532"/>
        <v>53325</v>
      </c>
      <c r="AO493" s="1">
        <f t="shared" si="1533"/>
        <v>1507083</v>
      </c>
      <c r="AP493" s="1">
        <f t="shared" si="1534"/>
        <v>175017</v>
      </c>
      <c r="AR493" s="1">
        <f t="shared" ref="AR493:AX493" si="1637">ROUNDUP(AR$10*$AO493,0)</f>
        <v>1507083</v>
      </c>
      <c r="AS493" s="1">
        <f t="shared" si="1637"/>
        <v>4521249</v>
      </c>
      <c r="AT493" s="1">
        <f t="shared" si="1637"/>
        <v>2712750</v>
      </c>
      <c r="AU493" s="1">
        <f t="shared" si="1637"/>
        <v>753542</v>
      </c>
      <c r="AV493" s="1">
        <f t="shared" si="1637"/>
        <v>226063</v>
      </c>
      <c r="AW493" s="1">
        <f t="shared" si="1637"/>
        <v>6028332</v>
      </c>
      <c r="AX493" s="1">
        <f t="shared" si="1637"/>
        <v>13563747</v>
      </c>
      <c r="AY493" s="1">
        <f t="shared" si="1536"/>
        <v>192666900</v>
      </c>
      <c r="AZ493" s="1">
        <f t="shared" si="1537"/>
        <v>96333450</v>
      </c>
      <c r="BB493" s="1">
        <f t="shared" si="1538"/>
        <v>482</v>
      </c>
    </row>
    <row r="494" spans="2:54">
      <c r="B494" s="4">
        <v>483</v>
      </c>
      <c r="C494" s="1">
        <f t="shared" ref="C494:I494" si="1638">C$5+(C$6-C$5)*(POWER(C$7,$B494-1)-1)/(POWER(C$7,$B$3-1)-1)</f>
        <v>38157.3236380768</v>
      </c>
      <c r="D494" s="1">
        <f t="shared" si="1638"/>
        <v>11447.197091423</v>
      </c>
      <c r="E494" s="1">
        <f t="shared" si="1638"/>
        <v>7631.46472761535</v>
      </c>
      <c r="F494" s="1">
        <f t="shared" si="1638"/>
        <v>96600.8193369032</v>
      </c>
      <c r="G494" s="1">
        <f t="shared" si="1638"/>
        <v>28980.245801071</v>
      </c>
      <c r="H494" s="1">
        <f t="shared" si="1638"/>
        <v>19320.1638673806</v>
      </c>
      <c r="I494" s="1">
        <f t="shared" si="1638"/>
        <v>0</v>
      </c>
      <c r="J494" s="1">
        <f>标准模型!$I$65/1*$B494/$B$3</f>
        <v>3.4776</v>
      </c>
      <c r="K494" s="1">
        <f>J494*标准模型!$J$63</f>
        <v>3.4776</v>
      </c>
      <c r="L494" s="1">
        <f t="shared" si="1513"/>
        <v>134758.14297498</v>
      </c>
      <c r="M494" s="1">
        <f t="shared" si="1514"/>
        <v>80236.2154976267</v>
      </c>
      <c r="N494" s="1">
        <f t="shared" si="1515"/>
        <v>53490.8103317511</v>
      </c>
      <c r="O494" s="1">
        <f t="shared" ref="O494:W494" si="1639">O$5+(O$6-O$5)*(POWER(O$7,$B494-1)-1)/(POWER(O$7,$B$3-1)-1)</f>
        <v>0.982970036758032</v>
      </c>
      <c r="P494" s="1">
        <f t="shared" si="1639"/>
        <v>0.380891623023227</v>
      </c>
      <c r="Q494" s="1">
        <f t="shared" si="1639"/>
        <v>0.540633520216918</v>
      </c>
      <c r="R494" s="1">
        <f t="shared" si="1639"/>
        <v>1.19318801470321</v>
      </c>
      <c r="S494" s="1">
        <f t="shared" si="1639"/>
        <v>0.677861047785442</v>
      </c>
      <c r="T494" s="1">
        <f t="shared" si="1639"/>
        <v>3.88358314335633</v>
      </c>
      <c r="U494" s="1">
        <f t="shared" si="1639"/>
        <v>1</v>
      </c>
      <c r="V494" s="1">
        <f t="shared" si="1639"/>
        <v>1.5267262964985</v>
      </c>
      <c r="W494" s="1">
        <f t="shared" si="1639"/>
        <v>2.5455041176257</v>
      </c>
      <c r="X494" s="1">
        <f t="shared" si="1517"/>
        <v>12.2394470349923</v>
      </c>
      <c r="Y494" s="1">
        <f t="shared" si="1518"/>
        <v>26.093512258952</v>
      </c>
      <c r="Z494" s="1">
        <f t="shared" si="1519"/>
        <v>3516313.25571124</v>
      </c>
      <c r="AA494" s="1">
        <f t="shared" si="1520"/>
        <v>80236.2154976267</v>
      </c>
      <c r="AB494" s="1">
        <f t="shared" si="1521"/>
        <v>53490.8103317511</v>
      </c>
      <c r="AC494" s="1">
        <f>AB494/(AB494+战斗公式!$M$27)</f>
        <v>0.690285855867915</v>
      </c>
      <c r="AD494" s="1">
        <f t="shared" si="1522"/>
        <v>11353415.1485559</v>
      </c>
      <c r="AE494" s="1">
        <f t="shared" si="1523"/>
        <v>11.5609702901486</v>
      </c>
      <c r="AF494" s="1">
        <f t="shared" si="1524"/>
        <v>5.422799435168</v>
      </c>
      <c r="AG494" s="1">
        <f t="shared" si="1525"/>
        <v>4.98693573881776</v>
      </c>
      <c r="AH494" s="1">
        <f t="shared" si="1526"/>
        <v>2.19415276598949</v>
      </c>
      <c r="AI494" s="1">
        <f t="shared" si="1527"/>
        <v>1.00000000001226</v>
      </c>
      <c r="AJ494" s="1">
        <f t="shared" si="1528"/>
        <v>1.00001372426717</v>
      </c>
      <c r="AK494" s="1">
        <f t="shared" si="1529"/>
        <v>1</v>
      </c>
      <c r="AL494" s="10">
        <f t="shared" si="1530"/>
        <v>3233686</v>
      </c>
      <c r="AM494" s="10">
        <f t="shared" si="1531"/>
        <v>176051</v>
      </c>
      <c r="AN494" s="10">
        <f t="shared" si="1532"/>
        <v>53491</v>
      </c>
      <c r="AO494" s="1">
        <f t="shared" si="1533"/>
        <v>1516816</v>
      </c>
      <c r="AP494" s="1">
        <f t="shared" si="1534"/>
        <v>176051</v>
      </c>
      <c r="AR494" s="1">
        <f t="shared" ref="AR494:AX494" si="1640">ROUNDUP(AR$10*$AO494,0)</f>
        <v>1516816</v>
      </c>
      <c r="AS494" s="1">
        <f t="shared" si="1640"/>
        <v>4550448</v>
      </c>
      <c r="AT494" s="1">
        <f t="shared" si="1640"/>
        <v>2730269</v>
      </c>
      <c r="AU494" s="1">
        <f t="shared" si="1640"/>
        <v>758408</v>
      </c>
      <c r="AV494" s="1">
        <f t="shared" si="1640"/>
        <v>227523</v>
      </c>
      <c r="AW494" s="1">
        <f t="shared" si="1640"/>
        <v>6067264</v>
      </c>
      <c r="AX494" s="1">
        <f t="shared" si="1640"/>
        <v>13651344</v>
      </c>
      <c r="AY494" s="1">
        <f t="shared" si="1536"/>
        <v>194021160</v>
      </c>
      <c r="AZ494" s="1">
        <f t="shared" si="1537"/>
        <v>97010580</v>
      </c>
      <c r="BB494" s="1">
        <f t="shared" si="1538"/>
        <v>483</v>
      </c>
    </row>
    <row r="495" spans="2:54">
      <c r="B495" s="4">
        <v>484</v>
      </c>
      <c r="C495" s="1">
        <f t="shared" ref="C495:I495" si="1641">C$5+(C$6-C$5)*(POWER(C$7,$B495-1)-1)/(POWER(C$7,$B$3-1)-1)</f>
        <v>38236.3052323931</v>
      </c>
      <c r="D495" s="1">
        <f t="shared" si="1641"/>
        <v>11470.8915697179</v>
      </c>
      <c r="E495" s="1">
        <f t="shared" si="1641"/>
        <v>7647.26104647862</v>
      </c>
      <c r="F495" s="1">
        <f t="shared" si="1641"/>
        <v>96800.7727402357</v>
      </c>
      <c r="G495" s="1">
        <f t="shared" si="1641"/>
        <v>29040.2318220707</v>
      </c>
      <c r="H495" s="1">
        <f t="shared" si="1641"/>
        <v>19360.1545480471</v>
      </c>
      <c r="I495" s="1">
        <f t="shared" si="1641"/>
        <v>0</v>
      </c>
      <c r="J495" s="1">
        <f>标准模型!$I$65/1*$B495/$B$3</f>
        <v>3.4848</v>
      </c>
      <c r="K495" s="1">
        <f>J495*标准模型!$J$63</f>
        <v>3.4848</v>
      </c>
      <c r="L495" s="1">
        <f t="shared" si="1513"/>
        <v>135037.077972629</v>
      </c>
      <c r="M495" s="1">
        <f t="shared" si="1514"/>
        <v>80484.8863339417</v>
      </c>
      <c r="N495" s="1">
        <f t="shared" si="1515"/>
        <v>53656.5908892945</v>
      </c>
      <c r="O495" s="1">
        <f t="shared" ref="O495:W495" si="1642">O$5+(O$6-O$5)*(POWER(O$7,$B495-1)-1)/(POWER(O$7,$B$3-1)-1)</f>
        <v>0.98397180731581</v>
      </c>
      <c r="P495" s="1">
        <f t="shared" si="1642"/>
        <v>0.382002217583292</v>
      </c>
      <c r="Q495" s="1">
        <f t="shared" si="1642"/>
        <v>0.541184494023696</v>
      </c>
      <c r="R495" s="1">
        <f t="shared" si="1642"/>
        <v>1.19358872292632</v>
      </c>
      <c r="S495" s="1">
        <f t="shared" si="1642"/>
        <v>0.679163349510553</v>
      </c>
      <c r="T495" s="1">
        <f t="shared" si="1642"/>
        <v>3.88749004853166</v>
      </c>
      <c r="U495" s="1">
        <f t="shared" si="1642"/>
        <v>1</v>
      </c>
      <c r="V495" s="1">
        <f t="shared" si="1642"/>
        <v>1.52781882575639</v>
      </c>
      <c r="W495" s="1">
        <f t="shared" si="1642"/>
        <v>2.54870978341059</v>
      </c>
      <c r="X495" s="1">
        <f t="shared" si="1517"/>
        <v>12.304594199906</v>
      </c>
      <c r="Y495" s="1">
        <f t="shared" si="1518"/>
        <v>26.2472316209397</v>
      </c>
      <c r="Z495" s="1">
        <f t="shared" si="1519"/>
        <v>3544349.46296248</v>
      </c>
      <c r="AA495" s="1">
        <f t="shared" si="1520"/>
        <v>80484.8863339417</v>
      </c>
      <c r="AB495" s="1">
        <f t="shared" si="1521"/>
        <v>53656.5908892945</v>
      </c>
      <c r="AC495" s="1">
        <f>AB495/(AB495+战斗公式!$M$27)</f>
        <v>0.690947030700667</v>
      </c>
      <c r="AD495" s="1">
        <f t="shared" si="1522"/>
        <v>11468420.675582</v>
      </c>
      <c r="AE495" s="1">
        <f t="shared" si="1523"/>
        <v>11.5803579725535</v>
      </c>
      <c r="AF495" s="1">
        <f t="shared" si="1524"/>
        <v>5.42882417466986</v>
      </c>
      <c r="AG495" s="1">
        <f t="shared" si="1525"/>
        <v>4.98775137500768</v>
      </c>
      <c r="AH495" s="1">
        <f t="shared" si="1526"/>
        <v>2.20028005006344</v>
      </c>
      <c r="AI495" s="1">
        <f t="shared" si="1527"/>
        <v>1.0000000000112</v>
      </c>
      <c r="AJ495" s="1">
        <f t="shared" si="1528"/>
        <v>1.00001277997444</v>
      </c>
      <c r="AK495" s="1">
        <f t="shared" si="1529"/>
        <v>1</v>
      </c>
      <c r="AL495" s="10">
        <f t="shared" si="1530"/>
        <v>3256384</v>
      </c>
      <c r="AM495" s="10">
        <f t="shared" si="1531"/>
        <v>177089</v>
      </c>
      <c r="AN495" s="10">
        <f t="shared" si="1532"/>
        <v>53657</v>
      </c>
      <c r="AO495" s="1">
        <f t="shared" si="1533"/>
        <v>1526599</v>
      </c>
      <c r="AP495" s="1">
        <f t="shared" si="1534"/>
        <v>177089</v>
      </c>
      <c r="AR495" s="1">
        <f t="shared" ref="AR495:AX495" si="1643">ROUNDUP(AR$10*$AO495,0)</f>
        <v>1526599</v>
      </c>
      <c r="AS495" s="1">
        <f t="shared" si="1643"/>
        <v>4579797</v>
      </c>
      <c r="AT495" s="1">
        <f t="shared" si="1643"/>
        <v>2747879</v>
      </c>
      <c r="AU495" s="1">
        <f t="shared" si="1643"/>
        <v>763300</v>
      </c>
      <c r="AV495" s="1">
        <f t="shared" si="1643"/>
        <v>228990</v>
      </c>
      <c r="AW495" s="1">
        <f t="shared" si="1643"/>
        <v>6106396</v>
      </c>
      <c r="AX495" s="1">
        <f t="shared" si="1643"/>
        <v>13739391</v>
      </c>
      <c r="AY495" s="1">
        <f t="shared" si="1536"/>
        <v>195383040</v>
      </c>
      <c r="AZ495" s="1">
        <f t="shared" si="1537"/>
        <v>97691520</v>
      </c>
      <c r="BB495" s="1">
        <f t="shared" si="1538"/>
        <v>484</v>
      </c>
    </row>
    <row r="496" spans="2:54">
      <c r="B496" s="4">
        <v>485</v>
      </c>
      <c r="C496" s="1">
        <f t="shared" ref="C496:I496" si="1644">C$5+(C$6-C$5)*(POWER(C$7,$B496-1)-1)/(POWER(C$7,$B$3-1)-1)</f>
        <v>38315.2867477266</v>
      </c>
      <c r="D496" s="1">
        <f t="shared" si="1644"/>
        <v>11494.586024318</v>
      </c>
      <c r="E496" s="1">
        <f t="shared" si="1644"/>
        <v>7663.05734954533</v>
      </c>
      <c r="F496" s="1">
        <f t="shared" si="1644"/>
        <v>97000.7259436117</v>
      </c>
      <c r="G496" s="1">
        <f t="shared" si="1644"/>
        <v>29100.2177830835</v>
      </c>
      <c r="H496" s="1">
        <f t="shared" si="1644"/>
        <v>19400.1451887223</v>
      </c>
      <c r="I496" s="1">
        <f t="shared" si="1644"/>
        <v>0</v>
      </c>
      <c r="J496" s="1">
        <f>标准模型!$I$65/1*$B496/$B$3</f>
        <v>3.492</v>
      </c>
      <c r="K496" s="1">
        <f>J496*标准模型!$J$63</f>
        <v>3.492</v>
      </c>
      <c r="L496" s="1">
        <f t="shared" si="1513"/>
        <v>135316.012691338</v>
      </c>
      <c r="M496" s="1">
        <f t="shared" si="1514"/>
        <v>80733.8982043199</v>
      </c>
      <c r="N496" s="1">
        <f t="shared" si="1515"/>
        <v>53822.5988028799</v>
      </c>
      <c r="O496" s="1">
        <f t="shared" ref="O496:W496" si="1645">O$5+(O$6-O$5)*(POWER(O$7,$B496-1)-1)/(POWER(O$7,$B$3-1)-1)</f>
        <v>0.984973576871802</v>
      </c>
      <c r="P496" s="1">
        <f t="shared" si="1645"/>
        <v>0.383114478035196</v>
      </c>
      <c r="Q496" s="1">
        <f t="shared" si="1645"/>
        <v>0.541735467279491</v>
      </c>
      <c r="R496" s="1">
        <f t="shared" si="1645"/>
        <v>1.19398943074872</v>
      </c>
      <c r="S496" s="1">
        <f t="shared" si="1645"/>
        <v>0.680465649933343</v>
      </c>
      <c r="T496" s="1">
        <f t="shared" si="1645"/>
        <v>3.89139694980003</v>
      </c>
      <c r="U496" s="1">
        <f t="shared" si="1645"/>
        <v>1</v>
      </c>
      <c r="V496" s="1">
        <f t="shared" si="1645"/>
        <v>1.52891135392173</v>
      </c>
      <c r="W496" s="1">
        <f t="shared" si="1645"/>
        <v>2.55191544598977</v>
      </c>
      <c r="X496" s="1">
        <f t="shared" si="1517"/>
        <v>12.3700370608702</v>
      </c>
      <c r="Y496" s="1">
        <f t="shared" si="1518"/>
        <v>26.4017365781908</v>
      </c>
      <c r="Z496" s="1">
        <f t="shared" si="1519"/>
        <v>3572577.72188783</v>
      </c>
      <c r="AA496" s="1">
        <f t="shared" si="1520"/>
        <v>80733.8982043199</v>
      </c>
      <c r="AB496" s="1">
        <f t="shared" si="1521"/>
        <v>53822.5988028799</v>
      </c>
      <c r="AC496" s="1">
        <f>AB496/(AB496+战斗公式!$M$27)</f>
        <v>0.691606289571612</v>
      </c>
      <c r="AD496" s="1">
        <f t="shared" si="1522"/>
        <v>11584470.1142743</v>
      </c>
      <c r="AE496" s="1">
        <f t="shared" si="1523"/>
        <v>11.5997665773337</v>
      </c>
      <c r="AF496" s="1">
        <f t="shared" si="1524"/>
        <v>5.43485243988048</v>
      </c>
      <c r="AG496" s="1">
        <f t="shared" si="1525"/>
        <v>4.98856089392618</v>
      </c>
      <c r="AH496" s="1">
        <f t="shared" si="1526"/>
        <v>2.20641958870554</v>
      </c>
      <c r="AI496" s="1">
        <f t="shared" si="1527"/>
        <v>1.0000000000102</v>
      </c>
      <c r="AJ496" s="1">
        <f t="shared" si="1528"/>
        <v>1.00001185456756</v>
      </c>
      <c r="AK496" s="1">
        <f t="shared" si="1529"/>
        <v>1</v>
      </c>
      <c r="AL496" s="10">
        <f t="shared" si="1530"/>
        <v>3279210</v>
      </c>
      <c r="AM496" s="10">
        <f t="shared" si="1531"/>
        <v>178133</v>
      </c>
      <c r="AN496" s="10">
        <f t="shared" si="1532"/>
        <v>53823</v>
      </c>
      <c r="AO496" s="1">
        <f t="shared" si="1533"/>
        <v>1536430</v>
      </c>
      <c r="AP496" s="1">
        <f t="shared" si="1534"/>
        <v>178133</v>
      </c>
      <c r="AR496" s="1">
        <f t="shared" ref="AR496:AX496" si="1646">ROUNDUP(AR$10*$AO496,0)</f>
        <v>1536430</v>
      </c>
      <c r="AS496" s="1">
        <f t="shared" si="1646"/>
        <v>4609290</v>
      </c>
      <c r="AT496" s="1">
        <f t="shared" si="1646"/>
        <v>2765574</v>
      </c>
      <c r="AU496" s="1">
        <f t="shared" si="1646"/>
        <v>768215</v>
      </c>
      <c r="AV496" s="1">
        <f t="shared" si="1646"/>
        <v>230465</v>
      </c>
      <c r="AW496" s="1">
        <f t="shared" si="1646"/>
        <v>6145720</v>
      </c>
      <c r="AX496" s="1">
        <f t="shared" si="1646"/>
        <v>13827870</v>
      </c>
      <c r="AY496" s="1">
        <f t="shared" si="1536"/>
        <v>196752600</v>
      </c>
      <c r="AZ496" s="1">
        <f t="shared" si="1537"/>
        <v>98376300</v>
      </c>
      <c r="BB496" s="1">
        <f t="shared" si="1538"/>
        <v>485</v>
      </c>
    </row>
    <row r="497" spans="2:54">
      <c r="B497" s="4">
        <v>486</v>
      </c>
      <c r="C497" s="1">
        <f t="shared" ref="C497:I497" si="1647">C$5+(C$6-C$5)*(POWER(C$7,$B497-1)-1)/(POWER(C$7,$B$3-1)-1)</f>
        <v>38394.2681840773</v>
      </c>
      <c r="D497" s="1">
        <f t="shared" si="1647"/>
        <v>11518.2804552232</v>
      </c>
      <c r="E497" s="1">
        <f t="shared" si="1647"/>
        <v>7678.85363681546</v>
      </c>
      <c r="F497" s="1">
        <f t="shared" si="1647"/>
        <v>97200.6789470312</v>
      </c>
      <c r="G497" s="1">
        <f t="shared" si="1647"/>
        <v>29160.2036841094</v>
      </c>
      <c r="H497" s="1">
        <f t="shared" si="1647"/>
        <v>19440.1357894062</v>
      </c>
      <c r="I497" s="1">
        <f t="shared" si="1647"/>
        <v>0</v>
      </c>
      <c r="J497" s="1">
        <f>标准模型!$I$65/1*$B497/$B$3</f>
        <v>3.4992</v>
      </c>
      <c r="K497" s="1">
        <f>J497*标准模型!$J$63</f>
        <v>3.4992</v>
      </c>
      <c r="L497" s="1">
        <f t="shared" si="1513"/>
        <v>135594.947131109</v>
      </c>
      <c r="M497" s="1">
        <f t="shared" si="1514"/>
        <v>80983.2511082495</v>
      </c>
      <c r="N497" s="1">
        <f t="shared" si="1515"/>
        <v>53988.8340721664</v>
      </c>
      <c r="O497" s="1">
        <f t="shared" ref="O497:W497" si="1648">O$5+(O$6-O$5)*(POWER(O$7,$B497-1)-1)/(POWER(O$7,$B$3-1)-1)</f>
        <v>0.985975345426008</v>
      </c>
      <c r="P497" s="1">
        <f t="shared" si="1648"/>
        <v>0.384228406877779</v>
      </c>
      <c r="Q497" s="1">
        <f t="shared" si="1648"/>
        <v>0.542286439984304</v>
      </c>
      <c r="R497" s="1">
        <f t="shared" si="1648"/>
        <v>1.1943901381704</v>
      </c>
      <c r="S497" s="1">
        <f t="shared" si="1648"/>
        <v>0.68176794905381</v>
      </c>
      <c r="T497" s="1">
        <f t="shared" si="1648"/>
        <v>3.89530384716143</v>
      </c>
      <c r="U497" s="1">
        <f t="shared" si="1648"/>
        <v>1</v>
      </c>
      <c r="V497" s="1">
        <f t="shared" si="1648"/>
        <v>1.53000388099452</v>
      </c>
      <c r="W497" s="1">
        <f t="shared" si="1648"/>
        <v>2.55512110536323</v>
      </c>
      <c r="X497" s="1">
        <f t="shared" si="1517"/>
        <v>12.4357767188808</v>
      </c>
      <c r="Y497" s="1">
        <f t="shared" si="1518"/>
        <v>26.5570305032705</v>
      </c>
      <c r="Z497" s="1">
        <f t="shared" si="1519"/>
        <v>3600999.14705021</v>
      </c>
      <c r="AA497" s="1">
        <f t="shared" si="1520"/>
        <v>80983.2511082495</v>
      </c>
      <c r="AB497" s="1">
        <f t="shared" si="1521"/>
        <v>53988.8340721664</v>
      </c>
      <c r="AC497" s="1">
        <f>AB497/(AB497+战斗公式!$M$27)</f>
        <v>0.692263638948727</v>
      </c>
      <c r="AD497" s="1">
        <f t="shared" si="1522"/>
        <v>11701571.873888</v>
      </c>
      <c r="AE497" s="1">
        <f t="shared" si="1523"/>
        <v>11.6191960872414</v>
      </c>
      <c r="AF497" s="1">
        <f t="shared" si="1524"/>
        <v>5.44088421994446</v>
      </c>
      <c r="AG497" s="1">
        <f t="shared" si="1525"/>
        <v>4.98936434145278</v>
      </c>
      <c r="AH497" s="1">
        <f t="shared" si="1526"/>
        <v>2.21257140642492</v>
      </c>
      <c r="AI497" s="1">
        <f t="shared" si="1527"/>
        <v>1.00000000000925</v>
      </c>
      <c r="AJ497" s="1">
        <f t="shared" si="1528"/>
        <v>1.00001094766883</v>
      </c>
      <c r="AK497" s="1">
        <f t="shared" si="1529"/>
        <v>1</v>
      </c>
      <c r="AL497" s="10">
        <f t="shared" si="1530"/>
        <v>3302165</v>
      </c>
      <c r="AM497" s="10">
        <f t="shared" si="1531"/>
        <v>179181</v>
      </c>
      <c r="AN497" s="10">
        <f t="shared" si="1532"/>
        <v>53989</v>
      </c>
      <c r="AO497" s="1">
        <f t="shared" si="1533"/>
        <v>1546311</v>
      </c>
      <c r="AP497" s="1">
        <f t="shared" si="1534"/>
        <v>179181</v>
      </c>
      <c r="AR497" s="1">
        <f t="shared" ref="AR497:AX497" si="1649">ROUNDUP(AR$10*$AO497,0)</f>
        <v>1546311</v>
      </c>
      <c r="AS497" s="1">
        <f t="shared" si="1649"/>
        <v>4638933</v>
      </c>
      <c r="AT497" s="1">
        <f t="shared" si="1649"/>
        <v>2783360</v>
      </c>
      <c r="AU497" s="1">
        <f t="shared" si="1649"/>
        <v>773156</v>
      </c>
      <c r="AV497" s="1">
        <f t="shared" si="1649"/>
        <v>231947</v>
      </c>
      <c r="AW497" s="1">
        <f t="shared" si="1649"/>
        <v>6185244</v>
      </c>
      <c r="AX497" s="1">
        <f t="shared" si="1649"/>
        <v>13916799</v>
      </c>
      <c r="AY497" s="1">
        <f t="shared" si="1536"/>
        <v>198129900</v>
      </c>
      <c r="AZ497" s="1">
        <f t="shared" si="1537"/>
        <v>99064950</v>
      </c>
      <c r="BB497" s="1">
        <f t="shared" si="1538"/>
        <v>486</v>
      </c>
    </row>
    <row r="498" spans="2:54">
      <c r="B498" s="4">
        <v>487</v>
      </c>
      <c r="C498" s="1">
        <f t="shared" ref="C498:I498" si="1650">C$5+(C$6-C$5)*(POWER(C$7,$B498-1)-1)/(POWER(C$7,$B$3-1)-1)</f>
        <v>38473.2495414452</v>
      </c>
      <c r="D498" s="1">
        <f t="shared" si="1650"/>
        <v>11541.9748624335</v>
      </c>
      <c r="E498" s="1">
        <f t="shared" si="1650"/>
        <v>7694.64990828903</v>
      </c>
      <c r="F498" s="1">
        <f t="shared" si="1650"/>
        <v>97400.6317504941</v>
      </c>
      <c r="G498" s="1">
        <f t="shared" si="1650"/>
        <v>29220.1895251482</v>
      </c>
      <c r="H498" s="1">
        <f t="shared" si="1650"/>
        <v>19480.1263500988</v>
      </c>
      <c r="I498" s="1">
        <f t="shared" si="1650"/>
        <v>0</v>
      </c>
      <c r="J498" s="1">
        <f>标准模型!$I$65/1*$B498/$B$3</f>
        <v>3.5064</v>
      </c>
      <c r="K498" s="1">
        <f>J498*标准模型!$J$63</f>
        <v>3.5064</v>
      </c>
      <c r="L498" s="1">
        <f t="shared" si="1513"/>
        <v>135873.881291939</v>
      </c>
      <c r="M498" s="1">
        <f t="shared" si="1514"/>
        <v>81232.9450452188</v>
      </c>
      <c r="N498" s="1">
        <f t="shared" si="1515"/>
        <v>54155.2966968125</v>
      </c>
      <c r="O498" s="1">
        <f t="shared" ref="O498:W498" si="1651">O$5+(O$6-O$5)*(POWER(O$7,$B498-1)-1)/(POWER(O$7,$B$3-1)-1)</f>
        <v>0.986977112978427</v>
      </c>
      <c r="P498" s="1">
        <f t="shared" si="1651"/>
        <v>0.385344006613625</v>
      </c>
      <c r="Q498" s="1">
        <f t="shared" si="1651"/>
        <v>0.542837412138135</v>
      </c>
      <c r="R498" s="1">
        <f t="shared" si="1651"/>
        <v>1.19479084519137</v>
      </c>
      <c r="S498" s="1">
        <f t="shared" si="1651"/>
        <v>0.683070246871955</v>
      </c>
      <c r="T498" s="1">
        <f t="shared" si="1651"/>
        <v>3.89921074061587</v>
      </c>
      <c r="U498" s="1">
        <f t="shared" si="1651"/>
        <v>1</v>
      </c>
      <c r="V498" s="1">
        <f t="shared" si="1651"/>
        <v>1.53109640697476</v>
      </c>
      <c r="W498" s="1">
        <f t="shared" si="1651"/>
        <v>2.55832676153097</v>
      </c>
      <c r="X498" s="1">
        <f t="shared" si="1517"/>
        <v>12.5018142781986</v>
      </c>
      <c r="Y498" s="1">
        <f t="shared" si="1518"/>
        <v>26.7131167805415</v>
      </c>
      <c r="Z498" s="1">
        <f t="shared" si="1519"/>
        <v>3629614.858377</v>
      </c>
      <c r="AA498" s="1">
        <f t="shared" si="1520"/>
        <v>81232.9450452188</v>
      </c>
      <c r="AB498" s="1">
        <f t="shared" si="1521"/>
        <v>54155.2966968125</v>
      </c>
      <c r="AC498" s="1">
        <f>AB498/(AB498+战斗公式!$M$27)</f>
        <v>0.692919085278339</v>
      </c>
      <c r="AD498" s="1">
        <f t="shared" si="1522"/>
        <v>11819734.4229839</v>
      </c>
      <c r="AE498" s="1">
        <f t="shared" si="1523"/>
        <v>11.6386464850672</v>
      </c>
      <c r="AF498" s="1">
        <f t="shared" si="1524"/>
        <v>5.44691950405083</v>
      </c>
      <c r="AG498" s="1">
        <f t="shared" si="1525"/>
        <v>4.99016176312294</v>
      </c>
      <c r="AH498" s="1">
        <f t="shared" si="1526"/>
        <v>2.21873552777974</v>
      </c>
      <c r="AI498" s="1">
        <f t="shared" si="1527"/>
        <v>1.00000000000835</v>
      </c>
      <c r="AJ498" s="1">
        <f t="shared" si="1528"/>
        <v>1.00001005890806</v>
      </c>
      <c r="AK498" s="1">
        <f t="shared" si="1529"/>
        <v>1</v>
      </c>
      <c r="AL498" s="10">
        <f t="shared" si="1530"/>
        <v>3325249</v>
      </c>
      <c r="AM498" s="10">
        <f t="shared" si="1531"/>
        <v>180234</v>
      </c>
      <c r="AN498" s="10">
        <f t="shared" si="1532"/>
        <v>54155</v>
      </c>
      <c r="AO498" s="1">
        <f t="shared" si="1533"/>
        <v>1556242</v>
      </c>
      <c r="AP498" s="1">
        <f t="shared" si="1534"/>
        <v>180234</v>
      </c>
      <c r="AR498" s="1">
        <f t="shared" ref="AR498:AX498" si="1652">ROUNDUP(AR$10*$AO498,0)</f>
        <v>1556242</v>
      </c>
      <c r="AS498" s="1">
        <f t="shared" si="1652"/>
        <v>4668726</v>
      </c>
      <c r="AT498" s="1">
        <f t="shared" si="1652"/>
        <v>2801236</v>
      </c>
      <c r="AU498" s="1">
        <f t="shared" si="1652"/>
        <v>778121</v>
      </c>
      <c r="AV498" s="1">
        <f t="shared" si="1652"/>
        <v>233437</v>
      </c>
      <c r="AW498" s="1">
        <f t="shared" si="1652"/>
        <v>6224968</v>
      </c>
      <c r="AX498" s="1">
        <f t="shared" si="1652"/>
        <v>14006178</v>
      </c>
      <c r="AY498" s="1">
        <f t="shared" si="1536"/>
        <v>199514940</v>
      </c>
      <c r="AZ498" s="1">
        <f t="shared" si="1537"/>
        <v>99757470</v>
      </c>
      <c r="BB498" s="1">
        <f t="shared" si="1538"/>
        <v>487</v>
      </c>
    </row>
    <row r="499" spans="2:54">
      <c r="B499" s="4">
        <v>488</v>
      </c>
      <c r="C499" s="1">
        <f t="shared" ref="C499:I499" si="1653">C$5+(C$6-C$5)*(POWER(C$7,$B499-1)-1)/(POWER(C$7,$B$3-1)-1)</f>
        <v>38552.230819839</v>
      </c>
      <c r="D499" s="1">
        <f t="shared" si="1653"/>
        <v>11565.6692459517</v>
      </c>
      <c r="E499" s="1">
        <f t="shared" si="1653"/>
        <v>7710.44616396779</v>
      </c>
      <c r="F499" s="1">
        <f t="shared" si="1653"/>
        <v>97600.5843540227</v>
      </c>
      <c r="G499" s="1">
        <f t="shared" si="1653"/>
        <v>29280.1753062068</v>
      </c>
      <c r="H499" s="1">
        <f t="shared" si="1653"/>
        <v>19520.1168708045</v>
      </c>
      <c r="I499" s="1">
        <f t="shared" si="1653"/>
        <v>0</v>
      </c>
      <c r="J499" s="1">
        <f>标准模型!$I$65/1*$B499/$B$3</f>
        <v>3.5136</v>
      </c>
      <c r="K499" s="1">
        <f>J499*标准模型!$J$63</f>
        <v>3.5136</v>
      </c>
      <c r="L499" s="1">
        <f t="shared" si="1513"/>
        <v>136152.815173862</v>
      </c>
      <c r="M499" s="1">
        <f t="shared" si="1514"/>
        <v>81482.9800147343</v>
      </c>
      <c r="N499" s="1">
        <f t="shared" si="1515"/>
        <v>54321.9866764896</v>
      </c>
      <c r="O499" s="1">
        <f t="shared" ref="O499:W499" si="1654">O$5+(O$6-O$5)*(POWER(O$7,$B499-1)-1)/(POWER(O$7,$B$3-1)-1)</f>
        <v>0.987978879529172</v>
      </c>
      <c r="P499" s="1">
        <f t="shared" si="1654"/>
        <v>0.386461279749075</v>
      </c>
      <c r="Q499" s="1">
        <f t="shared" si="1654"/>
        <v>0.543388383741044</v>
      </c>
      <c r="R499" s="1">
        <f t="shared" si="1654"/>
        <v>1.19519155181167</v>
      </c>
      <c r="S499" s="1">
        <f t="shared" si="1654"/>
        <v>0.684372543387923</v>
      </c>
      <c r="T499" s="1">
        <f t="shared" si="1654"/>
        <v>3.90311763016377</v>
      </c>
      <c r="U499" s="1">
        <f t="shared" si="1654"/>
        <v>1</v>
      </c>
      <c r="V499" s="1">
        <f t="shared" si="1654"/>
        <v>1.53218893186258</v>
      </c>
      <c r="W499" s="1">
        <f t="shared" si="1654"/>
        <v>2.56153241449335</v>
      </c>
      <c r="X499" s="1">
        <f t="shared" si="1517"/>
        <v>12.5681508463635</v>
      </c>
      <c r="Y499" s="1">
        <f t="shared" si="1518"/>
        <v>26.8699988062121</v>
      </c>
      <c r="Z499" s="1">
        <f t="shared" si="1519"/>
        <v>3658425.98118408</v>
      </c>
      <c r="AA499" s="1">
        <f t="shared" si="1520"/>
        <v>81482.9800147343</v>
      </c>
      <c r="AB499" s="1">
        <f t="shared" si="1521"/>
        <v>54321.9866764896</v>
      </c>
      <c r="AC499" s="1">
        <f>AB499/(AB499+战斗公式!$M$27)</f>
        <v>0.693572634985212</v>
      </c>
      <c r="AD499" s="1">
        <f t="shared" si="1522"/>
        <v>11938966.2898009</v>
      </c>
      <c r="AE499" s="1">
        <f t="shared" si="1523"/>
        <v>11.6581177536424</v>
      </c>
      <c r="AF499" s="1">
        <f t="shared" si="1524"/>
        <v>5.45295828143366</v>
      </c>
      <c r="AG499" s="1">
        <f t="shared" si="1525"/>
        <v>4.99095320413057</v>
      </c>
      <c r="AH499" s="1">
        <f t="shared" si="1526"/>
        <v>2.22491197737727</v>
      </c>
      <c r="AI499" s="1">
        <f t="shared" si="1527"/>
        <v>1.00000000000749</v>
      </c>
      <c r="AJ499" s="1">
        <f t="shared" si="1528"/>
        <v>1.00000918792251</v>
      </c>
      <c r="AK499" s="1">
        <f t="shared" si="1529"/>
        <v>1</v>
      </c>
      <c r="AL499" s="10">
        <f t="shared" si="1530"/>
        <v>3348464</v>
      </c>
      <c r="AM499" s="10">
        <f t="shared" si="1531"/>
        <v>181292</v>
      </c>
      <c r="AN499" s="10">
        <f t="shared" si="1532"/>
        <v>54322</v>
      </c>
      <c r="AO499" s="1">
        <f t="shared" si="1533"/>
        <v>1566222</v>
      </c>
      <c r="AP499" s="1">
        <f t="shared" si="1534"/>
        <v>181292</v>
      </c>
      <c r="AR499" s="1">
        <f t="shared" ref="AR499:AX499" si="1655">ROUNDUP(AR$10*$AO499,0)</f>
        <v>1566222</v>
      </c>
      <c r="AS499" s="1">
        <f t="shared" si="1655"/>
        <v>4698666</v>
      </c>
      <c r="AT499" s="1">
        <f t="shared" si="1655"/>
        <v>2819200</v>
      </c>
      <c r="AU499" s="1">
        <f t="shared" si="1655"/>
        <v>783111</v>
      </c>
      <c r="AV499" s="1">
        <f t="shared" si="1655"/>
        <v>234934</v>
      </c>
      <c r="AW499" s="1">
        <f t="shared" si="1655"/>
        <v>6264888</v>
      </c>
      <c r="AX499" s="1">
        <f t="shared" si="1655"/>
        <v>14095998</v>
      </c>
      <c r="AY499" s="1">
        <f t="shared" si="1536"/>
        <v>200907840</v>
      </c>
      <c r="AZ499" s="1">
        <f t="shared" si="1537"/>
        <v>100453920</v>
      </c>
      <c r="BB499" s="1">
        <f t="shared" si="1538"/>
        <v>488</v>
      </c>
    </row>
    <row r="500" spans="2:54">
      <c r="B500" s="4">
        <v>489</v>
      </c>
      <c r="C500" s="1">
        <f t="shared" ref="C500:I500" si="1656">C$5+(C$6-C$5)*(POWER(C$7,$B500-1)-1)/(POWER(C$7,$B$3-1)-1)</f>
        <v>38631.2120192499</v>
      </c>
      <c r="D500" s="1">
        <f t="shared" si="1656"/>
        <v>11589.363605775</v>
      </c>
      <c r="E500" s="1">
        <f t="shared" si="1656"/>
        <v>7726.24240384998</v>
      </c>
      <c r="F500" s="1">
        <f t="shared" si="1656"/>
        <v>97800.5367575947</v>
      </c>
      <c r="G500" s="1">
        <f t="shared" si="1656"/>
        <v>29340.1610272784</v>
      </c>
      <c r="H500" s="1">
        <f t="shared" si="1656"/>
        <v>19560.1073515189</v>
      </c>
      <c r="I500" s="1">
        <f t="shared" si="1656"/>
        <v>0</v>
      </c>
      <c r="J500" s="1">
        <f>标准模型!$I$65/1*$B500/$B$3</f>
        <v>3.5208</v>
      </c>
      <c r="K500" s="1">
        <f>J500*标准模型!$J$63</f>
        <v>3.5208</v>
      </c>
      <c r="L500" s="1">
        <f t="shared" si="1513"/>
        <v>136431.748776845</v>
      </c>
      <c r="M500" s="1">
        <f t="shared" si="1514"/>
        <v>81733.3560162659</v>
      </c>
      <c r="N500" s="1">
        <f t="shared" si="1515"/>
        <v>54488.904010844</v>
      </c>
      <c r="O500" s="1">
        <f t="shared" ref="O500:W500" si="1657">O$5+(O$6-O$5)*(POWER(O$7,$B500-1)-1)/(POWER(O$7,$B$3-1)-1)</f>
        <v>0.98898064507813</v>
      </c>
      <c r="P500" s="1">
        <f t="shared" si="1657"/>
        <v>0.387580228794228</v>
      </c>
      <c r="Q500" s="1">
        <f t="shared" si="1657"/>
        <v>0.543939354792972</v>
      </c>
      <c r="R500" s="1">
        <f t="shared" si="1657"/>
        <v>1.19559225803125</v>
      </c>
      <c r="S500" s="1">
        <f t="shared" si="1657"/>
        <v>0.685674838601569</v>
      </c>
      <c r="T500" s="1">
        <f t="shared" si="1657"/>
        <v>3.90702451580471</v>
      </c>
      <c r="U500" s="1">
        <f t="shared" si="1657"/>
        <v>1</v>
      </c>
      <c r="V500" s="1">
        <f t="shared" si="1657"/>
        <v>1.53328145565786</v>
      </c>
      <c r="W500" s="1">
        <f t="shared" si="1657"/>
        <v>2.56473806425002</v>
      </c>
      <c r="X500" s="1">
        <f t="shared" si="1517"/>
        <v>12.6347875341846</v>
      </c>
      <c r="Y500" s="1">
        <f t="shared" si="1518"/>
        <v>27.0276799883242</v>
      </c>
      <c r="Z500" s="1">
        <f t="shared" si="1519"/>
        <v>3687433.646188</v>
      </c>
      <c r="AA500" s="1">
        <f t="shared" si="1520"/>
        <v>81733.3560162659</v>
      </c>
      <c r="AB500" s="1">
        <f t="shared" si="1521"/>
        <v>54488.904010844</v>
      </c>
      <c r="AC500" s="1">
        <f>AB500/(AB500+战斗公式!$M$27)</f>
        <v>0.694224294472449</v>
      </c>
      <c r="AD500" s="1">
        <f t="shared" si="1522"/>
        <v>12059276.0625836</v>
      </c>
      <c r="AE500" s="1">
        <f t="shared" si="1523"/>
        <v>11.6776098758307</v>
      </c>
      <c r="AF500" s="1">
        <f t="shared" si="1524"/>
        <v>5.45900054136926</v>
      </c>
      <c r="AG500" s="1">
        <f t="shared" si="1525"/>
        <v>4.99173870933064</v>
      </c>
      <c r="AH500" s="1">
        <f t="shared" si="1526"/>
        <v>2.231100779874</v>
      </c>
      <c r="AI500" s="1">
        <f t="shared" si="1527"/>
        <v>1.00000000000668</v>
      </c>
      <c r="AJ500" s="1">
        <f t="shared" si="1528"/>
        <v>1.00000833435667</v>
      </c>
      <c r="AK500" s="1">
        <f t="shared" si="1529"/>
        <v>1</v>
      </c>
      <c r="AL500" s="10">
        <f t="shared" si="1530"/>
        <v>3371809</v>
      </c>
      <c r="AM500" s="10">
        <f t="shared" si="1531"/>
        <v>182355</v>
      </c>
      <c r="AN500" s="10">
        <f t="shared" si="1532"/>
        <v>54489</v>
      </c>
      <c r="AO500" s="1">
        <f t="shared" si="1533"/>
        <v>1576252</v>
      </c>
      <c r="AP500" s="1">
        <f t="shared" si="1534"/>
        <v>182355</v>
      </c>
      <c r="AR500" s="1">
        <f t="shared" ref="AR500:AX500" si="1658">ROUNDUP(AR$10*$AO500,0)</f>
        <v>1576252</v>
      </c>
      <c r="AS500" s="1">
        <f t="shared" si="1658"/>
        <v>4728756</v>
      </c>
      <c r="AT500" s="1">
        <f t="shared" si="1658"/>
        <v>2837254</v>
      </c>
      <c r="AU500" s="1">
        <f t="shared" si="1658"/>
        <v>788126</v>
      </c>
      <c r="AV500" s="1">
        <f t="shared" si="1658"/>
        <v>236438</v>
      </c>
      <c r="AW500" s="1">
        <f t="shared" si="1658"/>
        <v>6305008</v>
      </c>
      <c r="AX500" s="1">
        <f t="shared" si="1658"/>
        <v>14186268</v>
      </c>
      <c r="AY500" s="1">
        <f t="shared" si="1536"/>
        <v>202308540</v>
      </c>
      <c r="AZ500" s="1">
        <f t="shared" si="1537"/>
        <v>101154270</v>
      </c>
      <c r="BB500" s="1">
        <f t="shared" si="1538"/>
        <v>489</v>
      </c>
    </row>
    <row r="501" spans="2:54">
      <c r="B501" s="4">
        <v>490</v>
      </c>
      <c r="C501" s="1">
        <f t="shared" ref="C501:I501" si="1659">C$5+(C$6-C$5)*(POWER(C$7,$B501-1)-1)/(POWER(C$7,$B$3-1)-1)</f>
        <v>38710.193139678</v>
      </c>
      <c r="D501" s="1">
        <f t="shared" si="1659"/>
        <v>11613.0579419034</v>
      </c>
      <c r="E501" s="1">
        <f t="shared" si="1659"/>
        <v>7742.03862793561</v>
      </c>
      <c r="F501" s="1">
        <f t="shared" si="1659"/>
        <v>98000.4889612102</v>
      </c>
      <c r="G501" s="1">
        <f t="shared" si="1659"/>
        <v>29400.1466883631</v>
      </c>
      <c r="H501" s="1">
        <f t="shared" si="1659"/>
        <v>19600.097792242</v>
      </c>
      <c r="I501" s="1">
        <f t="shared" si="1659"/>
        <v>0</v>
      </c>
      <c r="J501" s="1">
        <f>标准模型!$I$65/1*$B501/$B$3</f>
        <v>3.528</v>
      </c>
      <c r="K501" s="1">
        <f>J501*标准模型!$J$63</f>
        <v>3.528</v>
      </c>
      <c r="L501" s="1">
        <f t="shared" si="1513"/>
        <v>136710.682100888</v>
      </c>
      <c r="M501" s="1">
        <f t="shared" si="1514"/>
        <v>81984.0730493017</v>
      </c>
      <c r="N501" s="1">
        <f t="shared" si="1515"/>
        <v>54656.0486995345</v>
      </c>
      <c r="O501" s="1">
        <f t="shared" ref="O501:W501" si="1660">O$5+(O$6-O$5)*(POWER(O$7,$B501-1)-1)/(POWER(O$7,$B$3-1)-1)</f>
        <v>0.989982409625302</v>
      </c>
      <c r="P501" s="1">
        <f t="shared" si="1660"/>
        <v>0.388700856262949</v>
      </c>
      <c r="Q501" s="1">
        <f t="shared" si="1660"/>
        <v>0.544490325293916</v>
      </c>
      <c r="R501" s="1">
        <f t="shared" si="1660"/>
        <v>1.19599296385012</v>
      </c>
      <c r="S501" s="1">
        <f t="shared" si="1660"/>
        <v>0.686977132512892</v>
      </c>
      <c r="T501" s="1">
        <f t="shared" si="1660"/>
        <v>3.91093139753868</v>
      </c>
      <c r="U501" s="1">
        <f t="shared" si="1660"/>
        <v>1</v>
      </c>
      <c r="V501" s="1">
        <f t="shared" si="1660"/>
        <v>1.53437397836059</v>
      </c>
      <c r="W501" s="1">
        <f t="shared" si="1660"/>
        <v>2.56794371080097</v>
      </c>
      <c r="X501" s="1">
        <f t="shared" si="1517"/>
        <v>12.7017254557665</v>
      </c>
      <c r="Y501" s="1">
        <f t="shared" si="1518"/>
        <v>27.1861637468333</v>
      </c>
      <c r="Z501" s="1">
        <f t="shared" si="1519"/>
        <v>3716638.98953602</v>
      </c>
      <c r="AA501" s="1">
        <f t="shared" si="1520"/>
        <v>81984.0730493017</v>
      </c>
      <c r="AB501" s="1">
        <f t="shared" si="1521"/>
        <v>54656.0486995345</v>
      </c>
      <c r="AC501" s="1">
        <f>AB501/(AB501+战斗公式!$M$27)</f>
        <v>0.694874070121678</v>
      </c>
      <c r="AD501" s="1">
        <f t="shared" si="1522"/>
        <v>12180672.3899805</v>
      </c>
      <c r="AE501" s="1">
        <f t="shared" si="1523"/>
        <v>11.697122834536</v>
      </c>
      <c r="AF501" s="1">
        <f t="shared" si="1524"/>
        <v>5.46504627317855</v>
      </c>
      <c r="AG501" s="1">
        <f t="shared" si="1525"/>
        <v>4.99251832324172</v>
      </c>
      <c r="AH501" s="1">
        <f t="shared" si="1526"/>
        <v>2.23730195997571</v>
      </c>
      <c r="AI501" s="1">
        <f t="shared" si="1527"/>
        <v>1.0000000000059</v>
      </c>
      <c r="AJ501" s="1">
        <f t="shared" si="1528"/>
        <v>1.00000749786215</v>
      </c>
      <c r="AK501" s="1">
        <f t="shared" si="1529"/>
        <v>1</v>
      </c>
      <c r="AL501" s="10">
        <f t="shared" si="1530"/>
        <v>3395285</v>
      </c>
      <c r="AM501" s="10">
        <f t="shared" si="1531"/>
        <v>183423</v>
      </c>
      <c r="AN501" s="10">
        <f t="shared" si="1532"/>
        <v>54656</v>
      </c>
      <c r="AO501" s="1">
        <f t="shared" si="1533"/>
        <v>1586333</v>
      </c>
      <c r="AP501" s="1">
        <f t="shared" si="1534"/>
        <v>183423</v>
      </c>
      <c r="AR501" s="1">
        <f t="shared" ref="AR501:AX501" si="1661">ROUNDUP(AR$10*$AO501,0)</f>
        <v>1586333</v>
      </c>
      <c r="AS501" s="1">
        <f t="shared" si="1661"/>
        <v>4758999</v>
      </c>
      <c r="AT501" s="1">
        <f t="shared" si="1661"/>
        <v>2855400</v>
      </c>
      <c r="AU501" s="1">
        <f t="shared" si="1661"/>
        <v>793167</v>
      </c>
      <c r="AV501" s="1">
        <f t="shared" si="1661"/>
        <v>237950</v>
      </c>
      <c r="AW501" s="1">
        <f t="shared" si="1661"/>
        <v>6345332</v>
      </c>
      <c r="AX501" s="1">
        <f t="shared" si="1661"/>
        <v>14276997</v>
      </c>
      <c r="AY501" s="1">
        <f t="shared" si="1536"/>
        <v>203717100</v>
      </c>
      <c r="AZ501" s="1">
        <f t="shared" si="1537"/>
        <v>101858550</v>
      </c>
      <c r="BB501" s="1">
        <f t="shared" si="1538"/>
        <v>490</v>
      </c>
    </row>
    <row r="502" spans="2:54">
      <c r="B502" s="4">
        <v>491</v>
      </c>
      <c r="C502" s="1">
        <f t="shared" ref="C502:I502" si="1662">C$5+(C$6-C$5)*(POWER(C$7,$B502-1)-1)/(POWER(C$7,$B$3-1)-1)</f>
        <v>38789.1741811233</v>
      </c>
      <c r="D502" s="1">
        <f t="shared" si="1662"/>
        <v>11636.752254337</v>
      </c>
      <c r="E502" s="1">
        <f t="shared" si="1662"/>
        <v>7757.83483622467</v>
      </c>
      <c r="F502" s="1">
        <f t="shared" si="1662"/>
        <v>98200.4409648692</v>
      </c>
      <c r="G502" s="1">
        <f t="shared" si="1662"/>
        <v>29460.1322894608</v>
      </c>
      <c r="H502" s="1">
        <f t="shared" si="1662"/>
        <v>19640.0881929738</v>
      </c>
      <c r="I502" s="1">
        <f t="shared" si="1662"/>
        <v>0</v>
      </c>
      <c r="J502" s="1">
        <f>标准模型!$I$65/1*$B502/$B$3</f>
        <v>3.5352</v>
      </c>
      <c r="K502" s="1">
        <f>J502*标准模型!$J$63</f>
        <v>3.5352</v>
      </c>
      <c r="L502" s="1">
        <f t="shared" si="1513"/>
        <v>136989.615145993</v>
      </c>
      <c r="M502" s="1">
        <f t="shared" si="1514"/>
        <v>82235.1311133299</v>
      </c>
      <c r="N502" s="1">
        <f t="shared" si="1515"/>
        <v>54823.42074222</v>
      </c>
      <c r="O502" s="1">
        <f t="shared" ref="O502:W502" si="1663">O$5+(O$6-O$5)*(POWER(O$7,$B502-1)-1)/(POWER(O$7,$B$3-1)-1)</f>
        <v>0.990984173170687</v>
      </c>
      <c r="P502" s="1">
        <f t="shared" si="1663"/>
        <v>0.389823164672873</v>
      </c>
      <c r="Q502" s="1">
        <f t="shared" si="1663"/>
        <v>0.545041295243878</v>
      </c>
      <c r="R502" s="1">
        <f t="shared" si="1663"/>
        <v>1.19639366926827</v>
      </c>
      <c r="S502" s="1">
        <f t="shared" si="1663"/>
        <v>0.688279425121894</v>
      </c>
      <c r="T502" s="1">
        <f t="shared" si="1663"/>
        <v>3.91483827536568</v>
      </c>
      <c r="U502" s="1">
        <f t="shared" si="1663"/>
        <v>1</v>
      </c>
      <c r="V502" s="1">
        <f t="shared" si="1663"/>
        <v>1.53546649997077</v>
      </c>
      <c r="W502" s="1">
        <f t="shared" si="1663"/>
        <v>2.5711493541462</v>
      </c>
      <c r="X502" s="1">
        <f t="shared" si="1517"/>
        <v>12.7689657285113</v>
      </c>
      <c r="Y502" s="1">
        <f t="shared" si="1518"/>
        <v>27.3454535136275</v>
      </c>
      <c r="Z502" s="1">
        <f t="shared" si="1519"/>
        <v>3746043.15282445</v>
      </c>
      <c r="AA502" s="1">
        <f t="shared" si="1520"/>
        <v>82235.1311133299</v>
      </c>
      <c r="AB502" s="1">
        <f t="shared" si="1521"/>
        <v>54823.42074222</v>
      </c>
      <c r="AC502" s="1">
        <f>AB502/(AB502+战斗公式!$M$27)</f>
        <v>0.695521968293049</v>
      </c>
      <c r="AD502" s="1">
        <f t="shared" si="1522"/>
        <v>12303163.9813998</v>
      </c>
      <c r="AE502" s="1">
        <f t="shared" si="1523"/>
        <v>11.7166566127</v>
      </c>
      <c r="AF502" s="1">
        <f t="shared" si="1524"/>
        <v>5.471095466226</v>
      </c>
      <c r="AG502" s="1">
        <f t="shared" si="1525"/>
        <v>4.99329209004846</v>
      </c>
      <c r="AH502" s="1">
        <f t="shared" si="1526"/>
        <v>2.24351554243764</v>
      </c>
      <c r="AI502" s="1">
        <f t="shared" si="1527"/>
        <v>1.00000000000517</v>
      </c>
      <c r="AJ502" s="1">
        <f t="shared" si="1528"/>
        <v>1.00000667809752</v>
      </c>
      <c r="AK502" s="1">
        <f t="shared" si="1529"/>
        <v>1</v>
      </c>
      <c r="AL502" s="10">
        <f t="shared" si="1530"/>
        <v>3418893</v>
      </c>
      <c r="AM502" s="10">
        <f t="shared" si="1531"/>
        <v>184496</v>
      </c>
      <c r="AN502" s="10">
        <f t="shared" si="1532"/>
        <v>54823</v>
      </c>
      <c r="AO502" s="1">
        <f t="shared" si="1533"/>
        <v>1596463</v>
      </c>
      <c r="AP502" s="1">
        <f t="shared" si="1534"/>
        <v>184496</v>
      </c>
      <c r="AR502" s="1">
        <f t="shared" ref="AR502:AX502" si="1664">ROUNDUP(AR$10*$AO502,0)</f>
        <v>1596463</v>
      </c>
      <c r="AS502" s="1">
        <f t="shared" si="1664"/>
        <v>4789389</v>
      </c>
      <c r="AT502" s="1">
        <f t="shared" si="1664"/>
        <v>2873634</v>
      </c>
      <c r="AU502" s="1">
        <f t="shared" si="1664"/>
        <v>798232</v>
      </c>
      <c r="AV502" s="1">
        <f t="shared" si="1664"/>
        <v>239470</v>
      </c>
      <c r="AW502" s="1">
        <f t="shared" si="1664"/>
        <v>6385852</v>
      </c>
      <c r="AX502" s="1">
        <f t="shared" si="1664"/>
        <v>14368167</v>
      </c>
      <c r="AY502" s="1">
        <f t="shared" si="1536"/>
        <v>205133580</v>
      </c>
      <c r="AZ502" s="1">
        <f t="shared" si="1537"/>
        <v>102566790</v>
      </c>
      <c r="BB502" s="1">
        <f t="shared" si="1538"/>
        <v>491</v>
      </c>
    </row>
    <row r="503" spans="2:54">
      <c r="B503" s="4">
        <v>492</v>
      </c>
      <c r="C503" s="1">
        <f t="shared" ref="C503:I503" si="1665">C$5+(C$6-C$5)*(POWER(C$7,$B503-1)-1)/(POWER(C$7,$B$3-1)-1)</f>
        <v>38868.1551435858</v>
      </c>
      <c r="D503" s="1">
        <f t="shared" si="1665"/>
        <v>11660.4465430757</v>
      </c>
      <c r="E503" s="1">
        <f t="shared" si="1665"/>
        <v>7773.63102871716</v>
      </c>
      <c r="F503" s="1">
        <f t="shared" si="1665"/>
        <v>98400.3927685716</v>
      </c>
      <c r="G503" s="1">
        <f t="shared" si="1665"/>
        <v>29520.1178305715</v>
      </c>
      <c r="H503" s="1">
        <f t="shared" si="1665"/>
        <v>19680.0785537143</v>
      </c>
      <c r="I503" s="1">
        <f t="shared" si="1665"/>
        <v>0</v>
      </c>
      <c r="J503" s="1">
        <f>标准模型!$I$65/1*$B503/$B$3</f>
        <v>3.5424</v>
      </c>
      <c r="K503" s="1">
        <f>J503*标准模型!$J$63</f>
        <v>3.5424</v>
      </c>
      <c r="L503" s="1">
        <f t="shared" si="1513"/>
        <v>137268.547912157</v>
      </c>
      <c r="M503" s="1">
        <f t="shared" si="1514"/>
        <v>82486.5302078387</v>
      </c>
      <c r="N503" s="1">
        <f t="shared" si="1515"/>
        <v>54991.0201385591</v>
      </c>
      <c r="O503" s="1">
        <f t="shared" ref="O503:W503" si="1666">O$5+(O$6-O$5)*(POWER(O$7,$B503-1)-1)/(POWER(O$7,$B$3-1)-1)</f>
        <v>0.991985935714287</v>
      </c>
      <c r="P503" s="1">
        <f t="shared" si="1666"/>
        <v>0.390947156545412</v>
      </c>
      <c r="Q503" s="1">
        <f t="shared" si="1666"/>
        <v>0.545592264642858</v>
      </c>
      <c r="R503" s="1">
        <f t="shared" si="1666"/>
        <v>1.19679437428571</v>
      </c>
      <c r="S503" s="1">
        <f t="shared" si="1666"/>
        <v>0.689581716428573</v>
      </c>
      <c r="T503" s="1">
        <f t="shared" si="1666"/>
        <v>3.91874514928572</v>
      </c>
      <c r="U503" s="1">
        <f t="shared" si="1666"/>
        <v>1</v>
      </c>
      <c r="V503" s="1">
        <f t="shared" si="1666"/>
        <v>1.5365590204884</v>
      </c>
      <c r="W503" s="1">
        <f t="shared" si="1666"/>
        <v>2.57435499428572</v>
      </c>
      <c r="X503" s="1">
        <f t="shared" si="1517"/>
        <v>12.8365094731275</v>
      </c>
      <c r="Y503" s="1">
        <f t="shared" si="1518"/>
        <v>27.5055527325616</v>
      </c>
      <c r="Z503" s="1">
        <f t="shared" si="1519"/>
        <v>3775647.28312</v>
      </c>
      <c r="AA503" s="1">
        <f t="shared" si="1520"/>
        <v>82486.5302078387</v>
      </c>
      <c r="AB503" s="1">
        <f t="shared" si="1521"/>
        <v>54991.0201385591</v>
      </c>
      <c r="AC503" s="1">
        <f>AB503/(AB503+战斗公式!$M$27)</f>
        <v>0.696167995325275</v>
      </c>
      <c r="AD503" s="1">
        <f t="shared" si="1522"/>
        <v>12426759.6073762</v>
      </c>
      <c r="AE503" s="1">
        <f t="shared" si="1523"/>
        <v>11.7362111933012</v>
      </c>
      <c r="AF503" s="1">
        <f t="shared" si="1524"/>
        <v>5.47714810991932</v>
      </c>
      <c r="AG503" s="1">
        <f t="shared" si="1525"/>
        <v>4.99406005360415</v>
      </c>
      <c r="AH503" s="1">
        <f t="shared" si="1526"/>
        <v>2.24974155206448</v>
      </c>
      <c r="AI503" s="1">
        <f t="shared" si="1527"/>
        <v>1.00000000000447</v>
      </c>
      <c r="AJ503" s="1">
        <f t="shared" si="1528"/>
        <v>1.00000587472818</v>
      </c>
      <c r="AK503" s="1">
        <f t="shared" si="1529"/>
        <v>1</v>
      </c>
      <c r="AL503" s="10">
        <f t="shared" si="1530"/>
        <v>3442633</v>
      </c>
      <c r="AM503" s="10">
        <f t="shared" si="1531"/>
        <v>185573</v>
      </c>
      <c r="AN503" s="10">
        <f t="shared" si="1532"/>
        <v>54991</v>
      </c>
      <c r="AO503" s="1">
        <f t="shared" si="1533"/>
        <v>1606645</v>
      </c>
      <c r="AP503" s="1">
        <f t="shared" si="1534"/>
        <v>185573</v>
      </c>
      <c r="AR503" s="1">
        <f t="shared" ref="AR503:AX503" si="1667">ROUNDUP(AR$10*$AO503,0)</f>
        <v>1606645</v>
      </c>
      <c r="AS503" s="1">
        <f t="shared" si="1667"/>
        <v>4819935</v>
      </c>
      <c r="AT503" s="1">
        <f t="shared" si="1667"/>
        <v>2891961</v>
      </c>
      <c r="AU503" s="1">
        <f t="shared" si="1667"/>
        <v>803323</v>
      </c>
      <c r="AV503" s="1">
        <f t="shared" si="1667"/>
        <v>240997</v>
      </c>
      <c r="AW503" s="1">
        <f t="shared" si="1667"/>
        <v>6426580</v>
      </c>
      <c r="AX503" s="1">
        <f t="shared" si="1667"/>
        <v>14459805</v>
      </c>
      <c r="AY503" s="1">
        <f t="shared" si="1536"/>
        <v>206557980</v>
      </c>
      <c r="AZ503" s="1">
        <f t="shared" si="1537"/>
        <v>103278990</v>
      </c>
      <c r="BB503" s="1">
        <f t="shared" si="1538"/>
        <v>492</v>
      </c>
    </row>
    <row r="504" spans="2:54">
      <c r="B504" s="4">
        <v>493</v>
      </c>
      <c r="C504" s="1">
        <f t="shared" ref="C504:I504" si="1668">C$5+(C$6-C$5)*(POWER(C$7,$B504-1)-1)/(POWER(C$7,$B$3-1)-1)</f>
        <v>38947.1360270654</v>
      </c>
      <c r="D504" s="1">
        <f t="shared" si="1668"/>
        <v>11684.1408081196</v>
      </c>
      <c r="E504" s="1">
        <f t="shared" si="1668"/>
        <v>7789.42720541308</v>
      </c>
      <c r="F504" s="1">
        <f t="shared" si="1668"/>
        <v>98600.3443723175</v>
      </c>
      <c r="G504" s="1">
        <f t="shared" si="1668"/>
        <v>29580.1033116953</v>
      </c>
      <c r="H504" s="1">
        <f t="shared" si="1668"/>
        <v>19720.0688744635</v>
      </c>
      <c r="I504" s="1">
        <f t="shared" si="1668"/>
        <v>0</v>
      </c>
      <c r="J504" s="1">
        <f>标准模型!$I$65/1*$B504/$B$3</f>
        <v>3.5496</v>
      </c>
      <c r="K504" s="1">
        <f>J504*标准模型!$J$63</f>
        <v>3.5496</v>
      </c>
      <c r="L504" s="1">
        <f t="shared" si="1513"/>
        <v>137547.480399383</v>
      </c>
      <c r="M504" s="1">
        <f t="shared" si="1514"/>
        <v>82738.2703323163</v>
      </c>
      <c r="N504" s="1">
        <f t="shared" si="1515"/>
        <v>55158.8468882109</v>
      </c>
      <c r="O504" s="1">
        <f t="shared" ref="O504:W504" si="1669">O$5+(O$6-O$5)*(POWER(O$7,$B504-1)-1)/(POWER(O$7,$B$3-1)-1)</f>
        <v>0.9929876972561</v>
      </c>
      <c r="P504" s="1">
        <f t="shared" si="1669"/>
        <v>0.39207283440576</v>
      </c>
      <c r="Q504" s="1">
        <f t="shared" si="1669"/>
        <v>0.546143233490855</v>
      </c>
      <c r="R504" s="1">
        <f t="shared" si="1669"/>
        <v>1.19719507890244</v>
      </c>
      <c r="S504" s="1">
        <f t="shared" si="1669"/>
        <v>0.69088400643293</v>
      </c>
      <c r="T504" s="1">
        <f t="shared" si="1669"/>
        <v>3.92265201929879</v>
      </c>
      <c r="U504" s="1">
        <f t="shared" si="1669"/>
        <v>1</v>
      </c>
      <c r="V504" s="1">
        <f t="shared" si="1669"/>
        <v>1.53765153991349</v>
      </c>
      <c r="W504" s="1">
        <f t="shared" si="1669"/>
        <v>2.57756063121952</v>
      </c>
      <c r="X504" s="1">
        <f t="shared" si="1517"/>
        <v>12.9043578136373</v>
      </c>
      <c r="Y504" s="1">
        <f t="shared" si="1518"/>
        <v>27.666464859491</v>
      </c>
      <c r="Z504" s="1">
        <f t="shared" si="1519"/>
        <v>3805452.53298106</v>
      </c>
      <c r="AA504" s="1">
        <f t="shared" si="1520"/>
        <v>82738.2703323163</v>
      </c>
      <c r="AB504" s="1">
        <f t="shared" si="1521"/>
        <v>55158.8468882109</v>
      </c>
      <c r="AC504" s="1">
        <f>AB504/(AB504+战斗公式!$M$27)</f>
        <v>0.696812157535681</v>
      </c>
      <c r="AD504" s="1">
        <f t="shared" si="1522"/>
        <v>12551468.0999417</v>
      </c>
      <c r="AE504" s="1">
        <f t="shared" si="1523"/>
        <v>11.7557865593556</v>
      </c>
      <c r="AF504" s="1">
        <f t="shared" si="1524"/>
        <v>5.48320419370934</v>
      </c>
      <c r="AG504" s="1">
        <f t="shared" si="1525"/>
        <v>4.99482225743317</v>
      </c>
      <c r="AH504" s="1">
        <f t="shared" si="1526"/>
        <v>2.25598001371058</v>
      </c>
      <c r="AI504" s="1">
        <f t="shared" si="1527"/>
        <v>1.0000000000038</v>
      </c>
      <c r="AJ504" s="1">
        <f t="shared" si="1528"/>
        <v>1.00000508742623</v>
      </c>
      <c r="AK504" s="1">
        <f t="shared" si="1529"/>
        <v>1</v>
      </c>
      <c r="AL504" s="10">
        <f t="shared" si="1530"/>
        <v>3466506</v>
      </c>
      <c r="AM504" s="10">
        <f t="shared" si="1531"/>
        <v>186656</v>
      </c>
      <c r="AN504" s="10">
        <f t="shared" si="1532"/>
        <v>55159</v>
      </c>
      <c r="AO504" s="1">
        <f t="shared" si="1533"/>
        <v>1616877</v>
      </c>
      <c r="AP504" s="1">
        <f t="shared" si="1534"/>
        <v>186656</v>
      </c>
      <c r="AR504" s="1">
        <f t="shared" ref="AR504:AX504" si="1670">ROUNDUP(AR$10*$AO504,0)</f>
        <v>1616877</v>
      </c>
      <c r="AS504" s="1">
        <f t="shared" si="1670"/>
        <v>4850631</v>
      </c>
      <c r="AT504" s="1">
        <f t="shared" si="1670"/>
        <v>2910379</v>
      </c>
      <c r="AU504" s="1">
        <f t="shared" si="1670"/>
        <v>808439</v>
      </c>
      <c r="AV504" s="1">
        <f t="shared" si="1670"/>
        <v>242532</v>
      </c>
      <c r="AW504" s="1">
        <f t="shared" si="1670"/>
        <v>6467508</v>
      </c>
      <c r="AX504" s="1">
        <f t="shared" si="1670"/>
        <v>14551893</v>
      </c>
      <c r="AY504" s="1">
        <f t="shared" si="1536"/>
        <v>207990360</v>
      </c>
      <c r="AZ504" s="1">
        <f t="shared" si="1537"/>
        <v>103995180</v>
      </c>
      <c r="BB504" s="1">
        <f t="shared" si="1538"/>
        <v>493</v>
      </c>
    </row>
    <row r="505" spans="2:54">
      <c r="B505" s="4">
        <v>494</v>
      </c>
      <c r="C505" s="1">
        <f t="shared" ref="C505:I505" si="1671">C$5+(C$6-C$5)*(POWER(C$7,$B505-1)-1)/(POWER(C$7,$B$3-1)-1)</f>
        <v>39026.116831571</v>
      </c>
      <c r="D505" s="1">
        <f t="shared" si="1671"/>
        <v>11707.8350494713</v>
      </c>
      <c r="E505" s="1">
        <f t="shared" si="1671"/>
        <v>7805.2233663142</v>
      </c>
      <c r="F505" s="1">
        <f t="shared" si="1671"/>
        <v>98800.2957761291</v>
      </c>
      <c r="G505" s="1">
        <f t="shared" si="1671"/>
        <v>29640.0887328387</v>
      </c>
      <c r="H505" s="1">
        <f t="shared" si="1671"/>
        <v>19760.0591552258</v>
      </c>
      <c r="I505" s="1">
        <f t="shared" si="1671"/>
        <v>0</v>
      </c>
      <c r="J505" s="1">
        <f>标准模型!$I$65/1*$B505/$B$3</f>
        <v>3.5568</v>
      </c>
      <c r="K505" s="1">
        <f>J505*标准模型!$J$63</f>
        <v>3.5568</v>
      </c>
      <c r="L505" s="1">
        <f t="shared" si="1513"/>
        <v>137826.4126077</v>
      </c>
      <c r="M505" s="1">
        <f t="shared" si="1514"/>
        <v>82990.3514862695</v>
      </c>
      <c r="N505" s="1">
        <f t="shared" si="1515"/>
        <v>55326.9009908463</v>
      </c>
      <c r="O505" s="1">
        <f t="shared" ref="O505:W505" si="1672">O$5+(O$6-O$5)*(POWER(O$7,$B505-1)-1)/(POWER(O$7,$B$3-1)-1)</f>
        <v>0.993989457796238</v>
      </c>
      <c r="P505" s="1">
        <f t="shared" si="1672"/>
        <v>0.393200200782898</v>
      </c>
      <c r="Q505" s="1">
        <f t="shared" si="1672"/>
        <v>0.546694201787931</v>
      </c>
      <c r="R505" s="1">
        <f t="shared" si="1672"/>
        <v>1.1975957831185</v>
      </c>
      <c r="S505" s="1">
        <f t="shared" si="1672"/>
        <v>0.692186295135109</v>
      </c>
      <c r="T505" s="1">
        <f t="shared" si="1672"/>
        <v>3.92655888540533</v>
      </c>
      <c r="U505" s="1">
        <f t="shared" si="1672"/>
        <v>1</v>
      </c>
      <c r="V505" s="1">
        <f t="shared" si="1672"/>
        <v>1.53874405824615</v>
      </c>
      <c r="W505" s="1">
        <f t="shared" si="1672"/>
        <v>2.58076626494796</v>
      </c>
      <c r="X505" s="1">
        <f t="shared" si="1517"/>
        <v>12.9725118773921</v>
      </c>
      <c r="Y505" s="1">
        <f t="shared" si="1518"/>
        <v>27.8281933623228</v>
      </c>
      <c r="Z505" s="1">
        <f t="shared" si="1519"/>
        <v>3835460.06048236</v>
      </c>
      <c r="AA505" s="1">
        <f t="shared" si="1520"/>
        <v>82990.3514862695</v>
      </c>
      <c r="AB505" s="1">
        <f t="shared" si="1521"/>
        <v>55326.9009908463</v>
      </c>
      <c r="AC505" s="1">
        <f>AB505/(AB505+战斗公式!$M$27)</f>
        <v>0.697454461220294</v>
      </c>
      <c r="AD505" s="1">
        <f t="shared" si="1522"/>
        <v>12677298.3530096</v>
      </c>
      <c r="AE505" s="1">
        <f t="shared" si="1523"/>
        <v>11.7753826939188</v>
      </c>
      <c r="AF505" s="1">
        <f t="shared" si="1524"/>
        <v>5.48926370709062</v>
      </c>
      <c r="AG505" s="1">
        <f t="shared" si="1525"/>
        <v>4.99557874473347</v>
      </c>
      <c r="AH505" s="1">
        <f t="shared" si="1526"/>
        <v>2.26223095227997</v>
      </c>
      <c r="AI505" s="1">
        <f t="shared" si="1527"/>
        <v>1.00000000000317</v>
      </c>
      <c r="AJ505" s="1">
        <f t="shared" si="1528"/>
        <v>1.00000431587032</v>
      </c>
      <c r="AK505" s="1">
        <f t="shared" si="1529"/>
        <v>1</v>
      </c>
      <c r="AL505" s="10">
        <f t="shared" si="1530"/>
        <v>3490512</v>
      </c>
      <c r="AM505" s="10">
        <f t="shared" si="1531"/>
        <v>187743</v>
      </c>
      <c r="AN505" s="10">
        <f t="shared" si="1532"/>
        <v>55327</v>
      </c>
      <c r="AO505" s="1">
        <f t="shared" si="1533"/>
        <v>1627159</v>
      </c>
      <c r="AP505" s="1">
        <f t="shared" si="1534"/>
        <v>187743</v>
      </c>
      <c r="AR505" s="1">
        <f t="shared" ref="AR505:AX505" si="1673">ROUNDUP(AR$10*$AO505,0)</f>
        <v>1627159</v>
      </c>
      <c r="AS505" s="1">
        <f t="shared" si="1673"/>
        <v>4881477</v>
      </c>
      <c r="AT505" s="1">
        <f t="shared" si="1673"/>
        <v>2928887</v>
      </c>
      <c r="AU505" s="1">
        <f t="shared" si="1673"/>
        <v>813580</v>
      </c>
      <c r="AV505" s="1">
        <f t="shared" si="1673"/>
        <v>244074</v>
      </c>
      <c r="AW505" s="1">
        <f t="shared" si="1673"/>
        <v>6508636</v>
      </c>
      <c r="AX505" s="1">
        <f t="shared" si="1673"/>
        <v>14644431</v>
      </c>
      <c r="AY505" s="1">
        <f t="shared" si="1536"/>
        <v>209430720</v>
      </c>
      <c r="AZ505" s="1">
        <f t="shared" si="1537"/>
        <v>104715360</v>
      </c>
      <c r="BB505" s="1">
        <f t="shared" si="1538"/>
        <v>494</v>
      </c>
    </row>
    <row r="506" spans="2:54">
      <c r="B506" s="4">
        <v>495</v>
      </c>
      <c r="C506" s="1">
        <f t="shared" ref="C506:I506" si="1674">C$5+(C$6-C$5)*(POWER(C$7,$B506-1)-1)/(POWER(C$7,$B$3-1)-1)</f>
        <v>39105.0975570937</v>
      </c>
      <c r="D506" s="1">
        <f t="shared" si="1674"/>
        <v>11731.5292671281</v>
      </c>
      <c r="E506" s="1">
        <f t="shared" si="1674"/>
        <v>7821.01951141875</v>
      </c>
      <c r="F506" s="1">
        <f t="shared" si="1674"/>
        <v>99000.2469799841</v>
      </c>
      <c r="G506" s="1">
        <f t="shared" si="1674"/>
        <v>29700.0740939952</v>
      </c>
      <c r="H506" s="1">
        <f t="shared" si="1674"/>
        <v>19800.0493959968</v>
      </c>
      <c r="I506" s="1">
        <f t="shared" si="1674"/>
        <v>0</v>
      </c>
      <c r="J506" s="1">
        <f>标准模型!$I$65/1*$B506/$B$3</f>
        <v>3.564</v>
      </c>
      <c r="K506" s="1">
        <f>J506*标准模型!$J$63</f>
        <v>3.564</v>
      </c>
      <c r="L506" s="1">
        <f t="shared" si="1513"/>
        <v>138105.344537078</v>
      </c>
      <c r="M506" s="1">
        <f t="shared" si="1514"/>
        <v>83242.773669168</v>
      </c>
      <c r="N506" s="1">
        <f t="shared" si="1515"/>
        <v>55495.182446112</v>
      </c>
      <c r="O506" s="1">
        <f t="shared" ref="O506:W506" si="1675">O$5+(O$6-O$5)*(POWER(O$7,$B506-1)-1)/(POWER(O$7,$B$3-1)-1)</f>
        <v>0.99499121733459</v>
      </c>
      <c r="P506" s="1">
        <f t="shared" si="1675"/>
        <v>0.394329258209602</v>
      </c>
      <c r="Q506" s="1">
        <f t="shared" si="1675"/>
        <v>0.547245169534024</v>
      </c>
      <c r="R506" s="1">
        <f t="shared" si="1675"/>
        <v>1.19799648693384</v>
      </c>
      <c r="S506" s="1">
        <f t="shared" si="1675"/>
        <v>0.693488582534967</v>
      </c>
      <c r="T506" s="1">
        <f t="shared" si="1675"/>
        <v>3.9304657476049</v>
      </c>
      <c r="U506" s="1">
        <f t="shared" si="1675"/>
        <v>1</v>
      </c>
      <c r="V506" s="1">
        <f t="shared" si="1675"/>
        <v>1.53983657548627</v>
      </c>
      <c r="W506" s="1">
        <f t="shared" si="1675"/>
        <v>2.58397189547069</v>
      </c>
      <c r="X506" s="1">
        <f t="shared" si="1517"/>
        <v>13.0409727950613</v>
      </c>
      <c r="Y506" s="1">
        <f t="shared" si="1518"/>
        <v>27.9907417210013</v>
      </c>
      <c r="Z506" s="1">
        <f t="shared" si="1519"/>
        <v>3865671.02922724</v>
      </c>
      <c r="AA506" s="1">
        <f t="shared" si="1520"/>
        <v>83242.773669168</v>
      </c>
      <c r="AB506" s="1">
        <f t="shared" si="1521"/>
        <v>55495.182446112</v>
      </c>
      <c r="AC506" s="1">
        <f>AB506/(AB506+战斗公式!$M$27)</f>
        <v>0.698094912653744</v>
      </c>
      <c r="AD506" s="1">
        <f t="shared" si="1522"/>
        <v>12804259.3227112</v>
      </c>
      <c r="AE506" s="1">
        <f t="shared" si="1523"/>
        <v>11.7949995800769</v>
      </c>
      <c r="AF506" s="1">
        <f t="shared" si="1524"/>
        <v>5.49532663959861</v>
      </c>
      <c r="AG506" s="1">
        <f t="shared" si="1525"/>
        <v>4.99632955837902</v>
      </c>
      <c r="AH506" s="1">
        <f t="shared" si="1526"/>
        <v>2.2684943927265</v>
      </c>
      <c r="AI506" s="1">
        <f t="shared" si="1527"/>
        <v>1.00000000000257</v>
      </c>
      <c r="AJ506" s="1">
        <f t="shared" si="1528"/>
        <v>1.00000355974552</v>
      </c>
      <c r="AK506" s="1">
        <f t="shared" si="1529"/>
        <v>1</v>
      </c>
      <c r="AL506" s="10">
        <f t="shared" si="1530"/>
        <v>3514653</v>
      </c>
      <c r="AM506" s="10">
        <f t="shared" si="1531"/>
        <v>188836</v>
      </c>
      <c r="AN506" s="10">
        <f t="shared" si="1532"/>
        <v>55495</v>
      </c>
      <c r="AO506" s="1">
        <f t="shared" si="1533"/>
        <v>1637494</v>
      </c>
      <c r="AP506" s="1">
        <f t="shared" si="1534"/>
        <v>188836</v>
      </c>
      <c r="AR506" s="1">
        <f t="shared" ref="AR506:AX506" si="1676">ROUNDUP(AR$10*$AO506,0)</f>
        <v>1637494</v>
      </c>
      <c r="AS506" s="1">
        <f t="shared" si="1676"/>
        <v>4912482</v>
      </c>
      <c r="AT506" s="1">
        <f t="shared" si="1676"/>
        <v>2947490</v>
      </c>
      <c r="AU506" s="1">
        <f t="shared" si="1676"/>
        <v>818747</v>
      </c>
      <c r="AV506" s="1">
        <f t="shared" si="1676"/>
        <v>245625</v>
      </c>
      <c r="AW506" s="1">
        <f t="shared" si="1676"/>
        <v>6549976</v>
      </c>
      <c r="AX506" s="1">
        <f t="shared" si="1676"/>
        <v>14737446</v>
      </c>
      <c r="AY506" s="1">
        <f t="shared" si="1536"/>
        <v>210879180</v>
      </c>
      <c r="AZ506" s="1">
        <f t="shared" si="1537"/>
        <v>105439590</v>
      </c>
      <c r="BB506" s="1">
        <f t="shared" si="1538"/>
        <v>495</v>
      </c>
    </row>
    <row r="507" spans="2:54">
      <c r="B507" s="4">
        <v>496</v>
      </c>
      <c r="C507" s="1">
        <f t="shared" ref="C507:I507" si="1677">C$5+(C$6-C$5)*(POWER(C$7,$B507-1)-1)/(POWER(C$7,$B$3-1)-1)</f>
        <v>39184.0782036336</v>
      </c>
      <c r="D507" s="1">
        <f t="shared" si="1677"/>
        <v>11755.2234610901</v>
      </c>
      <c r="E507" s="1">
        <f t="shared" si="1677"/>
        <v>7836.81564072673</v>
      </c>
      <c r="F507" s="1">
        <f t="shared" si="1677"/>
        <v>99200.1979838826</v>
      </c>
      <c r="G507" s="1">
        <f t="shared" si="1677"/>
        <v>29760.0593951648</v>
      </c>
      <c r="H507" s="1">
        <f t="shared" si="1677"/>
        <v>19840.0395967765</v>
      </c>
      <c r="I507" s="1">
        <f t="shared" si="1677"/>
        <v>0</v>
      </c>
      <c r="J507" s="1">
        <f>标准模型!$I$65/1*$B507/$B$3</f>
        <v>3.5712</v>
      </c>
      <c r="K507" s="1">
        <f>J507*标准模型!$J$63</f>
        <v>3.5712</v>
      </c>
      <c r="L507" s="1">
        <f t="shared" si="1513"/>
        <v>138384.276187516</v>
      </c>
      <c r="M507" s="1">
        <f t="shared" si="1514"/>
        <v>83495.5368804998</v>
      </c>
      <c r="N507" s="1">
        <f t="shared" si="1515"/>
        <v>55663.6912536665</v>
      </c>
      <c r="O507" s="1">
        <f t="shared" ref="O507:W507" si="1678">O$5+(O$6-O$5)*(POWER(O$7,$B507-1)-1)/(POWER(O$7,$B$3-1)-1)</f>
        <v>0.995992975871155</v>
      </c>
      <c r="P507" s="1">
        <f t="shared" si="1678"/>
        <v>0.395460009222446</v>
      </c>
      <c r="Q507" s="1">
        <f t="shared" si="1678"/>
        <v>0.547796136729136</v>
      </c>
      <c r="R507" s="1">
        <f t="shared" si="1678"/>
        <v>1.19839719034846</v>
      </c>
      <c r="S507" s="1">
        <f t="shared" si="1678"/>
        <v>0.694790868632502</v>
      </c>
      <c r="T507" s="1">
        <f t="shared" si="1678"/>
        <v>3.93437260589751</v>
      </c>
      <c r="U507" s="1">
        <f t="shared" si="1678"/>
        <v>1</v>
      </c>
      <c r="V507" s="1">
        <f t="shared" si="1678"/>
        <v>1.54092909163384</v>
      </c>
      <c r="W507" s="1">
        <f t="shared" si="1678"/>
        <v>2.5871775227877</v>
      </c>
      <c r="X507" s="1">
        <f t="shared" si="1517"/>
        <v>13.1097417006595</v>
      </c>
      <c r="Y507" s="1">
        <f t="shared" si="1518"/>
        <v>28.1541134275908</v>
      </c>
      <c r="Z507" s="1">
        <f t="shared" si="1519"/>
        <v>3896086.60837839</v>
      </c>
      <c r="AA507" s="1">
        <f t="shared" si="1520"/>
        <v>83495.5368804998</v>
      </c>
      <c r="AB507" s="1">
        <f t="shared" si="1521"/>
        <v>55663.6912536665</v>
      </c>
      <c r="AC507" s="1">
        <f>AB507/(AB507+战斗公式!$M$27)</f>
        <v>0.698733518089455</v>
      </c>
      <c r="AD507" s="1">
        <f t="shared" si="1522"/>
        <v>12932360.0278084</v>
      </c>
      <c r="AE507" s="1">
        <f t="shared" si="1523"/>
        <v>11.814637200956</v>
      </c>
      <c r="AF507" s="1">
        <f t="shared" si="1524"/>
        <v>5.50139298081208</v>
      </c>
      <c r="AG507" s="1">
        <f t="shared" si="1525"/>
        <v>4.99707474092223</v>
      </c>
      <c r="AH507" s="1">
        <f t="shared" si="1526"/>
        <v>2.27477036005393</v>
      </c>
      <c r="AI507" s="1">
        <f t="shared" si="1527"/>
        <v>1.00000000000201</v>
      </c>
      <c r="AJ507" s="1">
        <f t="shared" si="1528"/>
        <v>1.00000281874322</v>
      </c>
      <c r="AK507" s="1">
        <f t="shared" si="1529"/>
        <v>1</v>
      </c>
      <c r="AL507" s="10">
        <f t="shared" si="1530"/>
        <v>3538928</v>
      </c>
      <c r="AM507" s="10">
        <f t="shared" si="1531"/>
        <v>189933</v>
      </c>
      <c r="AN507" s="10">
        <f t="shared" si="1532"/>
        <v>55664</v>
      </c>
      <c r="AO507" s="1">
        <f t="shared" si="1533"/>
        <v>1647879</v>
      </c>
      <c r="AP507" s="1">
        <f t="shared" si="1534"/>
        <v>189933</v>
      </c>
      <c r="AR507" s="1">
        <f t="shared" ref="AR507:AX507" si="1679">ROUNDUP(AR$10*$AO507,0)</f>
        <v>1647879</v>
      </c>
      <c r="AS507" s="1">
        <f t="shared" si="1679"/>
        <v>4943637</v>
      </c>
      <c r="AT507" s="1">
        <f t="shared" si="1679"/>
        <v>2966183</v>
      </c>
      <c r="AU507" s="1">
        <f t="shared" si="1679"/>
        <v>823940</v>
      </c>
      <c r="AV507" s="1">
        <f t="shared" si="1679"/>
        <v>247182</v>
      </c>
      <c r="AW507" s="1">
        <f t="shared" si="1679"/>
        <v>6591516</v>
      </c>
      <c r="AX507" s="1">
        <f t="shared" si="1679"/>
        <v>14830911</v>
      </c>
      <c r="AY507" s="1">
        <f t="shared" si="1536"/>
        <v>212335680</v>
      </c>
      <c r="AZ507" s="1">
        <f t="shared" si="1537"/>
        <v>106167840</v>
      </c>
      <c r="BB507" s="1">
        <f t="shared" si="1538"/>
        <v>496</v>
      </c>
    </row>
    <row r="508" spans="2:54">
      <c r="B508" s="4">
        <v>497</v>
      </c>
      <c r="C508" s="1">
        <f t="shared" ref="C508:I508" si="1680">C$5+(C$6-C$5)*(POWER(C$7,$B508-1)-1)/(POWER(C$7,$B$3-1)-1)</f>
        <v>39263.0587711995</v>
      </c>
      <c r="D508" s="1">
        <f t="shared" si="1680"/>
        <v>11778.9176313598</v>
      </c>
      <c r="E508" s="1">
        <f t="shared" si="1680"/>
        <v>7852.61175423989</v>
      </c>
      <c r="F508" s="1">
        <f t="shared" si="1680"/>
        <v>99400.1487878468</v>
      </c>
      <c r="G508" s="1">
        <f t="shared" si="1680"/>
        <v>29820.044636354</v>
      </c>
      <c r="H508" s="1">
        <f t="shared" si="1680"/>
        <v>19880.0297575694</v>
      </c>
      <c r="I508" s="1">
        <f t="shared" si="1680"/>
        <v>0</v>
      </c>
      <c r="J508" s="1">
        <f>标准模型!$I$65/1*$B508/$B$3</f>
        <v>3.5784</v>
      </c>
      <c r="K508" s="1">
        <f>J508*标准模型!$J$63</f>
        <v>3.5784</v>
      </c>
      <c r="L508" s="1">
        <f t="shared" si="1513"/>
        <v>138663.207559046</v>
      </c>
      <c r="M508" s="1">
        <f t="shared" si="1514"/>
        <v>83748.6411197719</v>
      </c>
      <c r="N508" s="1">
        <f t="shared" si="1515"/>
        <v>55832.4274131813</v>
      </c>
      <c r="O508" s="1">
        <f t="shared" ref="O508:W508" si="1681">O$5+(O$6-O$5)*(POWER(O$7,$B508-1)-1)/(POWER(O$7,$B$3-1)-1)</f>
        <v>0.996994733406046</v>
      </c>
      <c r="P508" s="1">
        <f t="shared" si="1681"/>
        <v>0.39659245636181</v>
      </c>
      <c r="Q508" s="1">
        <f t="shared" si="1681"/>
        <v>0.548347103373325</v>
      </c>
      <c r="R508" s="1">
        <f t="shared" si="1681"/>
        <v>1.19879789336242</v>
      </c>
      <c r="S508" s="1">
        <f t="shared" si="1681"/>
        <v>0.69609315342786</v>
      </c>
      <c r="T508" s="1">
        <f t="shared" si="1681"/>
        <v>3.93827946028358</v>
      </c>
      <c r="U508" s="1">
        <f t="shared" si="1681"/>
        <v>1</v>
      </c>
      <c r="V508" s="1">
        <f t="shared" si="1681"/>
        <v>1.54202160668899</v>
      </c>
      <c r="W508" s="1">
        <f t="shared" si="1681"/>
        <v>2.59038314689935</v>
      </c>
      <c r="X508" s="1">
        <f t="shared" si="1517"/>
        <v>13.1788197315554</v>
      </c>
      <c r="Y508" s="1">
        <f t="shared" si="1518"/>
        <v>28.318311986311</v>
      </c>
      <c r="Z508" s="1">
        <f t="shared" si="1519"/>
        <v>3926707.97267968</v>
      </c>
      <c r="AA508" s="1">
        <f t="shared" si="1520"/>
        <v>83748.6411197719</v>
      </c>
      <c r="AB508" s="1">
        <f t="shared" si="1521"/>
        <v>55832.4274131813</v>
      </c>
      <c r="AC508" s="1">
        <f>AB508/(AB508+战斗公式!$M$27)</f>
        <v>0.699370283759688</v>
      </c>
      <c r="AD508" s="1">
        <f t="shared" si="1522"/>
        <v>13061609.5500713</v>
      </c>
      <c r="AE508" s="1">
        <f t="shared" si="1523"/>
        <v>11.8342955397207</v>
      </c>
      <c r="AF508" s="1">
        <f t="shared" si="1524"/>
        <v>5.50746272035284</v>
      </c>
      <c r="AG508" s="1">
        <f t="shared" si="1525"/>
        <v>4.99781433459637</v>
      </c>
      <c r="AH508" s="1">
        <f t="shared" si="1526"/>
        <v>2.281058879316</v>
      </c>
      <c r="AI508" s="1">
        <f t="shared" si="1527"/>
        <v>1.00000000000147</v>
      </c>
      <c r="AJ508" s="1">
        <f t="shared" si="1528"/>
        <v>1.00000209256097</v>
      </c>
      <c r="AK508" s="1">
        <f t="shared" si="1529"/>
        <v>1</v>
      </c>
      <c r="AL508" s="10">
        <f t="shared" si="1530"/>
        <v>3563339</v>
      </c>
      <c r="AM508" s="10">
        <f t="shared" si="1531"/>
        <v>191036</v>
      </c>
      <c r="AN508" s="10">
        <f t="shared" si="1532"/>
        <v>55832</v>
      </c>
      <c r="AO508" s="1">
        <f t="shared" si="1533"/>
        <v>1658316</v>
      </c>
      <c r="AP508" s="1">
        <f t="shared" si="1534"/>
        <v>191036</v>
      </c>
      <c r="AR508" s="1">
        <f t="shared" ref="AR508:AX508" si="1682">ROUNDUP(AR$10*$AO508,0)</f>
        <v>1658316</v>
      </c>
      <c r="AS508" s="1">
        <f t="shared" si="1682"/>
        <v>4974948</v>
      </c>
      <c r="AT508" s="1">
        <f t="shared" si="1682"/>
        <v>2984969</v>
      </c>
      <c r="AU508" s="1">
        <f t="shared" si="1682"/>
        <v>829158</v>
      </c>
      <c r="AV508" s="1">
        <f t="shared" si="1682"/>
        <v>248748</v>
      </c>
      <c r="AW508" s="1">
        <f t="shared" si="1682"/>
        <v>6633264</v>
      </c>
      <c r="AX508" s="1">
        <f t="shared" si="1682"/>
        <v>14924844</v>
      </c>
      <c r="AY508" s="1">
        <f t="shared" si="1536"/>
        <v>213800340</v>
      </c>
      <c r="AZ508" s="1">
        <f t="shared" si="1537"/>
        <v>106900170</v>
      </c>
      <c r="BB508" s="1">
        <f t="shared" si="1538"/>
        <v>497</v>
      </c>
    </row>
    <row r="509" spans="2:54">
      <c r="B509" s="4">
        <v>498</v>
      </c>
      <c r="C509" s="1">
        <f t="shared" ref="C509:I509" si="1683">C$5+(C$6-C$5)*(POWER(C$7,$B509-1)-1)/(POWER(C$7,$B$3-1)-1)</f>
        <v>39342.0392597825</v>
      </c>
      <c r="D509" s="1">
        <f t="shared" si="1683"/>
        <v>11802.6117779347</v>
      </c>
      <c r="E509" s="1">
        <f t="shared" si="1683"/>
        <v>7868.4078519565</v>
      </c>
      <c r="F509" s="1">
        <f t="shared" si="1683"/>
        <v>99600.0993918544</v>
      </c>
      <c r="G509" s="1">
        <f t="shared" si="1683"/>
        <v>29880.0298175563</v>
      </c>
      <c r="H509" s="1">
        <f t="shared" si="1683"/>
        <v>19920.0198783709</v>
      </c>
      <c r="I509" s="1">
        <f t="shared" si="1683"/>
        <v>0</v>
      </c>
      <c r="J509" s="1">
        <f>标准模型!$I$65/1*$B509/$B$3</f>
        <v>3.5856</v>
      </c>
      <c r="K509" s="1">
        <f>J509*标准模型!$J$63</f>
        <v>3.5856</v>
      </c>
      <c r="L509" s="1">
        <f t="shared" si="1513"/>
        <v>138942.138651637</v>
      </c>
      <c r="M509" s="1">
        <f t="shared" si="1514"/>
        <v>84002.0863864539</v>
      </c>
      <c r="N509" s="1">
        <f t="shared" si="1515"/>
        <v>56001.3909243026</v>
      </c>
      <c r="O509" s="1">
        <f t="shared" ref="O509:W509" si="1684">O$5+(O$6-O$5)*(POWER(O$7,$B509-1)-1)/(POWER(O$7,$B$3-1)-1)</f>
        <v>0.99799648993915</v>
      </c>
      <c r="P509" s="1">
        <f t="shared" si="1684"/>
        <v>0.397726602171882</v>
      </c>
      <c r="Q509" s="1">
        <f t="shared" si="1684"/>
        <v>0.548898069466533</v>
      </c>
      <c r="R509" s="1">
        <f t="shared" si="1684"/>
        <v>1.19919859597566</v>
      </c>
      <c r="S509" s="1">
        <f t="shared" si="1684"/>
        <v>0.697395436920895</v>
      </c>
      <c r="T509" s="1">
        <f t="shared" si="1684"/>
        <v>3.94218631076269</v>
      </c>
      <c r="U509" s="1">
        <f t="shared" si="1684"/>
        <v>1</v>
      </c>
      <c r="V509" s="1">
        <f t="shared" si="1684"/>
        <v>1.54311412065159</v>
      </c>
      <c r="W509" s="1">
        <f t="shared" si="1684"/>
        <v>2.59358876780528</v>
      </c>
      <c r="X509" s="1">
        <f t="shared" si="1517"/>
        <v>13.2482080284606</v>
      </c>
      <c r="Y509" s="1">
        <f t="shared" si="1518"/>
        <v>28.4833409135222</v>
      </c>
      <c r="Z509" s="1">
        <f t="shared" si="1519"/>
        <v>3957536.30246845</v>
      </c>
      <c r="AA509" s="1">
        <f t="shared" si="1520"/>
        <v>84002.0863864539</v>
      </c>
      <c r="AB509" s="1">
        <f t="shared" si="1521"/>
        <v>56001.3909243026</v>
      </c>
      <c r="AC509" s="1">
        <f>AB509/(AB509+战斗公式!$M$27)</f>
        <v>0.700005215875449</v>
      </c>
      <c r="AD509" s="1">
        <f t="shared" si="1522"/>
        <v>13192017.0346207</v>
      </c>
      <c r="AE509" s="1">
        <f t="shared" si="1523"/>
        <v>11.8539745795663</v>
      </c>
      <c r="AF509" s="1">
        <f t="shared" si="1524"/>
        <v>5.513535847883</v>
      </c>
      <c r="AG509" s="1">
        <f t="shared" si="1525"/>
        <v>4.99854838131795</v>
      </c>
      <c r="AH509" s="1">
        <f t="shared" si="1526"/>
        <v>2.28735997561661</v>
      </c>
      <c r="AI509" s="1">
        <f t="shared" si="1527"/>
        <v>1.00000000000095</v>
      </c>
      <c r="AJ509" s="1">
        <f t="shared" si="1528"/>
        <v>1.00000138090236</v>
      </c>
      <c r="AK509" s="1">
        <f t="shared" si="1529"/>
        <v>1</v>
      </c>
      <c r="AL509" s="10">
        <f t="shared" si="1530"/>
        <v>3587886</v>
      </c>
      <c r="AM509" s="10">
        <f t="shared" si="1531"/>
        <v>192143</v>
      </c>
      <c r="AN509" s="10">
        <f t="shared" si="1532"/>
        <v>56001</v>
      </c>
      <c r="AO509" s="1">
        <f t="shared" si="1533"/>
        <v>1668804</v>
      </c>
      <c r="AP509" s="1">
        <f t="shared" si="1534"/>
        <v>192143</v>
      </c>
      <c r="AR509" s="1">
        <f t="shared" ref="AR509:AX509" si="1685">ROUNDUP(AR$10*$AO509,0)</f>
        <v>1668804</v>
      </c>
      <c r="AS509" s="1">
        <f t="shared" si="1685"/>
        <v>5006412</v>
      </c>
      <c r="AT509" s="1">
        <f t="shared" si="1685"/>
        <v>3003848</v>
      </c>
      <c r="AU509" s="1">
        <f t="shared" si="1685"/>
        <v>834402</v>
      </c>
      <c r="AV509" s="1">
        <f t="shared" si="1685"/>
        <v>250321</v>
      </c>
      <c r="AW509" s="1">
        <f t="shared" si="1685"/>
        <v>6675216</v>
      </c>
      <c r="AX509" s="1">
        <f t="shared" si="1685"/>
        <v>15019236</v>
      </c>
      <c r="AY509" s="1">
        <f t="shared" si="1536"/>
        <v>215273160</v>
      </c>
      <c r="AZ509" s="1">
        <f t="shared" si="1537"/>
        <v>107636580</v>
      </c>
      <c r="BB509" s="1">
        <f t="shared" si="1538"/>
        <v>498</v>
      </c>
    </row>
    <row r="510" spans="2:54">
      <c r="B510" s="4">
        <v>499</v>
      </c>
      <c r="C510" s="1">
        <f t="shared" ref="C510:I510" si="1686">C$5+(C$6-C$5)*(POWER(C$7,$B510-1)-1)/(POWER(C$7,$B$3-1)-1)</f>
        <v>39421.0196693827</v>
      </c>
      <c r="D510" s="1">
        <f t="shared" si="1686"/>
        <v>11826.3059008148</v>
      </c>
      <c r="E510" s="1">
        <f t="shared" si="1686"/>
        <v>7884.20393387653</v>
      </c>
      <c r="F510" s="1">
        <f t="shared" si="1686"/>
        <v>99800.0497959055</v>
      </c>
      <c r="G510" s="1">
        <f t="shared" si="1686"/>
        <v>29940.0149387716</v>
      </c>
      <c r="H510" s="1">
        <f t="shared" si="1686"/>
        <v>19960.0099591811</v>
      </c>
      <c r="I510" s="1">
        <f t="shared" si="1686"/>
        <v>0</v>
      </c>
      <c r="J510" s="1">
        <f>标准模型!$I$65/1*$B510/$B$3</f>
        <v>3.5928</v>
      </c>
      <c r="K510" s="1">
        <f>J510*标准模型!$J$63</f>
        <v>3.5928</v>
      </c>
      <c r="L510" s="1">
        <f t="shared" si="1513"/>
        <v>139221.069465288</v>
      </c>
      <c r="M510" s="1">
        <f t="shared" si="1514"/>
        <v>84255.8726800338</v>
      </c>
      <c r="N510" s="1">
        <f t="shared" si="1515"/>
        <v>56170.5817866892</v>
      </c>
      <c r="O510" s="1">
        <f t="shared" ref="O510:W510" si="1687">O$5+(O$6-O$5)*(POWER(O$7,$B510-1)-1)/(POWER(O$7,$B$3-1)-1)</f>
        <v>0.998998245470468</v>
      </c>
      <c r="P510" s="1">
        <f t="shared" si="1687"/>
        <v>0.398862449200669</v>
      </c>
      <c r="Q510" s="1">
        <f t="shared" si="1687"/>
        <v>0.549449035008758</v>
      </c>
      <c r="R510" s="1">
        <f t="shared" si="1687"/>
        <v>1.19959929818819</v>
      </c>
      <c r="S510" s="1">
        <f t="shared" si="1687"/>
        <v>0.698697719111609</v>
      </c>
      <c r="T510" s="1">
        <f t="shared" si="1687"/>
        <v>3.94609315733483</v>
      </c>
      <c r="U510" s="1">
        <f t="shared" si="1687"/>
        <v>1</v>
      </c>
      <c r="V510" s="1">
        <f t="shared" si="1687"/>
        <v>1.54420663352164</v>
      </c>
      <c r="W510" s="1">
        <f t="shared" si="1687"/>
        <v>2.5967943855055</v>
      </c>
      <c r="X510" s="1">
        <f t="shared" si="1517"/>
        <v>13.3179077354572</v>
      </c>
      <c r="Y510" s="1">
        <f t="shared" si="1518"/>
        <v>28.6492037378093</v>
      </c>
      <c r="Z510" s="1">
        <f t="shared" si="1519"/>
        <v>3988572.78370675</v>
      </c>
      <c r="AA510" s="1">
        <f t="shared" si="1520"/>
        <v>84255.8726800338</v>
      </c>
      <c r="AB510" s="1">
        <f t="shared" si="1521"/>
        <v>56170.5817866892</v>
      </c>
      <c r="AC510" s="1">
        <f>AB510/(AB510+战斗公式!$M$27)</f>
        <v>0.700638320626672</v>
      </c>
      <c r="AD510" s="1">
        <f t="shared" si="1522"/>
        <v>13323591.6903468</v>
      </c>
      <c r="AE510" s="1">
        <f t="shared" si="1523"/>
        <v>11.8736743037266</v>
      </c>
      <c r="AF510" s="1">
        <f t="shared" si="1524"/>
        <v>5.5196123531073</v>
      </c>
      <c r="AG510" s="1">
        <f t="shared" si="1525"/>
        <v>4.99927692268912</v>
      </c>
      <c r="AH510" s="1">
        <f t="shared" si="1526"/>
        <v>2.29367367410981</v>
      </c>
      <c r="AI510" s="1">
        <f t="shared" si="1527"/>
        <v>1.00000000000046</v>
      </c>
      <c r="AJ510" s="1">
        <f t="shared" si="1528"/>
        <v>1.00000068347693</v>
      </c>
      <c r="AK510" s="1">
        <f t="shared" si="1529"/>
        <v>1</v>
      </c>
      <c r="AL510" s="10">
        <f t="shared" si="1530"/>
        <v>3612569</v>
      </c>
      <c r="AM510" s="10">
        <f t="shared" si="1531"/>
        <v>193255</v>
      </c>
      <c r="AN510" s="10">
        <f t="shared" si="1532"/>
        <v>56171</v>
      </c>
      <c r="AO510" s="1">
        <f t="shared" si="1533"/>
        <v>1679345</v>
      </c>
      <c r="AP510" s="1">
        <f t="shared" si="1534"/>
        <v>193255</v>
      </c>
      <c r="AR510" s="1">
        <f t="shared" ref="AR510:AX510" si="1688">ROUNDUP(AR$10*$AO510,0)</f>
        <v>1679345</v>
      </c>
      <c r="AS510" s="1">
        <f t="shared" si="1688"/>
        <v>5038035</v>
      </c>
      <c r="AT510" s="1">
        <f t="shared" si="1688"/>
        <v>3022821</v>
      </c>
      <c r="AU510" s="1">
        <f t="shared" si="1688"/>
        <v>839673</v>
      </c>
      <c r="AV510" s="1">
        <f t="shared" si="1688"/>
        <v>251902</v>
      </c>
      <c r="AW510" s="1">
        <f t="shared" si="1688"/>
        <v>6717380</v>
      </c>
      <c r="AX510" s="1">
        <f t="shared" si="1688"/>
        <v>15114105</v>
      </c>
      <c r="AY510" s="1">
        <f t="shared" si="1536"/>
        <v>216754140</v>
      </c>
      <c r="AZ510" s="1">
        <f t="shared" si="1537"/>
        <v>108377070</v>
      </c>
      <c r="BB510" s="1">
        <f t="shared" si="1538"/>
        <v>499</v>
      </c>
    </row>
    <row r="511" spans="2:54">
      <c r="B511" s="4">
        <v>500</v>
      </c>
      <c r="C511" s="1">
        <f t="shared" ref="C511:I511" si="1689">C$5+(C$6-C$5)*(POWER(C$7,$B511-1)-1)/(POWER(C$7,$B$3-1)-1)</f>
        <v>39500</v>
      </c>
      <c r="D511" s="1">
        <f t="shared" si="1689"/>
        <v>11850</v>
      </c>
      <c r="E511" s="1">
        <f t="shared" si="1689"/>
        <v>7900</v>
      </c>
      <c r="F511" s="1">
        <f t="shared" si="1689"/>
        <v>100000</v>
      </c>
      <c r="G511" s="1">
        <f t="shared" si="1689"/>
        <v>30000</v>
      </c>
      <c r="H511" s="1">
        <f t="shared" si="1689"/>
        <v>20000</v>
      </c>
      <c r="I511" s="1">
        <f t="shared" si="1689"/>
        <v>0</v>
      </c>
      <c r="J511" s="1">
        <f>标准模型!$I$65/1*$B511/$B$3</f>
        <v>3.6</v>
      </c>
      <c r="K511" s="1">
        <f>J511*标准模型!$J$63</f>
        <v>3.6</v>
      </c>
      <c r="L511" s="1">
        <f t="shared" si="1513"/>
        <v>139500</v>
      </c>
      <c r="M511" s="1">
        <f t="shared" si="1514"/>
        <v>84510</v>
      </c>
      <c r="N511" s="1">
        <f t="shared" si="1515"/>
        <v>56340</v>
      </c>
      <c r="O511" s="1">
        <f t="shared" ref="O511:W511" si="1690">O$5+(O$6-O$5)*(POWER(O$7,$B511-1)-1)/(POWER(O$7,$B$3-1)-1)</f>
        <v>1</v>
      </c>
      <c r="P511" s="1">
        <f t="shared" si="1690"/>
        <v>0.4</v>
      </c>
      <c r="Q511" s="1">
        <f t="shared" si="1690"/>
        <v>0.55</v>
      </c>
      <c r="R511" s="1">
        <f t="shared" si="1690"/>
        <v>1.2</v>
      </c>
      <c r="S511" s="1">
        <f t="shared" si="1690"/>
        <v>0.7</v>
      </c>
      <c r="T511" s="1">
        <f t="shared" si="1690"/>
        <v>3.95</v>
      </c>
      <c r="U511" s="1">
        <f t="shared" si="1690"/>
        <v>1</v>
      </c>
      <c r="V511" s="1">
        <f t="shared" si="1690"/>
        <v>1.54529914529915</v>
      </c>
      <c r="W511" s="1">
        <f t="shared" si="1690"/>
        <v>2.6</v>
      </c>
      <c r="X511" s="1">
        <f t="shared" si="1517"/>
        <v>13.38792</v>
      </c>
      <c r="Y511" s="1">
        <f t="shared" si="1518"/>
        <v>28.815904</v>
      </c>
      <c r="Z511" s="1">
        <f t="shared" si="1519"/>
        <v>4019818.608</v>
      </c>
      <c r="AA511" s="1">
        <f t="shared" si="1520"/>
        <v>84510</v>
      </c>
      <c r="AB511" s="1">
        <f t="shared" si="1521"/>
        <v>56340</v>
      </c>
      <c r="AC511" s="1">
        <f>AB511/(AB511+战斗公式!$M$27)</f>
        <v>0.701269604182226</v>
      </c>
      <c r="AD511" s="1">
        <f t="shared" si="1522"/>
        <v>13456342.79028</v>
      </c>
      <c r="AE511" s="1">
        <f t="shared" si="1523"/>
        <v>11.8933946954714</v>
      </c>
      <c r="AF511" s="1">
        <f t="shared" si="1524"/>
        <v>5.52569222577211</v>
      </c>
      <c r="AG511" s="1">
        <f t="shared" si="1525"/>
        <v>5</v>
      </c>
      <c r="AH511" s="1">
        <f t="shared" si="1526"/>
        <v>2.3</v>
      </c>
      <c r="AI511" s="1">
        <f t="shared" si="1527"/>
        <v>1</v>
      </c>
      <c r="AJ511" s="1">
        <f t="shared" si="1528"/>
        <v>1</v>
      </c>
      <c r="AK511" s="1">
        <f t="shared" si="1529"/>
        <v>1</v>
      </c>
      <c r="AL511" s="10">
        <f t="shared" si="1530"/>
        <v>3637389</v>
      </c>
      <c r="AM511" s="10">
        <f t="shared" si="1531"/>
        <v>194373</v>
      </c>
      <c r="AN511" s="10">
        <f t="shared" si="1532"/>
        <v>56340</v>
      </c>
      <c r="AO511" s="1">
        <f t="shared" si="1533"/>
        <v>1689937</v>
      </c>
      <c r="AP511" s="1">
        <f t="shared" si="1534"/>
        <v>194373</v>
      </c>
      <c r="AR511" s="1">
        <f t="shared" ref="AR511:AX511" si="1691">ROUNDUP(AR$10*$AO511,0)</f>
        <v>1689937</v>
      </c>
      <c r="AS511" s="1">
        <f t="shared" si="1691"/>
        <v>5069811</v>
      </c>
      <c r="AT511" s="1">
        <f t="shared" si="1691"/>
        <v>3041887</v>
      </c>
      <c r="AU511" s="1">
        <f t="shared" si="1691"/>
        <v>844969</v>
      </c>
      <c r="AV511" s="1">
        <f t="shared" si="1691"/>
        <v>253491</v>
      </c>
      <c r="AW511" s="1">
        <f t="shared" si="1691"/>
        <v>6759748</v>
      </c>
      <c r="AX511" s="1">
        <f t="shared" si="1691"/>
        <v>15209433</v>
      </c>
      <c r="AY511" s="1">
        <f t="shared" si="1536"/>
        <v>218243340</v>
      </c>
      <c r="AZ511" s="1">
        <f t="shared" si="1537"/>
        <v>109121670</v>
      </c>
      <c r="BB511" s="1">
        <f t="shared" si="1538"/>
        <v>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U92"/>
  <sheetViews>
    <sheetView tabSelected="1" workbookViewId="0">
      <selection activeCell="K28" sqref="K28"/>
    </sheetView>
  </sheetViews>
  <sheetFormatPr defaultColWidth="9" defaultRowHeight="16.5"/>
  <cols>
    <col min="1" max="1" width="9" style="1" customWidth="1"/>
    <col min="2" max="2" width="25.375" style="1" customWidth="1"/>
    <col min="3" max="3" width="16.875" style="1" customWidth="1"/>
    <col min="4" max="4" width="14.125" style="1" customWidth="1"/>
    <col min="5" max="5" width="9" style="1" customWidth="1"/>
    <col min="6" max="6" width="14.875" style="1" customWidth="1"/>
    <col min="7" max="7" width="12.75" style="1" customWidth="1"/>
    <col min="8" max="11" width="9" style="1" customWidth="1"/>
    <col min="12" max="12" width="14.125" style="1" customWidth="1"/>
    <col min="13" max="13" width="9" style="1" customWidth="1"/>
    <col min="14" max="14" width="15" style="1" customWidth="1"/>
    <col min="15" max="18" width="9" style="1" customWidth="1"/>
    <col min="19" max="19" width="14.125" style="1" customWidth="1"/>
    <col min="20" max="16384" width="9" style="1" customWidth="1"/>
  </cols>
  <sheetData>
    <row r="2" spans="2:19">
      <c r="B2" s="1" t="s">
        <v>341</v>
      </c>
      <c r="C2" s="54">
        <v>16.5</v>
      </c>
      <c r="G2" s="1" t="s">
        <v>420</v>
      </c>
      <c r="J2" s="1" t="s">
        <v>421</v>
      </c>
      <c r="N2" s="1" t="s">
        <v>422</v>
      </c>
      <c r="Q2" s="1" t="s">
        <v>423</v>
      </c>
    </row>
    <row r="3" spans="2:19">
      <c r="B3" s="1" t="s">
        <v>424</v>
      </c>
      <c r="C3" s="55" t="s">
        <v>425</v>
      </c>
      <c r="J3" s="4"/>
      <c r="K3" s="4"/>
      <c r="L3" s="28"/>
      <c r="S3" s="28"/>
    </row>
    <row r="4" spans="2:19">
      <c r="B4" s="1" t="s">
        <v>426</v>
      </c>
      <c r="C4" s="25"/>
      <c r="G4" s="1" t="s">
        <v>427</v>
      </c>
      <c r="H4" s="1">
        <f>标准模型!H81</f>
        <v>2</v>
      </c>
      <c r="J4" s="4">
        <v>1</v>
      </c>
      <c r="K4" s="4">
        <v>0.7</v>
      </c>
      <c r="L4" s="56">
        <f>$L$7/$K$7*K4</f>
        <v>4.76</v>
      </c>
      <c r="N4" s="57" t="s">
        <v>425</v>
      </c>
      <c r="O4" s="58">
        <v>0.9</v>
      </c>
      <c r="Q4" s="1" t="s">
        <v>428</v>
      </c>
      <c r="R4" s="1">
        <v>12</v>
      </c>
      <c r="S4" s="28">
        <f>$S$5*$R$5/R4</f>
        <v>3</v>
      </c>
    </row>
    <row r="5" spans="2:19">
      <c r="B5" s="59" t="s">
        <v>429</v>
      </c>
      <c r="C5" s="60">
        <v>1</v>
      </c>
      <c r="G5" s="1" t="s">
        <v>430</v>
      </c>
      <c r="H5" s="1">
        <f>标准模型!H78</f>
        <v>10</v>
      </c>
      <c r="J5" s="4">
        <v>2</v>
      </c>
      <c r="K5" s="4">
        <v>0.8</v>
      </c>
      <c r="L5" s="56">
        <f>$L$7/$K$7*K5</f>
        <v>5.44</v>
      </c>
      <c r="N5" s="61" t="s">
        <v>431</v>
      </c>
      <c r="O5" s="58">
        <v>0.95</v>
      </c>
      <c r="Q5" s="1" t="s">
        <v>12</v>
      </c>
      <c r="R5" s="1">
        <v>3</v>
      </c>
      <c r="S5" s="54">
        <v>12</v>
      </c>
    </row>
    <row r="6" spans="2:19">
      <c r="B6" s="37" t="s">
        <v>422</v>
      </c>
      <c r="C6" s="62" t="str">
        <f>$C$3</f>
        <v>R</v>
      </c>
      <c r="D6" s="1">
        <f>VLOOKUP(C6,$N$4:$O$6,2,0)</f>
        <v>0.9</v>
      </c>
      <c r="G6" s="1" t="s">
        <v>432</v>
      </c>
      <c r="H6" s="2">
        <v>12</v>
      </c>
      <c r="J6" s="4">
        <v>3</v>
      </c>
      <c r="K6" s="4">
        <v>0.9</v>
      </c>
      <c r="L6" s="56">
        <f>$L$7/$K$7*K6</f>
        <v>6.12</v>
      </c>
      <c r="N6" s="55" t="s">
        <v>433</v>
      </c>
      <c r="O6" s="58">
        <v>1</v>
      </c>
      <c r="Q6" s="1" t="s">
        <v>286</v>
      </c>
      <c r="R6" s="1">
        <v>2</v>
      </c>
      <c r="S6" s="28">
        <f>$S$5*$R$5/R6</f>
        <v>18</v>
      </c>
    </row>
    <row r="7" spans="2:19">
      <c r="B7" s="37" t="s">
        <v>434</v>
      </c>
      <c r="C7" s="63">
        <v>7</v>
      </c>
      <c r="G7" s="1" t="s">
        <v>435</v>
      </c>
      <c r="H7" s="64">
        <f>H4*H6/H5</f>
        <v>2.4</v>
      </c>
      <c r="J7" s="4">
        <v>4</v>
      </c>
      <c r="K7" s="4">
        <v>1</v>
      </c>
      <c r="L7" s="65">
        <v>6.8</v>
      </c>
    </row>
    <row r="8" spans="2:19">
      <c r="B8" s="66" t="s">
        <v>436</v>
      </c>
      <c r="C8" s="67">
        <f>C5/C7*D6*C2</f>
        <v>2.12142857142857</v>
      </c>
      <c r="G8" s="1" t="s">
        <v>437</v>
      </c>
      <c r="H8" s="64">
        <f>100%</f>
        <v>1</v>
      </c>
    </row>
    <row r="9" spans="2:19">
      <c r="C9" s="25"/>
      <c r="G9" s="1" t="s">
        <v>438</v>
      </c>
      <c r="H9" s="64">
        <f>标准模型!H82</f>
        <v>16.5</v>
      </c>
    </row>
    <row r="10" spans="2:19">
      <c r="B10" s="1" t="s">
        <v>439</v>
      </c>
    </row>
    <row r="11" spans="2:19">
      <c r="B11" s="59" t="s">
        <v>440</v>
      </c>
      <c r="C11" s="60">
        <v>0.7</v>
      </c>
    </row>
    <row r="12" spans="2:19">
      <c r="B12" s="37" t="s">
        <v>422</v>
      </c>
      <c r="C12" s="62" t="str">
        <f>$C$3</f>
        <v>R</v>
      </c>
      <c r="D12" s="1">
        <f>VLOOKUP(C12,$N$4:$O$6,2,0)</f>
        <v>0.9</v>
      </c>
    </row>
    <row r="13" spans="2:19">
      <c r="B13" s="37" t="s">
        <v>434</v>
      </c>
      <c r="C13" s="63">
        <v>1</v>
      </c>
    </row>
    <row r="14" spans="2:19">
      <c r="B14" s="66" t="s">
        <v>436</v>
      </c>
      <c r="C14" s="67">
        <f>C11/C13*D12*C2</f>
        <v>10.395</v>
      </c>
    </row>
    <row r="16" spans="2:19">
      <c r="B16" s="1" t="s">
        <v>441</v>
      </c>
      <c r="N16" s="1" t="s">
        <v>442</v>
      </c>
      <c r="O16" s="1">
        <v>0.5</v>
      </c>
      <c r="P16" s="1">
        <v>0.65</v>
      </c>
      <c r="Q16" s="1">
        <v>0.8</v>
      </c>
      <c r="R16" s="1">
        <v>1</v>
      </c>
    </row>
    <row r="17" spans="2:21">
      <c r="B17" s="59" t="s">
        <v>443</v>
      </c>
      <c r="C17" s="60">
        <v>0.93</v>
      </c>
    </row>
    <row r="18" spans="2:21">
      <c r="B18" s="37" t="s">
        <v>422</v>
      </c>
      <c r="C18" s="62" t="str">
        <f>$C$3</f>
        <v>R</v>
      </c>
      <c r="D18" s="1">
        <f>VLOOKUP(C18,$N$4:$O$6,2,0)</f>
        <v>0.9</v>
      </c>
      <c r="N18" s="1" t="s">
        <v>341</v>
      </c>
      <c r="O18" s="1">
        <v>0.5</v>
      </c>
      <c r="P18" s="1">
        <v>0.75</v>
      </c>
      <c r="Q18" s="1">
        <v>1</v>
      </c>
    </row>
    <row r="19" spans="2:21">
      <c r="B19" s="37" t="s">
        <v>434</v>
      </c>
      <c r="C19" s="63">
        <v>1</v>
      </c>
      <c r="T19" s="1" t="s">
        <v>444</v>
      </c>
      <c r="U19" s="1" t="s">
        <v>445</v>
      </c>
    </row>
    <row r="20" spans="2:21">
      <c r="B20" s="66" t="s">
        <v>436</v>
      </c>
      <c r="C20" s="67">
        <f>C17/C19*D18*C2</f>
        <v>13.8105</v>
      </c>
      <c r="O20" s="1">
        <f>MROUND($R$20*O16,5)</f>
        <v>20</v>
      </c>
      <c r="P20" s="1">
        <f>MROUND($R$20*P16,5)</f>
        <v>25</v>
      </c>
      <c r="Q20" s="1">
        <f>MROUND($R$20*Q16,5)</f>
        <v>30</v>
      </c>
      <c r="R20" s="2">
        <v>40</v>
      </c>
      <c r="T20" s="1" t="str">
        <f>_xlfn.CONCAT(O20,$T$19,P20,$T$19,Q20,$T$19,R20,$U$19)</f>
        <v>20%/25%/30%/40%</v>
      </c>
    </row>
    <row r="22" spans="2:21">
      <c r="C22" s="25"/>
      <c r="O22" s="1">
        <f>MROUND(O18*$R$20,5)</f>
        <v>20</v>
      </c>
      <c r="P22" s="1">
        <f>MROUND(P18*$R$20,5)</f>
        <v>30</v>
      </c>
      <c r="Q22" s="1">
        <f>MROUND(Q18*$R$20,5)</f>
        <v>40</v>
      </c>
      <c r="T22" s="1" t="str">
        <f>_xlfn.CONCAT(O22,$T$19,P22,$T$19,Q22,$U$19)</f>
        <v>20%/30%/40%</v>
      </c>
    </row>
    <row r="23" spans="2:21">
      <c r="B23" s="1" t="s">
        <v>446</v>
      </c>
      <c r="C23" s="25"/>
    </row>
    <row r="24" spans="2:21">
      <c r="B24" s="59" t="s">
        <v>447</v>
      </c>
      <c r="C24" s="60">
        <v>0.75</v>
      </c>
    </row>
    <row r="25" spans="2:21">
      <c r="B25" s="37" t="s">
        <v>422</v>
      </c>
      <c r="C25" s="62" t="str">
        <f>$C$3</f>
        <v>R</v>
      </c>
      <c r="D25" s="1">
        <f>VLOOKUP(C25,$N$4:$O$6,2,0)</f>
        <v>0.9</v>
      </c>
    </row>
    <row r="26" spans="2:21">
      <c r="B26" s="37" t="s">
        <v>448</v>
      </c>
      <c r="C26" s="38">
        <v>1</v>
      </c>
    </row>
    <row r="27" spans="2:21">
      <c r="B27" s="37" t="s">
        <v>449</v>
      </c>
      <c r="C27" s="63">
        <v>1</v>
      </c>
    </row>
    <row r="28" spans="2:21">
      <c r="B28" s="37" t="s">
        <v>450</v>
      </c>
      <c r="C28" s="38">
        <v>1.2</v>
      </c>
    </row>
    <row r="29" spans="2:21">
      <c r="B29" s="37" t="s">
        <v>434</v>
      </c>
      <c r="C29" s="63">
        <v>1</v>
      </c>
    </row>
    <row r="30" spans="2:21">
      <c r="B30" s="66" t="s">
        <v>436</v>
      </c>
      <c r="C30" s="67">
        <f>POWER(C26,C28)/POWER(C27,C28)*C24*D25*C2/C29</f>
        <v>11.1375</v>
      </c>
    </row>
    <row r="32" spans="2:21">
      <c r="B32" s="1" t="s">
        <v>451</v>
      </c>
      <c r="C32" s="25"/>
    </row>
    <row r="33" spans="2:4">
      <c r="B33" s="59" t="s">
        <v>452</v>
      </c>
      <c r="C33" s="60">
        <v>1.2</v>
      </c>
    </row>
    <row r="34" spans="2:4">
      <c r="B34" s="37" t="s">
        <v>422</v>
      </c>
      <c r="C34" s="62" t="str">
        <f>$C$3</f>
        <v>R</v>
      </c>
      <c r="D34" s="1">
        <f>VLOOKUP(C34,$N$4:$O$6,2,0)</f>
        <v>0.9</v>
      </c>
    </row>
    <row r="35" spans="2:4">
      <c r="B35" s="37" t="s">
        <v>453</v>
      </c>
      <c r="C35" s="63">
        <v>5</v>
      </c>
    </row>
    <row r="36" spans="2:4">
      <c r="B36" s="37" t="s">
        <v>454</v>
      </c>
      <c r="C36" s="38">
        <v>5</v>
      </c>
    </row>
    <row r="37" spans="2:4">
      <c r="B37" s="37" t="s">
        <v>455</v>
      </c>
      <c r="C37" s="38">
        <v>1.39</v>
      </c>
      <c r="D37" s="1">
        <f>POWER(C35,C37)/POWER(C36,C37)/C35*C36</f>
        <v>1</v>
      </c>
    </row>
    <row r="38" spans="2:4">
      <c r="B38" s="37" t="s">
        <v>456</v>
      </c>
      <c r="C38" s="38">
        <v>5</v>
      </c>
    </row>
    <row r="39" spans="2:4">
      <c r="B39" s="37" t="s">
        <v>457</v>
      </c>
      <c r="C39" s="63">
        <v>2</v>
      </c>
    </row>
    <row r="40" spans="2:4">
      <c r="B40" s="37" t="s">
        <v>458</v>
      </c>
      <c r="C40" s="38">
        <v>1.21</v>
      </c>
      <c r="D40" s="1">
        <f>POWER(C38,C40)/POWER(C39,C40)*C39/C38</f>
        <v>1.21218080273278</v>
      </c>
    </row>
    <row r="41" spans="2:4">
      <c r="B41" s="66" t="s">
        <v>459</v>
      </c>
      <c r="C41" s="67">
        <f>C33/C35*D37*D40*D34*C2</f>
        <v>4.32021238093961</v>
      </c>
    </row>
    <row r="44" spans="2:4">
      <c r="B44" s="1" t="s">
        <v>460</v>
      </c>
    </row>
    <row r="45" spans="2:4">
      <c r="B45" s="59" t="s">
        <v>461</v>
      </c>
      <c r="C45" s="60">
        <f>标准模型!I75</f>
        <v>0.190909090909091</v>
      </c>
    </row>
    <row r="46" spans="2:4">
      <c r="B46" s="37" t="s">
        <v>422</v>
      </c>
      <c r="C46" s="62" t="str">
        <f>$C$3</f>
        <v>R</v>
      </c>
      <c r="D46" s="1">
        <f>VLOOKUP(C46,$N$4:$O$6,2,0)</f>
        <v>0.9</v>
      </c>
    </row>
    <row r="47" spans="2:4">
      <c r="B47" s="37" t="s">
        <v>462</v>
      </c>
      <c r="C47" s="63">
        <v>5</v>
      </c>
    </row>
    <row r="48" spans="2:4">
      <c r="B48" s="37" t="s">
        <v>463</v>
      </c>
      <c r="C48" s="38">
        <v>1</v>
      </c>
    </row>
    <row r="49" spans="2:4">
      <c r="B49" s="37" t="s">
        <v>464</v>
      </c>
      <c r="C49" s="38">
        <v>1.35</v>
      </c>
      <c r="D49" s="1">
        <f>POWER(C47,C49)/POWER(C48,C49)*C48/C47</f>
        <v>1.75646500494603</v>
      </c>
    </row>
    <row r="50" spans="2:4">
      <c r="B50" s="66" t="s">
        <v>465</v>
      </c>
      <c r="C50" s="67">
        <f>C45/C47*C48*D49*D46*C2</f>
        <v>0.995915657804399</v>
      </c>
    </row>
    <row r="51" spans="2:4">
      <c r="C51" s="25"/>
    </row>
    <row r="52" spans="2:4">
      <c r="C52" s="25"/>
    </row>
    <row r="53" spans="2:4">
      <c r="B53" s="1" t="s">
        <v>466</v>
      </c>
    </row>
    <row r="54" spans="2:4">
      <c r="B54" s="59" t="s">
        <v>467</v>
      </c>
      <c r="C54" s="60">
        <f>C45*1.25</f>
        <v>0.238636363636364</v>
      </c>
    </row>
    <row r="55" spans="2:4">
      <c r="B55" s="37" t="s">
        <v>422</v>
      </c>
      <c r="C55" s="62" t="str">
        <f>$C$3</f>
        <v>R</v>
      </c>
      <c r="D55" s="1">
        <f>VLOOKUP(C55,$N$4:$O$6,2,0)</f>
        <v>0.9</v>
      </c>
    </row>
    <row r="56" spans="2:4">
      <c r="B56" s="37" t="s">
        <v>468</v>
      </c>
      <c r="C56" s="63">
        <v>1</v>
      </c>
    </row>
    <row r="57" spans="2:4">
      <c r="B57" s="37" t="s">
        <v>469</v>
      </c>
      <c r="C57" s="38">
        <v>1</v>
      </c>
    </row>
    <row r="58" spans="2:4">
      <c r="B58" s="37" t="s">
        <v>464</v>
      </c>
      <c r="C58" s="38">
        <v>1.56</v>
      </c>
      <c r="D58" s="1">
        <f>POWER(C56,C58)/POWER(C57,C58)*C57/C56</f>
        <v>1</v>
      </c>
    </row>
    <row r="59" spans="2:4">
      <c r="B59" s="37" t="s">
        <v>470</v>
      </c>
      <c r="C59" s="63">
        <v>4</v>
      </c>
    </row>
    <row r="60" spans="2:4">
      <c r="B60" s="37" t="s">
        <v>471</v>
      </c>
      <c r="C60" s="38">
        <v>20</v>
      </c>
    </row>
    <row r="61" spans="2:4">
      <c r="B61" s="37" t="s">
        <v>472</v>
      </c>
      <c r="C61" s="38">
        <v>2</v>
      </c>
    </row>
    <row r="62" spans="2:4">
      <c r="B62" s="37" t="s">
        <v>473</v>
      </c>
      <c r="C62" s="38">
        <f t="array" ref="C62">_xlfn.IFS(C59&gt;=C60,C60,C59&lt;=C61,C61,AND(C59&lt;C60,C59&gt;C61),C59)</f>
        <v>4</v>
      </c>
    </row>
    <row r="63" spans="2:4">
      <c r="B63" s="37" t="s">
        <v>474</v>
      </c>
      <c r="C63" s="38">
        <v>5</v>
      </c>
    </row>
    <row r="64" spans="2:4">
      <c r="B64" s="37" t="s">
        <v>475</v>
      </c>
      <c r="C64" s="38">
        <v>0.35</v>
      </c>
      <c r="D64" s="1">
        <f>POWER(C62,C64)/POWER(C63,C64)*C63/C62</f>
        <v>1.1560896375234</v>
      </c>
    </row>
    <row r="65" spans="2:4">
      <c r="B65" s="66" t="s">
        <v>476</v>
      </c>
      <c r="C65" s="67">
        <f>C54*D55/C56*D58*D64*C2</f>
        <v>4.09689265297355</v>
      </c>
    </row>
    <row r="67" spans="2:4">
      <c r="B67" s="1" t="s">
        <v>477</v>
      </c>
    </row>
    <row r="68" spans="2:4">
      <c r="B68" s="59" t="s">
        <v>478</v>
      </c>
      <c r="C68" s="60">
        <v>0.6</v>
      </c>
    </row>
    <row r="69" spans="2:4">
      <c r="B69" s="37" t="s">
        <v>422</v>
      </c>
      <c r="C69" s="62" t="str">
        <f>$C$3</f>
        <v>R</v>
      </c>
      <c r="D69" s="1">
        <f>VLOOKUP(C69,$N$4:$O$6,2,0)</f>
        <v>0.9</v>
      </c>
    </row>
    <row r="70" spans="2:4">
      <c r="B70" s="37" t="s">
        <v>479</v>
      </c>
      <c r="C70" s="38">
        <v>1</v>
      </c>
    </row>
    <row r="71" spans="2:4">
      <c r="B71" s="37" t="s">
        <v>480</v>
      </c>
      <c r="C71" s="63">
        <v>1</v>
      </c>
    </row>
    <row r="72" spans="2:4">
      <c r="B72" s="37" t="s">
        <v>481</v>
      </c>
      <c r="C72" s="38">
        <v>1</v>
      </c>
    </row>
    <row r="73" spans="2:4">
      <c r="B73" s="37" t="s">
        <v>482</v>
      </c>
      <c r="C73" s="38">
        <v>0.35</v>
      </c>
      <c r="D73" s="1">
        <f>POWER(C71,C73)/POWER(C72,C73)*C72/C71</f>
        <v>1</v>
      </c>
    </row>
    <row r="74" spans="2:4">
      <c r="B74" s="66" t="s">
        <v>483</v>
      </c>
      <c r="C74" s="68">
        <f>$C$2*C70*C68*D73*D69</f>
        <v>8.91</v>
      </c>
    </row>
    <row r="76" spans="2:4">
      <c r="B76" s="1" t="s">
        <v>484</v>
      </c>
    </row>
    <row r="77" spans="2:4">
      <c r="B77" s="59" t="s">
        <v>478</v>
      </c>
      <c r="C77" s="60">
        <v>1.4</v>
      </c>
    </row>
    <row r="78" spans="2:4">
      <c r="B78" s="37" t="s">
        <v>422</v>
      </c>
      <c r="C78" s="62" t="str">
        <f>$C$3</f>
        <v>R</v>
      </c>
      <c r="D78" s="1">
        <f>VLOOKUP(C78,$N$4:$O$6,2,0)</f>
        <v>0.9</v>
      </c>
    </row>
    <row r="79" spans="2:4">
      <c r="B79" s="37" t="s">
        <v>479</v>
      </c>
      <c r="C79" s="38">
        <v>1</v>
      </c>
    </row>
    <row r="80" spans="2:4">
      <c r="B80" s="37" t="s">
        <v>480</v>
      </c>
      <c r="C80" s="63">
        <v>1</v>
      </c>
    </row>
    <row r="81" spans="2:4">
      <c r="B81" s="37" t="s">
        <v>481</v>
      </c>
      <c r="C81" s="38">
        <v>1</v>
      </c>
    </row>
    <row r="82" spans="2:4">
      <c r="B82" s="37" t="s">
        <v>482</v>
      </c>
      <c r="C82" s="38">
        <v>0.35</v>
      </c>
      <c r="D82" s="1">
        <f>POWER(C80,C82)/POWER(C81,C82)*C81/C80</f>
        <v>1</v>
      </c>
    </row>
    <row r="83" spans="2:4">
      <c r="B83" s="66" t="s">
        <v>483</v>
      </c>
      <c r="C83" s="68">
        <f>$C$2*C79*C77*D82*D78</f>
        <v>20.79</v>
      </c>
    </row>
    <row r="85" spans="2:4">
      <c r="B85" s="1" t="s">
        <v>485</v>
      </c>
    </row>
    <row r="86" spans="2:4">
      <c r="B86" s="59" t="s">
        <v>478</v>
      </c>
      <c r="C86" s="60">
        <v>2</v>
      </c>
    </row>
    <row r="87" spans="2:4">
      <c r="B87" s="37" t="s">
        <v>422</v>
      </c>
      <c r="C87" s="62" t="str">
        <f>$C$3</f>
        <v>R</v>
      </c>
      <c r="D87" s="1">
        <f>VLOOKUP(C87,$N$4:$O$6,2,0)</f>
        <v>0.9</v>
      </c>
    </row>
    <row r="88" spans="2:4">
      <c r="B88" s="37" t="s">
        <v>479</v>
      </c>
      <c r="C88" s="38">
        <v>1</v>
      </c>
    </row>
    <row r="89" spans="2:4">
      <c r="B89" s="37" t="s">
        <v>480</v>
      </c>
      <c r="C89" s="63">
        <v>2</v>
      </c>
    </row>
    <row r="90" spans="2:4">
      <c r="B90" s="37" t="s">
        <v>481</v>
      </c>
      <c r="C90" s="38">
        <v>1</v>
      </c>
    </row>
    <row r="91" spans="2:4">
      <c r="B91" s="37" t="s">
        <v>482</v>
      </c>
      <c r="C91" s="38">
        <v>0.35</v>
      </c>
      <c r="D91" s="1">
        <f>POWER(C89,C91)/POWER(C90,C91)*C90/C89</f>
        <v>0.637280313659631</v>
      </c>
    </row>
    <row r="92" spans="2:4">
      <c r="B92" s="66" t="s">
        <v>483</v>
      </c>
      <c r="C92" s="68">
        <f>$C$2*C88*C86*D91*D87</f>
        <v>18.927225315691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0"/>
  <sheetViews>
    <sheetView workbookViewId="0">
      <pane ySplit="1" topLeftCell="A2" activePane="bottomLeft" state="frozenSplit"/>
      <selection/>
      <selection pane="bottomLeft" activeCell="C17" sqref="C17"/>
    </sheetView>
  </sheetViews>
  <sheetFormatPr defaultColWidth="9" defaultRowHeight="16.5"/>
  <cols>
    <col min="1" max="2" width="14.625" style="40" customWidth="1"/>
    <col min="3" max="3" width="10.625" style="40" customWidth="1"/>
    <col min="4" max="29" width="12.625" style="40" customWidth="1"/>
    <col min="30" max="30" width="26.625" style="40" customWidth="1"/>
    <col min="31" max="16384" width="9" style="40" customWidth="1"/>
  </cols>
  <sheetData>
    <row r="1" ht="28" customHeight="1" spans="1:30">
      <c r="A1" s="41" t="s">
        <v>486</v>
      </c>
    </row>
    <row r="3" spans="1:30">
      <c r="A3" s="42" t="s">
        <v>487</v>
      </c>
      <c r="B3" s="42" t="s">
        <v>488</v>
      </c>
      <c r="C3" s="42" t="s">
        <v>489</v>
      </c>
      <c r="D3" s="42" t="s">
        <v>490</v>
      </c>
      <c r="E3" s="42" t="s">
        <v>491</v>
      </c>
      <c r="F3" s="42" t="s">
        <v>492</v>
      </c>
      <c r="G3" s="42" t="s">
        <v>489</v>
      </c>
      <c r="H3" s="43"/>
      <c r="I3" s="42" t="s">
        <v>493</v>
      </c>
      <c r="J3" s="42" t="s">
        <v>494</v>
      </c>
      <c r="K3" s="42" t="s">
        <v>489</v>
      </c>
      <c r="L3" s="43"/>
      <c r="M3" s="42" t="s">
        <v>495</v>
      </c>
      <c r="N3" s="42" t="s">
        <v>494</v>
      </c>
      <c r="O3" s="42" t="s">
        <v>489</v>
      </c>
      <c r="P3" s="43"/>
      <c r="Q3" s="42" t="s">
        <v>496</v>
      </c>
      <c r="R3" s="42" t="s">
        <v>494</v>
      </c>
      <c r="S3" s="42" t="s">
        <v>489</v>
      </c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</row>
    <row r="4" ht="49.5" customHeight="1" spans="1:30">
      <c r="A4" s="43" t="s">
        <v>497</v>
      </c>
      <c r="B4" s="44">
        <v>5.5</v>
      </c>
      <c r="C4" s="43" t="s">
        <v>498</v>
      </c>
      <c r="D4" s="43" t="s">
        <v>327</v>
      </c>
      <c r="E4" s="45">
        <v>1</v>
      </c>
      <c r="F4" s="46">
        <v>1.5</v>
      </c>
      <c r="G4" s="43" t="s">
        <v>499</v>
      </c>
      <c r="H4" s="43"/>
      <c r="I4" s="43" t="s">
        <v>500</v>
      </c>
      <c r="J4" s="43">
        <v>1</v>
      </c>
      <c r="K4" s="43" t="s">
        <v>501</v>
      </c>
      <c r="L4" s="43"/>
      <c r="M4" s="43" t="s">
        <v>502</v>
      </c>
      <c r="N4" s="43">
        <v>1</v>
      </c>
      <c r="O4" s="43" t="s">
        <v>503</v>
      </c>
      <c r="P4" s="43"/>
      <c r="Q4" s="43" t="s">
        <v>504</v>
      </c>
      <c r="R4" s="43">
        <v>1</v>
      </c>
      <c r="S4" s="43" t="s">
        <v>505</v>
      </c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</row>
    <row r="5" ht="33" customHeight="1" spans="1:30">
      <c r="A5" s="43" t="s">
        <v>506</v>
      </c>
      <c r="B5" s="44">
        <v>0.8</v>
      </c>
      <c r="C5" s="43" t="s">
        <v>507</v>
      </c>
      <c r="D5" s="43" t="s">
        <v>508</v>
      </c>
      <c r="E5" s="45">
        <v>1.75</v>
      </c>
      <c r="F5" s="46">
        <v>8</v>
      </c>
      <c r="G5" s="43" t="s">
        <v>509</v>
      </c>
      <c r="H5" s="43"/>
      <c r="I5" s="43" t="s">
        <v>510</v>
      </c>
      <c r="J5" s="43">
        <v>1</v>
      </c>
      <c r="K5" s="43" t="s">
        <v>511</v>
      </c>
      <c r="L5" s="43"/>
      <c r="M5" s="43" t="s">
        <v>512</v>
      </c>
      <c r="N5" s="43">
        <v>1</v>
      </c>
      <c r="O5" s="43" t="s">
        <v>513</v>
      </c>
      <c r="P5" s="43"/>
      <c r="Q5" s="43" t="s">
        <v>514</v>
      </c>
      <c r="R5" s="43">
        <v>0.7</v>
      </c>
      <c r="S5" s="43" t="s">
        <v>515</v>
      </c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</row>
    <row r="6" ht="33" customHeight="1" spans="1:30">
      <c r="A6" s="43" t="s">
        <v>516</v>
      </c>
      <c r="B6" s="44">
        <v>2</v>
      </c>
      <c r="C6" s="43" t="s">
        <v>517</v>
      </c>
      <c r="D6" s="43" t="s">
        <v>331</v>
      </c>
      <c r="E6" s="45">
        <v>2.5</v>
      </c>
      <c r="F6" s="46">
        <v>25</v>
      </c>
      <c r="G6" s="43" t="s">
        <v>518</v>
      </c>
      <c r="H6" s="43"/>
      <c r="I6" s="43" t="s">
        <v>519</v>
      </c>
      <c r="J6" s="43">
        <v>1</v>
      </c>
      <c r="K6" s="43" t="s">
        <v>520</v>
      </c>
      <c r="L6" s="43"/>
      <c r="M6" s="43" t="s">
        <v>521</v>
      </c>
      <c r="N6" s="43">
        <v>1</v>
      </c>
      <c r="O6" s="43" t="s">
        <v>522</v>
      </c>
      <c r="P6" s="43"/>
      <c r="Q6" s="43" t="s">
        <v>523</v>
      </c>
      <c r="R6" s="43">
        <v>0.3</v>
      </c>
      <c r="S6" s="43" t="s">
        <v>524</v>
      </c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</row>
    <row r="7" ht="33" customHeight="1" spans="1:30">
      <c r="A7" s="43" t="s">
        <v>525</v>
      </c>
      <c r="B7" s="44">
        <v>3</v>
      </c>
      <c r="C7" s="43" t="s">
        <v>526</v>
      </c>
      <c r="D7" s="43"/>
      <c r="E7" s="43"/>
      <c r="F7" s="43"/>
      <c r="G7" s="43"/>
      <c r="H7" s="43"/>
      <c r="I7" s="43" t="s">
        <v>527</v>
      </c>
      <c r="J7" s="43">
        <v>1</v>
      </c>
      <c r="K7" s="43" t="s">
        <v>528</v>
      </c>
      <c r="L7" s="43"/>
      <c r="M7" s="43" t="s">
        <v>529</v>
      </c>
      <c r="N7" s="43">
        <v>1</v>
      </c>
      <c r="O7" s="43" t="s">
        <v>530</v>
      </c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</row>
    <row r="8" ht="49.5" customHeight="1" spans="1:30">
      <c r="A8" s="43" t="s">
        <v>531</v>
      </c>
      <c r="B8" s="44">
        <v>1</v>
      </c>
      <c r="C8" s="43" t="s">
        <v>532</v>
      </c>
      <c r="D8" s="43"/>
      <c r="E8" s="43"/>
      <c r="F8" s="43"/>
      <c r="G8" s="43"/>
      <c r="H8" s="43"/>
      <c r="I8" s="43"/>
      <c r="J8" s="43"/>
      <c r="K8" s="43"/>
      <c r="L8" s="43"/>
      <c r="M8" s="43" t="s">
        <v>533</v>
      </c>
      <c r="N8" s="43">
        <v>1</v>
      </c>
      <c r="O8" s="43" t="s">
        <v>534</v>
      </c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</row>
    <row r="9" ht="82.5" customHeight="1" spans="1:30">
      <c r="A9" s="43" t="s">
        <v>535</v>
      </c>
      <c r="B9" s="44">
        <v>0.05</v>
      </c>
      <c r="C9" s="43" t="s">
        <v>536</v>
      </c>
      <c r="D9" s="43"/>
      <c r="E9" s="43"/>
      <c r="F9" s="43"/>
      <c r="G9" s="43"/>
      <c r="H9" s="43"/>
      <c r="I9" s="43"/>
      <c r="J9" s="43"/>
      <c r="K9" s="43"/>
      <c r="L9" s="43"/>
      <c r="M9" s="43" t="s">
        <v>537</v>
      </c>
      <c r="N9" s="43">
        <v>0.5</v>
      </c>
      <c r="O9" s="43" t="s">
        <v>538</v>
      </c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</row>
    <row r="10" ht="49.5" customHeight="1" spans="1:30">
      <c r="A10" s="43" t="s">
        <v>539</v>
      </c>
      <c r="B10" s="44">
        <v>0.08</v>
      </c>
      <c r="C10" s="43" t="s">
        <v>540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</row>
    <row r="11" ht="33" customHeight="1" spans="1:30">
      <c r="A11" s="43" t="s">
        <v>541</v>
      </c>
      <c r="B11" s="44">
        <v>0.12</v>
      </c>
      <c r="C11" s="43" t="s">
        <v>542</v>
      </c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</row>
    <row r="12" ht="49.5" customHeight="1" spans="1:30">
      <c r="A12" s="43" t="s">
        <v>543</v>
      </c>
      <c r="B12" s="44">
        <v>0.08</v>
      </c>
      <c r="C12" s="43" t="s">
        <v>544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</row>
    <row r="13" ht="33" customHeight="1" spans="1:30">
      <c r="A13" s="43" t="s">
        <v>545</v>
      </c>
      <c r="B13" s="44">
        <v>0.12</v>
      </c>
      <c r="C13" s="43" t="s">
        <v>546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</row>
    <row r="14" spans="1:30">
      <c r="A14" s="47" t="s">
        <v>547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9"/>
    </row>
    <row r="15" ht="42" customHeight="1" spans="1:30">
      <c r="A15" s="42" t="s">
        <v>548</v>
      </c>
      <c r="B15" s="42" t="s">
        <v>549</v>
      </c>
      <c r="C15" s="42" t="s">
        <v>490</v>
      </c>
      <c r="D15" s="42" t="s">
        <v>491</v>
      </c>
      <c r="E15" s="42" t="s">
        <v>550</v>
      </c>
      <c r="F15" s="42" t="s">
        <v>493</v>
      </c>
      <c r="G15" s="42" t="s">
        <v>551</v>
      </c>
      <c r="H15" s="42" t="s">
        <v>495</v>
      </c>
      <c r="I15" s="42" t="s">
        <v>552</v>
      </c>
      <c r="J15" s="42" t="s">
        <v>553</v>
      </c>
      <c r="K15" s="42" t="s">
        <v>554</v>
      </c>
      <c r="L15" s="42" t="s">
        <v>555</v>
      </c>
      <c r="M15" s="42" t="s">
        <v>496</v>
      </c>
      <c r="N15" s="42" t="s">
        <v>556</v>
      </c>
      <c r="O15" s="42" t="s">
        <v>557</v>
      </c>
      <c r="P15" s="42" t="s">
        <v>558</v>
      </c>
      <c r="Q15" s="42" t="s">
        <v>559</v>
      </c>
      <c r="R15" s="42" t="s">
        <v>560</v>
      </c>
      <c r="S15" s="42" t="s">
        <v>561</v>
      </c>
      <c r="T15" s="42" t="s">
        <v>562</v>
      </c>
      <c r="U15" s="42" t="s">
        <v>563</v>
      </c>
      <c r="V15" s="42" t="s">
        <v>564</v>
      </c>
      <c r="W15" s="42" t="s">
        <v>478</v>
      </c>
      <c r="X15" s="42" t="s">
        <v>565</v>
      </c>
      <c r="Y15" s="42" t="s">
        <v>566</v>
      </c>
      <c r="Z15" s="42" t="s">
        <v>435</v>
      </c>
      <c r="AA15" s="46"/>
      <c r="AB15" s="46"/>
      <c r="AC15" s="46"/>
      <c r="AD15" s="46"/>
    </row>
    <row r="16" spans="1:30">
      <c r="A16" s="46" t="s">
        <v>567</v>
      </c>
      <c r="B16" s="46" t="s">
        <v>327</v>
      </c>
      <c r="C16" s="46" t="s">
        <v>327</v>
      </c>
      <c r="D16" s="50">
        <f t="shared" ref="D16:D60" si="0">IF($C16="","",VLOOKUP($C16,$D$4:$F$6,2,FALSE))</f>
        <v>1</v>
      </c>
      <c r="E16" s="50">
        <f t="shared" ref="E16:E60" si="1">IF($C16="","",VLOOKUP($C16,$D$4:$F$6,3,FALSE))</f>
        <v>1.5</v>
      </c>
      <c r="F16" s="44" t="s">
        <v>500</v>
      </c>
      <c r="G16" s="50">
        <f t="shared" ref="G16:G60" si="2">IF($C16="","",VLOOKUP($F16,$I$4:$J$7,2,FALSE))</f>
        <v>1</v>
      </c>
      <c r="H16" s="44" t="s">
        <v>502</v>
      </c>
      <c r="I16" s="50">
        <f t="shared" ref="I16:I60" si="3">IF($C16="","",VLOOKUP($H16,$M$4:$N$9,2,FALSE))</f>
        <v>1</v>
      </c>
      <c r="J16" s="44">
        <v>0</v>
      </c>
      <c r="K16" s="51">
        <v>0</v>
      </c>
      <c r="L16" s="50">
        <f>IF($C16="","",IF($J16&gt;0,MAX(0.85,1-($J16-$K16)*$B$9),1))</f>
        <v>1</v>
      </c>
      <c r="M16" s="44" t="s">
        <v>504</v>
      </c>
      <c r="N16" s="50">
        <f t="shared" ref="N16:N60" si="4">IF($C16="","",VLOOKUP($M16,$Q$4:$R$6,2,FALSE))</f>
        <v>1</v>
      </c>
      <c r="O16" s="44">
        <v>1</v>
      </c>
      <c r="P16" s="50">
        <f>IF($C16="","",1-MAX($O16-1,0)*$B$10)</f>
        <v>1</v>
      </c>
      <c r="Q16" s="44">
        <v>1</v>
      </c>
      <c r="R16" s="50">
        <f>IF($C16="","",1-MAX($Q16-1,0)*$B$11)</f>
        <v>1</v>
      </c>
      <c r="S16" s="44">
        <v>0</v>
      </c>
      <c r="T16" s="44">
        <v>0</v>
      </c>
      <c r="U16" s="50">
        <f t="shared" ref="U16:U60" si="5">IF($C16="","",IF($S16&gt;0,1+MAX($S16/MAX($T16,0.1)-1,0)*$B$12,1))</f>
        <v>1</v>
      </c>
      <c r="V16" s="44">
        <v>0</v>
      </c>
      <c r="W16" s="50">
        <f>IF($C16="","",1-MAX($V16,0)*$B$13)</f>
        <v>1</v>
      </c>
      <c r="X16" s="44">
        <v>1</v>
      </c>
      <c r="Y16" s="50">
        <f t="shared" ref="Y16:Y60" si="6">IF($C16="","",PRODUCT($G16,$I16,$L16,$N16,$P16,$R16,$U16,$W16,$X16))</f>
        <v>1</v>
      </c>
      <c r="Z16" s="52">
        <f t="shared" ref="Z16:Z60" si="7">IF($C16="","",$D16*$Y16)</f>
        <v>1</v>
      </c>
      <c r="AA16" s="46"/>
      <c r="AB16" s="46"/>
      <c r="AC16" s="46"/>
      <c r="AD16" s="46"/>
    </row>
    <row r="17" spans="1:30">
      <c r="A17" s="46" t="s">
        <v>567</v>
      </c>
      <c r="B17" s="46" t="s">
        <v>568</v>
      </c>
      <c r="C17" s="46" t="s">
        <v>508</v>
      </c>
      <c r="D17" s="50">
        <f t="shared" si="0"/>
        <v>1.75</v>
      </c>
      <c r="E17" s="50">
        <f t="shared" si="1"/>
        <v>8</v>
      </c>
      <c r="F17" s="44" t="s">
        <v>510</v>
      </c>
      <c r="G17" s="50">
        <f t="shared" si="2"/>
        <v>1</v>
      </c>
      <c r="H17" s="44" t="s">
        <v>521</v>
      </c>
      <c r="I17" s="50">
        <f t="shared" si="3"/>
        <v>1</v>
      </c>
      <c r="J17" s="44">
        <v>6</v>
      </c>
      <c r="K17" s="51">
        <v>4</v>
      </c>
      <c r="L17" s="50">
        <f>IF($C17="","",IF($J17&gt;0,MAX(0.85,1-($J17-$K17)*$B$9),1))</f>
        <v>0.9</v>
      </c>
      <c r="M17" s="44" t="s">
        <v>514</v>
      </c>
      <c r="N17" s="50">
        <f t="shared" si="4"/>
        <v>0.7</v>
      </c>
      <c r="O17" s="44">
        <v>1</v>
      </c>
      <c r="P17" s="50">
        <f>IF($C17="","",1-MAX($O17-1,0)*$B$10)</f>
        <v>1</v>
      </c>
      <c r="Q17" s="44">
        <v>1</v>
      </c>
      <c r="R17" s="50">
        <f>IF($C17="","",1-MAX($Q17-1,0)*$B$11)</f>
        <v>1</v>
      </c>
      <c r="S17" s="44">
        <v>0</v>
      </c>
      <c r="T17" s="44">
        <v>0</v>
      </c>
      <c r="U17" s="50">
        <f t="shared" si="5"/>
        <v>1</v>
      </c>
      <c r="V17" s="44">
        <v>0</v>
      </c>
      <c r="W17" s="50">
        <f>IF($C17="","",1-MAX($V17,0)*$B$13)</f>
        <v>1</v>
      </c>
      <c r="X17" s="44">
        <v>1</v>
      </c>
      <c r="Y17" s="50">
        <f t="shared" si="6"/>
        <v>0.63</v>
      </c>
      <c r="Z17" s="52">
        <f t="shared" si="7"/>
        <v>1.1025</v>
      </c>
      <c r="AA17" s="46"/>
      <c r="AB17" s="46"/>
      <c r="AC17" s="46"/>
      <c r="AD17" s="46"/>
    </row>
    <row r="18" spans="1:30">
      <c r="A18" s="46" t="s">
        <v>567</v>
      </c>
      <c r="B18" s="46" t="s">
        <v>569</v>
      </c>
      <c r="C18" s="46" t="s">
        <v>331</v>
      </c>
      <c r="D18" s="50">
        <f t="shared" si="0"/>
        <v>2.5</v>
      </c>
      <c r="E18" s="50">
        <f t="shared" si="1"/>
        <v>25</v>
      </c>
      <c r="F18" s="44" t="s">
        <v>527</v>
      </c>
      <c r="G18" s="50">
        <f t="shared" si="2"/>
        <v>1</v>
      </c>
      <c r="H18" s="44" t="s">
        <v>529</v>
      </c>
      <c r="I18" s="50">
        <f t="shared" si="3"/>
        <v>1</v>
      </c>
      <c r="J18" s="44">
        <v>8</v>
      </c>
      <c r="K18" s="51">
        <v>4</v>
      </c>
      <c r="L18" s="50">
        <f>IF($C18="","",IF($J18&gt;0,MAX(0.85,1-($J18-$K18)*$B$9),1))</f>
        <v>0.85</v>
      </c>
      <c r="M18" s="44" t="s">
        <v>504</v>
      </c>
      <c r="N18" s="50">
        <f t="shared" si="4"/>
        <v>1</v>
      </c>
      <c r="O18" s="44">
        <v>1</v>
      </c>
      <c r="P18" s="50">
        <f>IF($C18="","",1-MAX($O18-1,0)*$B$10)</f>
        <v>1</v>
      </c>
      <c r="Q18" s="44">
        <v>1</v>
      </c>
      <c r="R18" s="50">
        <f>IF($C18="","",1-MAX($Q18-1,0)*$B$11)</f>
        <v>1</v>
      </c>
      <c r="S18" s="44">
        <v>0</v>
      </c>
      <c r="T18" s="44">
        <v>0</v>
      </c>
      <c r="U18" s="50">
        <f t="shared" si="5"/>
        <v>1</v>
      </c>
      <c r="V18" s="44">
        <v>0</v>
      </c>
      <c r="W18" s="50">
        <f>IF($C18="","",1-MAX($V18,0)*$B$13)</f>
        <v>1</v>
      </c>
      <c r="X18" s="44">
        <v>1.1</v>
      </c>
      <c r="Y18" s="50">
        <f t="shared" si="6"/>
        <v>0.935</v>
      </c>
      <c r="Z18" s="52">
        <f t="shared" si="7"/>
        <v>2.3375</v>
      </c>
      <c r="AA18" s="46"/>
      <c r="AB18" s="46"/>
      <c r="AC18" s="46"/>
      <c r="AD18" s="46"/>
    </row>
    <row r="19" spans="1:30">
      <c r="A19" s="46"/>
      <c r="B19" s="46"/>
      <c r="C19" s="46"/>
      <c r="D19" s="50" t="str">
        <f t="shared" si="0"/>
        <v/>
      </c>
      <c r="E19" s="50" t="str">
        <f t="shared" si="1"/>
        <v/>
      </c>
      <c r="F19" s="44"/>
      <c r="G19" s="50" t="str">
        <f t="shared" si="2"/>
        <v/>
      </c>
      <c r="H19" s="44"/>
      <c r="I19" s="50" t="str">
        <f t="shared" si="3"/>
        <v/>
      </c>
      <c r="J19" s="44">
        <v>0</v>
      </c>
      <c r="K19" s="51">
        <v>0</v>
      </c>
      <c r="L19" s="50" t="str">
        <f t="shared" ref="L19:L60" si="8">IF($C19="","",IF($J19&gt;0,MAX(0.85,1+($J19-$K19)*$B$9),1))</f>
        <v/>
      </c>
      <c r="M19" s="44"/>
      <c r="N19" s="50" t="str">
        <f t="shared" si="4"/>
        <v/>
      </c>
      <c r="O19" s="44">
        <v>1</v>
      </c>
      <c r="P19" s="50" t="str">
        <f t="shared" ref="P19:P60" si="9">IF($C19="","",1+MAX($O19-1,0)*$B$10)</f>
        <v/>
      </c>
      <c r="Q19" s="44">
        <v>1</v>
      </c>
      <c r="R19" s="50" t="str">
        <f t="shared" ref="R19:R60" si="10">IF($C19="","",1+MAX($Q19-1,0)*$B$11)</f>
        <v/>
      </c>
      <c r="S19" s="44">
        <v>0</v>
      </c>
      <c r="T19" s="44">
        <v>0</v>
      </c>
      <c r="U19" s="50" t="str">
        <f t="shared" si="5"/>
        <v/>
      </c>
      <c r="V19" s="44">
        <v>0</v>
      </c>
      <c r="W19" s="50" t="str">
        <f t="shared" ref="W19:W60" si="11">IF($C19="","",1+MAX($V19,0)*$B$13)</f>
        <v/>
      </c>
      <c r="X19" s="44">
        <v>1</v>
      </c>
      <c r="Y19" s="50" t="str">
        <f t="shared" si="6"/>
        <v/>
      </c>
      <c r="Z19" s="50" t="str">
        <f t="shared" si="7"/>
        <v/>
      </c>
      <c r="AA19" s="53" t="str">
        <f t="shared" ref="AA19:AA60" si="12">IF($C19="","",$Z19/$B$4)</f>
        <v/>
      </c>
      <c r="AB19" s="50" t="str">
        <f t="shared" ref="AB19:AB60" si="13">IF($C19="","",$Z19/$E19)</f>
        <v/>
      </c>
      <c r="AC19" s="50" t="str">
        <f t="shared" ref="AC19:AC60" si="14">IF($C19="","",$D19/$Y19)</f>
        <v/>
      </c>
      <c r="AD19" s="46"/>
    </row>
    <row r="20" spans="1:30">
      <c r="A20" s="46"/>
      <c r="B20" s="46"/>
      <c r="C20" s="46"/>
      <c r="D20" s="50" t="str">
        <f t="shared" si="0"/>
        <v/>
      </c>
      <c r="E20" s="50" t="str">
        <f t="shared" si="1"/>
        <v/>
      </c>
      <c r="F20" s="44"/>
      <c r="G20" s="50" t="str">
        <f t="shared" si="2"/>
        <v/>
      </c>
      <c r="H20" s="44"/>
      <c r="I20" s="50" t="str">
        <f t="shared" si="3"/>
        <v/>
      </c>
      <c r="J20" s="44">
        <v>0</v>
      </c>
      <c r="K20" s="51">
        <v>0</v>
      </c>
      <c r="L20" s="50" t="str">
        <f t="shared" si="8"/>
        <v/>
      </c>
      <c r="M20" s="44"/>
      <c r="N20" s="50" t="str">
        <f t="shared" si="4"/>
        <v/>
      </c>
      <c r="O20" s="44">
        <v>1</v>
      </c>
      <c r="P20" s="50" t="str">
        <f t="shared" si="9"/>
        <v/>
      </c>
      <c r="Q20" s="44">
        <v>1</v>
      </c>
      <c r="R20" s="50" t="str">
        <f t="shared" si="10"/>
        <v/>
      </c>
      <c r="S20" s="44">
        <v>0</v>
      </c>
      <c r="T20" s="44">
        <v>0</v>
      </c>
      <c r="U20" s="50" t="str">
        <f t="shared" si="5"/>
        <v/>
      </c>
      <c r="V20" s="44">
        <v>0</v>
      </c>
      <c r="W20" s="50" t="str">
        <f t="shared" si="11"/>
        <v/>
      </c>
      <c r="X20" s="44">
        <v>1</v>
      </c>
      <c r="Y20" s="50" t="str">
        <f t="shared" si="6"/>
        <v/>
      </c>
      <c r="Z20" s="50" t="str">
        <f t="shared" si="7"/>
        <v/>
      </c>
      <c r="AA20" s="53" t="str">
        <f t="shared" si="12"/>
        <v/>
      </c>
      <c r="AB20" s="50" t="str">
        <f t="shared" si="13"/>
        <v/>
      </c>
      <c r="AC20" s="50" t="str">
        <f t="shared" si="14"/>
        <v/>
      </c>
      <c r="AD20" s="46"/>
    </row>
    <row r="21" spans="1:30">
      <c r="A21" s="46"/>
      <c r="B21" s="46"/>
      <c r="C21" s="46"/>
      <c r="D21" s="50" t="str">
        <f t="shared" si="0"/>
        <v/>
      </c>
      <c r="E21" s="50" t="str">
        <f t="shared" si="1"/>
        <v/>
      </c>
      <c r="F21" s="44"/>
      <c r="G21" s="50" t="str">
        <f t="shared" si="2"/>
        <v/>
      </c>
      <c r="H21" s="44"/>
      <c r="I21" s="50" t="str">
        <f t="shared" si="3"/>
        <v/>
      </c>
      <c r="J21" s="44">
        <v>0</v>
      </c>
      <c r="K21" s="51">
        <v>0</v>
      </c>
      <c r="L21" s="50" t="str">
        <f t="shared" si="8"/>
        <v/>
      </c>
      <c r="M21" s="44"/>
      <c r="N21" s="50" t="str">
        <f t="shared" si="4"/>
        <v/>
      </c>
      <c r="O21" s="44">
        <v>1</v>
      </c>
      <c r="P21" s="50" t="str">
        <f t="shared" si="9"/>
        <v/>
      </c>
      <c r="Q21" s="44">
        <v>1</v>
      </c>
      <c r="R21" s="50" t="str">
        <f t="shared" si="10"/>
        <v/>
      </c>
      <c r="S21" s="44">
        <v>0</v>
      </c>
      <c r="T21" s="44">
        <v>0</v>
      </c>
      <c r="U21" s="50" t="str">
        <f t="shared" si="5"/>
        <v/>
      </c>
      <c r="V21" s="44">
        <v>0</v>
      </c>
      <c r="W21" s="50" t="str">
        <f t="shared" si="11"/>
        <v/>
      </c>
      <c r="X21" s="44">
        <v>1</v>
      </c>
      <c r="Y21" s="50" t="str">
        <f t="shared" si="6"/>
        <v/>
      </c>
      <c r="Z21" s="50" t="str">
        <f t="shared" si="7"/>
        <v/>
      </c>
      <c r="AA21" s="53" t="str">
        <f t="shared" si="12"/>
        <v/>
      </c>
      <c r="AB21" s="50" t="str">
        <f t="shared" si="13"/>
        <v/>
      </c>
      <c r="AC21" s="50" t="str">
        <f t="shared" si="14"/>
        <v/>
      </c>
      <c r="AD21" s="46"/>
    </row>
    <row r="22" spans="1:30">
      <c r="A22" s="46"/>
      <c r="B22" s="46"/>
      <c r="C22" s="46"/>
      <c r="D22" s="50" t="str">
        <f t="shared" si="0"/>
        <v/>
      </c>
      <c r="E22" s="50" t="str">
        <f t="shared" si="1"/>
        <v/>
      </c>
      <c r="F22" s="44"/>
      <c r="G22" s="50" t="str">
        <f t="shared" si="2"/>
        <v/>
      </c>
      <c r="H22" s="44"/>
      <c r="I22" s="50" t="str">
        <f t="shared" si="3"/>
        <v/>
      </c>
      <c r="J22" s="44">
        <v>0</v>
      </c>
      <c r="K22" s="51">
        <v>0</v>
      </c>
      <c r="L22" s="50" t="str">
        <f t="shared" si="8"/>
        <v/>
      </c>
      <c r="M22" s="44"/>
      <c r="N22" s="50" t="str">
        <f t="shared" si="4"/>
        <v/>
      </c>
      <c r="O22" s="44">
        <v>1</v>
      </c>
      <c r="P22" s="50" t="str">
        <f t="shared" si="9"/>
        <v/>
      </c>
      <c r="Q22" s="44">
        <v>1</v>
      </c>
      <c r="R22" s="50" t="str">
        <f t="shared" si="10"/>
        <v/>
      </c>
      <c r="S22" s="44">
        <v>0</v>
      </c>
      <c r="T22" s="44">
        <v>0</v>
      </c>
      <c r="U22" s="50" t="str">
        <f t="shared" si="5"/>
        <v/>
      </c>
      <c r="V22" s="44">
        <v>0</v>
      </c>
      <c r="W22" s="50" t="str">
        <f t="shared" si="11"/>
        <v/>
      </c>
      <c r="X22" s="44">
        <v>1</v>
      </c>
      <c r="Y22" s="50" t="str">
        <f t="shared" si="6"/>
        <v/>
      </c>
      <c r="Z22" s="50" t="str">
        <f t="shared" si="7"/>
        <v/>
      </c>
      <c r="AA22" s="53" t="str">
        <f t="shared" si="12"/>
        <v/>
      </c>
      <c r="AB22" s="50" t="str">
        <f t="shared" si="13"/>
        <v/>
      </c>
      <c r="AC22" s="50" t="str">
        <f t="shared" si="14"/>
        <v/>
      </c>
      <c r="AD22" s="46"/>
    </row>
    <row r="23" spans="1:30">
      <c r="A23" s="46"/>
      <c r="B23" s="46"/>
      <c r="C23" s="46"/>
      <c r="D23" s="50" t="str">
        <f t="shared" si="0"/>
        <v/>
      </c>
      <c r="E23" s="50" t="str">
        <f t="shared" si="1"/>
        <v/>
      </c>
      <c r="F23" s="44"/>
      <c r="G23" s="50" t="str">
        <f t="shared" si="2"/>
        <v/>
      </c>
      <c r="H23" s="44"/>
      <c r="I23" s="50" t="str">
        <f t="shared" si="3"/>
        <v/>
      </c>
      <c r="J23" s="44">
        <v>0</v>
      </c>
      <c r="K23" s="51">
        <v>0</v>
      </c>
      <c r="L23" s="50" t="str">
        <f t="shared" si="8"/>
        <v/>
      </c>
      <c r="M23" s="44"/>
      <c r="N23" s="50" t="str">
        <f t="shared" si="4"/>
        <v/>
      </c>
      <c r="O23" s="44">
        <v>1</v>
      </c>
      <c r="P23" s="50" t="str">
        <f t="shared" si="9"/>
        <v/>
      </c>
      <c r="Q23" s="44">
        <v>1</v>
      </c>
      <c r="R23" s="50" t="str">
        <f t="shared" si="10"/>
        <v/>
      </c>
      <c r="S23" s="44">
        <v>0</v>
      </c>
      <c r="T23" s="44">
        <v>0</v>
      </c>
      <c r="U23" s="50" t="str">
        <f t="shared" si="5"/>
        <v/>
      </c>
      <c r="V23" s="44">
        <v>0</v>
      </c>
      <c r="W23" s="50" t="str">
        <f t="shared" si="11"/>
        <v/>
      </c>
      <c r="X23" s="44">
        <v>1</v>
      </c>
      <c r="Y23" s="50" t="str">
        <f t="shared" si="6"/>
        <v/>
      </c>
      <c r="Z23" s="50" t="str">
        <f t="shared" si="7"/>
        <v/>
      </c>
      <c r="AA23" s="53" t="str">
        <f t="shared" si="12"/>
        <v/>
      </c>
      <c r="AB23" s="50" t="str">
        <f t="shared" si="13"/>
        <v/>
      </c>
      <c r="AC23" s="50" t="str">
        <f t="shared" si="14"/>
        <v/>
      </c>
      <c r="AD23" s="46"/>
    </row>
    <row r="24" spans="1:30">
      <c r="A24" s="46"/>
      <c r="B24" s="46"/>
      <c r="C24" s="46"/>
      <c r="D24" s="50" t="str">
        <f t="shared" si="0"/>
        <v/>
      </c>
      <c r="E24" s="50" t="str">
        <f t="shared" si="1"/>
        <v/>
      </c>
      <c r="F24" s="44"/>
      <c r="G24" s="50" t="str">
        <f t="shared" si="2"/>
        <v/>
      </c>
      <c r="H24" s="44"/>
      <c r="I24" s="50" t="str">
        <f t="shared" si="3"/>
        <v/>
      </c>
      <c r="J24" s="44">
        <v>0</v>
      </c>
      <c r="K24" s="51">
        <v>0</v>
      </c>
      <c r="L24" s="50" t="str">
        <f t="shared" si="8"/>
        <v/>
      </c>
      <c r="M24" s="44"/>
      <c r="N24" s="50" t="str">
        <f t="shared" si="4"/>
        <v/>
      </c>
      <c r="O24" s="44">
        <v>1</v>
      </c>
      <c r="P24" s="50" t="str">
        <f t="shared" si="9"/>
        <v/>
      </c>
      <c r="Q24" s="44">
        <v>1</v>
      </c>
      <c r="R24" s="50" t="str">
        <f t="shared" si="10"/>
        <v/>
      </c>
      <c r="S24" s="44">
        <v>0</v>
      </c>
      <c r="T24" s="44">
        <v>0</v>
      </c>
      <c r="U24" s="50" t="str">
        <f t="shared" si="5"/>
        <v/>
      </c>
      <c r="V24" s="44">
        <v>0</v>
      </c>
      <c r="W24" s="50" t="str">
        <f t="shared" si="11"/>
        <v/>
      </c>
      <c r="X24" s="44">
        <v>1</v>
      </c>
      <c r="Y24" s="50" t="str">
        <f t="shared" si="6"/>
        <v/>
      </c>
      <c r="Z24" s="50" t="str">
        <f t="shared" si="7"/>
        <v/>
      </c>
      <c r="AA24" s="53" t="str">
        <f t="shared" si="12"/>
        <v/>
      </c>
      <c r="AB24" s="50" t="str">
        <f t="shared" si="13"/>
        <v/>
      </c>
      <c r="AC24" s="50" t="str">
        <f t="shared" si="14"/>
        <v/>
      </c>
      <c r="AD24" s="46"/>
    </row>
    <row r="25" spans="1:30">
      <c r="A25" s="46"/>
      <c r="B25" s="46"/>
      <c r="C25" s="46"/>
      <c r="D25" s="50" t="str">
        <f t="shared" si="0"/>
        <v/>
      </c>
      <c r="E25" s="50" t="str">
        <f t="shared" si="1"/>
        <v/>
      </c>
      <c r="F25" s="44"/>
      <c r="G25" s="50" t="str">
        <f t="shared" si="2"/>
        <v/>
      </c>
      <c r="H25" s="44"/>
      <c r="I25" s="50" t="str">
        <f t="shared" si="3"/>
        <v/>
      </c>
      <c r="J25" s="44">
        <v>0</v>
      </c>
      <c r="K25" s="51">
        <v>0</v>
      </c>
      <c r="L25" s="50" t="str">
        <f t="shared" si="8"/>
        <v/>
      </c>
      <c r="M25" s="44"/>
      <c r="N25" s="50" t="str">
        <f t="shared" si="4"/>
        <v/>
      </c>
      <c r="O25" s="44">
        <v>1</v>
      </c>
      <c r="P25" s="50" t="str">
        <f t="shared" si="9"/>
        <v/>
      </c>
      <c r="Q25" s="44">
        <v>1</v>
      </c>
      <c r="R25" s="50" t="str">
        <f t="shared" si="10"/>
        <v/>
      </c>
      <c r="S25" s="44">
        <v>0</v>
      </c>
      <c r="T25" s="44">
        <v>0</v>
      </c>
      <c r="U25" s="50" t="str">
        <f t="shared" si="5"/>
        <v/>
      </c>
      <c r="V25" s="44">
        <v>0</v>
      </c>
      <c r="W25" s="50" t="str">
        <f t="shared" si="11"/>
        <v/>
      </c>
      <c r="X25" s="44">
        <v>1</v>
      </c>
      <c r="Y25" s="50" t="str">
        <f t="shared" si="6"/>
        <v/>
      </c>
      <c r="Z25" s="50" t="str">
        <f t="shared" si="7"/>
        <v/>
      </c>
      <c r="AA25" s="53" t="str">
        <f t="shared" si="12"/>
        <v/>
      </c>
      <c r="AB25" s="50" t="str">
        <f t="shared" si="13"/>
        <v/>
      </c>
      <c r="AC25" s="50" t="str">
        <f t="shared" si="14"/>
        <v/>
      </c>
      <c r="AD25" s="46"/>
    </row>
    <row r="26" spans="1:30">
      <c r="A26" s="46"/>
      <c r="B26" s="46"/>
      <c r="C26" s="46"/>
      <c r="D26" s="50" t="str">
        <f t="shared" si="0"/>
        <v/>
      </c>
      <c r="E26" s="50" t="str">
        <f t="shared" si="1"/>
        <v/>
      </c>
      <c r="F26" s="44"/>
      <c r="G26" s="50" t="str">
        <f t="shared" si="2"/>
        <v/>
      </c>
      <c r="H26" s="44"/>
      <c r="I26" s="50" t="str">
        <f t="shared" si="3"/>
        <v/>
      </c>
      <c r="J26" s="44">
        <v>0</v>
      </c>
      <c r="K26" s="51">
        <v>0</v>
      </c>
      <c r="L26" s="50" t="str">
        <f t="shared" si="8"/>
        <v/>
      </c>
      <c r="M26" s="44"/>
      <c r="N26" s="50" t="str">
        <f t="shared" si="4"/>
        <v/>
      </c>
      <c r="O26" s="44">
        <v>1</v>
      </c>
      <c r="P26" s="50" t="str">
        <f t="shared" si="9"/>
        <v/>
      </c>
      <c r="Q26" s="44">
        <v>1</v>
      </c>
      <c r="R26" s="50" t="str">
        <f t="shared" si="10"/>
        <v/>
      </c>
      <c r="S26" s="44">
        <v>0</v>
      </c>
      <c r="T26" s="44">
        <v>0</v>
      </c>
      <c r="U26" s="50" t="str">
        <f t="shared" si="5"/>
        <v/>
      </c>
      <c r="V26" s="44">
        <v>0</v>
      </c>
      <c r="W26" s="50" t="str">
        <f t="shared" si="11"/>
        <v/>
      </c>
      <c r="X26" s="44">
        <v>1</v>
      </c>
      <c r="Y26" s="50" t="str">
        <f t="shared" si="6"/>
        <v/>
      </c>
      <c r="Z26" s="50" t="str">
        <f t="shared" si="7"/>
        <v/>
      </c>
      <c r="AA26" s="53" t="str">
        <f t="shared" si="12"/>
        <v/>
      </c>
      <c r="AB26" s="50" t="str">
        <f t="shared" si="13"/>
        <v/>
      </c>
      <c r="AC26" s="50" t="str">
        <f t="shared" si="14"/>
        <v/>
      </c>
      <c r="AD26" s="46"/>
    </row>
    <row r="27" spans="1:30">
      <c r="A27" s="46"/>
      <c r="B27" s="46"/>
      <c r="C27" s="46"/>
      <c r="D27" s="50" t="str">
        <f t="shared" si="0"/>
        <v/>
      </c>
      <c r="E27" s="50" t="str">
        <f t="shared" si="1"/>
        <v/>
      </c>
      <c r="F27" s="44"/>
      <c r="G27" s="50" t="str">
        <f t="shared" si="2"/>
        <v/>
      </c>
      <c r="H27" s="44"/>
      <c r="I27" s="50" t="str">
        <f t="shared" si="3"/>
        <v/>
      </c>
      <c r="J27" s="44">
        <v>0</v>
      </c>
      <c r="K27" s="51">
        <v>0</v>
      </c>
      <c r="L27" s="50" t="str">
        <f t="shared" si="8"/>
        <v/>
      </c>
      <c r="M27" s="44"/>
      <c r="N27" s="50" t="str">
        <f t="shared" si="4"/>
        <v/>
      </c>
      <c r="O27" s="44">
        <v>1</v>
      </c>
      <c r="P27" s="50" t="str">
        <f t="shared" si="9"/>
        <v/>
      </c>
      <c r="Q27" s="44">
        <v>1</v>
      </c>
      <c r="R27" s="50" t="str">
        <f t="shared" si="10"/>
        <v/>
      </c>
      <c r="S27" s="44">
        <v>0</v>
      </c>
      <c r="T27" s="44">
        <v>0</v>
      </c>
      <c r="U27" s="50" t="str">
        <f t="shared" si="5"/>
        <v/>
      </c>
      <c r="V27" s="44">
        <v>0</v>
      </c>
      <c r="W27" s="50" t="str">
        <f t="shared" si="11"/>
        <v/>
      </c>
      <c r="X27" s="44">
        <v>1</v>
      </c>
      <c r="Y27" s="50" t="str">
        <f t="shared" si="6"/>
        <v/>
      </c>
      <c r="Z27" s="50" t="str">
        <f t="shared" si="7"/>
        <v/>
      </c>
      <c r="AA27" s="53" t="str">
        <f t="shared" si="12"/>
        <v/>
      </c>
      <c r="AB27" s="50" t="str">
        <f t="shared" si="13"/>
        <v/>
      </c>
      <c r="AC27" s="50" t="str">
        <f t="shared" si="14"/>
        <v/>
      </c>
      <c r="AD27" s="46"/>
    </row>
    <row r="28" spans="1:30">
      <c r="A28" s="46"/>
      <c r="B28" s="46"/>
      <c r="C28" s="46"/>
      <c r="D28" s="50" t="str">
        <f t="shared" si="0"/>
        <v/>
      </c>
      <c r="E28" s="50" t="str">
        <f t="shared" si="1"/>
        <v/>
      </c>
      <c r="F28" s="44"/>
      <c r="G28" s="50" t="str">
        <f t="shared" si="2"/>
        <v/>
      </c>
      <c r="H28" s="44"/>
      <c r="I28" s="50" t="str">
        <f t="shared" si="3"/>
        <v/>
      </c>
      <c r="J28" s="44">
        <v>0</v>
      </c>
      <c r="K28" s="51">
        <v>0</v>
      </c>
      <c r="L28" s="50" t="str">
        <f t="shared" si="8"/>
        <v/>
      </c>
      <c r="M28" s="44"/>
      <c r="N28" s="50" t="str">
        <f t="shared" si="4"/>
        <v/>
      </c>
      <c r="O28" s="44">
        <v>1</v>
      </c>
      <c r="P28" s="50" t="str">
        <f t="shared" si="9"/>
        <v/>
      </c>
      <c r="Q28" s="44">
        <v>1</v>
      </c>
      <c r="R28" s="50" t="str">
        <f t="shared" si="10"/>
        <v/>
      </c>
      <c r="S28" s="44">
        <v>0</v>
      </c>
      <c r="T28" s="44">
        <v>0</v>
      </c>
      <c r="U28" s="50" t="str">
        <f t="shared" si="5"/>
        <v/>
      </c>
      <c r="V28" s="44">
        <v>0</v>
      </c>
      <c r="W28" s="50" t="str">
        <f t="shared" si="11"/>
        <v/>
      </c>
      <c r="X28" s="44">
        <v>1</v>
      </c>
      <c r="Y28" s="50" t="str">
        <f t="shared" si="6"/>
        <v/>
      </c>
      <c r="Z28" s="50" t="str">
        <f t="shared" si="7"/>
        <v/>
      </c>
      <c r="AA28" s="53" t="str">
        <f t="shared" si="12"/>
        <v/>
      </c>
      <c r="AB28" s="50" t="str">
        <f t="shared" si="13"/>
        <v/>
      </c>
      <c r="AC28" s="50" t="str">
        <f t="shared" si="14"/>
        <v/>
      </c>
      <c r="AD28" s="46"/>
    </row>
    <row r="29" spans="1:30">
      <c r="A29" s="46"/>
      <c r="B29" s="46"/>
      <c r="C29" s="46"/>
      <c r="D29" s="50" t="str">
        <f t="shared" si="0"/>
        <v/>
      </c>
      <c r="E29" s="50" t="str">
        <f t="shared" si="1"/>
        <v/>
      </c>
      <c r="F29" s="44"/>
      <c r="G29" s="50" t="str">
        <f t="shared" si="2"/>
        <v/>
      </c>
      <c r="H29" s="44"/>
      <c r="I29" s="50" t="str">
        <f t="shared" si="3"/>
        <v/>
      </c>
      <c r="J29" s="44">
        <v>0</v>
      </c>
      <c r="K29" s="51">
        <v>0</v>
      </c>
      <c r="L29" s="50" t="str">
        <f t="shared" si="8"/>
        <v/>
      </c>
      <c r="M29" s="44"/>
      <c r="N29" s="50" t="str">
        <f t="shared" si="4"/>
        <v/>
      </c>
      <c r="O29" s="44">
        <v>1</v>
      </c>
      <c r="P29" s="50" t="str">
        <f t="shared" si="9"/>
        <v/>
      </c>
      <c r="Q29" s="44">
        <v>1</v>
      </c>
      <c r="R29" s="50" t="str">
        <f t="shared" si="10"/>
        <v/>
      </c>
      <c r="S29" s="44">
        <v>0</v>
      </c>
      <c r="T29" s="44">
        <v>0</v>
      </c>
      <c r="U29" s="50" t="str">
        <f t="shared" si="5"/>
        <v/>
      </c>
      <c r="V29" s="44">
        <v>0</v>
      </c>
      <c r="W29" s="50" t="str">
        <f t="shared" si="11"/>
        <v/>
      </c>
      <c r="X29" s="44">
        <v>1</v>
      </c>
      <c r="Y29" s="50" t="str">
        <f t="shared" si="6"/>
        <v/>
      </c>
      <c r="Z29" s="50" t="str">
        <f t="shared" si="7"/>
        <v/>
      </c>
      <c r="AA29" s="53" t="str">
        <f t="shared" si="12"/>
        <v/>
      </c>
      <c r="AB29" s="50" t="str">
        <f t="shared" si="13"/>
        <v/>
      </c>
      <c r="AC29" s="50" t="str">
        <f t="shared" si="14"/>
        <v/>
      </c>
      <c r="AD29" s="46"/>
    </row>
    <row r="30" spans="1:30">
      <c r="A30" s="46"/>
      <c r="B30" s="46"/>
      <c r="C30" s="46"/>
      <c r="D30" s="50" t="str">
        <f t="shared" si="0"/>
        <v/>
      </c>
      <c r="E30" s="50" t="str">
        <f t="shared" si="1"/>
        <v/>
      </c>
      <c r="F30" s="44"/>
      <c r="G30" s="50" t="str">
        <f t="shared" si="2"/>
        <v/>
      </c>
      <c r="H30" s="44"/>
      <c r="I30" s="50" t="str">
        <f t="shared" si="3"/>
        <v/>
      </c>
      <c r="J30" s="44">
        <v>0</v>
      </c>
      <c r="K30" s="51">
        <v>0</v>
      </c>
      <c r="L30" s="50" t="str">
        <f t="shared" si="8"/>
        <v/>
      </c>
      <c r="M30" s="44"/>
      <c r="N30" s="50" t="str">
        <f t="shared" si="4"/>
        <v/>
      </c>
      <c r="O30" s="44">
        <v>1</v>
      </c>
      <c r="P30" s="50" t="str">
        <f t="shared" si="9"/>
        <v/>
      </c>
      <c r="Q30" s="44">
        <v>1</v>
      </c>
      <c r="R30" s="50" t="str">
        <f t="shared" si="10"/>
        <v/>
      </c>
      <c r="S30" s="44">
        <v>0</v>
      </c>
      <c r="T30" s="44">
        <v>0</v>
      </c>
      <c r="U30" s="50" t="str">
        <f t="shared" si="5"/>
        <v/>
      </c>
      <c r="V30" s="44">
        <v>0</v>
      </c>
      <c r="W30" s="50" t="str">
        <f t="shared" si="11"/>
        <v/>
      </c>
      <c r="X30" s="44">
        <v>1</v>
      </c>
      <c r="Y30" s="50" t="str">
        <f t="shared" si="6"/>
        <v/>
      </c>
      <c r="Z30" s="50" t="str">
        <f t="shared" si="7"/>
        <v/>
      </c>
      <c r="AA30" s="53" t="str">
        <f t="shared" si="12"/>
        <v/>
      </c>
      <c r="AB30" s="50" t="str">
        <f t="shared" si="13"/>
        <v/>
      </c>
      <c r="AC30" s="50" t="str">
        <f t="shared" si="14"/>
        <v/>
      </c>
      <c r="AD30" s="46"/>
    </row>
    <row r="31" spans="1:30">
      <c r="A31" s="46"/>
      <c r="B31" s="46"/>
      <c r="C31" s="46"/>
      <c r="D31" s="50" t="str">
        <f t="shared" si="0"/>
        <v/>
      </c>
      <c r="E31" s="50" t="str">
        <f t="shared" si="1"/>
        <v/>
      </c>
      <c r="F31" s="44"/>
      <c r="G31" s="50" t="str">
        <f t="shared" si="2"/>
        <v/>
      </c>
      <c r="H31" s="44"/>
      <c r="I31" s="50" t="str">
        <f t="shared" si="3"/>
        <v/>
      </c>
      <c r="J31" s="44">
        <v>0</v>
      </c>
      <c r="K31" s="51">
        <v>0</v>
      </c>
      <c r="L31" s="50" t="str">
        <f t="shared" si="8"/>
        <v/>
      </c>
      <c r="M31" s="44"/>
      <c r="N31" s="50" t="str">
        <f t="shared" si="4"/>
        <v/>
      </c>
      <c r="O31" s="44">
        <v>1</v>
      </c>
      <c r="P31" s="50" t="str">
        <f t="shared" si="9"/>
        <v/>
      </c>
      <c r="Q31" s="44">
        <v>1</v>
      </c>
      <c r="R31" s="50" t="str">
        <f t="shared" si="10"/>
        <v/>
      </c>
      <c r="S31" s="44">
        <v>0</v>
      </c>
      <c r="T31" s="44">
        <v>0</v>
      </c>
      <c r="U31" s="50" t="str">
        <f t="shared" si="5"/>
        <v/>
      </c>
      <c r="V31" s="44">
        <v>0</v>
      </c>
      <c r="W31" s="50" t="str">
        <f t="shared" si="11"/>
        <v/>
      </c>
      <c r="X31" s="44">
        <v>1</v>
      </c>
      <c r="Y31" s="50" t="str">
        <f t="shared" si="6"/>
        <v/>
      </c>
      <c r="Z31" s="50" t="str">
        <f t="shared" si="7"/>
        <v/>
      </c>
      <c r="AA31" s="53" t="str">
        <f t="shared" si="12"/>
        <v/>
      </c>
      <c r="AB31" s="50" t="str">
        <f t="shared" si="13"/>
        <v/>
      </c>
      <c r="AC31" s="50" t="str">
        <f t="shared" si="14"/>
        <v/>
      </c>
      <c r="AD31" s="46"/>
    </row>
    <row r="32" spans="1:30">
      <c r="A32" s="46"/>
      <c r="B32" s="46"/>
      <c r="C32" s="46"/>
      <c r="D32" s="50" t="str">
        <f t="shared" si="0"/>
        <v/>
      </c>
      <c r="E32" s="50" t="str">
        <f t="shared" si="1"/>
        <v/>
      </c>
      <c r="F32" s="44"/>
      <c r="G32" s="50" t="str">
        <f t="shared" si="2"/>
        <v/>
      </c>
      <c r="H32" s="44"/>
      <c r="I32" s="50" t="str">
        <f t="shared" si="3"/>
        <v/>
      </c>
      <c r="J32" s="44">
        <v>0</v>
      </c>
      <c r="K32" s="51">
        <v>0</v>
      </c>
      <c r="L32" s="50" t="str">
        <f t="shared" si="8"/>
        <v/>
      </c>
      <c r="M32" s="44"/>
      <c r="N32" s="50" t="str">
        <f t="shared" si="4"/>
        <v/>
      </c>
      <c r="O32" s="44">
        <v>1</v>
      </c>
      <c r="P32" s="50" t="str">
        <f t="shared" si="9"/>
        <v/>
      </c>
      <c r="Q32" s="44">
        <v>1</v>
      </c>
      <c r="R32" s="50" t="str">
        <f t="shared" si="10"/>
        <v/>
      </c>
      <c r="S32" s="44">
        <v>0</v>
      </c>
      <c r="T32" s="44">
        <v>0</v>
      </c>
      <c r="U32" s="50" t="str">
        <f t="shared" si="5"/>
        <v/>
      </c>
      <c r="V32" s="44">
        <v>0</v>
      </c>
      <c r="W32" s="50" t="str">
        <f t="shared" si="11"/>
        <v/>
      </c>
      <c r="X32" s="44">
        <v>1</v>
      </c>
      <c r="Y32" s="50" t="str">
        <f t="shared" si="6"/>
        <v/>
      </c>
      <c r="Z32" s="50" t="str">
        <f t="shared" si="7"/>
        <v/>
      </c>
      <c r="AA32" s="53" t="str">
        <f t="shared" si="12"/>
        <v/>
      </c>
      <c r="AB32" s="50" t="str">
        <f t="shared" si="13"/>
        <v/>
      </c>
      <c r="AC32" s="50" t="str">
        <f t="shared" si="14"/>
        <v/>
      </c>
      <c r="AD32" s="46"/>
    </row>
    <row r="33" spans="1:30">
      <c r="A33" s="46"/>
      <c r="B33" s="46"/>
      <c r="C33" s="46"/>
      <c r="D33" s="50" t="str">
        <f t="shared" si="0"/>
        <v/>
      </c>
      <c r="E33" s="50" t="str">
        <f t="shared" si="1"/>
        <v/>
      </c>
      <c r="F33" s="44"/>
      <c r="G33" s="50" t="str">
        <f t="shared" si="2"/>
        <v/>
      </c>
      <c r="H33" s="44"/>
      <c r="I33" s="50" t="str">
        <f t="shared" si="3"/>
        <v/>
      </c>
      <c r="J33" s="44">
        <v>0</v>
      </c>
      <c r="K33" s="51">
        <v>0</v>
      </c>
      <c r="L33" s="50" t="str">
        <f t="shared" si="8"/>
        <v/>
      </c>
      <c r="M33" s="44"/>
      <c r="N33" s="50" t="str">
        <f t="shared" si="4"/>
        <v/>
      </c>
      <c r="O33" s="44">
        <v>1</v>
      </c>
      <c r="P33" s="50" t="str">
        <f t="shared" si="9"/>
        <v/>
      </c>
      <c r="Q33" s="44">
        <v>1</v>
      </c>
      <c r="R33" s="50" t="str">
        <f t="shared" si="10"/>
        <v/>
      </c>
      <c r="S33" s="44">
        <v>0</v>
      </c>
      <c r="T33" s="44">
        <v>0</v>
      </c>
      <c r="U33" s="50" t="str">
        <f t="shared" si="5"/>
        <v/>
      </c>
      <c r="V33" s="44">
        <v>0</v>
      </c>
      <c r="W33" s="50" t="str">
        <f t="shared" si="11"/>
        <v/>
      </c>
      <c r="X33" s="44">
        <v>1</v>
      </c>
      <c r="Y33" s="50" t="str">
        <f t="shared" si="6"/>
        <v/>
      </c>
      <c r="Z33" s="50" t="str">
        <f t="shared" si="7"/>
        <v/>
      </c>
      <c r="AA33" s="53" t="str">
        <f t="shared" si="12"/>
        <v/>
      </c>
      <c r="AB33" s="50" t="str">
        <f t="shared" si="13"/>
        <v/>
      </c>
      <c r="AC33" s="50" t="str">
        <f t="shared" si="14"/>
        <v/>
      </c>
      <c r="AD33" s="46"/>
    </row>
    <row r="34" spans="1:30">
      <c r="A34" s="46"/>
      <c r="B34" s="46"/>
      <c r="C34" s="46"/>
      <c r="D34" s="50" t="str">
        <f t="shared" si="0"/>
        <v/>
      </c>
      <c r="E34" s="50" t="str">
        <f t="shared" si="1"/>
        <v/>
      </c>
      <c r="F34" s="44"/>
      <c r="G34" s="50" t="str">
        <f t="shared" si="2"/>
        <v/>
      </c>
      <c r="H34" s="44"/>
      <c r="I34" s="50" t="str">
        <f t="shared" si="3"/>
        <v/>
      </c>
      <c r="J34" s="44">
        <v>0</v>
      </c>
      <c r="K34" s="51">
        <v>0</v>
      </c>
      <c r="L34" s="50" t="str">
        <f t="shared" si="8"/>
        <v/>
      </c>
      <c r="M34" s="44"/>
      <c r="N34" s="50" t="str">
        <f t="shared" si="4"/>
        <v/>
      </c>
      <c r="O34" s="44">
        <v>1</v>
      </c>
      <c r="P34" s="50" t="str">
        <f t="shared" si="9"/>
        <v/>
      </c>
      <c r="Q34" s="44">
        <v>1</v>
      </c>
      <c r="R34" s="50" t="str">
        <f t="shared" si="10"/>
        <v/>
      </c>
      <c r="S34" s="44">
        <v>0</v>
      </c>
      <c r="T34" s="44">
        <v>0</v>
      </c>
      <c r="U34" s="50" t="str">
        <f t="shared" si="5"/>
        <v/>
      </c>
      <c r="V34" s="44">
        <v>0</v>
      </c>
      <c r="W34" s="50" t="str">
        <f t="shared" si="11"/>
        <v/>
      </c>
      <c r="X34" s="44">
        <v>1</v>
      </c>
      <c r="Y34" s="50" t="str">
        <f t="shared" si="6"/>
        <v/>
      </c>
      <c r="Z34" s="50" t="str">
        <f t="shared" si="7"/>
        <v/>
      </c>
      <c r="AA34" s="53" t="str">
        <f t="shared" si="12"/>
        <v/>
      </c>
      <c r="AB34" s="50" t="str">
        <f t="shared" si="13"/>
        <v/>
      </c>
      <c r="AC34" s="50" t="str">
        <f t="shared" si="14"/>
        <v/>
      </c>
      <c r="AD34" s="46"/>
    </row>
    <row r="35" spans="1:30">
      <c r="A35" s="46"/>
      <c r="B35" s="46"/>
      <c r="C35" s="46"/>
      <c r="D35" s="50" t="str">
        <f t="shared" si="0"/>
        <v/>
      </c>
      <c r="E35" s="50" t="str">
        <f t="shared" si="1"/>
        <v/>
      </c>
      <c r="F35" s="44"/>
      <c r="G35" s="50" t="str">
        <f t="shared" si="2"/>
        <v/>
      </c>
      <c r="H35" s="44"/>
      <c r="I35" s="50" t="str">
        <f t="shared" si="3"/>
        <v/>
      </c>
      <c r="J35" s="44">
        <v>0</v>
      </c>
      <c r="K35" s="51">
        <v>0</v>
      </c>
      <c r="L35" s="50" t="str">
        <f t="shared" si="8"/>
        <v/>
      </c>
      <c r="M35" s="44"/>
      <c r="N35" s="50" t="str">
        <f t="shared" si="4"/>
        <v/>
      </c>
      <c r="O35" s="44">
        <v>1</v>
      </c>
      <c r="P35" s="50" t="str">
        <f t="shared" si="9"/>
        <v/>
      </c>
      <c r="Q35" s="44">
        <v>1</v>
      </c>
      <c r="R35" s="50" t="str">
        <f t="shared" si="10"/>
        <v/>
      </c>
      <c r="S35" s="44">
        <v>0</v>
      </c>
      <c r="T35" s="44">
        <v>0</v>
      </c>
      <c r="U35" s="50" t="str">
        <f t="shared" si="5"/>
        <v/>
      </c>
      <c r="V35" s="44">
        <v>0</v>
      </c>
      <c r="W35" s="50" t="str">
        <f t="shared" si="11"/>
        <v/>
      </c>
      <c r="X35" s="44">
        <v>1</v>
      </c>
      <c r="Y35" s="50" t="str">
        <f t="shared" si="6"/>
        <v/>
      </c>
      <c r="Z35" s="50" t="str">
        <f t="shared" si="7"/>
        <v/>
      </c>
      <c r="AA35" s="53" t="str">
        <f t="shared" si="12"/>
        <v/>
      </c>
      <c r="AB35" s="50" t="str">
        <f t="shared" si="13"/>
        <v/>
      </c>
      <c r="AC35" s="50" t="str">
        <f t="shared" si="14"/>
        <v/>
      </c>
      <c r="AD35" s="46"/>
    </row>
    <row r="36" spans="1:30">
      <c r="A36" s="46"/>
      <c r="B36" s="46"/>
      <c r="C36" s="46"/>
      <c r="D36" s="50" t="str">
        <f t="shared" si="0"/>
        <v/>
      </c>
      <c r="E36" s="50" t="str">
        <f t="shared" si="1"/>
        <v/>
      </c>
      <c r="F36" s="44"/>
      <c r="G36" s="50" t="str">
        <f t="shared" si="2"/>
        <v/>
      </c>
      <c r="H36" s="44"/>
      <c r="I36" s="50" t="str">
        <f t="shared" si="3"/>
        <v/>
      </c>
      <c r="J36" s="44">
        <v>0</v>
      </c>
      <c r="K36" s="51">
        <v>0</v>
      </c>
      <c r="L36" s="50" t="str">
        <f t="shared" si="8"/>
        <v/>
      </c>
      <c r="M36" s="44"/>
      <c r="N36" s="50" t="str">
        <f t="shared" si="4"/>
        <v/>
      </c>
      <c r="O36" s="44">
        <v>1</v>
      </c>
      <c r="P36" s="50" t="str">
        <f t="shared" si="9"/>
        <v/>
      </c>
      <c r="Q36" s="44">
        <v>1</v>
      </c>
      <c r="R36" s="50" t="str">
        <f t="shared" si="10"/>
        <v/>
      </c>
      <c r="S36" s="44">
        <v>0</v>
      </c>
      <c r="T36" s="44">
        <v>0</v>
      </c>
      <c r="U36" s="50" t="str">
        <f t="shared" si="5"/>
        <v/>
      </c>
      <c r="V36" s="44">
        <v>0</v>
      </c>
      <c r="W36" s="50" t="str">
        <f t="shared" si="11"/>
        <v/>
      </c>
      <c r="X36" s="44">
        <v>1</v>
      </c>
      <c r="Y36" s="50" t="str">
        <f t="shared" si="6"/>
        <v/>
      </c>
      <c r="Z36" s="50" t="str">
        <f t="shared" si="7"/>
        <v/>
      </c>
      <c r="AA36" s="53" t="str">
        <f t="shared" si="12"/>
        <v/>
      </c>
      <c r="AB36" s="50" t="str">
        <f t="shared" si="13"/>
        <v/>
      </c>
      <c r="AC36" s="50" t="str">
        <f t="shared" si="14"/>
        <v/>
      </c>
      <c r="AD36" s="46"/>
    </row>
    <row r="37" spans="1:30">
      <c r="A37" s="46"/>
      <c r="B37" s="46"/>
      <c r="C37" s="46"/>
      <c r="D37" s="50" t="str">
        <f t="shared" si="0"/>
        <v/>
      </c>
      <c r="E37" s="50" t="str">
        <f t="shared" si="1"/>
        <v/>
      </c>
      <c r="F37" s="44"/>
      <c r="G37" s="50" t="str">
        <f t="shared" si="2"/>
        <v/>
      </c>
      <c r="H37" s="44"/>
      <c r="I37" s="50" t="str">
        <f t="shared" si="3"/>
        <v/>
      </c>
      <c r="J37" s="44">
        <v>0</v>
      </c>
      <c r="K37" s="51">
        <v>0</v>
      </c>
      <c r="L37" s="50" t="str">
        <f t="shared" si="8"/>
        <v/>
      </c>
      <c r="M37" s="44"/>
      <c r="N37" s="50" t="str">
        <f t="shared" si="4"/>
        <v/>
      </c>
      <c r="O37" s="44">
        <v>1</v>
      </c>
      <c r="P37" s="50" t="str">
        <f t="shared" si="9"/>
        <v/>
      </c>
      <c r="Q37" s="44">
        <v>1</v>
      </c>
      <c r="R37" s="50" t="str">
        <f t="shared" si="10"/>
        <v/>
      </c>
      <c r="S37" s="44">
        <v>0</v>
      </c>
      <c r="T37" s="44">
        <v>0</v>
      </c>
      <c r="U37" s="50" t="str">
        <f t="shared" si="5"/>
        <v/>
      </c>
      <c r="V37" s="44">
        <v>0</v>
      </c>
      <c r="W37" s="50" t="str">
        <f t="shared" si="11"/>
        <v/>
      </c>
      <c r="X37" s="44">
        <v>1</v>
      </c>
      <c r="Y37" s="50" t="str">
        <f t="shared" si="6"/>
        <v/>
      </c>
      <c r="Z37" s="50" t="str">
        <f t="shared" si="7"/>
        <v/>
      </c>
      <c r="AA37" s="53" t="str">
        <f t="shared" si="12"/>
        <v/>
      </c>
      <c r="AB37" s="50" t="str">
        <f t="shared" si="13"/>
        <v/>
      </c>
      <c r="AC37" s="50" t="str">
        <f t="shared" si="14"/>
        <v/>
      </c>
      <c r="AD37" s="46"/>
    </row>
    <row r="38" spans="1:30">
      <c r="A38" s="46"/>
      <c r="B38" s="46"/>
      <c r="C38" s="46"/>
      <c r="D38" s="50" t="str">
        <f t="shared" si="0"/>
        <v/>
      </c>
      <c r="E38" s="50" t="str">
        <f t="shared" si="1"/>
        <v/>
      </c>
      <c r="F38" s="44"/>
      <c r="G38" s="50" t="str">
        <f t="shared" si="2"/>
        <v/>
      </c>
      <c r="H38" s="44"/>
      <c r="I38" s="50" t="str">
        <f t="shared" si="3"/>
        <v/>
      </c>
      <c r="J38" s="44">
        <v>0</v>
      </c>
      <c r="K38" s="51">
        <v>0</v>
      </c>
      <c r="L38" s="50" t="str">
        <f t="shared" si="8"/>
        <v/>
      </c>
      <c r="M38" s="44"/>
      <c r="N38" s="50" t="str">
        <f t="shared" si="4"/>
        <v/>
      </c>
      <c r="O38" s="44">
        <v>1</v>
      </c>
      <c r="P38" s="50" t="str">
        <f t="shared" si="9"/>
        <v/>
      </c>
      <c r="Q38" s="44">
        <v>1</v>
      </c>
      <c r="R38" s="50" t="str">
        <f t="shared" si="10"/>
        <v/>
      </c>
      <c r="S38" s="44">
        <v>0</v>
      </c>
      <c r="T38" s="44">
        <v>0</v>
      </c>
      <c r="U38" s="50" t="str">
        <f t="shared" si="5"/>
        <v/>
      </c>
      <c r="V38" s="44">
        <v>0</v>
      </c>
      <c r="W38" s="50" t="str">
        <f t="shared" si="11"/>
        <v/>
      </c>
      <c r="X38" s="44">
        <v>1</v>
      </c>
      <c r="Y38" s="50" t="str">
        <f t="shared" si="6"/>
        <v/>
      </c>
      <c r="Z38" s="50" t="str">
        <f t="shared" si="7"/>
        <v/>
      </c>
      <c r="AA38" s="53" t="str">
        <f t="shared" si="12"/>
        <v/>
      </c>
      <c r="AB38" s="50" t="str">
        <f t="shared" si="13"/>
        <v/>
      </c>
      <c r="AC38" s="50" t="str">
        <f t="shared" si="14"/>
        <v/>
      </c>
      <c r="AD38" s="46"/>
    </row>
    <row r="39" spans="1:30">
      <c r="A39" s="46"/>
      <c r="B39" s="46"/>
      <c r="C39" s="46"/>
      <c r="D39" s="50" t="str">
        <f t="shared" si="0"/>
        <v/>
      </c>
      <c r="E39" s="50" t="str">
        <f t="shared" si="1"/>
        <v/>
      </c>
      <c r="F39" s="44"/>
      <c r="G39" s="50" t="str">
        <f t="shared" si="2"/>
        <v/>
      </c>
      <c r="H39" s="44"/>
      <c r="I39" s="50" t="str">
        <f t="shared" si="3"/>
        <v/>
      </c>
      <c r="J39" s="44">
        <v>0</v>
      </c>
      <c r="K39" s="51">
        <v>0</v>
      </c>
      <c r="L39" s="50" t="str">
        <f t="shared" si="8"/>
        <v/>
      </c>
      <c r="M39" s="44"/>
      <c r="N39" s="50" t="str">
        <f t="shared" si="4"/>
        <v/>
      </c>
      <c r="O39" s="44">
        <v>1</v>
      </c>
      <c r="P39" s="50" t="str">
        <f t="shared" si="9"/>
        <v/>
      </c>
      <c r="Q39" s="44">
        <v>1</v>
      </c>
      <c r="R39" s="50" t="str">
        <f t="shared" si="10"/>
        <v/>
      </c>
      <c r="S39" s="44">
        <v>0</v>
      </c>
      <c r="T39" s="44">
        <v>0</v>
      </c>
      <c r="U39" s="50" t="str">
        <f t="shared" si="5"/>
        <v/>
      </c>
      <c r="V39" s="44">
        <v>0</v>
      </c>
      <c r="W39" s="50" t="str">
        <f t="shared" si="11"/>
        <v/>
      </c>
      <c r="X39" s="44">
        <v>1</v>
      </c>
      <c r="Y39" s="50" t="str">
        <f t="shared" si="6"/>
        <v/>
      </c>
      <c r="Z39" s="50" t="str">
        <f t="shared" si="7"/>
        <v/>
      </c>
      <c r="AA39" s="53" t="str">
        <f t="shared" si="12"/>
        <v/>
      </c>
      <c r="AB39" s="50" t="str">
        <f t="shared" si="13"/>
        <v/>
      </c>
      <c r="AC39" s="50" t="str">
        <f t="shared" si="14"/>
        <v/>
      </c>
      <c r="AD39" s="46"/>
    </row>
    <row r="40" spans="1:30">
      <c r="A40" s="46"/>
      <c r="B40" s="46"/>
      <c r="C40" s="46"/>
      <c r="D40" s="50" t="str">
        <f t="shared" si="0"/>
        <v/>
      </c>
      <c r="E40" s="50" t="str">
        <f t="shared" si="1"/>
        <v/>
      </c>
      <c r="F40" s="44"/>
      <c r="G40" s="50" t="str">
        <f t="shared" si="2"/>
        <v/>
      </c>
      <c r="H40" s="44"/>
      <c r="I40" s="50" t="str">
        <f t="shared" si="3"/>
        <v/>
      </c>
      <c r="J40" s="44">
        <v>0</v>
      </c>
      <c r="K40" s="51">
        <v>0</v>
      </c>
      <c r="L40" s="50" t="str">
        <f t="shared" si="8"/>
        <v/>
      </c>
      <c r="M40" s="44"/>
      <c r="N40" s="50" t="str">
        <f t="shared" si="4"/>
        <v/>
      </c>
      <c r="O40" s="44">
        <v>1</v>
      </c>
      <c r="P40" s="50" t="str">
        <f t="shared" si="9"/>
        <v/>
      </c>
      <c r="Q40" s="44">
        <v>1</v>
      </c>
      <c r="R40" s="50" t="str">
        <f t="shared" si="10"/>
        <v/>
      </c>
      <c r="S40" s="44">
        <v>0</v>
      </c>
      <c r="T40" s="44">
        <v>0</v>
      </c>
      <c r="U40" s="50" t="str">
        <f t="shared" si="5"/>
        <v/>
      </c>
      <c r="V40" s="44">
        <v>0</v>
      </c>
      <c r="W40" s="50" t="str">
        <f t="shared" si="11"/>
        <v/>
      </c>
      <c r="X40" s="44">
        <v>1</v>
      </c>
      <c r="Y40" s="50" t="str">
        <f t="shared" si="6"/>
        <v/>
      </c>
      <c r="Z40" s="50" t="str">
        <f t="shared" si="7"/>
        <v/>
      </c>
      <c r="AA40" s="53" t="str">
        <f t="shared" si="12"/>
        <v/>
      </c>
      <c r="AB40" s="50" t="str">
        <f t="shared" si="13"/>
        <v/>
      </c>
      <c r="AC40" s="50" t="str">
        <f t="shared" si="14"/>
        <v/>
      </c>
      <c r="AD40" s="46"/>
    </row>
    <row r="41" spans="1:30">
      <c r="A41" s="46"/>
      <c r="B41" s="46"/>
      <c r="C41" s="46"/>
      <c r="D41" s="50" t="str">
        <f t="shared" si="0"/>
        <v/>
      </c>
      <c r="E41" s="50" t="str">
        <f t="shared" si="1"/>
        <v/>
      </c>
      <c r="F41" s="44"/>
      <c r="G41" s="50" t="str">
        <f t="shared" si="2"/>
        <v/>
      </c>
      <c r="H41" s="44"/>
      <c r="I41" s="50" t="str">
        <f t="shared" si="3"/>
        <v/>
      </c>
      <c r="J41" s="44">
        <v>0</v>
      </c>
      <c r="K41" s="51">
        <v>0</v>
      </c>
      <c r="L41" s="50" t="str">
        <f t="shared" si="8"/>
        <v/>
      </c>
      <c r="M41" s="44"/>
      <c r="N41" s="50" t="str">
        <f t="shared" si="4"/>
        <v/>
      </c>
      <c r="O41" s="44">
        <v>1</v>
      </c>
      <c r="P41" s="50" t="str">
        <f t="shared" si="9"/>
        <v/>
      </c>
      <c r="Q41" s="44">
        <v>1</v>
      </c>
      <c r="R41" s="50" t="str">
        <f t="shared" si="10"/>
        <v/>
      </c>
      <c r="S41" s="44">
        <v>0</v>
      </c>
      <c r="T41" s="44">
        <v>0</v>
      </c>
      <c r="U41" s="50" t="str">
        <f t="shared" si="5"/>
        <v/>
      </c>
      <c r="V41" s="44">
        <v>0</v>
      </c>
      <c r="W41" s="50" t="str">
        <f t="shared" si="11"/>
        <v/>
      </c>
      <c r="X41" s="44">
        <v>1</v>
      </c>
      <c r="Y41" s="50" t="str">
        <f t="shared" si="6"/>
        <v/>
      </c>
      <c r="Z41" s="50" t="str">
        <f t="shared" si="7"/>
        <v/>
      </c>
      <c r="AA41" s="53" t="str">
        <f t="shared" si="12"/>
        <v/>
      </c>
      <c r="AB41" s="50" t="str">
        <f t="shared" si="13"/>
        <v/>
      </c>
      <c r="AC41" s="50" t="str">
        <f t="shared" si="14"/>
        <v/>
      </c>
      <c r="AD41" s="46"/>
    </row>
    <row r="42" spans="1:30">
      <c r="A42" s="46"/>
      <c r="B42" s="46"/>
      <c r="C42" s="46"/>
      <c r="D42" s="50" t="str">
        <f t="shared" si="0"/>
        <v/>
      </c>
      <c r="E42" s="50" t="str">
        <f t="shared" si="1"/>
        <v/>
      </c>
      <c r="F42" s="44"/>
      <c r="G42" s="50" t="str">
        <f t="shared" si="2"/>
        <v/>
      </c>
      <c r="H42" s="44"/>
      <c r="I42" s="50" t="str">
        <f t="shared" si="3"/>
        <v/>
      </c>
      <c r="J42" s="44">
        <v>0</v>
      </c>
      <c r="K42" s="51">
        <v>0</v>
      </c>
      <c r="L42" s="50" t="str">
        <f t="shared" si="8"/>
        <v/>
      </c>
      <c r="M42" s="44"/>
      <c r="N42" s="50" t="str">
        <f t="shared" si="4"/>
        <v/>
      </c>
      <c r="O42" s="44">
        <v>1</v>
      </c>
      <c r="P42" s="50" t="str">
        <f t="shared" si="9"/>
        <v/>
      </c>
      <c r="Q42" s="44">
        <v>1</v>
      </c>
      <c r="R42" s="50" t="str">
        <f t="shared" si="10"/>
        <v/>
      </c>
      <c r="S42" s="44">
        <v>0</v>
      </c>
      <c r="T42" s="44">
        <v>0</v>
      </c>
      <c r="U42" s="50" t="str">
        <f t="shared" si="5"/>
        <v/>
      </c>
      <c r="V42" s="44">
        <v>0</v>
      </c>
      <c r="W42" s="50" t="str">
        <f t="shared" si="11"/>
        <v/>
      </c>
      <c r="X42" s="44">
        <v>1</v>
      </c>
      <c r="Y42" s="50" t="str">
        <f t="shared" si="6"/>
        <v/>
      </c>
      <c r="Z42" s="50" t="str">
        <f t="shared" si="7"/>
        <v/>
      </c>
      <c r="AA42" s="53" t="str">
        <f t="shared" si="12"/>
        <v/>
      </c>
      <c r="AB42" s="50" t="str">
        <f t="shared" si="13"/>
        <v/>
      </c>
      <c r="AC42" s="50" t="str">
        <f t="shared" si="14"/>
        <v/>
      </c>
      <c r="AD42" s="46"/>
    </row>
    <row r="43" spans="1:30">
      <c r="A43" s="46"/>
      <c r="B43" s="46"/>
      <c r="C43" s="46"/>
      <c r="D43" s="50" t="str">
        <f t="shared" si="0"/>
        <v/>
      </c>
      <c r="E43" s="50" t="str">
        <f t="shared" si="1"/>
        <v/>
      </c>
      <c r="F43" s="44"/>
      <c r="G43" s="50" t="str">
        <f t="shared" si="2"/>
        <v/>
      </c>
      <c r="H43" s="44"/>
      <c r="I43" s="50" t="str">
        <f t="shared" si="3"/>
        <v/>
      </c>
      <c r="J43" s="44">
        <v>0</v>
      </c>
      <c r="K43" s="51">
        <v>0</v>
      </c>
      <c r="L43" s="50" t="str">
        <f t="shared" si="8"/>
        <v/>
      </c>
      <c r="M43" s="44"/>
      <c r="N43" s="50" t="str">
        <f t="shared" si="4"/>
        <v/>
      </c>
      <c r="O43" s="44">
        <v>1</v>
      </c>
      <c r="P43" s="50" t="str">
        <f t="shared" si="9"/>
        <v/>
      </c>
      <c r="Q43" s="44">
        <v>1</v>
      </c>
      <c r="R43" s="50" t="str">
        <f t="shared" si="10"/>
        <v/>
      </c>
      <c r="S43" s="44">
        <v>0</v>
      </c>
      <c r="T43" s="44">
        <v>0</v>
      </c>
      <c r="U43" s="50" t="str">
        <f t="shared" si="5"/>
        <v/>
      </c>
      <c r="V43" s="44">
        <v>0</v>
      </c>
      <c r="W43" s="50" t="str">
        <f t="shared" si="11"/>
        <v/>
      </c>
      <c r="X43" s="44">
        <v>1</v>
      </c>
      <c r="Y43" s="50" t="str">
        <f t="shared" si="6"/>
        <v/>
      </c>
      <c r="Z43" s="50" t="str">
        <f t="shared" si="7"/>
        <v/>
      </c>
      <c r="AA43" s="53" t="str">
        <f t="shared" si="12"/>
        <v/>
      </c>
      <c r="AB43" s="50" t="str">
        <f t="shared" si="13"/>
        <v/>
      </c>
      <c r="AC43" s="50" t="str">
        <f t="shared" si="14"/>
        <v/>
      </c>
      <c r="AD43" s="46"/>
    </row>
    <row r="44" spans="1:30">
      <c r="A44" s="46"/>
      <c r="B44" s="46"/>
      <c r="C44" s="46"/>
      <c r="D44" s="50" t="str">
        <f t="shared" si="0"/>
        <v/>
      </c>
      <c r="E44" s="50" t="str">
        <f t="shared" si="1"/>
        <v/>
      </c>
      <c r="F44" s="44"/>
      <c r="G44" s="50" t="str">
        <f t="shared" si="2"/>
        <v/>
      </c>
      <c r="H44" s="44"/>
      <c r="I44" s="50" t="str">
        <f t="shared" si="3"/>
        <v/>
      </c>
      <c r="J44" s="44">
        <v>0</v>
      </c>
      <c r="K44" s="51">
        <v>0</v>
      </c>
      <c r="L44" s="50" t="str">
        <f t="shared" si="8"/>
        <v/>
      </c>
      <c r="M44" s="44"/>
      <c r="N44" s="50" t="str">
        <f t="shared" si="4"/>
        <v/>
      </c>
      <c r="O44" s="44">
        <v>1</v>
      </c>
      <c r="P44" s="50" t="str">
        <f t="shared" si="9"/>
        <v/>
      </c>
      <c r="Q44" s="44">
        <v>1</v>
      </c>
      <c r="R44" s="50" t="str">
        <f t="shared" si="10"/>
        <v/>
      </c>
      <c r="S44" s="44">
        <v>0</v>
      </c>
      <c r="T44" s="44">
        <v>0</v>
      </c>
      <c r="U44" s="50" t="str">
        <f t="shared" si="5"/>
        <v/>
      </c>
      <c r="V44" s="44">
        <v>0</v>
      </c>
      <c r="W44" s="50" t="str">
        <f t="shared" si="11"/>
        <v/>
      </c>
      <c r="X44" s="44">
        <v>1</v>
      </c>
      <c r="Y44" s="50" t="str">
        <f t="shared" si="6"/>
        <v/>
      </c>
      <c r="Z44" s="50" t="str">
        <f t="shared" si="7"/>
        <v/>
      </c>
      <c r="AA44" s="53" t="str">
        <f t="shared" si="12"/>
        <v/>
      </c>
      <c r="AB44" s="50" t="str">
        <f t="shared" si="13"/>
        <v/>
      </c>
      <c r="AC44" s="50" t="str">
        <f t="shared" si="14"/>
        <v/>
      </c>
      <c r="AD44" s="46"/>
    </row>
    <row r="45" spans="1:30">
      <c r="A45" s="46"/>
      <c r="B45" s="46"/>
      <c r="C45" s="46"/>
      <c r="D45" s="50" t="str">
        <f t="shared" si="0"/>
        <v/>
      </c>
      <c r="E45" s="50" t="str">
        <f t="shared" si="1"/>
        <v/>
      </c>
      <c r="F45" s="44"/>
      <c r="G45" s="50" t="str">
        <f t="shared" si="2"/>
        <v/>
      </c>
      <c r="H45" s="44"/>
      <c r="I45" s="50" t="str">
        <f t="shared" si="3"/>
        <v/>
      </c>
      <c r="J45" s="44">
        <v>0</v>
      </c>
      <c r="K45" s="51">
        <v>0</v>
      </c>
      <c r="L45" s="50" t="str">
        <f t="shared" si="8"/>
        <v/>
      </c>
      <c r="M45" s="44"/>
      <c r="N45" s="50" t="str">
        <f t="shared" si="4"/>
        <v/>
      </c>
      <c r="O45" s="44">
        <v>1</v>
      </c>
      <c r="P45" s="50" t="str">
        <f t="shared" si="9"/>
        <v/>
      </c>
      <c r="Q45" s="44">
        <v>1</v>
      </c>
      <c r="R45" s="50" t="str">
        <f t="shared" si="10"/>
        <v/>
      </c>
      <c r="S45" s="44">
        <v>0</v>
      </c>
      <c r="T45" s="44">
        <v>0</v>
      </c>
      <c r="U45" s="50" t="str">
        <f t="shared" si="5"/>
        <v/>
      </c>
      <c r="V45" s="44">
        <v>0</v>
      </c>
      <c r="W45" s="50" t="str">
        <f t="shared" si="11"/>
        <v/>
      </c>
      <c r="X45" s="44">
        <v>1</v>
      </c>
      <c r="Y45" s="50" t="str">
        <f t="shared" si="6"/>
        <v/>
      </c>
      <c r="Z45" s="50" t="str">
        <f t="shared" si="7"/>
        <v/>
      </c>
      <c r="AA45" s="53" t="str">
        <f t="shared" si="12"/>
        <v/>
      </c>
      <c r="AB45" s="50" t="str">
        <f t="shared" si="13"/>
        <v/>
      </c>
      <c r="AC45" s="50" t="str">
        <f t="shared" si="14"/>
        <v/>
      </c>
      <c r="AD45" s="46"/>
    </row>
    <row r="46" spans="1:30">
      <c r="A46" s="46"/>
      <c r="B46" s="46"/>
      <c r="C46" s="46"/>
      <c r="D46" s="50" t="str">
        <f t="shared" si="0"/>
        <v/>
      </c>
      <c r="E46" s="50" t="str">
        <f t="shared" si="1"/>
        <v/>
      </c>
      <c r="F46" s="44"/>
      <c r="G46" s="50" t="str">
        <f t="shared" si="2"/>
        <v/>
      </c>
      <c r="H46" s="44"/>
      <c r="I46" s="50" t="str">
        <f t="shared" si="3"/>
        <v/>
      </c>
      <c r="J46" s="44">
        <v>0</v>
      </c>
      <c r="K46" s="51">
        <v>0</v>
      </c>
      <c r="L46" s="50" t="str">
        <f t="shared" si="8"/>
        <v/>
      </c>
      <c r="M46" s="44"/>
      <c r="N46" s="50" t="str">
        <f t="shared" si="4"/>
        <v/>
      </c>
      <c r="O46" s="44">
        <v>1</v>
      </c>
      <c r="P46" s="50" t="str">
        <f t="shared" si="9"/>
        <v/>
      </c>
      <c r="Q46" s="44">
        <v>1</v>
      </c>
      <c r="R46" s="50" t="str">
        <f t="shared" si="10"/>
        <v/>
      </c>
      <c r="S46" s="44">
        <v>0</v>
      </c>
      <c r="T46" s="44">
        <v>0</v>
      </c>
      <c r="U46" s="50" t="str">
        <f t="shared" si="5"/>
        <v/>
      </c>
      <c r="V46" s="44">
        <v>0</v>
      </c>
      <c r="W46" s="50" t="str">
        <f t="shared" si="11"/>
        <v/>
      </c>
      <c r="X46" s="44">
        <v>1</v>
      </c>
      <c r="Y46" s="50" t="str">
        <f t="shared" si="6"/>
        <v/>
      </c>
      <c r="Z46" s="50" t="str">
        <f t="shared" si="7"/>
        <v/>
      </c>
      <c r="AA46" s="53" t="str">
        <f t="shared" si="12"/>
        <v/>
      </c>
      <c r="AB46" s="50" t="str">
        <f t="shared" si="13"/>
        <v/>
      </c>
      <c r="AC46" s="50" t="str">
        <f t="shared" si="14"/>
        <v/>
      </c>
      <c r="AD46" s="46"/>
    </row>
    <row r="47" spans="1:30">
      <c r="A47" s="46"/>
      <c r="B47" s="46"/>
      <c r="C47" s="46"/>
      <c r="D47" s="50" t="str">
        <f t="shared" si="0"/>
        <v/>
      </c>
      <c r="E47" s="50" t="str">
        <f t="shared" si="1"/>
        <v/>
      </c>
      <c r="F47" s="44"/>
      <c r="G47" s="50" t="str">
        <f t="shared" si="2"/>
        <v/>
      </c>
      <c r="H47" s="44"/>
      <c r="I47" s="50" t="str">
        <f t="shared" si="3"/>
        <v/>
      </c>
      <c r="J47" s="44">
        <v>0</v>
      </c>
      <c r="K47" s="51">
        <v>0</v>
      </c>
      <c r="L47" s="50" t="str">
        <f t="shared" si="8"/>
        <v/>
      </c>
      <c r="M47" s="44"/>
      <c r="N47" s="50" t="str">
        <f t="shared" si="4"/>
        <v/>
      </c>
      <c r="O47" s="44">
        <v>1</v>
      </c>
      <c r="P47" s="50" t="str">
        <f t="shared" si="9"/>
        <v/>
      </c>
      <c r="Q47" s="44">
        <v>1</v>
      </c>
      <c r="R47" s="50" t="str">
        <f t="shared" si="10"/>
        <v/>
      </c>
      <c r="S47" s="44">
        <v>0</v>
      </c>
      <c r="T47" s="44">
        <v>0</v>
      </c>
      <c r="U47" s="50" t="str">
        <f t="shared" si="5"/>
        <v/>
      </c>
      <c r="V47" s="44">
        <v>0</v>
      </c>
      <c r="W47" s="50" t="str">
        <f t="shared" si="11"/>
        <v/>
      </c>
      <c r="X47" s="44">
        <v>1</v>
      </c>
      <c r="Y47" s="50" t="str">
        <f t="shared" si="6"/>
        <v/>
      </c>
      <c r="Z47" s="50" t="str">
        <f t="shared" si="7"/>
        <v/>
      </c>
      <c r="AA47" s="53" t="str">
        <f t="shared" si="12"/>
        <v/>
      </c>
      <c r="AB47" s="50" t="str">
        <f t="shared" si="13"/>
        <v/>
      </c>
      <c r="AC47" s="50" t="str">
        <f t="shared" si="14"/>
        <v/>
      </c>
      <c r="AD47" s="46"/>
    </row>
    <row r="48" spans="1:30">
      <c r="A48" s="46"/>
      <c r="B48" s="46"/>
      <c r="C48" s="46"/>
      <c r="D48" s="50" t="str">
        <f t="shared" si="0"/>
        <v/>
      </c>
      <c r="E48" s="50" t="str">
        <f t="shared" si="1"/>
        <v/>
      </c>
      <c r="F48" s="44"/>
      <c r="G48" s="50" t="str">
        <f t="shared" si="2"/>
        <v/>
      </c>
      <c r="H48" s="44"/>
      <c r="I48" s="50" t="str">
        <f t="shared" si="3"/>
        <v/>
      </c>
      <c r="J48" s="44">
        <v>0</v>
      </c>
      <c r="K48" s="51">
        <v>0</v>
      </c>
      <c r="L48" s="50" t="str">
        <f t="shared" si="8"/>
        <v/>
      </c>
      <c r="M48" s="44"/>
      <c r="N48" s="50" t="str">
        <f t="shared" si="4"/>
        <v/>
      </c>
      <c r="O48" s="44">
        <v>1</v>
      </c>
      <c r="P48" s="50" t="str">
        <f t="shared" si="9"/>
        <v/>
      </c>
      <c r="Q48" s="44">
        <v>1</v>
      </c>
      <c r="R48" s="50" t="str">
        <f t="shared" si="10"/>
        <v/>
      </c>
      <c r="S48" s="44">
        <v>0</v>
      </c>
      <c r="T48" s="44">
        <v>0</v>
      </c>
      <c r="U48" s="50" t="str">
        <f t="shared" si="5"/>
        <v/>
      </c>
      <c r="V48" s="44">
        <v>0</v>
      </c>
      <c r="W48" s="50" t="str">
        <f t="shared" si="11"/>
        <v/>
      </c>
      <c r="X48" s="44">
        <v>1</v>
      </c>
      <c r="Y48" s="50" t="str">
        <f t="shared" si="6"/>
        <v/>
      </c>
      <c r="Z48" s="50" t="str">
        <f t="shared" si="7"/>
        <v/>
      </c>
      <c r="AA48" s="53" t="str">
        <f t="shared" si="12"/>
        <v/>
      </c>
      <c r="AB48" s="50" t="str">
        <f t="shared" si="13"/>
        <v/>
      </c>
      <c r="AC48" s="50" t="str">
        <f t="shared" si="14"/>
        <v/>
      </c>
      <c r="AD48" s="46"/>
    </row>
    <row r="49" spans="1:30">
      <c r="A49" s="46"/>
      <c r="B49" s="46"/>
      <c r="C49" s="46"/>
      <c r="D49" s="50" t="str">
        <f t="shared" si="0"/>
        <v/>
      </c>
      <c r="E49" s="50" t="str">
        <f t="shared" si="1"/>
        <v/>
      </c>
      <c r="F49" s="44"/>
      <c r="G49" s="50" t="str">
        <f t="shared" si="2"/>
        <v/>
      </c>
      <c r="H49" s="44"/>
      <c r="I49" s="50" t="str">
        <f t="shared" si="3"/>
        <v/>
      </c>
      <c r="J49" s="44">
        <v>0</v>
      </c>
      <c r="K49" s="51">
        <v>0</v>
      </c>
      <c r="L49" s="50" t="str">
        <f t="shared" si="8"/>
        <v/>
      </c>
      <c r="M49" s="44"/>
      <c r="N49" s="50" t="str">
        <f t="shared" si="4"/>
        <v/>
      </c>
      <c r="O49" s="44">
        <v>1</v>
      </c>
      <c r="P49" s="50" t="str">
        <f t="shared" si="9"/>
        <v/>
      </c>
      <c r="Q49" s="44">
        <v>1</v>
      </c>
      <c r="R49" s="50" t="str">
        <f t="shared" si="10"/>
        <v/>
      </c>
      <c r="S49" s="44">
        <v>0</v>
      </c>
      <c r="T49" s="44">
        <v>0</v>
      </c>
      <c r="U49" s="50" t="str">
        <f t="shared" si="5"/>
        <v/>
      </c>
      <c r="V49" s="44">
        <v>0</v>
      </c>
      <c r="W49" s="50" t="str">
        <f t="shared" si="11"/>
        <v/>
      </c>
      <c r="X49" s="44">
        <v>1</v>
      </c>
      <c r="Y49" s="50" t="str">
        <f t="shared" si="6"/>
        <v/>
      </c>
      <c r="Z49" s="50" t="str">
        <f t="shared" si="7"/>
        <v/>
      </c>
      <c r="AA49" s="53" t="str">
        <f t="shared" si="12"/>
        <v/>
      </c>
      <c r="AB49" s="50" t="str">
        <f t="shared" si="13"/>
        <v/>
      </c>
      <c r="AC49" s="50" t="str">
        <f t="shared" si="14"/>
        <v/>
      </c>
      <c r="AD49" s="46"/>
    </row>
    <row r="50" spans="1:30">
      <c r="A50" s="46"/>
      <c r="B50" s="46"/>
      <c r="C50" s="46"/>
      <c r="D50" s="50" t="str">
        <f t="shared" si="0"/>
        <v/>
      </c>
      <c r="E50" s="50" t="str">
        <f t="shared" si="1"/>
        <v/>
      </c>
      <c r="F50" s="44"/>
      <c r="G50" s="50" t="str">
        <f t="shared" si="2"/>
        <v/>
      </c>
      <c r="H50" s="44"/>
      <c r="I50" s="50" t="str">
        <f t="shared" si="3"/>
        <v/>
      </c>
      <c r="J50" s="44">
        <v>0</v>
      </c>
      <c r="K50" s="51">
        <v>0</v>
      </c>
      <c r="L50" s="50" t="str">
        <f t="shared" si="8"/>
        <v/>
      </c>
      <c r="M50" s="44"/>
      <c r="N50" s="50" t="str">
        <f t="shared" si="4"/>
        <v/>
      </c>
      <c r="O50" s="44">
        <v>1</v>
      </c>
      <c r="P50" s="50" t="str">
        <f t="shared" si="9"/>
        <v/>
      </c>
      <c r="Q50" s="44">
        <v>1</v>
      </c>
      <c r="R50" s="50" t="str">
        <f t="shared" si="10"/>
        <v/>
      </c>
      <c r="S50" s="44">
        <v>0</v>
      </c>
      <c r="T50" s="44">
        <v>0</v>
      </c>
      <c r="U50" s="50" t="str">
        <f t="shared" si="5"/>
        <v/>
      </c>
      <c r="V50" s="44">
        <v>0</v>
      </c>
      <c r="W50" s="50" t="str">
        <f t="shared" si="11"/>
        <v/>
      </c>
      <c r="X50" s="44">
        <v>1</v>
      </c>
      <c r="Y50" s="50" t="str">
        <f t="shared" si="6"/>
        <v/>
      </c>
      <c r="Z50" s="50" t="str">
        <f t="shared" si="7"/>
        <v/>
      </c>
      <c r="AA50" s="53" t="str">
        <f t="shared" si="12"/>
        <v/>
      </c>
      <c r="AB50" s="50" t="str">
        <f t="shared" si="13"/>
        <v/>
      </c>
      <c r="AC50" s="50" t="str">
        <f t="shared" si="14"/>
        <v/>
      </c>
      <c r="AD50" s="46"/>
    </row>
    <row r="51" spans="1:30">
      <c r="A51" s="46"/>
      <c r="B51" s="46"/>
      <c r="C51" s="46"/>
      <c r="D51" s="50" t="str">
        <f t="shared" si="0"/>
        <v/>
      </c>
      <c r="E51" s="50" t="str">
        <f t="shared" si="1"/>
        <v/>
      </c>
      <c r="F51" s="44"/>
      <c r="G51" s="50" t="str">
        <f t="shared" si="2"/>
        <v/>
      </c>
      <c r="H51" s="44"/>
      <c r="I51" s="50" t="str">
        <f t="shared" si="3"/>
        <v/>
      </c>
      <c r="J51" s="44">
        <v>0</v>
      </c>
      <c r="K51" s="51">
        <v>0</v>
      </c>
      <c r="L51" s="50" t="str">
        <f t="shared" si="8"/>
        <v/>
      </c>
      <c r="M51" s="44"/>
      <c r="N51" s="50" t="str">
        <f t="shared" si="4"/>
        <v/>
      </c>
      <c r="O51" s="44">
        <v>1</v>
      </c>
      <c r="P51" s="50" t="str">
        <f t="shared" si="9"/>
        <v/>
      </c>
      <c r="Q51" s="44">
        <v>1</v>
      </c>
      <c r="R51" s="50" t="str">
        <f t="shared" si="10"/>
        <v/>
      </c>
      <c r="S51" s="44">
        <v>0</v>
      </c>
      <c r="T51" s="44">
        <v>0</v>
      </c>
      <c r="U51" s="50" t="str">
        <f t="shared" si="5"/>
        <v/>
      </c>
      <c r="V51" s="44">
        <v>0</v>
      </c>
      <c r="W51" s="50" t="str">
        <f t="shared" si="11"/>
        <v/>
      </c>
      <c r="X51" s="44">
        <v>1</v>
      </c>
      <c r="Y51" s="50" t="str">
        <f t="shared" si="6"/>
        <v/>
      </c>
      <c r="Z51" s="50" t="str">
        <f t="shared" si="7"/>
        <v/>
      </c>
      <c r="AA51" s="53" t="str">
        <f t="shared" si="12"/>
        <v/>
      </c>
      <c r="AB51" s="50" t="str">
        <f t="shared" si="13"/>
        <v/>
      </c>
      <c r="AC51" s="50" t="str">
        <f t="shared" si="14"/>
        <v/>
      </c>
      <c r="AD51" s="46"/>
    </row>
    <row r="52" spans="1:30">
      <c r="A52" s="46"/>
      <c r="B52" s="46"/>
      <c r="C52" s="46"/>
      <c r="D52" s="50" t="str">
        <f t="shared" si="0"/>
        <v/>
      </c>
      <c r="E52" s="50" t="str">
        <f t="shared" si="1"/>
        <v/>
      </c>
      <c r="F52" s="44"/>
      <c r="G52" s="50" t="str">
        <f t="shared" si="2"/>
        <v/>
      </c>
      <c r="H52" s="44"/>
      <c r="I52" s="50" t="str">
        <f t="shared" si="3"/>
        <v/>
      </c>
      <c r="J52" s="44">
        <v>0</v>
      </c>
      <c r="K52" s="51">
        <v>0</v>
      </c>
      <c r="L52" s="50" t="str">
        <f t="shared" si="8"/>
        <v/>
      </c>
      <c r="M52" s="44"/>
      <c r="N52" s="50" t="str">
        <f t="shared" si="4"/>
        <v/>
      </c>
      <c r="O52" s="44">
        <v>1</v>
      </c>
      <c r="P52" s="50" t="str">
        <f t="shared" si="9"/>
        <v/>
      </c>
      <c r="Q52" s="44">
        <v>1</v>
      </c>
      <c r="R52" s="50" t="str">
        <f t="shared" si="10"/>
        <v/>
      </c>
      <c r="S52" s="44">
        <v>0</v>
      </c>
      <c r="T52" s="44">
        <v>0</v>
      </c>
      <c r="U52" s="50" t="str">
        <f t="shared" si="5"/>
        <v/>
      </c>
      <c r="V52" s="44">
        <v>0</v>
      </c>
      <c r="W52" s="50" t="str">
        <f t="shared" si="11"/>
        <v/>
      </c>
      <c r="X52" s="44">
        <v>1</v>
      </c>
      <c r="Y52" s="50" t="str">
        <f t="shared" si="6"/>
        <v/>
      </c>
      <c r="Z52" s="50" t="str">
        <f t="shared" si="7"/>
        <v/>
      </c>
      <c r="AA52" s="53" t="str">
        <f t="shared" si="12"/>
        <v/>
      </c>
      <c r="AB52" s="50" t="str">
        <f t="shared" si="13"/>
        <v/>
      </c>
      <c r="AC52" s="50" t="str">
        <f t="shared" si="14"/>
        <v/>
      </c>
      <c r="AD52" s="46"/>
    </row>
    <row r="53" spans="1:30">
      <c r="A53" s="46"/>
      <c r="B53" s="46"/>
      <c r="C53" s="46"/>
      <c r="D53" s="50" t="str">
        <f t="shared" si="0"/>
        <v/>
      </c>
      <c r="E53" s="50" t="str">
        <f t="shared" si="1"/>
        <v/>
      </c>
      <c r="F53" s="44"/>
      <c r="G53" s="50" t="str">
        <f t="shared" si="2"/>
        <v/>
      </c>
      <c r="H53" s="44"/>
      <c r="I53" s="50" t="str">
        <f t="shared" si="3"/>
        <v/>
      </c>
      <c r="J53" s="44">
        <v>0</v>
      </c>
      <c r="K53" s="51">
        <v>0</v>
      </c>
      <c r="L53" s="50" t="str">
        <f t="shared" si="8"/>
        <v/>
      </c>
      <c r="M53" s="44"/>
      <c r="N53" s="50" t="str">
        <f t="shared" si="4"/>
        <v/>
      </c>
      <c r="O53" s="44">
        <v>1</v>
      </c>
      <c r="P53" s="50" t="str">
        <f t="shared" si="9"/>
        <v/>
      </c>
      <c r="Q53" s="44">
        <v>1</v>
      </c>
      <c r="R53" s="50" t="str">
        <f t="shared" si="10"/>
        <v/>
      </c>
      <c r="S53" s="44">
        <v>0</v>
      </c>
      <c r="T53" s="44">
        <v>0</v>
      </c>
      <c r="U53" s="50" t="str">
        <f t="shared" si="5"/>
        <v/>
      </c>
      <c r="V53" s="44">
        <v>0</v>
      </c>
      <c r="W53" s="50" t="str">
        <f t="shared" si="11"/>
        <v/>
      </c>
      <c r="X53" s="44">
        <v>1</v>
      </c>
      <c r="Y53" s="50" t="str">
        <f t="shared" si="6"/>
        <v/>
      </c>
      <c r="Z53" s="50" t="str">
        <f t="shared" si="7"/>
        <v/>
      </c>
      <c r="AA53" s="53" t="str">
        <f t="shared" si="12"/>
        <v/>
      </c>
      <c r="AB53" s="50" t="str">
        <f t="shared" si="13"/>
        <v/>
      </c>
      <c r="AC53" s="50" t="str">
        <f t="shared" si="14"/>
        <v/>
      </c>
      <c r="AD53" s="46"/>
    </row>
    <row r="54" spans="1:30">
      <c r="A54" s="46"/>
      <c r="B54" s="46"/>
      <c r="C54" s="46"/>
      <c r="D54" s="50" t="str">
        <f t="shared" si="0"/>
        <v/>
      </c>
      <c r="E54" s="50" t="str">
        <f t="shared" si="1"/>
        <v/>
      </c>
      <c r="F54" s="44"/>
      <c r="G54" s="50" t="str">
        <f t="shared" si="2"/>
        <v/>
      </c>
      <c r="H54" s="44"/>
      <c r="I54" s="50" t="str">
        <f t="shared" si="3"/>
        <v/>
      </c>
      <c r="J54" s="44">
        <v>0</v>
      </c>
      <c r="K54" s="51">
        <v>0</v>
      </c>
      <c r="L54" s="50" t="str">
        <f t="shared" si="8"/>
        <v/>
      </c>
      <c r="M54" s="44"/>
      <c r="N54" s="50" t="str">
        <f t="shared" si="4"/>
        <v/>
      </c>
      <c r="O54" s="44">
        <v>1</v>
      </c>
      <c r="P54" s="50" t="str">
        <f t="shared" si="9"/>
        <v/>
      </c>
      <c r="Q54" s="44">
        <v>1</v>
      </c>
      <c r="R54" s="50" t="str">
        <f t="shared" si="10"/>
        <v/>
      </c>
      <c r="S54" s="44">
        <v>0</v>
      </c>
      <c r="T54" s="44">
        <v>0</v>
      </c>
      <c r="U54" s="50" t="str">
        <f t="shared" si="5"/>
        <v/>
      </c>
      <c r="V54" s="44">
        <v>0</v>
      </c>
      <c r="W54" s="50" t="str">
        <f t="shared" si="11"/>
        <v/>
      </c>
      <c r="X54" s="44">
        <v>1</v>
      </c>
      <c r="Y54" s="50" t="str">
        <f t="shared" si="6"/>
        <v/>
      </c>
      <c r="Z54" s="50" t="str">
        <f t="shared" si="7"/>
        <v/>
      </c>
      <c r="AA54" s="53" t="str">
        <f t="shared" si="12"/>
        <v/>
      </c>
      <c r="AB54" s="50" t="str">
        <f t="shared" si="13"/>
        <v/>
      </c>
      <c r="AC54" s="50" t="str">
        <f t="shared" si="14"/>
        <v/>
      </c>
      <c r="AD54" s="46"/>
    </row>
    <row r="55" spans="1:30">
      <c r="A55" s="46"/>
      <c r="B55" s="46"/>
      <c r="C55" s="46"/>
      <c r="D55" s="50" t="str">
        <f t="shared" si="0"/>
        <v/>
      </c>
      <c r="E55" s="50" t="str">
        <f t="shared" si="1"/>
        <v/>
      </c>
      <c r="F55" s="44"/>
      <c r="G55" s="50" t="str">
        <f t="shared" si="2"/>
        <v/>
      </c>
      <c r="H55" s="44"/>
      <c r="I55" s="50" t="str">
        <f t="shared" si="3"/>
        <v/>
      </c>
      <c r="J55" s="44">
        <v>0</v>
      </c>
      <c r="K55" s="51">
        <v>0</v>
      </c>
      <c r="L55" s="50" t="str">
        <f t="shared" si="8"/>
        <v/>
      </c>
      <c r="M55" s="44"/>
      <c r="N55" s="50" t="str">
        <f t="shared" si="4"/>
        <v/>
      </c>
      <c r="O55" s="44">
        <v>1</v>
      </c>
      <c r="P55" s="50" t="str">
        <f t="shared" si="9"/>
        <v/>
      </c>
      <c r="Q55" s="44">
        <v>1</v>
      </c>
      <c r="R55" s="50" t="str">
        <f t="shared" si="10"/>
        <v/>
      </c>
      <c r="S55" s="44">
        <v>0</v>
      </c>
      <c r="T55" s="44">
        <v>0</v>
      </c>
      <c r="U55" s="50" t="str">
        <f t="shared" si="5"/>
        <v/>
      </c>
      <c r="V55" s="44">
        <v>0</v>
      </c>
      <c r="W55" s="50" t="str">
        <f t="shared" si="11"/>
        <v/>
      </c>
      <c r="X55" s="44">
        <v>1</v>
      </c>
      <c r="Y55" s="50" t="str">
        <f t="shared" si="6"/>
        <v/>
      </c>
      <c r="Z55" s="50" t="str">
        <f t="shared" si="7"/>
        <v/>
      </c>
      <c r="AA55" s="53" t="str">
        <f t="shared" si="12"/>
        <v/>
      </c>
      <c r="AB55" s="50" t="str">
        <f t="shared" si="13"/>
        <v/>
      </c>
      <c r="AC55" s="50" t="str">
        <f t="shared" si="14"/>
        <v/>
      </c>
      <c r="AD55" s="46"/>
    </row>
    <row r="56" spans="1:30">
      <c r="A56" s="46"/>
      <c r="B56" s="46"/>
      <c r="C56" s="46"/>
      <c r="D56" s="50" t="str">
        <f t="shared" si="0"/>
        <v/>
      </c>
      <c r="E56" s="50" t="str">
        <f t="shared" si="1"/>
        <v/>
      </c>
      <c r="F56" s="44"/>
      <c r="G56" s="50" t="str">
        <f t="shared" si="2"/>
        <v/>
      </c>
      <c r="H56" s="44"/>
      <c r="I56" s="50" t="str">
        <f t="shared" si="3"/>
        <v/>
      </c>
      <c r="J56" s="44">
        <v>0</v>
      </c>
      <c r="K56" s="51">
        <v>0</v>
      </c>
      <c r="L56" s="50" t="str">
        <f t="shared" si="8"/>
        <v/>
      </c>
      <c r="M56" s="44"/>
      <c r="N56" s="50" t="str">
        <f t="shared" si="4"/>
        <v/>
      </c>
      <c r="O56" s="44">
        <v>1</v>
      </c>
      <c r="P56" s="50" t="str">
        <f t="shared" si="9"/>
        <v/>
      </c>
      <c r="Q56" s="44">
        <v>1</v>
      </c>
      <c r="R56" s="50" t="str">
        <f t="shared" si="10"/>
        <v/>
      </c>
      <c r="S56" s="44">
        <v>0</v>
      </c>
      <c r="T56" s="44">
        <v>0</v>
      </c>
      <c r="U56" s="50" t="str">
        <f t="shared" si="5"/>
        <v/>
      </c>
      <c r="V56" s="44">
        <v>0</v>
      </c>
      <c r="W56" s="50" t="str">
        <f t="shared" si="11"/>
        <v/>
      </c>
      <c r="X56" s="44">
        <v>1</v>
      </c>
      <c r="Y56" s="50" t="str">
        <f t="shared" si="6"/>
        <v/>
      </c>
      <c r="Z56" s="50" t="str">
        <f t="shared" si="7"/>
        <v/>
      </c>
      <c r="AA56" s="53" t="str">
        <f t="shared" si="12"/>
        <v/>
      </c>
      <c r="AB56" s="50" t="str">
        <f t="shared" si="13"/>
        <v/>
      </c>
      <c r="AC56" s="50" t="str">
        <f t="shared" si="14"/>
        <v/>
      </c>
      <c r="AD56" s="46"/>
    </row>
    <row r="57" spans="1:30">
      <c r="A57" s="46"/>
      <c r="B57" s="46"/>
      <c r="C57" s="46"/>
      <c r="D57" s="50" t="str">
        <f t="shared" si="0"/>
        <v/>
      </c>
      <c r="E57" s="50" t="str">
        <f t="shared" si="1"/>
        <v/>
      </c>
      <c r="F57" s="44"/>
      <c r="G57" s="50" t="str">
        <f t="shared" si="2"/>
        <v/>
      </c>
      <c r="H57" s="44"/>
      <c r="I57" s="50" t="str">
        <f t="shared" si="3"/>
        <v/>
      </c>
      <c r="J57" s="44">
        <v>0</v>
      </c>
      <c r="K57" s="51">
        <v>0</v>
      </c>
      <c r="L57" s="50" t="str">
        <f t="shared" si="8"/>
        <v/>
      </c>
      <c r="M57" s="44"/>
      <c r="N57" s="50" t="str">
        <f t="shared" si="4"/>
        <v/>
      </c>
      <c r="O57" s="44">
        <v>1</v>
      </c>
      <c r="P57" s="50" t="str">
        <f t="shared" si="9"/>
        <v/>
      </c>
      <c r="Q57" s="44">
        <v>1</v>
      </c>
      <c r="R57" s="50" t="str">
        <f t="shared" si="10"/>
        <v/>
      </c>
      <c r="S57" s="44">
        <v>0</v>
      </c>
      <c r="T57" s="44">
        <v>0</v>
      </c>
      <c r="U57" s="50" t="str">
        <f t="shared" si="5"/>
        <v/>
      </c>
      <c r="V57" s="44">
        <v>0</v>
      </c>
      <c r="W57" s="50" t="str">
        <f t="shared" si="11"/>
        <v/>
      </c>
      <c r="X57" s="44">
        <v>1</v>
      </c>
      <c r="Y57" s="50" t="str">
        <f t="shared" si="6"/>
        <v/>
      </c>
      <c r="Z57" s="50" t="str">
        <f t="shared" si="7"/>
        <v/>
      </c>
      <c r="AA57" s="53" t="str">
        <f t="shared" si="12"/>
        <v/>
      </c>
      <c r="AB57" s="50" t="str">
        <f t="shared" si="13"/>
        <v/>
      </c>
      <c r="AC57" s="50" t="str">
        <f t="shared" si="14"/>
        <v/>
      </c>
      <c r="AD57" s="46"/>
    </row>
    <row r="58" spans="1:30">
      <c r="A58" s="46"/>
      <c r="B58" s="46"/>
      <c r="C58" s="46"/>
      <c r="D58" s="50" t="str">
        <f t="shared" si="0"/>
        <v/>
      </c>
      <c r="E58" s="50" t="str">
        <f t="shared" si="1"/>
        <v/>
      </c>
      <c r="F58" s="44"/>
      <c r="G58" s="50" t="str">
        <f t="shared" si="2"/>
        <v/>
      </c>
      <c r="H58" s="44"/>
      <c r="I58" s="50" t="str">
        <f t="shared" si="3"/>
        <v/>
      </c>
      <c r="J58" s="44">
        <v>0</v>
      </c>
      <c r="K58" s="51">
        <v>0</v>
      </c>
      <c r="L58" s="50" t="str">
        <f t="shared" si="8"/>
        <v/>
      </c>
      <c r="M58" s="44"/>
      <c r="N58" s="50" t="str">
        <f t="shared" si="4"/>
        <v/>
      </c>
      <c r="O58" s="44">
        <v>1</v>
      </c>
      <c r="P58" s="50" t="str">
        <f t="shared" si="9"/>
        <v/>
      </c>
      <c r="Q58" s="44">
        <v>1</v>
      </c>
      <c r="R58" s="50" t="str">
        <f t="shared" si="10"/>
        <v/>
      </c>
      <c r="S58" s="44">
        <v>0</v>
      </c>
      <c r="T58" s="44">
        <v>0</v>
      </c>
      <c r="U58" s="50" t="str">
        <f t="shared" si="5"/>
        <v/>
      </c>
      <c r="V58" s="44">
        <v>0</v>
      </c>
      <c r="W58" s="50" t="str">
        <f t="shared" si="11"/>
        <v/>
      </c>
      <c r="X58" s="44">
        <v>1</v>
      </c>
      <c r="Y58" s="50" t="str">
        <f t="shared" si="6"/>
        <v/>
      </c>
      <c r="Z58" s="50" t="str">
        <f t="shared" si="7"/>
        <v/>
      </c>
      <c r="AA58" s="53" t="str">
        <f t="shared" si="12"/>
        <v/>
      </c>
      <c r="AB58" s="50" t="str">
        <f t="shared" si="13"/>
        <v/>
      </c>
      <c r="AC58" s="50" t="str">
        <f t="shared" si="14"/>
        <v/>
      </c>
      <c r="AD58" s="46"/>
    </row>
    <row r="59" spans="1:30">
      <c r="A59" s="46"/>
      <c r="B59" s="46"/>
      <c r="C59" s="46"/>
      <c r="D59" s="50" t="str">
        <f t="shared" si="0"/>
        <v/>
      </c>
      <c r="E59" s="50" t="str">
        <f t="shared" si="1"/>
        <v/>
      </c>
      <c r="F59" s="44"/>
      <c r="G59" s="50" t="str">
        <f t="shared" si="2"/>
        <v/>
      </c>
      <c r="H59" s="44"/>
      <c r="I59" s="50" t="str">
        <f t="shared" si="3"/>
        <v/>
      </c>
      <c r="J59" s="44">
        <v>0</v>
      </c>
      <c r="K59" s="51">
        <v>0</v>
      </c>
      <c r="L59" s="50" t="str">
        <f t="shared" si="8"/>
        <v/>
      </c>
      <c r="M59" s="44"/>
      <c r="N59" s="50" t="str">
        <f t="shared" si="4"/>
        <v/>
      </c>
      <c r="O59" s="44">
        <v>1</v>
      </c>
      <c r="P59" s="50" t="str">
        <f t="shared" si="9"/>
        <v/>
      </c>
      <c r="Q59" s="44">
        <v>1</v>
      </c>
      <c r="R59" s="50" t="str">
        <f t="shared" si="10"/>
        <v/>
      </c>
      <c r="S59" s="44">
        <v>0</v>
      </c>
      <c r="T59" s="44">
        <v>0</v>
      </c>
      <c r="U59" s="50" t="str">
        <f t="shared" si="5"/>
        <v/>
      </c>
      <c r="V59" s="44">
        <v>0</v>
      </c>
      <c r="W59" s="50" t="str">
        <f t="shared" si="11"/>
        <v/>
      </c>
      <c r="X59" s="44">
        <v>1</v>
      </c>
      <c r="Y59" s="50" t="str">
        <f t="shared" si="6"/>
        <v/>
      </c>
      <c r="Z59" s="50" t="str">
        <f t="shared" si="7"/>
        <v/>
      </c>
      <c r="AA59" s="53" t="str">
        <f t="shared" si="12"/>
        <v/>
      </c>
      <c r="AB59" s="50" t="str">
        <f t="shared" si="13"/>
        <v/>
      </c>
      <c r="AC59" s="50" t="str">
        <f t="shared" si="14"/>
        <v/>
      </c>
      <c r="AD59" s="46"/>
    </row>
    <row r="60" spans="1:30">
      <c r="A60" s="46"/>
      <c r="B60" s="46"/>
      <c r="C60" s="46"/>
      <c r="D60" s="50" t="str">
        <f t="shared" si="0"/>
        <v/>
      </c>
      <c r="E60" s="50" t="str">
        <f t="shared" si="1"/>
        <v/>
      </c>
      <c r="F60" s="44"/>
      <c r="G60" s="50" t="str">
        <f t="shared" si="2"/>
        <v/>
      </c>
      <c r="H60" s="44"/>
      <c r="I60" s="50" t="str">
        <f t="shared" si="3"/>
        <v/>
      </c>
      <c r="J60" s="44">
        <v>0</v>
      </c>
      <c r="K60" s="51">
        <v>0</v>
      </c>
      <c r="L60" s="50" t="str">
        <f t="shared" si="8"/>
        <v/>
      </c>
      <c r="M60" s="44"/>
      <c r="N60" s="50" t="str">
        <f t="shared" si="4"/>
        <v/>
      </c>
      <c r="O60" s="44">
        <v>1</v>
      </c>
      <c r="P60" s="50" t="str">
        <f t="shared" si="9"/>
        <v/>
      </c>
      <c r="Q60" s="44">
        <v>1</v>
      </c>
      <c r="R60" s="50" t="str">
        <f t="shared" si="10"/>
        <v/>
      </c>
      <c r="S60" s="44">
        <v>0</v>
      </c>
      <c r="T60" s="44">
        <v>0</v>
      </c>
      <c r="U60" s="50" t="str">
        <f t="shared" si="5"/>
        <v/>
      </c>
      <c r="V60" s="44">
        <v>0</v>
      </c>
      <c r="W60" s="50" t="str">
        <f t="shared" si="11"/>
        <v/>
      </c>
      <c r="X60" s="44">
        <v>1</v>
      </c>
      <c r="Y60" s="50" t="str">
        <f t="shared" si="6"/>
        <v/>
      </c>
      <c r="Z60" s="50" t="str">
        <f t="shared" si="7"/>
        <v/>
      </c>
      <c r="AA60" s="53" t="str">
        <f t="shared" si="12"/>
        <v/>
      </c>
      <c r="AB60" s="50" t="str">
        <f t="shared" si="13"/>
        <v/>
      </c>
      <c r="AC60" s="50" t="str">
        <f t="shared" si="14"/>
        <v/>
      </c>
      <c r="AD60" s="46"/>
    </row>
  </sheetData>
  <autoFilter xmlns:etc="http://www.wps.cn/officeDocument/2017/etCustomData" ref="A15:AD60" etc:filterBottomFollowUsedRange="0">
    <extLst/>
  </autoFilter>
  <mergeCells count="2">
    <mergeCell ref="A1:AD1"/>
    <mergeCell ref="A14:AD14"/>
  </mergeCells>
  <dataValidations count="4">
    <dataValidation type="list" allowBlank="1" showInputMessage="1" showErrorMessage="1" sqref="C16:C60">
      <formula1>Boss技能系数!$D$4:$D$6</formula1>
    </dataValidation>
    <dataValidation type="list" allowBlank="1" showInputMessage="1" showErrorMessage="1" sqref="F16:F60">
      <formula1>Boss技能系数!$I$4:$I$7</formula1>
    </dataValidation>
    <dataValidation type="list" allowBlank="1" showInputMessage="1" showErrorMessage="1" sqref="H16:H60">
      <formula1>Boss技能系数!$M$4:$M$9</formula1>
    </dataValidation>
    <dataValidation type="list" allowBlank="1" showInputMessage="1" showErrorMessage="1" sqref="M16:M60">
      <formula1>Boss技能系数!$Q$4:$Q$6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I8"/>
  <sheetViews>
    <sheetView workbookViewId="0">
      <selection activeCell="H44" sqref="H44"/>
    </sheetView>
  </sheetViews>
  <sheetFormatPr defaultColWidth="9" defaultRowHeight="13.5" outlineLevelRow="7"/>
  <sheetData>
    <row r="4" spans="3:9">
      <c r="C4" s="39">
        <v>10</v>
      </c>
      <c r="D4" s="39">
        <v>10</v>
      </c>
      <c r="E4" s="39">
        <v>15</v>
      </c>
      <c r="F4" s="39">
        <v>15</v>
      </c>
      <c r="G4" s="39">
        <v>20</v>
      </c>
      <c r="H4" s="39">
        <v>20</v>
      </c>
      <c r="I4" t="str">
        <f>_xlfn.CONCAT(C4,C$5,D4,C$5,E4,C$5,F4,C$5,G4,C$5,H4,D5)</f>
        <v>10%/10%/15%/15%/20%/20%</v>
      </c>
    </row>
    <row r="5" spans="3:9">
      <c r="C5" t="s">
        <v>444</v>
      </c>
      <c r="D5" t="s">
        <v>445</v>
      </c>
    </row>
    <row r="7" spans="3:9">
      <c r="C7" s="39">
        <v>50</v>
      </c>
      <c r="D7" s="39">
        <v>70</v>
      </c>
      <c r="E7" s="39">
        <v>70</v>
      </c>
      <c r="F7" s="39">
        <v>85</v>
      </c>
      <c r="G7" s="39">
        <v>85</v>
      </c>
      <c r="H7" s="39">
        <v>100</v>
      </c>
      <c r="I7" t="str">
        <f>_xlfn.CONCAT(C7,C$8,D7,C$8,E7,C$8,F7,C$8,G7,C$8,H7,D8)</f>
        <v>50%/70%/70%/85%/85%/100%</v>
      </c>
    </row>
    <row r="8" spans="3:9">
      <c r="C8" t="s">
        <v>444</v>
      </c>
      <c r="D8" t="s">
        <v>445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503"/>
  <sheetViews>
    <sheetView topLeftCell="A21" workbookViewId="0">
      <selection activeCell="N4" sqref="N4:N27"/>
    </sheetView>
  </sheetViews>
  <sheetFormatPr defaultColWidth="9" defaultRowHeight="16.5"/>
  <cols>
    <col min="1" max="2" width="9" style="1" customWidth="1"/>
    <col min="3" max="3" width="11.625" style="1" customWidth="1"/>
    <col min="4" max="5" width="9" style="1" customWidth="1"/>
    <col min="6" max="6" width="12.875" style="1" customWidth="1"/>
    <col min="7" max="7" width="9" style="1" customWidth="1"/>
    <col min="8" max="10" width="9.25" style="1" customWidth="1"/>
    <col min="11" max="12" width="9" style="1" customWidth="1"/>
    <col min="13" max="13" width="9.25" style="1" customWidth="1"/>
    <col min="14" max="14" width="10.375" style="1" customWidth="1"/>
    <col min="15" max="16384" width="9" style="1" customWidth="1"/>
  </cols>
  <sheetData>
    <row r="2" spans="2:14">
      <c r="C2" s="1" t="s">
        <v>570</v>
      </c>
      <c r="F2" s="1" t="s">
        <v>571</v>
      </c>
      <c r="H2" s="4" t="s">
        <v>397</v>
      </c>
      <c r="I2" s="4" t="s">
        <v>398</v>
      </c>
      <c r="J2" s="4" t="s">
        <v>399</v>
      </c>
      <c r="K2" s="4" t="s">
        <v>400</v>
      </c>
      <c r="L2" s="4" t="s">
        <v>401</v>
      </c>
      <c r="M2" s="4" t="s">
        <v>402</v>
      </c>
      <c r="N2" s="4" t="s">
        <v>403</v>
      </c>
    </row>
    <row r="3" spans="2:14">
      <c r="B3" s="3" t="s">
        <v>414</v>
      </c>
      <c r="C3" s="3" t="s">
        <v>8</v>
      </c>
      <c r="D3" s="3" t="s">
        <v>12</v>
      </c>
      <c r="E3" s="3" t="s">
        <v>286</v>
      </c>
      <c r="F3" s="3" t="s">
        <v>12</v>
      </c>
      <c r="G3" s="3" t="s">
        <v>286</v>
      </c>
      <c r="H3" s="23" t="s">
        <v>8</v>
      </c>
      <c r="I3" s="23" t="s">
        <v>8</v>
      </c>
      <c r="J3" s="23" t="s">
        <v>8</v>
      </c>
      <c r="K3" s="23" t="s">
        <v>8</v>
      </c>
      <c r="L3" s="23" t="s">
        <v>8</v>
      </c>
      <c r="M3" s="23" t="s">
        <v>8</v>
      </c>
      <c r="N3" s="23" t="s">
        <v>8</v>
      </c>
    </row>
    <row r="4" spans="2:14">
      <c r="B4" s="4">
        <v>1</v>
      </c>
      <c r="C4" s="1">
        <f>怪物标准模型!AY12</f>
        <v>8772</v>
      </c>
      <c r="D4" s="1">
        <f>怪物标准模型!AM12</f>
        <v>25</v>
      </c>
      <c r="E4" s="1">
        <f>怪物标准模型!AN12</f>
        <v>56</v>
      </c>
      <c r="F4" s="37">
        <f>怪物标准模型!AP12</f>
        <v>25</v>
      </c>
      <c r="G4" s="38">
        <f t="shared" ref="G4:G67" si="0">E4</f>
        <v>56</v>
      </c>
      <c r="H4" s="1">
        <f>怪物标准模型!AR12</f>
        <v>79</v>
      </c>
      <c r="I4" s="1">
        <f>怪物标准模型!AS12</f>
        <v>237</v>
      </c>
      <c r="J4" s="1">
        <f>怪物标准模型!AT12</f>
        <v>143</v>
      </c>
      <c r="K4" s="1">
        <f>怪物标准模型!AU12</f>
        <v>40</v>
      </c>
      <c r="L4" s="1">
        <f>怪物标准模型!AV12</f>
        <v>12</v>
      </c>
      <c r="M4" s="1">
        <f>怪物标准模型!AW12</f>
        <v>316</v>
      </c>
      <c r="N4" s="1">
        <f>怪物标准模型!AX12</f>
        <v>711</v>
      </c>
    </row>
    <row r="5" spans="2:14">
      <c r="B5" s="4">
        <v>2</v>
      </c>
      <c r="C5" s="1">
        <f>怪物标准模型!AY13</f>
        <v>17828</v>
      </c>
      <c r="D5" s="1">
        <f>怪物标准模型!AM13</f>
        <v>51</v>
      </c>
      <c r="E5" s="1">
        <f>怪物标准模型!AN13</f>
        <v>112</v>
      </c>
      <c r="F5" s="37">
        <f>怪物标准模型!AP13</f>
        <v>51</v>
      </c>
      <c r="G5" s="38">
        <f t="shared" si="0"/>
        <v>112</v>
      </c>
      <c r="H5" s="1">
        <f>怪物标准模型!AR13</f>
        <v>163</v>
      </c>
      <c r="I5" s="1">
        <f>怪物标准模型!AS13</f>
        <v>489</v>
      </c>
      <c r="J5" s="1">
        <f>怪物标准模型!AT13</f>
        <v>294</v>
      </c>
      <c r="K5" s="1">
        <f>怪物标准模型!AU13</f>
        <v>82</v>
      </c>
      <c r="L5" s="1">
        <f>怪物标准模型!AV13</f>
        <v>25</v>
      </c>
      <c r="M5" s="1">
        <f>怪物标准模型!AW13</f>
        <v>652</v>
      </c>
      <c r="N5" s="1">
        <f>怪物标准模型!AX13</f>
        <v>1467</v>
      </c>
    </row>
    <row r="6" spans="2:14">
      <c r="B6" s="4">
        <v>3</v>
      </c>
      <c r="C6" s="1">
        <f>怪物标准模型!AY14</f>
        <v>27022</v>
      </c>
      <c r="D6" s="1">
        <f>怪物标准模型!AM14</f>
        <v>77</v>
      </c>
      <c r="E6" s="1">
        <f>怪物标准模型!AN14</f>
        <v>168</v>
      </c>
      <c r="F6" s="37">
        <f>怪物标准模型!AP14</f>
        <v>77</v>
      </c>
      <c r="G6" s="38">
        <f t="shared" si="0"/>
        <v>168</v>
      </c>
      <c r="H6" s="1">
        <f>怪物标准模型!AR14</f>
        <v>251</v>
      </c>
      <c r="I6" s="1">
        <f>怪物标准模型!AS14</f>
        <v>753</v>
      </c>
      <c r="J6" s="1">
        <f>怪物标准模型!AT14</f>
        <v>452</v>
      </c>
      <c r="K6" s="1">
        <f>怪物标准模型!AU14</f>
        <v>126</v>
      </c>
      <c r="L6" s="1">
        <f>怪物标准模型!AV14</f>
        <v>38</v>
      </c>
      <c r="M6" s="1">
        <f>怪物标准模型!AW14</f>
        <v>1004</v>
      </c>
      <c r="N6" s="1">
        <f>怪物标准模型!AX14</f>
        <v>2259</v>
      </c>
    </row>
    <row r="7" spans="2:14">
      <c r="B7" s="4">
        <v>4</v>
      </c>
      <c r="C7" s="1">
        <f>怪物标准模型!AY15</f>
        <v>36343</v>
      </c>
      <c r="D7" s="1">
        <f>怪物标准模型!AM15</f>
        <v>104</v>
      </c>
      <c r="E7" s="1">
        <f>怪物标准模型!AN15</f>
        <v>225</v>
      </c>
      <c r="F7" s="37">
        <f>怪物标准模型!AP15</f>
        <v>104</v>
      </c>
      <c r="G7" s="38">
        <f t="shared" si="0"/>
        <v>225</v>
      </c>
      <c r="H7" s="1">
        <f>怪物标准模型!AR15</f>
        <v>344</v>
      </c>
      <c r="I7" s="1">
        <f>怪物标准模型!AS15</f>
        <v>1032</v>
      </c>
      <c r="J7" s="1">
        <f>怪物标准模型!AT15</f>
        <v>620</v>
      </c>
      <c r="K7" s="1">
        <f>怪物标准模型!AU15</f>
        <v>172</v>
      </c>
      <c r="L7" s="1">
        <f>怪物标准模型!AV15</f>
        <v>52</v>
      </c>
      <c r="M7" s="1">
        <f>怪物标准模型!AW15</f>
        <v>1376</v>
      </c>
      <c r="N7" s="1">
        <f>怪物标准模型!AX15</f>
        <v>3096</v>
      </c>
    </row>
    <row r="8" spans="2:14">
      <c r="B8" s="4">
        <v>5</v>
      </c>
      <c r="C8" s="1">
        <f>怪物标准模型!AY16</f>
        <v>45899</v>
      </c>
      <c r="D8" s="1">
        <f>怪物标准模型!AM16</f>
        <v>131</v>
      </c>
      <c r="E8" s="1">
        <f>怪物标准模型!AN16</f>
        <v>282</v>
      </c>
      <c r="F8" s="37">
        <f>怪物标准模型!AP16</f>
        <v>131</v>
      </c>
      <c r="G8" s="38">
        <f t="shared" si="0"/>
        <v>282</v>
      </c>
      <c r="H8" s="1">
        <f>怪物标准模型!AR16</f>
        <v>442</v>
      </c>
      <c r="I8" s="1">
        <f>怪物标准模型!AS16</f>
        <v>1326</v>
      </c>
      <c r="J8" s="1">
        <f>怪物标准模型!AT16</f>
        <v>796</v>
      </c>
      <c r="K8" s="1">
        <f>怪物标准模型!AU16</f>
        <v>221</v>
      </c>
      <c r="L8" s="1">
        <f>怪物标准模型!AV16</f>
        <v>67</v>
      </c>
      <c r="M8" s="1">
        <f>怪物标准模型!AW16</f>
        <v>1768</v>
      </c>
      <c r="N8" s="1">
        <f>怪物标准模型!AX16</f>
        <v>3978</v>
      </c>
    </row>
    <row r="9" spans="2:14">
      <c r="B9" s="4">
        <v>6</v>
      </c>
      <c r="C9" s="1">
        <f>怪物标准模型!AY17</f>
        <v>55675</v>
      </c>
      <c r="D9" s="1">
        <f>怪物标准模型!AM17</f>
        <v>159</v>
      </c>
      <c r="E9" s="1">
        <f>怪物标准模型!AN17</f>
        <v>339</v>
      </c>
      <c r="F9" s="37">
        <f>怪物标准模型!AP17</f>
        <v>159</v>
      </c>
      <c r="G9" s="38">
        <f t="shared" si="0"/>
        <v>339</v>
      </c>
      <c r="H9" s="1">
        <f>怪物标准模型!AR17</f>
        <v>544</v>
      </c>
      <c r="I9" s="1">
        <f>怪物标准模型!AS17</f>
        <v>1632</v>
      </c>
      <c r="J9" s="1">
        <f>怪物标准模型!AT17</f>
        <v>980</v>
      </c>
      <c r="K9" s="1">
        <f>怪物标准模型!AU17</f>
        <v>272</v>
      </c>
      <c r="L9" s="1">
        <f>怪物标准模型!AV17</f>
        <v>82</v>
      </c>
      <c r="M9" s="1">
        <f>怪物标准模型!AW17</f>
        <v>2176</v>
      </c>
      <c r="N9" s="1">
        <f>怪物标准模型!AX17</f>
        <v>4896</v>
      </c>
    </row>
    <row r="10" spans="2:14">
      <c r="B10" s="4">
        <v>7</v>
      </c>
      <c r="C10" s="1">
        <f>怪物标准模型!AY18</f>
        <v>65547</v>
      </c>
      <c r="D10" s="1">
        <f>怪物标准模型!AM18</f>
        <v>187</v>
      </c>
      <c r="E10" s="1">
        <f>怪物标准模型!AN18</f>
        <v>396</v>
      </c>
      <c r="F10" s="37">
        <f>怪物标准模型!AP18</f>
        <v>187</v>
      </c>
      <c r="G10" s="38">
        <f t="shared" si="0"/>
        <v>396</v>
      </c>
      <c r="H10" s="1">
        <f>怪物标准模型!AR18</f>
        <v>650</v>
      </c>
      <c r="I10" s="1">
        <f>怪物标准模型!AS18</f>
        <v>1950</v>
      </c>
      <c r="J10" s="1">
        <f>怪物标准模型!AT18</f>
        <v>1170</v>
      </c>
      <c r="K10" s="1">
        <f>怪物标准模型!AU18</f>
        <v>325</v>
      </c>
      <c r="L10" s="1">
        <f>怪物标准模型!AV18</f>
        <v>98</v>
      </c>
      <c r="M10" s="1">
        <f>怪物标准模型!AW18</f>
        <v>2600</v>
      </c>
      <c r="N10" s="1">
        <f>怪物标准模型!AX18</f>
        <v>5850</v>
      </c>
    </row>
    <row r="11" spans="2:14">
      <c r="B11" s="4">
        <v>8</v>
      </c>
      <c r="C11" s="1">
        <f>怪物标准模型!AY19</f>
        <v>75730</v>
      </c>
      <c r="D11" s="1">
        <f>怪物标准模型!AM19</f>
        <v>215</v>
      </c>
      <c r="E11" s="1">
        <f>怪物标准模型!AN19</f>
        <v>454</v>
      </c>
      <c r="F11" s="37">
        <f>怪物标准模型!AP19</f>
        <v>215</v>
      </c>
      <c r="G11" s="38">
        <f t="shared" si="0"/>
        <v>454</v>
      </c>
      <c r="H11" s="1">
        <f>怪物标准模型!AR19</f>
        <v>761</v>
      </c>
      <c r="I11" s="1">
        <f>怪物标准模型!AS19</f>
        <v>2283</v>
      </c>
      <c r="J11" s="1">
        <f>怪物标准模型!AT19</f>
        <v>1370</v>
      </c>
      <c r="K11" s="1">
        <f>怪物标准模型!AU19</f>
        <v>381</v>
      </c>
      <c r="L11" s="1">
        <f>怪物标准模型!AV19</f>
        <v>115</v>
      </c>
      <c r="M11" s="1">
        <f>怪物标准模型!AW19</f>
        <v>3044</v>
      </c>
      <c r="N11" s="1">
        <f>怪物标准模型!AX19</f>
        <v>6849</v>
      </c>
    </row>
    <row r="12" spans="2:14">
      <c r="B12" s="4">
        <v>9</v>
      </c>
      <c r="C12" s="1">
        <f>怪物标准模型!AY20</f>
        <v>85996</v>
      </c>
      <c r="D12" s="1">
        <f>怪物标准模型!AM20</f>
        <v>245</v>
      </c>
      <c r="E12" s="1">
        <f>怪物标准模型!AN20</f>
        <v>512</v>
      </c>
      <c r="F12" s="37">
        <f>怪物标准模型!AP20</f>
        <v>245</v>
      </c>
      <c r="G12" s="38">
        <f t="shared" si="0"/>
        <v>512</v>
      </c>
      <c r="H12" s="1">
        <f>怪物标准模型!AR20</f>
        <v>876</v>
      </c>
      <c r="I12" s="1">
        <f>怪物标准模型!AS20</f>
        <v>2628</v>
      </c>
      <c r="J12" s="1">
        <f>怪物标准模型!AT20</f>
        <v>1577</v>
      </c>
      <c r="K12" s="1">
        <f>怪物标准模型!AU20</f>
        <v>438</v>
      </c>
      <c r="L12" s="1">
        <f>怪物标准模型!AV20</f>
        <v>132</v>
      </c>
      <c r="M12" s="1">
        <f>怪物标准模型!AW20</f>
        <v>3504</v>
      </c>
      <c r="N12" s="1">
        <f>怪物标准模型!AX20</f>
        <v>7884</v>
      </c>
    </row>
    <row r="13" spans="2:14">
      <c r="B13" s="4">
        <v>10</v>
      </c>
      <c r="C13" s="1">
        <f>怪物标准模型!AY21</f>
        <v>96450</v>
      </c>
      <c r="D13" s="1">
        <f>怪物标准模型!AM21</f>
        <v>274</v>
      </c>
      <c r="E13" s="1">
        <f>怪物标准模型!AN21</f>
        <v>570</v>
      </c>
      <c r="F13" s="37">
        <f>怪物标准模型!AP21</f>
        <v>274</v>
      </c>
      <c r="G13" s="38">
        <f t="shared" si="0"/>
        <v>570</v>
      </c>
      <c r="H13" s="1">
        <f>怪物标准模型!AR21</f>
        <v>996</v>
      </c>
      <c r="I13" s="1">
        <f>怪物标准模型!AS21</f>
        <v>2988</v>
      </c>
      <c r="J13" s="1">
        <f>怪物标准模型!AT21</f>
        <v>1793</v>
      </c>
      <c r="K13" s="1">
        <f>怪物标准模型!AU21</f>
        <v>498</v>
      </c>
      <c r="L13" s="1">
        <f>怪物标准模型!AV21</f>
        <v>150</v>
      </c>
      <c r="M13" s="1">
        <f>怪物标准模型!AW21</f>
        <v>3984</v>
      </c>
      <c r="N13" s="1">
        <f>怪物标准模型!AX21</f>
        <v>8964</v>
      </c>
    </row>
    <row r="14" spans="2:14">
      <c r="B14" s="4">
        <v>11</v>
      </c>
      <c r="C14" s="1">
        <f>怪物标准模型!AY22</f>
        <v>107088</v>
      </c>
      <c r="D14" s="1">
        <f>怪物标准模型!AM22</f>
        <v>305</v>
      </c>
      <c r="E14" s="1">
        <f>怪物标准模型!AN22</f>
        <v>628</v>
      </c>
      <c r="F14" s="37">
        <f>怪物标准模型!AP22</f>
        <v>305</v>
      </c>
      <c r="G14" s="38">
        <f t="shared" si="0"/>
        <v>628</v>
      </c>
      <c r="H14" s="1">
        <f>怪物标准模型!AR22</f>
        <v>1120</v>
      </c>
      <c r="I14" s="1">
        <f>怪物标准模型!AS22</f>
        <v>3360</v>
      </c>
      <c r="J14" s="1">
        <f>怪物标准模型!AT22</f>
        <v>2016</v>
      </c>
      <c r="K14" s="1">
        <f>怪物标准模型!AU22</f>
        <v>560</v>
      </c>
      <c r="L14" s="1">
        <f>怪物标准模型!AV22</f>
        <v>168</v>
      </c>
      <c r="M14" s="1">
        <f>怪物标准模型!AW22</f>
        <v>4480</v>
      </c>
      <c r="N14" s="1">
        <f>怪物标准模型!AX22</f>
        <v>10080</v>
      </c>
    </row>
    <row r="15" spans="2:14">
      <c r="B15" s="4">
        <v>12</v>
      </c>
      <c r="C15" s="1">
        <f>怪物标准模型!AY23</f>
        <v>118005</v>
      </c>
      <c r="D15" s="1">
        <f>怪物标准模型!AM23</f>
        <v>336</v>
      </c>
      <c r="E15" s="1">
        <f>怪物标准模型!AN23</f>
        <v>686</v>
      </c>
      <c r="F15" s="37">
        <f>怪物标准模型!AP23</f>
        <v>336</v>
      </c>
      <c r="G15" s="38">
        <f t="shared" si="0"/>
        <v>686</v>
      </c>
      <c r="H15" s="1">
        <f>怪物标准模型!AR23</f>
        <v>1248</v>
      </c>
      <c r="I15" s="1">
        <f>怪物标准模型!AS23</f>
        <v>3744</v>
      </c>
      <c r="J15" s="1">
        <f>怪物标准模型!AT23</f>
        <v>2247</v>
      </c>
      <c r="K15" s="1">
        <f>怪物标准模型!AU23</f>
        <v>624</v>
      </c>
      <c r="L15" s="1">
        <f>怪物标准模型!AV23</f>
        <v>188</v>
      </c>
      <c r="M15" s="1">
        <f>怪物标准模型!AW23</f>
        <v>4992</v>
      </c>
      <c r="N15" s="1">
        <f>怪物标准模型!AX23</f>
        <v>11232</v>
      </c>
    </row>
    <row r="16" spans="2:14">
      <c r="B16" s="4">
        <v>13</v>
      </c>
      <c r="C16" s="1">
        <f>怪物标准模型!AY24</f>
        <v>129000</v>
      </c>
      <c r="D16" s="1">
        <f>怪物标准模型!AM24</f>
        <v>367</v>
      </c>
      <c r="E16" s="1">
        <f>怪物标准模型!AN24</f>
        <v>745</v>
      </c>
      <c r="F16" s="37">
        <f>怪物标准模型!AP24</f>
        <v>367</v>
      </c>
      <c r="G16" s="38">
        <f t="shared" si="0"/>
        <v>745</v>
      </c>
      <c r="H16" s="1">
        <f>怪物标准模型!AR24</f>
        <v>1381</v>
      </c>
      <c r="I16" s="1">
        <f>怪物标准模型!AS24</f>
        <v>4143</v>
      </c>
      <c r="J16" s="1">
        <f>怪物标准模型!AT24</f>
        <v>2486</v>
      </c>
      <c r="K16" s="1">
        <f>怪物标准模型!AU24</f>
        <v>691</v>
      </c>
      <c r="L16" s="1">
        <f>怪物标准模型!AV24</f>
        <v>208</v>
      </c>
      <c r="M16" s="1">
        <f>怪物标准模型!AW24</f>
        <v>5524</v>
      </c>
      <c r="N16" s="1">
        <f>怪物标准模型!AX24</f>
        <v>12429</v>
      </c>
    </row>
    <row r="17" spans="2:14">
      <c r="B17" s="4">
        <v>14</v>
      </c>
      <c r="C17" s="1">
        <f>怪物标准模型!AY25</f>
        <v>140268</v>
      </c>
      <c r="D17" s="1">
        <f>怪物标准模型!AM25</f>
        <v>399</v>
      </c>
      <c r="E17" s="1">
        <f>怪物标准模型!AN25</f>
        <v>804</v>
      </c>
      <c r="F17" s="37">
        <f>怪物标准模型!AP25</f>
        <v>399</v>
      </c>
      <c r="G17" s="38">
        <f t="shared" si="0"/>
        <v>804</v>
      </c>
      <c r="H17" s="1">
        <f>怪物标准模型!AR25</f>
        <v>1518</v>
      </c>
      <c r="I17" s="1">
        <f>怪物标准模型!AS25</f>
        <v>4554</v>
      </c>
      <c r="J17" s="1">
        <f>怪物标准模型!AT25</f>
        <v>2733</v>
      </c>
      <c r="K17" s="1">
        <f>怪物标准模型!AU25</f>
        <v>759</v>
      </c>
      <c r="L17" s="1">
        <f>怪物标准模型!AV25</f>
        <v>228</v>
      </c>
      <c r="M17" s="1">
        <f>怪物标准模型!AW25</f>
        <v>6072</v>
      </c>
      <c r="N17" s="1">
        <f>怪物标准模型!AX25</f>
        <v>13662</v>
      </c>
    </row>
    <row r="18" spans="2:14">
      <c r="B18" s="4">
        <v>15</v>
      </c>
      <c r="C18" s="1">
        <f>怪物标准模型!AY26</f>
        <v>151712</v>
      </c>
      <c r="D18" s="1">
        <f>怪物标准模型!AM26</f>
        <v>431</v>
      </c>
      <c r="E18" s="1">
        <f>怪物标准模型!AN26</f>
        <v>863</v>
      </c>
      <c r="F18" s="37">
        <f>怪物标准模型!AP26</f>
        <v>431</v>
      </c>
      <c r="G18" s="38">
        <f t="shared" si="0"/>
        <v>863</v>
      </c>
      <c r="H18" s="1">
        <f>怪物标准模型!AR26</f>
        <v>1659</v>
      </c>
      <c r="I18" s="1">
        <f>怪物标准模型!AS26</f>
        <v>4977</v>
      </c>
      <c r="J18" s="1">
        <f>怪物标准模型!AT26</f>
        <v>2987</v>
      </c>
      <c r="K18" s="1">
        <f>怪物标准模型!AU26</f>
        <v>830</v>
      </c>
      <c r="L18" s="1">
        <f>怪物标准模型!AV26</f>
        <v>249</v>
      </c>
      <c r="M18" s="1">
        <f>怪物标准模型!AW26</f>
        <v>6636</v>
      </c>
      <c r="N18" s="1">
        <f>怪物标准模型!AX26</f>
        <v>14931</v>
      </c>
    </row>
    <row r="19" spans="2:14">
      <c r="B19" s="4">
        <v>16</v>
      </c>
      <c r="C19" s="1">
        <f>怪物标准模型!AY27</f>
        <v>163426</v>
      </c>
      <c r="D19" s="1">
        <f>怪物标准模型!AM27</f>
        <v>464</v>
      </c>
      <c r="E19" s="1">
        <f>怪物标准模型!AN27</f>
        <v>922</v>
      </c>
      <c r="F19" s="37">
        <f>怪物标准模型!AP27</f>
        <v>464</v>
      </c>
      <c r="G19" s="38">
        <f t="shared" si="0"/>
        <v>922</v>
      </c>
      <c r="H19" s="1">
        <f>怪物标准模型!AR27</f>
        <v>1804</v>
      </c>
      <c r="I19" s="1">
        <f>怪物标准模型!AS27</f>
        <v>5412</v>
      </c>
      <c r="J19" s="1">
        <f>怪物标准模型!AT27</f>
        <v>3248</v>
      </c>
      <c r="K19" s="1">
        <f>怪物标准模型!AU27</f>
        <v>902</v>
      </c>
      <c r="L19" s="1">
        <f>怪物标准模型!AV27</f>
        <v>271</v>
      </c>
      <c r="M19" s="1">
        <f>怪物标准模型!AW27</f>
        <v>7216</v>
      </c>
      <c r="N19" s="1">
        <f>怪物标准模型!AX27</f>
        <v>16236</v>
      </c>
    </row>
    <row r="20" spans="2:14">
      <c r="B20" s="4">
        <v>17</v>
      </c>
      <c r="C20" s="1">
        <f>怪物标准模型!AY28</f>
        <v>175315</v>
      </c>
      <c r="D20" s="1">
        <f>怪物标准模型!AM28</f>
        <v>498</v>
      </c>
      <c r="E20" s="1">
        <f>怪物标准模型!AN28</f>
        <v>982</v>
      </c>
      <c r="F20" s="37">
        <f>怪物标准模型!AP28</f>
        <v>498</v>
      </c>
      <c r="G20" s="38">
        <f t="shared" si="0"/>
        <v>982</v>
      </c>
      <c r="H20" s="1">
        <f>怪物标准模型!AR28</f>
        <v>1954</v>
      </c>
      <c r="I20" s="1">
        <f>怪物标准模型!AS28</f>
        <v>5862</v>
      </c>
      <c r="J20" s="1">
        <f>怪物标准模型!AT28</f>
        <v>3518</v>
      </c>
      <c r="K20" s="1">
        <f>怪物标准模型!AU28</f>
        <v>977</v>
      </c>
      <c r="L20" s="1">
        <f>怪物标准模型!AV28</f>
        <v>294</v>
      </c>
      <c r="M20" s="1">
        <f>怪物标准模型!AW28</f>
        <v>7816</v>
      </c>
      <c r="N20" s="1">
        <f>怪物标准模型!AX28</f>
        <v>17586</v>
      </c>
    </row>
    <row r="21" spans="2:14">
      <c r="B21" s="4">
        <v>18</v>
      </c>
      <c r="C21" s="1">
        <f>怪物标准模型!AY29</f>
        <v>187385</v>
      </c>
      <c r="D21" s="1">
        <f>怪物标准模型!AM29</f>
        <v>532</v>
      </c>
      <c r="E21" s="1">
        <f>怪物标准模型!AN29</f>
        <v>1041</v>
      </c>
      <c r="F21" s="37">
        <f>怪物标准模型!AP29</f>
        <v>532</v>
      </c>
      <c r="G21" s="38">
        <f t="shared" si="0"/>
        <v>1041</v>
      </c>
      <c r="H21" s="1">
        <f>怪物标准模型!AR29</f>
        <v>2107</v>
      </c>
      <c r="I21" s="1">
        <f>怪物标准模型!AS29</f>
        <v>6321</v>
      </c>
      <c r="J21" s="1">
        <f>怪物标准模型!AT29</f>
        <v>3793</v>
      </c>
      <c r="K21" s="1">
        <f>怪物标准模型!AU29</f>
        <v>1054</v>
      </c>
      <c r="L21" s="1">
        <f>怪物标准模型!AV29</f>
        <v>317</v>
      </c>
      <c r="M21" s="1">
        <f>怪物标准模型!AW29</f>
        <v>8428</v>
      </c>
      <c r="N21" s="1">
        <f>怪物标准模型!AX29</f>
        <v>18963</v>
      </c>
    </row>
    <row r="22" spans="2:14">
      <c r="B22" s="4">
        <v>19</v>
      </c>
      <c r="C22" s="1">
        <f>怪物标准模型!AY30</f>
        <v>199727</v>
      </c>
      <c r="D22" s="1">
        <f>怪物标准模型!AM30</f>
        <v>566</v>
      </c>
      <c r="E22" s="1">
        <f>怪物标准模型!AN30</f>
        <v>1102</v>
      </c>
      <c r="F22" s="37">
        <f>怪物标准模型!AP30</f>
        <v>566</v>
      </c>
      <c r="G22" s="38">
        <f t="shared" si="0"/>
        <v>1102</v>
      </c>
      <c r="H22" s="1">
        <f>怪物标准模型!AR30</f>
        <v>2265</v>
      </c>
      <c r="I22" s="1">
        <f>怪物标准模型!AS30</f>
        <v>6795</v>
      </c>
      <c r="J22" s="1">
        <f>怪物标准模型!AT30</f>
        <v>4077</v>
      </c>
      <c r="K22" s="1">
        <f>怪物标准模型!AU30</f>
        <v>1133</v>
      </c>
      <c r="L22" s="1">
        <f>怪物标准模型!AV30</f>
        <v>340</v>
      </c>
      <c r="M22" s="1">
        <f>怪物标准模型!AW30</f>
        <v>9060</v>
      </c>
      <c r="N22" s="1">
        <f>怪物标准模型!AX30</f>
        <v>20385</v>
      </c>
    </row>
    <row r="23" spans="2:14">
      <c r="B23" s="4">
        <v>20</v>
      </c>
      <c r="C23" s="1">
        <f>怪物标准模型!AY31</f>
        <v>212340</v>
      </c>
      <c r="D23" s="1">
        <f>怪物标准模型!AM31</f>
        <v>602</v>
      </c>
      <c r="E23" s="1">
        <f>怪物标准模型!AN31</f>
        <v>1162</v>
      </c>
      <c r="F23" s="37">
        <f>怪物标准模型!AP31</f>
        <v>602</v>
      </c>
      <c r="G23" s="38">
        <f t="shared" si="0"/>
        <v>1162</v>
      </c>
      <c r="H23" s="1">
        <f>怪物标准模型!AR31</f>
        <v>2427</v>
      </c>
      <c r="I23" s="1">
        <f>怪物标准模型!AS31</f>
        <v>7281</v>
      </c>
      <c r="J23" s="1">
        <f>怪物标准模型!AT31</f>
        <v>4369</v>
      </c>
      <c r="K23" s="1">
        <f>怪物标准模型!AU31</f>
        <v>1214</v>
      </c>
      <c r="L23" s="1">
        <f>怪物标准模型!AV31</f>
        <v>365</v>
      </c>
      <c r="M23" s="1">
        <f>怪物标准模型!AW31</f>
        <v>9708</v>
      </c>
      <c r="N23" s="1">
        <f>怪物标准模型!AX31</f>
        <v>21843</v>
      </c>
    </row>
    <row r="24" spans="2:14">
      <c r="B24" s="4">
        <v>21</v>
      </c>
      <c r="C24" s="1">
        <f>怪物标准模型!AY32</f>
        <v>225227</v>
      </c>
      <c r="D24" s="1">
        <f>怪物标准模型!AM32</f>
        <v>637</v>
      </c>
      <c r="E24" s="1">
        <f>怪物标准模型!AN32</f>
        <v>1222</v>
      </c>
      <c r="F24" s="37">
        <f>怪物标准模型!AP32</f>
        <v>637</v>
      </c>
      <c r="G24" s="38">
        <f t="shared" si="0"/>
        <v>1222</v>
      </c>
      <c r="H24" s="1">
        <f>怪物标准模型!AR32</f>
        <v>2594</v>
      </c>
      <c r="I24" s="1">
        <f>怪物标准模型!AS32</f>
        <v>7782</v>
      </c>
      <c r="J24" s="1">
        <f>怪物标准模型!AT32</f>
        <v>4670</v>
      </c>
      <c r="K24" s="1">
        <f>怪物标准模型!AU32</f>
        <v>1297</v>
      </c>
      <c r="L24" s="1">
        <f>怪物标准模型!AV32</f>
        <v>390</v>
      </c>
      <c r="M24" s="1">
        <f>怪物标准模型!AW32</f>
        <v>10376</v>
      </c>
      <c r="N24" s="1">
        <f>怪物标准模型!AX32</f>
        <v>23346</v>
      </c>
    </row>
    <row r="25" spans="2:14">
      <c r="B25" s="4">
        <v>22</v>
      </c>
      <c r="C25" s="1">
        <f>怪物标准模型!AY33</f>
        <v>238389</v>
      </c>
      <c r="D25" s="1">
        <f>怪物标准模型!AM33</f>
        <v>674</v>
      </c>
      <c r="E25" s="1">
        <f>怪物标准模型!AN33</f>
        <v>1283</v>
      </c>
      <c r="F25" s="37">
        <f>怪物标准模型!AP33</f>
        <v>674</v>
      </c>
      <c r="G25" s="38">
        <f t="shared" si="0"/>
        <v>1283</v>
      </c>
      <c r="H25" s="1">
        <f>怪物标准模型!AR33</f>
        <v>2764</v>
      </c>
      <c r="I25" s="1">
        <f>怪物标准模型!AS33</f>
        <v>8292</v>
      </c>
      <c r="J25" s="1">
        <f>怪物标准模型!AT33</f>
        <v>4976</v>
      </c>
      <c r="K25" s="1">
        <f>怪物标准模型!AU33</f>
        <v>1382</v>
      </c>
      <c r="L25" s="1">
        <f>怪物标准模型!AV33</f>
        <v>415</v>
      </c>
      <c r="M25" s="1">
        <f>怪物标准模型!AW33</f>
        <v>11056</v>
      </c>
      <c r="N25" s="1">
        <f>怪物标准模型!AX33</f>
        <v>24876</v>
      </c>
    </row>
    <row r="26" spans="2:14">
      <c r="B26" s="4">
        <v>23</v>
      </c>
      <c r="C26" s="1">
        <f>怪物标准模型!AY34</f>
        <v>251746</v>
      </c>
      <c r="D26" s="1">
        <f>怪物标准模型!AM34</f>
        <v>711</v>
      </c>
      <c r="E26" s="1">
        <f>怪物标准模型!AN34</f>
        <v>1344</v>
      </c>
      <c r="F26" s="37">
        <f>怪物标准模型!AP34</f>
        <v>711</v>
      </c>
      <c r="G26" s="38">
        <f t="shared" si="0"/>
        <v>1344</v>
      </c>
      <c r="H26" s="1">
        <f>怪物标准模型!AR34</f>
        <v>2939</v>
      </c>
      <c r="I26" s="1">
        <f>怪物标准模型!AS34</f>
        <v>8817</v>
      </c>
      <c r="J26" s="1">
        <f>怪物标准模型!AT34</f>
        <v>5291</v>
      </c>
      <c r="K26" s="1">
        <f>怪物标准模型!AU34</f>
        <v>1470</v>
      </c>
      <c r="L26" s="1">
        <f>怪物标准模型!AV34</f>
        <v>441</v>
      </c>
      <c r="M26" s="1">
        <f>怪物标准模型!AW34</f>
        <v>11756</v>
      </c>
      <c r="N26" s="1">
        <f>怪物标准模型!AX34</f>
        <v>26451</v>
      </c>
    </row>
    <row r="27" spans="2:14">
      <c r="B27" s="4">
        <v>24</v>
      </c>
      <c r="C27" s="1">
        <f>怪物标准模型!AY35</f>
        <v>265468</v>
      </c>
      <c r="D27" s="1">
        <f>怪物标准模型!AM35</f>
        <v>748</v>
      </c>
      <c r="E27" s="1">
        <f>怪物标准模型!AN35</f>
        <v>1405</v>
      </c>
      <c r="F27" s="37">
        <f>怪物标准模型!AP35</f>
        <v>748</v>
      </c>
      <c r="G27" s="38">
        <f t="shared" si="0"/>
        <v>1405</v>
      </c>
      <c r="H27" s="1">
        <f>怪物标准模型!AR35</f>
        <v>3117</v>
      </c>
      <c r="I27" s="1">
        <f>怪物标准模型!AS35</f>
        <v>9351</v>
      </c>
      <c r="J27" s="1">
        <f>怪物标准模型!AT35</f>
        <v>5611</v>
      </c>
      <c r="K27" s="1">
        <f>怪物标准模型!AU35</f>
        <v>1559</v>
      </c>
      <c r="L27" s="1">
        <f>怪物标准模型!AV35</f>
        <v>468</v>
      </c>
      <c r="M27" s="1">
        <f>怪物标准模型!AW35</f>
        <v>12468</v>
      </c>
      <c r="N27" s="1">
        <f>怪物标准模型!AX35</f>
        <v>28053</v>
      </c>
    </row>
    <row r="28" spans="2:14">
      <c r="B28" s="4">
        <v>25</v>
      </c>
      <c r="C28" s="1">
        <f>怪物标准模型!AY36</f>
        <v>279473</v>
      </c>
      <c r="D28" s="1">
        <f>怪物标准模型!AM36</f>
        <v>786</v>
      </c>
      <c r="E28" s="1">
        <f>怪物标准模型!AN36</f>
        <v>1466</v>
      </c>
      <c r="F28" s="37">
        <f>怪物标准模型!AP36</f>
        <v>786</v>
      </c>
      <c r="G28" s="38">
        <f t="shared" si="0"/>
        <v>1466</v>
      </c>
      <c r="H28" s="1">
        <f>怪物标准模型!AR36</f>
        <v>3300</v>
      </c>
      <c r="I28" s="1">
        <f>怪物标准模型!AS36</f>
        <v>9900</v>
      </c>
      <c r="J28" s="1">
        <f>怪物标准模型!AT36</f>
        <v>5940</v>
      </c>
      <c r="K28" s="1">
        <f>怪物标准模型!AU36</f>
        <v>1650</v>
      </c>
      <c r="L28" s="1">
        <f>怪物标准模型!AV36</f>
        <v>495</v>
      </c>
      <c r="M28" s="1">
        <f>怪物标准模型!AW36</f>
        <v>13200</v>
      </c>
      <c r="N28" s="1">
        <f>怪物标准模型!AX36</f>
        <v>29700</v>
      </c>
    </row>
    <row r="29" spans="2:14">
      <c r="B29" s="4">
        <v>26</v>
      </c>
      <c r="C29" s="1">
        <f>怪物标准模型!AY37</f>
        <v>293767</v>
      </c>
      <c r="D29" s="1">
        <f>怪物标准模型!AM37</f>
        <v>825</v>
      </c>
      <c r="E29" s="1">
        <f>怪物标准模型!AN37</f>
        <v>1528</v>
      </c>
      <c r="F29" s="37">
        <f>怪物标准模型!AP37</f>
        <v>825</v>
      </c>
      <c r="G29" s="38">
        <f t="shared" si="0"/>
        <v>1528</v>
      </c>
      <c r="H29" s="1">
        <f>怪物标准模型!AR37</f>
        <v>3488</v>
      </c>
      <c r="I29" s="1">
        <f>怪物标准模型!AS37</f>
        <v>10464</v>
      </c>
      <c r="J29" s="1">
        <f>怪物标准模型!AT37</f>
        <v>6279</v>
      </c>
      <c r="K29" s="1">
        <f>怪物标准模型!AU37</f>
        <v>1744</v>
      </c>
      <c r="L29" s="1">
        <f>怪物标准模型!AV37</f>
        <v>524</v>
      </c>
      <c r="M29" s="1">
        <f>怪物标准模型!AW37</f>
        <v>13952</v>
      </c>
      <c r="N29" s="1">
        <f>怪物标准模型!AX37</f>
        <v>31392</v>
      </c>
    </row>
    <row r="30" spans="2:14">
      <c r="B30" s="4">
        <v>27</v>
      </c>
      <c r="C30" s="1">
        <f>怪物标准模型!AY38</f>
        <v>308353</v>
      </c>
      <c r="D30" s="1">
        <f>怪物标准模型!AM38</f>
        <v>864</v>
      </c>
      <c r="E30" s="1">
        <f>怪物标准模型!AN38</f>
        <v>1590</v>
      </c>
      <c r="F30" s="37">
        <f>怪物标准模型!AP38</f>
        <v>864</v>
      </c>
      <c r="G30" s="38">
        <f t="shared" si="0"/>
        <v>1590</v>
      </c>
      <c r="H30" s="1">
        <f>怪物标准模型!AR38</f>
        <v>3679</v>
      </c>
      <c r="I30" s="1">
        <f>怪物标准模型!AS38</f>
        <v>11037</v>
      </c>
      <c r="J30" s="1">
        <f>怪物标准模型!AT38</f>
        <v>6623</v>
      </c>
      <c r="K30" s="1">
        <f>怪物标准模型!AU38</f>
        <v>1840</v>
      </c>
      <c r="L30" s="1">
        <f>怪物标准模型!AV38</f>
        <v>552</v>
      </c>
      <c r="M30" s="1">
        <f>怪物标准模型!AW38</f>
        <v>14716</v>
      </c>
      <c r="N30" s="1">
        <f>怪物标准模型!AX38</f>
        <v>33111</v>
      </c>
    </row>
    <row r="31" spans="2:14">
      <c r="B31" s="4">
        <v>28</v>
      </c>
      <c r="C31" s="1">
        <f>怪物标准模型!AY39</f>
        <v>323236</v>
      </c>
      <c r="D31" s="1">
        <f>怪物标准模型!AM39</f>
        <v>904</v>
      </c>
      <c r="E31" s="1">
        <f>怪物标准模型!AN39</f>
        <v>1652</v>
      </c>
      <c r="F31" s="37">
        <f>怪物标准模型!AP39</f>
        <v>904</v>
      </c>
      <c r="G31" s="38">
        <f t="shared" si="0"/>
        <v>1652</v>
      </c>
      <c r="H31" s="1">
        <f>怪物标准模型!AR39</f>
        <v>3875</v>
      </c>
      <c r="I31" s="1">
        <f>怪物标准模型!AS39</f>
        <v>11625</v>
      </c>
      <c r="J31" s="1">
        <f>怪物标准模型!AT39</f>
        <v>6975</v>
      </c>
      <c r="K31" s="1">
        <f>怪物标准模型!AU39</f>
        <v>1938</v>
      </c>
      <c r="L31" s="1">
        <f>怪物标准模型!AV39</f>
        <v>582</v>
      </c>
      <c r="M31" s="1">
        <f>怪物标准模型!AW39</f>
        <v>15500</v>
      </c>
      <c r="N31" s="1">
        <f>怪物标准模型!AX39</f>
        <v>34875</v>
      </c>
    </row>
    <row r="32" spans="2:14">
      <c r="B32" s="4">
        <v>29</v>
      </c>
      <c r="C32" s="1">
        <f>怪物标准模型!AY40</f>
        <v>338497</v>
      </c>
      <c r="D32" s="1">
        <f>怪物标准模型!AM40</f>
        <v>944</v>
      </c>
      <c r="E32" s="1">
        <f>怪物标准模型!AN40</f>
        <v>1714</v>
      </c>
      <c r="F32" s="37">
        <f>怪物标准模型!AP40</f>
        <v>944</v>
      </c>
      <c r="G32" s="38">
        <f t="shared" si="0"/>
        <v>1714</v>
      </c>
      <c r="H32" s="1">
        <f>怪物标准模型!AR40</f>
        <v>4074</v>
      </c>
      <c r="I32" s="1">
        <f>怪物标准模型!AS40</f>
        <v>12222</v>
      </c>
      <c r="J32" s="1">
        <f>怪物标准模型!AT40</f>
        <v>7334</v>
      </c>
      <c r="K32" s="1">
        <f>怪物标准模型!AU40</f>
        <v>2037</v>
      </c>
      <c r="L32" s="1">
        <f>怪物标准模型!AV40</f>
        <v>612</v>
      </c>
      <c r="M32" s="1">
        <f>怪物标准模型!AW40</f>
        <v>16296</v>
      </c>
      <c r="N32" s="1">
        <f>怪物标准模型!AX40</f>
        <v>36666</v>
      </c>
    </row>
    <row r="33" spans="2:14">
      <c r="B33" s="4">
        <v>30</v>
      </c>
      <c r="C33" s="1">
        <f>怪物标准模型!AY41</f>
        <v>354137</v>
      </c>
      <c r="D33" s="1">
        <f>怪物标准模型!AM41</f>
        <v>985</v>
      </c>
      <c r="E33" s="1">
        <f>怪物标准模型!AN41</f>
        <v>1777</v>
      </c>
      <c r="F33" s="37">
        <f>怪物标准模型!AP41</f>
        <v>985</v>
      </c>
      <c r="G33" s="38">
        <f t="shared" si="0"/>
        <v>1777</v>
      </c>
      <c r="H33" s="1">
        <f>怪物标准模型!AR41</f>
        <v>4279</v>
      </c>
      <c r="I33" s="1">
        <f>怪物标准模型!AS41</f>
        <v>12837</v>
      </c>
      <c r="J33" s="1">
        <f>怪物标准模型!AT41</f>
        <v>7703</v>
      </c>
      <c r="K33" s="1">
        <f>怪物标准模型!AU41</f>
        <v>2140</v>
      </c>
      <c r="L33" s="1">
        <f>怪物标准模型!AV41</f>
        <v>642</v>
      </c>
      <c r="M33" s="1">
        <f>怪物标准模型!AW41</f>
        <v>17116</v>
      </c>
      <c r="N33" s="1">
        <f>怪物标准模型!AX41</f>
        <v>38511</v>
      </c>
    </row>
    <row r="34" spans="2:14">
      <c r="B34" s="4">
        <v>31</v>
      </c>
      <c r="C34" s="1">
        <f>怪物标准模型!AY42</f>
        <v>370085</v>
      </c>
      <c r="D34" s="1">
        <f>怪物标准模型!AM42</f>
        <v>1027</v>
      </c>
      <c r="E34" s="1">
        <f>怪物标准模型!AN42</f>
        <v>1840</v>
      </c>
      <c r="F34" s="37">
        <f>怪物标准模型!AP42</f>
        <v>1027</v>
      </c>
      <c r="G34" s="38">
        <f t="shared" si="0"/>
        <v>1840</v>
      </c>
      <c r="H34" s="1">
        <f>怪物标准模型!AR42</f>
        <v>4487</v>
      </c>
      <c r="I34" s="1">
        <f>怪物标准模型!AS42</f>
        <v>13461</v>
      </c>
      <c r="J34" s="1">
        <f>怪物标准模型!AT42</f>
        <v>8077</v>
      </c>
      <c r="K34" s="1">
        <f>怪物标准模型!AU42</f>
        <v>2244</v>
      </c>
      <c r="L34" s="1">
        <f>怪物标准模型!AV42</f>
        <v>674</v>
      </c>
      <c r="M34" s="1">
        <f>怪物标准模型!AW42</f>
        <v>17948</v>
      </c>
      <c r="N34" s="1">
        <f>怪物标准模型!AX42</f>
        <v>40383</v>
      </c>
    </row>
    <row r="35" spans="2:14">
      <c r="B35" s="4">
        <v>32</v>
      </c>
      <c r="C35" s="1">
        <f>怪物标准模型!AY43</f>
        <v>386421</v>
      </c>
      <c r="D35" s="1">
        <f>怪物标准模型!AM43</f>
        <v>1069</v>
      </c>
      <c r="E35" s="1">
        <f>怪物标准模型!AN43</f>
        <v>1903</v>
      </c>
      <c r="F35" s="37">
        <f>怪物标准模型!AP43</f>
        <v>1069</v>
      </c>
      <c r="G35" s="38">
        <f t="shared" si="0"/>
        <v>1903</v>
      </c>
      <c r="H35" s="1">
        <f>怪物标准模型!AR43</f>
        <v>4699</v>
      </c>
      <c r="I35" s="1">
        <f>怪物标准模型!AS43</f>
        <v>14097</v>
      </c>
      <c r="J35" s="1">
        <f>怪物标准模型!AT43</f>
        <v>8459</v>
      </c>
      <c r="K35" s="1">
        <f>怪物标准模型!AU43</f>
        <v>2350</v>
      </c>
      <c r="L35" s="1">
        <f>怪物标准模型!AV43</f>
        <v>705</v>
      </c>
      <c r="M35" s="1">
        <f>怪物标准模型!AW43</f>
        <v>18796</v>
      </c>
      <c r="N35" s="1">
        <f>怪物标准模型!AX43</f>
        <v>42291</v>
      </c>
    </row>
    <row r="36" spans="2:14">
      <c r="B36" s="4">
        <v>33</v>
      </c>
      <c r="C36" s="1">
        <f>怪物标准模型!AY44</f>
        <v>403073</v>
      </c>
      <c r="D36" s="1">
        <f>怪物标准模型!AM44</f>
        <v>1112</v>
      </c>
      <c r="E36" s="1">
        <f>怪物标准模型!AN44</f>
        <v>1966</v>
      </c>
      <c r="F36" s="37">
        <f>怪物标准模型!AP44</f>
        <v>1112</v>
      </c>
      <c r="G36" s="38">
        <f t="shared" si="0"/>
        <v>1966</v>
      </c>
      <c r="H36" s="1">
        <f>怪物标准模型!AR44</f>
        <v>4916</v>
      </c>
      <c r="I36" s="1">
        <f>怪物标准模型!AS44</f>
        <v>14748</v>
      </c>
      <c r="J36" s="1">
        <f>怪物标准模型!AT44</f>
        <v>8849</v>
      </c>
      <c r="K36" s="1">
        <f>怪物标准模型!AU44</f>
        <v>2458</v>
      </c>
      <c r="L36" s="1">
        <f>怪物标准模型!AV44</f>
        <v>738</v>
      </c>
      <c r="M36" s="1">
        <f>怪物标准模型!AW44</f>
        <v>19664</v>
      </c>
      <c r="N36" s="1">
        <f>怪物标准模型!AX44</f>
        <v>44244</v>
      </c>
    </row>
    <row r="37" spans="2:14">
      <c r="B37" s="4">
        <v>34</v>
      </c>
      <c r="C37" s="1">
        <f>怪物标准模型!AY45</f>
        <v>420121</v>
      </c>
      <c r="D37" s="1">
        <f>怪物标准模型!AM45</f>
        <v>1156</v>
      </c>
      <c r="E37" s="1">
        <f>怪物标准模型!AN45</f>
        <v>2029</v>
      </c>
      <c r="F37" s="37">
        <f>怪物标准模型!AP45</f>
        <v>1156</v>
      </c>
      <c r="G37" s="38">
        <f t="shared" si="0"/>
        <v>2029</v>
      </c>
      <c r="H37" s="1">
        <f>怪物标准模型!AR45</f>
        <v>5137</v>
      </c>
      <c r="I37" s="1">
        <f>怪物标准模型!AS45</f>
        <v>15411</v>
      </c>
      <c r="J37" s="1">
        <f>怪物标准模型!AT45</f>
        <v>9247</v>
      </c>
      <c r="K37" s="1">
        <f>怪物标准模型!AU45</f>
        <v>2569</v>
      </c>
      <c r="L37" s="1">
        <f>怪物标准模型!AV45</f>
        <v>771</v>
      </c>
      <c r="M37" s="1">
        <f>怪物标准模型!AW45</f>
        <v>20548</v>
      </c>
      <c r="N37" s="1">
        <f>怪物标准模型!AX45</f>
        <v>46233</v>
      </c>
    </row>
    <row r="38" spans="2:14">
      <c r="B38" s="4">
        <v>35</v>
      </c>
      <c r="C38" s="1">
        <f>怪物标准模型!AY46</f>
        <v>437638</v>
      </c>
      <c r="D38" s="1">
        <f>怪物标准模型!AM46</f>
        <v>1200</v>
      </c>
      <c r="E38" s="1">
        <f>怪物标准模型!AN46</f>
        <v>2093</v>
      </c>
      <c r="F38" s="37">
        <f>怪物标准模型!AP46</f>
        <v>1200</v>
      </c>
      <c r="G38" s="38">
        <f t="shared" si="0"/>
        <v>2093</v>
      </c>
      <c r="H38" s="1">
        <f>怪物标准模型!AR46</f>
        <v>5362</v>
      </c>
      <c r="I38" s="1">
        <f>怪物标准模型!AS46</f>
        <v>16086</v>
      </c>
      <c r="J38" s="1">
        <f>怪物标准模型!AT46</f>
        <v>9652</v>
      </c>
      <c r="K38" s="1">
        <f>怪物标准模型!AU46</f>
        <v>2681</v>
      </c>
      <c r="L38" s="1">
        <f>怪物标准模型!AV46</f>
        <v>805</v>
      </c>
      <c r="M38" s="1">
        <f>怪物标准模型!AW46</f>
        <v>21448</v>
      </c>
      <c r="N38" s="1">
        <f>怪物标准模型!AX46</f>
        <v>48258</v>
      </c>
    </row>
    <row r="39" spans="2:14">
      <c r="B39" s="4">
        <v>36</v>
      </c>
      <c r="C39" s="1">
        <f>怪物标准模型!AY47</f>
        <v>455484</v>
      </c>
      <c r="D39" s="1">
        <f>怪物标准模型!AM47</f>
        <v>1245</v>
      </c>
      <c r="E39" s="1">
        <f>怪物标准模型!AN47</f>
        <v>2157</v>
      </c>
      <c r="F39" s="37">
        <f>怪物标准模型!AP47</f>
        <v>1245</v>
      </c>
      <c r="G39" s="38">
        <f t="shared" si="0"/>
        <v>2157</v>
      </c>
      <c r="H39" s="1">
        <f>怪物标准模型!AR47</f>
        <v>5592</v>
      </c>
      <c r="I39" s="1">
        <f>怪物标准模型!AS47</f>
        <v>16776</v>
      </c>
      <c r="J39" s="1">
        <f>怪物标准模型!AT47</f>
        <v>10066</v>
      </c>
      <c r="K39" s="1">
        <f>怪物标准模型!AU47</f>
        <v>2796</v>
      </c>
      <c r="L39" s="1">
        <f>怪物标准模型!AV47</f>
        <v>839</v>
      </c>
      <c r="M39" s="1">
        <f>怪物标准模型!AW47</f>
        <v>22368</v>
      </c>
      <c r="N39" s="1">
        <f>怪物标准模型!AX47</f>
        <v>50328</v>
      </c>
    </row>
    <row r="40" spans="2:14">
      <c r="B40" s="4">
        <v>37</v>
      </c>
      <c r="C40" s="1">
        <f>怪物标准模型!AY48</f>
        <v>473736</v>
      </c>
      <c r="D40" s="1">
        <f>怪物标准模型!AM48</f>
        <v>1290</v>
      </c>
      <c r="E40" s="1">
        <f>怪物标准模型!AN48</f>
        <v>2221</v>
      </c>
      <c r="F40" s="37">
        <f>怪物标准模型!AP48</f>
        <v>1290</v>
      </c>
      <c r="G40" s="38">
        <f t="shared" si="0"/>
        <v>2221</v>
      </c>
      <c r="H40" s="1">
        <f>怪物标准模型!AR48</f>
        <v>5826</v>
      </c>
      <c r="I40" s="1">
        <f>怪物标准模型!AS48</f>
        <v>17478</v>
      </c>
      <c r="J40" s="1">
        <f>怪物标准模型!AT48</f>
        <v>10487</v>
      </c>
      <c r="K40" s="1">
        <f>怪物标准模型!AU48</f>
        <v>2913</v>
      </c>
      <c r="L40" s="1">
        <f>怪物标准模型!AV48</f>
        <v>874</v>
      </c>
      <c r="M40" s="1">
        <f>怪物标准模型!AW48</f>
        <v>23304</v>
      </c>
      <c r="N40" s="1">
        <f>怪物标准模型!AX48</f>
        <v>52434</v>
      </c>
    </row>
    <row r="41" spans="2:14">
      <c r="B41" s="4">
        <v>38</v>
      </c>
      <c r="C41" s="1">
        <f>怪物标准模型!AY49</f>
        <v>492467</v>
      </c>
      <c r="D41" s="1">
        <f>怪物标准模型!AM49</f>
        <v>1336</v>
      </c>
      <c r="E41" s="1">
        <f>怪物标准模型!AN49</f>
        <v>2285</v>
      </c>
      <c r="F41" s="37">
        <f>怪物标准模型!AP49</f>
        <v>1336</v>
      </c>
      <c r="G41" s="38">
        <f t="shared" si="0"/>
        <v>2285</v>
      </c>
      <c r="H41" s="1">
        <f>怪物标准模型!AR49</f>
        <v>6064</v>
      </c>
      <c r="I41" s="1">
        <f>怪物标准模型!AS49</f>
        <v>18192</v>
      </c>
      <c r="J41" s="1">
        <f>怪物标准模型!AT49</f>
        <v>10916</v>
      </c>
      <c r="K41" s="1">
        <f>怪物标准模型!AU49</f>
        <v>3032</v>
      </c>
      <c r="L41" s="1">
        <f>怪物标准模型!AV49</f>
        <v>910</v>
      </c>
      <c r="M41" s="1">
        <f>怪物标准模型!AW49</f>
        <v>24256</v>
      </c>
      <c r="N41" s="1">
        <f>怪物标准模型!AX49</f>
        <v>54576</v>
      </c>
    </row>
    <row r="42" spans="2:14">
      <c r="B42" s="4">
        <v>39</v>
      </c>
      <c r="C42" s="1">
        <f>怪物标准模型!AY50</f>
        <v>511540</v>
      </c>
      <c r="D42" s="1">
        <f>怪物标准模型!AM50</f>
        <v>1383</v>
      </c>
      <c r="E42" s="1">
        <f>怪物标准模型!AN50</f>
        <v>2350</v>
      </c>
      <c r="F42" s="37">
        <f>怪物标准模型!AP50</f>
        <v>1383</v>
      </c>
      <c r="G42" s="38">
        <f t="shared" si="0"/>
        <v>2350</v>
      </c>
      <c r="H42" s="1">
        <f>怪物标准模型!AR50</f>
        <v>6307</v>
      </c>
      <c r="I42" s="1">
        <f>怪物标准模型!AS50</f>
        <v>18921</v>
      </c>
      <c r="J42" s="1">
        <f>怪物标准模型!AT50</f>
        <v>11353</v>
      </c>
      <c r="K42" s="1">
        <f>怪物标准模型!AU50</f>
        <v>3154</v>
      </c>
      <c r="L42" s="1">
        <f>怪物标准模型!AV50</f>
        <v>947</v>
      </c>
      <c r="M42" s="1">
        <f>怪物标准模型!AW50</f>
        <v>25228</v>
      </c>
      <c r="N42" s="1">
        <f>怪物标准模型!AX50</f>
        <v>56763</v>
      </c>
    </row>
    <row r="43" spans="2:14">
      <c r="B43" s="4">
        <v>40</v>
      </c>
      <c r="C43" s="1">
        <f>怪物标准模型!AY51</f>
        <v>531099</v>
      </c>
      <c r="D43" s="1">
        <f>怪物标准模型!AM51</f>
        <v>1430</v>
      </c>
      <c r="E43" s="1">
        <f>怪物标准模型!AN51</f>
        <v>2415</v>
      </c>
      <c r="F43" s="37">
        <f>怪物标准模型!AP51</f>
        <v>1430</v>
      </c>
      <c r="G43" s="38">
        <f t="shared" si="0"/>
        <v>2415</v>
      </c>
      <c r="H43" s="1">
        <f>怪物标准模型!AR51</f>
        <v>6554</v>
      </c>
      <c r="I43" s="1">
        <f>怪物标准模型!AS51</f>
        <v>19662</v>
      </c>
      <c r="J43" s="1">
        <f>怪物标准模型!AT51</f>
        <v>11798</v>
      </c>
      <c r="K43" s="1">
        <f>怪物标准模型!AU51</f>
        <v>3277</v>
      </c>
      <c r="L43" s="1">
        <f>怪物标准模型!AV51</f>
        <v>984</v>
      </c>
      <c r="M43" s="1">
        <f>怪物标准模型!AW51</f>
        <v>26216</v>
      </c>
      <c r="N43" s="1">
        <f>怪物标准模型!AX51</f>
        <v>58986</v>
      </c>
    </row>
    <row r="44" spans="2:14">
      <c r="B44" s="4">
        <v>41</v>
      </c>
      <c r="C44" s="1">
        <f>怪物标准模型!AY52</f>
        <v>551145</v>
      </c>
      <c r="D44" s="1">
        <f>怪物标准模型!AM52</f>
        <v>1478</v>
      </c>
      <c r="E44" s="1">
        <f>怪物标准模型!AN52</f>
        <v>2480</v>
      </c>
      <c r="F44" s="37">
        <f>怪物标准模型!AP52</f>
        <v>1478</v>
      </c>
      <c r="G44" s="38">
        <f t="shared" si="0"/>
        <v>2480</v>
      </c>
      <c r="H44" s="1">
        <f>怪物标准模型!AR52</f>
        <v>6806</v>
      </c>
      <c r="I44" s="1">
        <f>怪物标准模型!AS52</f>
        <v>20418</v>
      </c>
      <c r="J44" s="1">
        <f>怪物标准模型!AT52</f>
        <v>12251</v>
      </c>
      <c r="K44" s="1">
        <f>怪物标准模型!AU52</f>
        <v>3403</v>
      </c>
      <c r="L44" s="1">
        <f>怪物标准模型!AV52</f>
        <v>1021</v>
      </c>
      <c r="M44" s="1">
        <f>怪物标准模型!AW52</f>
        <v>27224</v>
      </c>
      <c r="N44" s="1">
        <f>怪物标准模型!AX52</f>
        <v>61254</v>
      </c>
    </row>
    <row r="45" spans="2:14">
      <c r="B45" s="4">
        <v>42</v>
      </c>
      <c r="C45" s="1">
        <f>怪物标准模型!AY53</f>
        <v>571614</v>
      </c>
      <c r="D45" s="1">
        <f>怪物标准模型!AM53</f>
        <v>1526</v>
      </c>
      <c r="E45" s="1">
        <f>怪物标准模型!AN53</f>
        <v>2545</v>
      </c>
      <c r="F45" s="37">
        <f>怪物标准模型!AP53</f>
        <v>1526</v>
      </c>
      <c r="G45" s="38">
        <f t="shared" si="0"/>
        <v>2545</v>
      </c>
      <c r="H45" s="1">
        <f>怪物标准模型!AR53</f>
        <v>7062</v>
      </c>
      <c r="I45" s="1">
        <f>怪物标准模型!AS53</f>
        <v>21186</v>
      </c>
      <c r="J45" s="1">
        <f>怪物标准模型!AT53</f>
        <v>12712</v>
      </c>
      <c r="K45" s="1">
        <f>怪物标准模型!AU53</f>
        <v>3531</v>
      </c>
      <c r="L45" s="1">
        <f>怪物标准模型!AV53</f>
        <v>1060</v>
      </c>
      <c r="M45" s="1">
        <f>怪物标准模型!AW53</f>
        <v>28248</v>
      </c>
      <c r="N45" s="1">
        <f>怪物标准模型!AX53</f>
        <v>63558</v>
      </c>
    </row>
    <row r="46" spans="2:14">
      <c r="B46" s="4">
        <v>43</v>
      </c>
      <c r="C46" s="1">
        <f>怪物标准模型!AY54</f>
        <v>592508</v>
      </c>
      <c r="D46" s="1">
        <f>怪物标准模型!AM54</f>
        <v>1575</v>
      </c>
      <c r="E46" s="1">
        <f>怪物标准模型!AN54</f>
        <v>2610</v>
      </c>
      <c r="F46" s="37">
        <f>怪物标准模型!AP54</f>
        <v>1575</v>
      </c>
      <c r="G46" s="38">
        <f t="shared" si="0"/>
        <v>2610</v>
      </c>
      <c r="H46" s="1">
        <f>怪物标准模型!AR54</f>
        <v>7322</v>
      </c>
      <c r="I46" s="1">
        <f>怪物标准模型!AS54</f>
        <v>21966</v>
      </c>
      <c r="J46" s="1">
        <f>怪物标准模型!AT54</f>
        <v>13180</v>
      </c>
      <c r="K46" s="1">
        <f>怪物标准模型!AU54</f>
        <v>3661</v>
      </c>
      <c r="L46" s="1">
        <f>怪物标准模型!AV54</f>
        <v>1099</v>
      </c>
      <c r="M46" s="1">
        <f>怪物标准模型!AW54</f>
        <v>29288</v>
      </c>
      <c r="N46" s="1">
        <f>怪物标准模型!AX54</f>
        <v>65898</v>
      </c>
    </row>
    <row r="47" spans="2:14">
      <c r="B47" s="4">
        <v>44</v>
      </c>
      <c r="C47" s="1">
        <f>怪物标准模型!AY55</f>
        <v>613900</v>
      </c>
      <c r="D47" s="1">
        <f>怪物标准模型!AM55</f>
        <v>1625</v>
      </c>
      <c r="E47" s="1">
        <f>怪物标准模型!AN55</f>
        <v>2676</v>
      </c>
      <c r="F47" s="37">
        <f>怪物标准模型!AP55</f>
        <v>1625</v>
      </c>
      <c r="G47" s="38">
        <f t="shared" si="0"/>
        <v>2676</v>
      </c>
      <c r="H47" s="1">
        <f>怪物标准模型!AR55</f>
        <v>7588</v>
      </c>
      <c r="I47" s="1">
        <f>怪物标准模型!AS55</f>
        <v>22764</v>
      </c>
      <c r="J47" s="1">
        <f>怪物标准模型!AT55</f>
        <v>13659</v>
      </c>
      <c r="K47" s="1">
        <f>怪物标准模型!AU55</f>
        <v>3794</v>
      </c>
      <c r="L47" s="1">
        <f>怪物标准模型!AV55</f>
        <v>1139</v>
      </c>
      <c r="M47" s="1">
        <f>怪物标准模型!AW55</f>
        <v>30352</v>
      </c>
      <c r="N47" s="1">
        <f>怪物标准模型!AX55</f>
        <v>68292</v>
      </c>
    </row>
    <row r="48" spans="2:14">
      <c r="B48" s="4">
        <v>45</v>
      </c>
      <c r="C48" s="1">
        <f>怪物标准模型!AY56</f>
        <v>635790</v>
      </c>
      <c r="D48" s="1">
        <f>怪物标准模型!AM56</f>
        <v>1676</v>
      </c>
      <c r="E48" s="1">
        <f>怪物标准模型!AN56</f>
        <v>2742</v>
      </c>
      <c r="F48" s="37">
        <f>怪物标准模型!AP56</f>
        <v>1676</v>
      </c>
      <c r="G48" s="38">
        <f t="shared" si="0"/>
        <v>2742</v>
      </c>
      <c r="H48" s="1">
        <f>怪物标准模型!AR56</f>
        <v>7857</v>
      </c>
      <c r="I48" s="1">
        <f>怪物标准模型!AS56</f>
        <v>23571</v>
      </c>
      <c r="J48" s="1">
        <f>怪物标准模型!AT56</f>
        <v>14143</v>
      </c>
      <c r="K48" s="1">
        <f>怪物标准模型!AU56</f>
        <v>3929</v>
      </c>
      <c r="L48" s="1">
        <f>怪物标准模型!AV56</f>
        <v>1179</v>
      </c>
      <c r="M48" s="1">
        <f>怪物标准模型!AW56</f>
        <v>31428</v>
      </c>
      <c r="N48" s="1">
        <f>怪物标准模型!AX56</f>
        <v>70713</v>
      </c>
    </row>
    <row r="49" spans="2:14">
      <c r="B49" s="4">
        <v>46</v>
      </c>
      <c r="C49" s="1">
        <f>怪物标准模型!AY57</f>
        <v>658183</v>
      </c>
      <c r="D49" s="1">
        <f>怪物标准模型!AM57</f>
        <v>1727</v>
      </c>
      <c r="E49" s="1">
        <f>怪物标准模型!AN57</f>
        <v>2808</v>
      </c>
      <c r="F49" s="37">
        <f>怪物标准模型!AP57</f>
        <v>1727</v>
      </c>
      <c r="G49" s="38">
        <f t="shared" si="0"/>
        <v>2808</v>
      </c>
      <c r="H49" s="1">
        <f>怪物标准模型!AR57</f>
        <v>8131</v>
      </c>
      <c r="I49" s="1">
        <f>怪物标准模型!AS57</f>
        <v>24393</v>
      </c>
      <c r="J49" s="1">
        <f>怪物标准模型!AT57</f>
        <v>14636</v>
      </c>
      <c r="K49" s="1">
        <f>怪物标准模型!AU57</f>
        <v>4066</v>
      </c>
      <c r="L49" s="1">
        <f>怪物标准模型!AV57</f>
        <v>1220</v>
      </c>
      <c r="M49" s="1">
        <f>怪物标准模型!AW57</f>
        <v>32524</v>
      </c>
      <c r="N49" s="1">
        <f>怪物标准模型!AX57</f>
        <v>73179</v>
      </c>
    </row>
    <row r="50" spans="2:14">
      <c r="B50" s="4">
        <v>47</v>
      </c>
      <c r="C50" s="1">
        <f>怪物标准模型!AY58</f>
        <v>681081</v>
      </c>
      <c r="D50" s="1">
        <f>怪物标准模型!AM58</f>
        <v>1779</v>
      </c>
      <c r="E50" s="1">
        <f>怪物标准模型!AN58</f>
        <v>2875</v>
      </c>
      <c r="F50" s="37">
        <f>怪物标准模型!AP58</f>
        <v>1779</v>
      </c>
      <c r="G50" s="38">
        <f t="shared" si="0"/>
        <v>2875</v>
      </c>
      <c r="H50" s="1">
        <f>怪物标准模型!AR58</f>
        <v>8410</v>
      </c>
      <c r="I50" s="1">
        <f>怪物标准模型!AS58</f>
        <v>25230</v>
      </c>
      <c r="J50" s="1">
        <f>怪物标准模型!AT58</f>
        <v>15138</v>
      </c>
      <c r="K50" s="1">
        <f>怪物标准模型!AU58</f>
        <v>4205</v>
      </c>
      <c r="L50" s="1">
        <f>怪物标准模型!AV58</f>
        <v>1262</v>
      </c>
      <c r="M50" s="1">
        <f>怪物标准模型!AW58</f>
        <v>33640</v>
      </c>
      <c r="N50" s="1">
        <f>怪物标准模型!AX58</f>
        <v>75690</v>
      </c>
    </row>
    <row r="51" spans="2:14">
      <c r="B51" s="4">
        <v>48</v>
      </c>
      <c r="C51" s="1">
        <f>怪物标准模型!AY59</f>
        <v>704486</v>
      </c>
      <c r="D51" s="1">
        <f>怪物标准模型!AM59</f>
        <v>1832</v>
      </c>
      <c r="E51" s="1">
        <f>怪物标准模型!AN59</f>
        <v>2941</v>
      </c>
      <c r="F51" s="37">
        <f>怪物标准模型!AP59</f>
        <v>1832</v>
      </c>
      <c r="G51" s="38">
        <f t="shared" si="0"/>
        <v>2941</v>
      </c>
      <c r="H51" s="1">
        <f>怪物标准模型!AR59</f>
        <v>8693</v>
      </c>
      <c r="I51" s="1">
        <f>怪物标准模型!AS59</f>
        <v>26079</v>
      </c>
      <c r="J51" s="1">
        <f>怪物标准模型!AT59</f>
        <v>15648</v>
      </c>
      <c r="K51" s="1">
        <f>怪物标准模型!AU59</f>
        <v>4347</v>
      </c>
      <c r="L51" s="1">
        <f>怪物标准模型!AV59</f>
        <v>1304</v>
      </c>
      <c r="M51" s="1">
        <f>怪物标准模型!AW59</f>
        <v>34772</v>
      </c>
      <c r="N51" s="1">
        <f>怪物标准模型!AX59</f>
        <v>78237</v>
      </c>
    </row>
    <row r="52" spans="2:14">
      <c r="B52" s="4">
        <v>49</v>
      </c>
      <c r="C52" s="1">
        <f>怪物标准模型!AY60</f>
        <v>728400</v>
      </c>
      <c r="D52" s="1">
        <f>怪物标准模型!AM60</f>
        <v>1885</v>
      </c>
      <c r="E52" s="1">
        <f>怪物标准模型!AN60</f>
        <v>3008</v>
      </c>
      <c r="F52" s="37">
        <f>怪物标准模型!AP60</f>
        <v>1885</v>
      </c>
      <c r="G52" s="38">
        <f t="shared" si="0"/>
        <v>3008</v>
      </c>
      <c r="H52" s="1">
        <f>怪物标准模型!AR60</f>
        <v>8982</v>
      </c>
      <c r="I52" s="1">
        <f>怪物标准模型!AS60</f>
        <v>26946</v>
      </c>
      <c r="J52" s="1">
        <f>怪物标准模型!AT60</f>
        <v>16168</v>
      </c>
      <c r="K52" s="1">
        <f>怪物标准模型!AU60</f>
        <v>4491</v>
      </c>
      <c r="L52" s="1">
        <f>怪物标准模型!AV60</f>
        <v>1348</v>
      </c>
      <c r="M52" s="1">
        <f>怪物标准模型!AW60</f>
        <v>35928</v>
      </c>
      <c r="N52" s="1">
        <f>怪物标准模型!AX60</f>
        <v>80838</v>
      </c>
    </row>
    <row r="53" spans="2:14">
      <c r="B53" s="4">
        <v>50</v>
      </c>
      <c r="C53" s="1">
        <f>怪物标准模型!AY61</f>
        <v>752826</v>
      </c>
      <c r="D53" s="1">
        <f>怪物标准模型!AM61</f>
        <v>1939</v>
      </c>
      <c r="E53" s="1">
        <f>怪物标准模型!AN61</f>
        <v>3075</v>
      </c>
      <c r="F53" s="37">
        <f>怪物标准模型!AP61</f>
        <v>1939</v>
      </c>
      <c r="G53" s="38">
        <f t="shared" si="0"/>
        <v>3075</v>
      </c>
      <c r="H53" s="1">
        <f>怪物标准模型!AR61</f>
        <v>9274</v>
      </c>
      <c r="I53" s="1">
        <f>怪物标准模型!AS61</f>
        <v>27822</v>
      </c>
      <c r="J53" s="1">
        <f>怪物标准模型!AT61</f>
        <v>16694</v>
      </c>
      <c r="K53" s="1">
        <f>怪物标准模型!AU61</f>
        <v>4637</v>
      </c>
      <c r="L53" s="1">
        <f>怪物标准模型!AV61</f>
        <v>1392</v>
      </c>
      <c r="M53" s="1">
        <f>怪物标准模型!AW61</f>
        <v>37096</v>
      </c>
      <c r="N53" s="1">
        <f>怪物标准模型!AX61</f>
        <v>83466</v>
      </c>
    </row>
    <row r="54" spans="2:14">
      <c r="B54" s="4">
        <v>51</v>
      </c>
      <c r="C54" s="1">
        <f>怪物标准模型!AY62</f>
        <v>777767</v>
      </c>
      <c r="D54" s="1">
        <f>怪物标准模型!AM62</f>
        <v>1993</v>
      </c>
      <c r="E54" s="1">
        <f>怪物标准模型!AN62</f>
        <v>3142</v>
      </c>
      <c r="F54" s="37">
        <f>怪物标准模型!AP62</f>
        <v>1993</v>
      </c>
      <c r="G54" s="38">
        <f t="shared" si="0"/>
        <v>3142</v>
      </c>
      <c r="H54" s="1">
        <f>怪物标准模型!AR62</f>
        <v>9572</v>
      </c>
      <c r="I54" s="1">
        <f>怪物标准模型!AS62</f>
        <v>28716</v>
      </c>
      <c r="J54" s="1">
        <f>怪物标准模型!AT62</f>
        <v>17230</v>
      </c>
      <c r="K54" s="1">
        <f>怪物标准模型!AU62</f>
        <v>4786</v>
      </c>
      <c r="L54" s="1">
        <f>怪物标准模型!AV62</f>
        <v>1436</v>
      </c>
      <c r="M54" s="1">
        <f>怪物标准模型!AW62</f>
        <v>38288</v>
      </c>
      <c r="N54" s="1">
        <f>怪物标准模型!AX62</f>
        <v>86148</v>
      </c>
    </row>
    <row r="55" spans="2:14">
      <c r="B55" s="4">
        <v>52</v>
      </c>
      <c r="C55" s="1">
        <f>怪物标准模型!AY63</f>
        <v>803290</v>
      </c>
      <c r="D55" s="1">
        <f>怪物标准模型!AM63</f>
        <v>2048</v>
      </c>
      <c r="E55" s="1">
        <f>怪物标准模型!AN63</f>
        <v>3210</v>
      </c>
      <c r="F55" s="37">
        <f>怪物标准模型!AP63</f>
        <v>2048</v>
      </c>
      <c r="G55" s="38">
        <f t="shared" si="0"/>
        <v>3210</v>
      </c>
      <c r="H55" s="1">
        <f>怪物标准模型!AR63</f>
        <v>9874</v>
      </c>
      <c r="I55" s="1">
        <f>怪物标准模型!AS63</f>
        <v>29622</v>
      </c>
      <c r="J55" s="1">
        <f>怪物标准模型!AT63</f>
        <v>17774</v>
      </c>
      <c r="K55" s="1">
        <f>怪物标准模型!AU63</f>
        <v>4937</v>
      </c>
      <c r="L55" s="1">
        <f>怪物标准模型!AV63</f>
        <v>1482</v>
      </c>
      <c r="M55" s="1">
        <f>怪物标准模型!AW63</f>
        <v>39496</v>
      </c>
      <c r="N55" s="1">
        <f>怪物标准模型!AX63</f>
        <v>88866</v>
      </c>
    </row>
    <row r="56" spans="2:14">
      <c r="B56" s="4">
        <v>53</v>
      </c>
      <c r="C56" s="1">
        <f>怪物标准模型!AY64</f>
        <v>829332</v>
      </c>
      <c r="D56" s="1">
        <f>怪物标准模型!AM64</f>
        <v>2104</v>
      </c>
      <c r="E56" s="1">
        <f>怪物标准模型!AN64</f>
        <v>3278</v>
      </c>
      <c r="F56" s="37">
        <f>怪物标准模型!AP64</f>
        <v>2104</v>
      </c>
      <c r="G56" s="38">
        <f t="shared" si="0"/>
        <v>3278</v>
      </c>
      <c r="H56" s="1">
        <f>怪物标准模型!AR64</f>
        <v>10181</v>
      </c>
      <c r="I56" s="1">
        <f>怪物标准模型!AS64</f>
        <v>30543</v>
      </c>
      <c r="J56" s="1">
        <f>怪物标准模型!AT64</f>
        <v>18326</v>
      </c>
      <c r="K56" s="1">
        <f>怪物标准模型!AU64</f>
        <v>5091</v>
      </c>
      <c r="L56" s="1">
        <f>怪物标准模型!AV64</f>
        <v>1528</v>
      </c>
      <c r="M56" s="1">
        <f>怪物标准模型!AW64</f>
        <v>40724</v>
      </c>
      <c r="N56" s="1">
        <f>怪物标准模型!AX64</f>
        <v>91629</v>
      </c>
    </row>
    <row r="57" spans="2:14">
      <c r="B57" s="4">
        <v>54</v>
      </c>
      <c r="C57" s="1">
        <f>怪物标准模型!AY65</f>
        <v>855959</v>
      </c>
      <c r="D57" s="1">
        <f>怪物标准模型!AM65</f>
        <v>2161</v>
      </c>
      <c r="E57" s="1">
        <f>怪物标准模型!AN65</f>
        <v>3346</v>
      </c>
      <c r="F57" s="37">
        <f>怪物标准模型!AP65</f>
        <v>2161</v>
      </c>
      <c r="G57" s="38">
        <f t="shared" si="0"/>
        <v>3346</v>
      </c>
      <c r="H57" s="1">
        <f>怪物标准模型!AR65</f>
        <v>10493</v>
      </c>
      <c r="I57" s="1">
        <f>怪物标准模型!AS65</f>
        <v>31479</v>
      </c>
      <c r="J57" s="1">
        <f>怪物标准模型!AT65</f>
        <v>18888</v>
      </c>
      <c r="K57" s="1">
        <f>怪物标准模型!AU65</f>
        <v>5247</v>
      </c>
      <c r="L57" s="1">
        <f>怪物标准模型!AV65</f>
        <v>1574</v>
      </c>
      <c r="M57" s="1">
        <f>怪物标准模型!AW65</f>
        <v>41972</v>
      </c>
      <c r="N57" s="1">
        <f>怪物标准模型!AX65</f>
        <v>94437</v>
      </c>
    </row>
    <row r="58" spans="2:14">
      <c r="B58" s="4">
        <v>55</v>
      </c>
      <c r="C58" s="1">
        <f>怪物标准模型!AY66</f>
        <v>883109</v>
      </c>
      <c r="D58" s="1">
        <f>怪物标准模型!AM66</f>
        <v>2219</v>
      </c>
      <c r="E58" s="1">
        <f>怪物标准模型!AN66</f>
        <v>3414</v>
      </c>
      <c r="F58" s="37">
        <f>怪物标准模型!AP66</f>
        <v>2219</v>
      </c>
      <c r="G58" s="38">
        <f t="shared" si="0"/>
        <v>3414</v>
      </c>
      <c r="H58" s="1">
        <f>怪物标准模型!AR66</f>
        <v>10810</v>
      </c>
      <c r="I58" s="1">
        <f>怪物标准模型!AS66</f>
        <v>32430</v>
      </c>
      <c r="J58" s="1">
        <f>怪物标准模型!AT66</f>
        <v>19458</v>
      </c>
      <c r="K58" s="1">
        <f>怪物标准模型!AU66</f>
        <v>5405</v>
      </c>
      <c r="L58" s="1">
        <f>怪物标准模型!AV66</f>
        <v>1622</v>
      </c>
      <c r="M58" s="1">
        <f>怪物标准模型!AW66</f>
        <v>43240</v>
      </c>
      <c r="N58" s="1">
        <f>怪物标准模型!AX66</f>
        <v>97290</v>
      </c>
    </row>
    <row r="59" spans="2:14">
      <c r="B59" s="4">
        <v>56</v>
      </c>
      <c r="C59" s="1">
        <f>怪物标准模型!AY67</f>
        <v>910849</v>
      </c>
      <c r="D59" s="1">
        <f>怪物标准模型!AM67</f>
        <v>2277</v>
      </c>
      <c r="E59" s="1">
        <f>怪物标准模型!AN67</f>
        <v>3482</v>
      </c>
      <c r="F59" s="37">
        <f>怪物标准模型!AP67</f>
        <v>2277</v>
      </c>
      <c r="G59" s="38">
        <f t="shared" si="0"/>
        <v>3482</v>
      </c>
      <c r="H59" s="1">
        <f>怪物标准模型!AR67</f>
        <v>11132</v>
      </c>
      <c r="I59" s="1">
        <f>怪物标准模型!AS67</f>
        <v>33396</v>
      </c>
      <c r="J59" s="1">
        <f>怪物标准模型!AT67</f>
        <v>20038</v>
      </c>
      <c r="K59" s="1">
        <f>怪物标准模型!AU67</f>
        <v>5566</v>
      </c>
      <c r="L59" s="1">
        <f>怪物标准模型!AV67</f>
        <v>1670</v>
      </c>
      <c r="M59" s="1">
        <f>怪物标准模型!AW67</f>
        <v>44528</v>
      </c>
      <c r="N59" s="1">
        <f>怪物标准模型!AX67</f>
        <v>100188</v>
      </c>
    </row>
    <row r="60" spans="2:14">
      <c r="B60" s="4">
        <v>57</v>
      </c>
      <c r="C60" s="1">
        <f>怪物标准模型!AY68</f>
        <v>939179</v>
      </c>
      <c r="D60" s="1">
        <f>怪物标准模型!AM68</f>
        <v>2335</v>
      </c>
      <c r="E60" s="1">
        <f>怪物标准模型!AN68</f>
        <v>3551</v>
      </c>
      <c r="F60" s="37">
        <f>怪物标准模型!AP68</f>
        <v>2335</v>
      </c>
      <c r="G60" s="38">
        <f t="shared" si="0"/>
        <v>3551</v>
      </c>
      <c r="H60" s="1">
        <f>怪物标准模型!AR68</f>
        <v>11459</v>
      </c>
      <c r="I60" s="1">
        <f>怪物标准模型!AS68</f>
        <v>34377</v>
      </c>
      <c r="J60" s="1">
        <f>怪物标准模型!AT68</f>
        <v>20627</v>
      </c>
      <c r="K60" s="1">
        <f>怪物标准模型!AU68</f>
        <v>5730</v>
      </c>
      <c r="L60" s="1">
        <f>怪物标准模型!AV68</f>
        <v>1719</v>
      </c>
      <c r="M60" s="1">
        <f>怪物标准模型!AW68</f>
        <v>45836</v>
      </c>
      <c r="N60" s="1">
        <f>怪物标准模型!AX68</f>
        <v>103131</v>
      </c>
    </row>
    <row r="61" spans="2:14">
      <c r="B61" s="4">
        <v>58</v>
      </c>
      <c r="C61" s="1">
        <f>怪物标准模型!AY69</f>
        <v>968101</v>
      </c>
      <c r="D61" s="1">
        <f>怪物标准模型!AM69</f>
        <v>2395</v>
      </c>
      <c r="E61" s="1">
        <f>怪物标准模型!AN69</f>
        <v>3620</v>
      </c>
      <c r="F61" s="37">
        <f>怪物标准模型!AP69</f>
        <v>2395</v>
      </c>
      <c r="G61" s="38">
        <f t="shared" si="0"/>
        <v>3620</v>
      </c>
      <c r="H61" s="1">
        <f>怪物标准模型!AR69</f>
        <v>11791</v>
      </c>
      <c r="I61" s="1">
        <f>怪物标准模型!AS69</f>
        <v>35373</v>
      </c>
      <c r="J61" s="1">
        <f>怪物标准模型!AT69</f>
        <v>21224</v>
      </c>
      <c r="K61" s="1">
        <f>怪物标准模型!AU69</f>
        <v>5896</v>
      </c>
      <c r="L61" s="1">
        <f>怪物标准模型!AV69</f>
        <v>1769</v>
      </c>
      <c r="M61" s="1">
        <f>怪物标准模型!AW69</f>
        <v>47164</v>
      </c>
      <c r="N61" s="1">
        <f>怪物标准模型!AX69</f>
        <v>106119</v>
      </c>
    </row>
    <row r="62" spans="2:14">
      <c r="B62" s="4">
        <v>59</v>
      </c>
      <c r="C62" s="1">
        <f>怪物标准模型!AY70</f>
        <v>997617</v>
      </c>
      <c r="D62" s="1">
        <f>怪物标准模型!AM70</f>
        <v>2455</v>
      </c>
      <c r="E62" s="1">
        <f>怪物标准模型!AN70</f>
        <v>3689</v>
      </c>
      <c r="F62" s="37">
        <f>怪物标准模型!AP70</f>
        <v>2455</v>
      </c>
      <c r="G62" s="38">
        <f t="shared" si="0"/>
        <v>3689</v>
      </c>
      <c r="H62" s="1">
        <f>怪物标准模型!AR70</f>
        <v>12128</v>
      </c>
      <c r="I62" s="1">
        <f>怪物标准模型!AS70</f>
        <v>36384</v>
      </c>
      <c r="J62" s="1">
        <f>怪物标准模型!AT70</f>
        <v>21831</v>
      </c>
      <c r="K62" s="1">
        <f>怪物标准模型!AU70</f>
        <v>6064</v>
      </c>
      <c r="L62" s="1">
        <f>怪物标准模型!AV70</f>
        <v>1820</v>
      </c>
      <c r="M62" s="1">
        <f>怪物标准模型!AW70</f>
        <v>48512</v>
      </c>
      <c r="N62" s="1">
        <f>怪物标准模型!AX70</f>
        <v>109152</v>
      </c>
    </row>
    <row r="63" spans="2:14">
      <c r="B63" s="4">
        <v>60</v>
      </c>
      <c r="C63" s="1">
        <f>怪物标准模型!AY71</f>
        <v>1027727</v>
      </c>
      <c r="D63" s="1">
        <f>怪物标准模型!AM71</f>
        <v>2516</v>
      </c>
      <c r="E63" s="1">
        <f>怪物标准模型!AN71</f>
        <v>3758</v>
      </c>
      <c r="F63" s="37">
        <f>怪物标准模型!AP71</f>
        <v>2516</v>
      </c>
      <c r="G63" s="38">
        <f t="shared" si="0"/>
        <v>3758</v>
      </c>
      <c r="H63" s="1">
        <f>怪物标准模型!AR71</f>
        <v>12470</v>
      </c>
      <c r="I63" s="1">
        <f>怪物标准模型!AS71</f>
        <v>37410</v>
      </c>
      <c r="J63" s="1">
        <f>怪物标准模型!AT71</f>
        <v>22446</v>
      </c>
      <c r="K63" s="1">
        <f>怪物标准模型!AU71</f>
        <v>6235</v>
      </c>
      <c r="L63" s="1">
        <f>怪物标准模型!AV71</f>
        <v>1871</v>
      </c>
      <c r="M63" s="1">
        <f>怪物标准模型!AW71</f>
        <v>49880</v>
      </c>
      <c r="N63" s="1">
        <f>怪物标准模型!AX71</f>
        <v>112230</v>
      </c>
    </row>
    <row r="64" spans="2:14">
      <c r="B64" s="4">
        <v>61</v>
      </c>
      <c r="C64" s="1">
        <f>怪物标准模型!AY72</f>
        <v>1058435</v>
      </c>
      <c r="D64" s="1">
        <f>怪物标准模型!AM72</f>
        <v>2578</v>
      </c>
      <c r="E64" s="1">
        <f>怪物标准模型!AN72</f>
        <v>3828</v>
      </c>
      <c r="F64" s="37">
        <f>怪物标准模型!AP72</f>
        <v>2578</v>
      </c>
      <c r="G64" s="38">
        <f t="shared" si="0"/>
        <v>3828</v>
      </c>
      <c r="H64" s="1">
        <f>怪物标准模型!AR72</f>
        <v>12817</v>
      </c>
      <c r="I64" s="1">
        <f>怪物标准模型!AS72</f>
        <v>38451</v>
      </c>
      <c r="J64" s="1">
        <f>怪物标准模型!AT72</f>
        <v>23071</v>
      </c>
      <c r="K64" s="1">
        <f>怪物标准模型!AU72</f>
        <v>6409</v>
      </c>
      <c r="L64" s="1">
        <f>怪物标准模型!AV72</f>
        <v>1923</v>
      </c>
      <c r="M64" s="1">
        <f>怪物标准模型!AW72</f>
        <v>51268</v>
      </c>
      <c r="N64" s="1">
        <f>怪物标准模型!AX72</f>
        <v>115353</v>
      </c>
    </row>
    <row r="65" spans="2:14">
      <c r="B65" s="4">
        <v>62</v>
      </c>
      <c r="C65" s="1">
        <f>怪物标准模型!AY73</f>
        <v>1089803</v>
      </c>
      <c r="D65" s="1">
        <f>怪物标准模型!AM73</f>
        <v>2640</v>
      </c>
      <c r="E65" s="1">
        <f>怪物标准模型!AN73</f>
        <v>3898</v>
      </c>
      <c r="F65" s="37">
        <f>怪物标准模型!AP73</f>
        <v>2640</v>
      </c>
      <c r="G65" s="38">
        <f t="shared" si="0"/>
        <v>3898</v>
      </c>
      <c r="H65" s="1">
        <f>怪物标准模型!AR73</f>
        <v>13169</v>
      </c>
      <c r="I65" s="1">
        <f>怪物标准模型!AS73</f>
        <v>39507</v>
      </c>
      <c r="J65" s="1">
        <f>怪物标准模型!AT73</f>
        <v>23705</v>
      </c>
      <c r="K65" s="1">
        <f>怪物标准模型!AU73</f>
        <v>6585</v>
      </c>
      <c r="L65" s="1">
        <f>怪物标准模型!AV73</f>
        <v>1976</v>
      </c>
      <c r="M65" s="1">
        <f>怪物标准模型!AW73</f>
        <v>52676</v>
      </c>
      <c r="N65" s="1">
        <f>怪物标准模型!AX73</f>
        <v>118521</v>
      </c>
    </row>
    <row r="66" spans="2:14">
      <c r="B66" s="4">
        <v>63</v>
      </c>
      <c r="C66" s="1">
        <f>怪物标准模型!AY74</f>
        <v>1121769</v>
      </c>
      <c r="D66" s="1">
        <f>怪物标准模型!AM74</f>
        <v>2703</v>
      </c>
      <c r="E66" s="1">
        <f>怪物标准模型!AN74</f>
        <v>3968</v>
      </c>
      <c r="F66" s="37">
        <f>怪物标准模型!AP74</f>
        <v>2703</v>
      </c>
      <c r="G66" s="38">
        <f t="shared" si="0"/>
        <v>3968</v>
      </c>
      <c r="H66" s="1">
        <f>怪物标准模型!AR74</f>
        <v>13527</v>
      </c>
      <c r="I66" s="1">
        <f>怪物标准模型!AS74</f>
        <v>40581</v>
      </c>
      <c r="J66" s="1">
        <f>怪物标准模型!AT74</f>
        <v>24349</v>
      </c>
      <c r="K66" s="1">
        <f>怪物标准模型!AU74</f>
        <v>6764</v>
      </c>
      <c r="L66" s="1">
        <f>怪物标准模型!AV74</f>
        <v>2030</v>
      </c>
      <c r="M66" s="1">
        <f>怪物标准模型!AW74</f>
        <v>54108</v>
      </c>
      <c r="N66" s="1">
        <f>怪物标准模型!AX74</f>
        <v>121743</v>
      </c>
    </row>
    <row r="67" spans="2:14">
      <c r="B67" s="4">
        <v>64</v>
      </c>
      <c r="C67" s="1">
        <f>怪物标准模型!AY75</f>
        <v>1154336</v>
      </c>
      <c r="D67" s="1">
        <f>怪物标准模型!AM75</f>
        <v>2767</v>
      </c>
      <c r="E67" s="1">
        <f>怪物标准模型!AN75</f>
        <v>4038</v>
      </c>
      <c r="F67" s="37">
        <f>怪物标准模型!AP75</f>
        <v>2767</v>
      </c>
      <c r="G67" s="38">
        <f t="shared" si="0"/>
        <v>4038</v>
      </c>
      <c r="H67" s="1">
        <f>怪物标准模型!AR75</f>
        <v>13889</v>
      </c>
      <c r="I67" s="1">
        <f>怪物标准模型!AS75</f>
        <v>41667</v>
      </c>
      <c r="J67" s="1">
        <f>怪物标准模型!AT75</f>
        <v>25001</v>
      </c>
      <c r="K67" s="1">
        <f>怪物标准模型!AU75</f>
        <v>6945</v>
      </c>
      <c r="L67" s="1">
        <f>怪物标准模型!AV75</f>
        <v>2084</v>
      </c>
      <c r="M67" s="1">
        <f>怪物标准模型!AW75</f>
        <v>55556</v>
      </c>
      <c r="N67" s="1">
        <f>怪物标准模型!AX75</f>
        <v>125001</v>
      </c>
    </row>
    <row r="68" spans="2:14">
      <c r="B68" s="4">
        <v>65</v>
      </c>
      <c r="C68" s="1">
        <f>怪物标准模型!AY76</f>
        <v>1187567</v>
      </c>
      <c r="D68" s="1">
        <f>怪物标准模型!AM76</f>
        <v>2832</v>
      </c>
      <c r="E68" s="1">
        <f>怪物标准模型!AN76</f>
        <v>4109</v>
      </c>
      <c r="F68" s="37">
        <f>怪物标准模型!AP76</f>
        <v>2832</v>
      </c>
      <c r="G68" s="38">
        <f t="shared" ref="G68:G131" si="1">E68</f>
        <v>4109</v>
      </c>
      <c r="H68" s="1">
        <f>怪物标准模型!AR76</f>
        <v>14258</v>
      </c>
      <c r="I68" s="1">
        <f>怪物标准模型!AS76</f>
        <v>42774</v>
      </c>
      <c r="J68" s="1">
        <f>怪物标准模型!AT76</f>
        <v>25665</v>
      </c>
      <c r="K68" s="1">
        <f>怪物标准模型!AU76</f>
        <v>7129</v>
      </c>
      <c r="L68" s="1">
        <f>怪物标准模型!AV76</f>
        <v>2139</v>
      </c>
      <c r="M68" s="1">
        <f>怪物标准模型!AW76</f>
        <v>57032</v>
      </c>
      <c r="N68" s="1">
        <f>怪物标准模型!AX76</f>
        <v>128322</v>
      </c>
    </row>
    <row r="69" spans="2:14">
      <c r="B69" s="4">
        <v>66</v>
      </c>
      <c r="C69" s="1">
        <f>怪物标准模型!AY77</f>
        <v>1221400</v>
      </c>
      <c r="D69" s="1">
        <f>怪物标准模型!AM77</f>
        <v>2897</v>
      </c>
      <c r="E69" s="1">
        <f>怪物标准模型!AN77</f>
        <v>4179</v>
      </c>
      <c r="F69" s="37">
        <f>怪物标准模型!AP77</f>
        <v>2897</v>
      </c>
      <c r="G69" s="38">
        <f t="shared" si="1"/>
        <v>4179</v>
      </c>
      <c r="H69" s="1">
        <f>怪物标准模型!AR77</f>
        <v>14631</v>
      </c>
      <c r="I69" s="1">
        <f>怪物标准模型!AS77</f>
        <v>43893</v>
      </c>
      <c r="J69" s="1">
        <f>怪物标准模型!AT77</f>
        <v>26336</v>
      </c>
      <c r="K69" s="1">
        <f>怪物标准模型!AU77</f>
        <v>7316</v>
      </c>
      <c r="L69" s="1">
        <f>怪物标准模型!AV77</f>
        <v>2195</v>
      </c>
      <c r="M69" s="1">
        <f>怪物标准模型!AW77</f>
        <v>58524</v>
      </c>
      <c r="N69" s="1">
        <f>怪物标准模型!AX77</f>
        <v>131679</v>
      </c>
    </row>
    <row r="70" spans="2:14">
      <c r="B70" s="4">
        <v>67</v>
      </c>
      <c r="C70" s="1">
        <f>怪物标准模型!AY78</f>
        <v>1255960</v>
      </c>
      <c r="D70" s="1">
        <f>怪物标准模型!AM78</f>
        <v>2964</v>
      </c>
      <c r="E70" s="1">
        <f>怪物标准模型!AN78</f>
        <v>4250</v>
      </c>
      <c r="F70" s="37">
        <f>怪物标准模型!AP78</f>
        <v>2964</v>
      </c>
      <c r="G70" s="38">
        <f t="shared" si="1"/>
        <v>4250</v>
      </c>
      <c r="H70" s="1">
        <f>怪物标准模型!AR78</f>
        <v>15010</v>
      </c>
      <c r="I70" s="1">
        <f>怪物标准模型!AS78</f>
        <v>45030</v>
      </c>
      <c r="J70" s="1">
        <f>怪物标准模型!AT78</f>
        <v>27018</v>
      </c>
      <c r="K70" s="1">
        <f>怪物标准模型!AU78</f>
        <v>7505</v>
      </c>
      <c r="L70" s="1">
        <f>怪物标准模型!AV78</f>
        <v>2252</v>
      </c>
      <c r="M70" s="1">
        <f>怪物标准模型!AW78</f>
        <v>60040</v>
      </c>
      <c r="N70" s="1">
        <f>怪物标准模型!AX78</f>
        <v>135090</v>
      </c>
    </row>
    <row r="71" spans="2:14">
      <c r="B71" s="4">
        <v>68</v>
      </c>
      <c r="C71" s="1">
        <f>怪物标准模型!AY79</f>
        <v>1291125</v>
      </c>
      <c r="D71" s="1">
        <f>怪物标准模型!AM79</f>
        <v>3030</v>
      </c>
      <c r="E71" s="1">
        <f>怪物标准模型!AN79</f>
        <v>4321</v>
      </c>
      <c r="F71" s="37">
        <f>怪物标准模型!AP79</f>
        <v>3030</v>
      </c>
      <c r="G71" s="38">
        <f t="shared" si="1"/>
        <v>4321</v>
      </c>
      <c r="H71" s="1">
        <f>怪物标准模型!AR79</f>
        <v>15394</v>
      </c>
      <c r="I71" s="1">
        <f>怪物标准模型!AS79</f>
        <v>46182</v>
      </c>
      <c r="J71" s="1">
        <f>怪物标准模型!AT79</f>
        <v>27710</v>
      </c>
      <c r="K71" s="1">
        <f>怪物标准模型!AU79</f>
        <v>7697</v>
      </c>
      <c r="L71" s="1">
        <f>怪物标准模型!AV79</f>
        <v>2310</v>
      </c>
      <c r="M71" s="1">
        <f>怪物标准模型!AW79</f>
        <v>61576</v>
      </c>
      <c r="N71" s="1">
        <f>怪物标准模型!AX79</f>
        <v>138546</v>
      </c>
    </row>
    <row r="72" spans="2:14">
      <c r="B72" s="4">
        <v>69</v>
      </c>
      <c r="C72" s="1">
        <f>怪物标准模型!AY80</f>
        <v>1326956</v>
      </c>
      <c r="D72" s="1">
        <f>怪物标准模型!AM80</f>
        <v>3098</v>
      </c>
      <c r="E72" s="1">
        <f>怪物标准模型!AN80</f>
        <v>4393</v>
      </c>
      <c r="F72" s="37">
        <f>怪物标准模型!AP80</f>
        <v>3098</v>
      </c>
      <c r="G72" s="38">
        <f t="shared" si="1"/>
        <v>4393</v>
      </c>
      <c r="H72" s="1">
        <f>怪物标准模型!AR80</f>
        <v>15784</v>
      </c>
      <c r="I72" s="1">
        <f>怪物标准模型!AS80</f>
        <v>47352</v>
      </c>
      <c r="J72" s="1">
        <f>怪物标准模型!AT80</f>
        <v>28412</v>
      </c>
      <c r="K72" s="1">
        <f>怪物标准模型!AU80</f>
        <v>7892</v>
      </c>
      <c r="L72" s="1">
        <f>怪物标准模型!AV80</f>
        <v>2368</v>
      </c>
      <c r="M72" s="1">
        <f>怪物标准模型!AW80</f>
        <v>63136</v>
      </c>
      <c r="N72" s="1">
        <f>怪物标准模型!AX80</f>
        <v>142056</v>
      </c>
    </row>
    <row r="73" spans="2:14">
      <c r="B73" s="4">
        <v>70</v>
      </c>
      <c r="C73" s="1">
        <f>怪物标准模型!AY81</f>
        <v>1363456</v>
      </c>
      <c r="D73" s="1">
        <f>怪物标准模型!AM81</f>
        <v>3167</v>
      </c>
      <c r="E73" s="1">
        <f>怪物标准模型!AN81</f>
        <v>4464</v>
      </c>
      <c r="F73" s="37">
        <f>怪物标准模型!AP81</f>
        <v>3167</v>
      </c>
      <c r="G73" s="38">
        <f t="shared" si="1"/>
        <v>4464</v>
      </c>
      <c r="H73" s="1">
        <f>怪物标准模型!AR81</f>
        <v>16180</v>
      </c>
      <c r="I73" s="1">
        <f>怪物标准模型!AS81</f>
        <v>48540</v>
      </c>
      <c r="J73" s="1">
        <f>怪物标准模型!AT81</f>
        <v>29124</v>
      </c>
      <c r="K73" s="1">
        <f>怪物标准模型!AU81</f>
        <v>8090</v>
      </c>
      <c r="L73" s="1">
        <f>怪物标准模型!AV81</f>
        <v>2427</v>
      </c>
      <c r="M73" s="1">
        <f>怪物标准模型!AW81</f>
        <v>64720</v>
      </c>
      <c r="N73" s="1">
        <f>怪物标准模型!AX81</f>
        <v>145620</v>
      </c>
    </row>
    <row r="74" spans="2:14">
      <c r="B74" s="4">
        <v>71</v>
      </c>
      <c r="C74" s="1">
        <f>怪物标准模型!AY82</f>
        <v>1400623</v>
      </c>
      <c r="D74" s="1">
        <f>怪物标准模型!AM82</f>
        <v>3236</v>
      </c>
      <c r="E74" s="1">
        <f>怪物标准模型!AN82</f>
        <v>4536</v>
      </c>
      <c r="F74" s="37">
        <f>怪物标准模型!AP82</f>
        <v>3236</v>
      </c>
      <c r="G74" s="38">
        <f t="shared" si="1"/>
        <v>4536</v>
      </c>
      <c r="H74" s="1">
        <f>怪物标准模型!AR82</f>
        <v>16581</v>
      </c>
      <c r="I74" s="1">
        <f>怪物标准模型!AS82</f>
        <v>49743</v>
      </c>
      <c r="J74" s="1">
        <f>怪物标准模型!AT82</f>
        <v>29846</v>
      </c>
      <c r="K74" s="1">
        <f>怪物标准模型!AU82</f>
        <v>8291</v>
      </c>
      <c r="L74" s="1">
        <f>怪物标准模型!AV82</f>
        <v>2488</v>
      </c>
      <c r="M74" s="1">
        <f>怪物标准模型!AW82</f>
        <v>66324</v>
      </c>
      <c r="N74" s="1">
        <f>怪物标准模型!AX82</f>
        <v>149229</v>
      </c>
    </row>
    <row r="75" spans="2:14">
      <c r="B75" s="4">
        <v>72</v>
      </c>
      <c r="C75" s="1">
        <f>怪物标准模型!AY83</f>
        <v>1438522</v>
      </c>
      <c r="D75" s="1">
        <f>怪物标准模型!AM83</f>
        <v>3306</v>
      </c>
      <c r="E75" s="1">
        <f>怪物标准模型!AN83</f>
        <v>4608</v>
      </c>
      <c r="F75" s="37">
        <f>怪物标准模型!AP83</f>
        <v>3306</v>
      </c>
      <c r="G75" s="38">
        <f t="shared" si="1"/>
        <v>4608</v>
      </c>
      <c r="H75" s="1">
        <f>怪物标准模型!AR83</f>
        <v>16988</v>
      </c>
      <c r="I75" s="1">
        <f>怪物标准模型!AS83</f>
        <v>50964</v>
      </c>
      <c r="J75" s="1">
        <f>怪物标准模型!AT83</f>
        <v>30579</v>
      </c>
      <c r="K75" s="1">
        <f>怪物标准模型!AU83</f>
        <v>8494</v>
      </c>
      <c r="L75" s="1">
        <f>怪物标准模型!AV83</f>
        <v>2549</v>
      </c>
      <c r="M75" s="1">
        <f>怪物标准模型!AW83</f>
        <v>67952</v>
      </c>
      <c r="N75" s="1">
        <f>怪物标准模型!AX83</f>
        <v>152892</v>
      </c>
    </row>
    <row r="76" spans="2:14">
      <c r="B76" s="4">
        <v>73</v>
      </c>
      <c r="C76" s="1">
        <f>怪物标准模型!AY84</f>
        <v>1477090</v>
      </c>
      <c r="D76" s="1">
        <f>怪物标准模型!AM84</f>
        <v>3377</v>
      </c>
      <c r="E76" s="1">
        <f>怪物标准模型!AN84</f>
        <v>4681</v>
      </c>
      <c r="F76" s="37">
        <f>怪物标准模型!AP84</f>
        <v>3377</v>
      </c>
      <c r="G76" s="38">
        <f t="shared" si="1"/>
        <v>4681</v>
      </c>
      <c r="H76" s="1">
        <f>怪物标准模型!AR84</f>
        <v>17400</v>
      </c>
      <c r="I76" s="1">
        <f>怪物标准模型!AS84</f>
        <v>52200</v>
      </c>
      <c r="J76" s="1">
        <f>怪物标准模型!AT84</f>
        <v>31320</v>
      </c>
      <c r="K76" s="1">
        <f>怪物标准模型!AU84</f>
        <v>8700</v>
      </c>
      <c r="L76" s="1">
        <f>怪物标准模型!AV84</f>
        <v>2610</v>
      </c>
      <c r="M76" s="1">
        <f>怪物标准模型!AW84</f>
        <v>69600</v>
      </c>
      <c r="N76" s="1">
        <f>怪物标准模型!AX84</f>
        <v>156600</v>
      </c>
    </row>
    <row r="77" spans="2:14">
      <c r="B77" s="4">
        <v>74</v>
      </c>
      <c r="C77" s="1">
        <f>怪物标准模型!AY85</f>
        <v>1516328</v>
      </c>
      <c r="D77" s="1">
        <f>怪物标准模型!AM85</f>
        <v>3448</v>
      </c>
      <c r="E77" s="1">
        <f>怪物标准模型!AN85</f>
        <v>4753</v>
      </c>
      <c r="F77" s="37">
        <f>怪物标准模型!AP85</f>
        <v>3448</v>
      </c>
      <c r="G77" s="38">
        <f t="shared" si="1"/>
        <v>4753</v>
      </c>
      <c r="H77" s="1">
        <f>怪物标准模型!AR85</f>
        <v>17818</v>
      </c>
      <c r="I77" s="1">
        <f>怪物标准模型!AS85</f>
        <v>53454</v>
      </c>
      <c r="J77" s="1">
        <f>怪物标准模型!AT85</f>
        <v>32073</v>
      </c>
      <c r="K77" s="1">
        <f>怪物标准模型!AU85</f>
        <v>8909</v>
      </c>
      <c r="L77" s="1">
        <f>怪物标准模型!AV85</f>
        <v>2673</v>
      </c>
      <c r="M77" s="1">
        <f>怪物标准模型!AW85</f>
        <v>71272</v>
      </c>
      <c r="N77" s="1">
        <f>怪物标准模型!AX85</f>
        <v>160362</v>
      </c>
    </row>
    <row r="78" spans="2:14">
      <c r="B78" s="4">
        <v>75</v>
      </c>
      <c r="C78" s="1">
        <f>怪物标准模型!AY86</f>
        <v>1556298</v>
      </c>
      <c r="D78" s="1">
        <f>怪物标准模型!AM86</f>
        <v>3521</v>
      </c>
      <c r="E78" s="1">
        <f>怪物标准模型!AN86</f>
        <v>4826</v>
      </c>
      <c r="F78" s="37">
        <f>怪物标准模型!AP86</f>
        <v>3521</v>
      </c>
      <c r="G78" s="38">
        <f t="shared" si="1"/>
        <v>4826</v>
      </c>
      <c r="H78" s="1">
        <f>怪物标准模型!AR86</f>
        <v>18242</v>
      </c>
      <c r="I78" s="1">
        <f>怪物标准模型!AS86</f>
        <v>54726</v>
      </c>
      <c r="J78" s="1">
        <f>怪物标准模型!AT86</f>
        <v>32836</v>
      </c>
      <c r="K78" s="1">
        <f>怪物标准模型!AU86</f>
        <v>9121</v>
      </c>
      <c r="L78" s="1">
        <f>怪物标准模型!AV86</f>
        <v>2737</v>
      </c>
      <c r="M78" s="1">
        <f>怪物标准模型!AW86</f>
        <v>72968</v>
      </c>
      <c r="N78" s="1">
        <f>怪物标准模型!AX86</f>
        <v>164178</v>
      </c>
    </row>
    <row r="79" spans="2:14">
      <c r="B79" s="4">
        <v>76</v>
      </c>
      <c r="C79" s="1">
        <f>怪物标准模型!AY87</f>
        <v>1596938</v>
      </c>
      <c r="D79" s="1">
        <f>怪物标准模型!AM87</f>
        <v>3594</v>
      </c>
      <c r="E79" s="1">
        <f>怪物标准模型!AN87</f>
        <v>4899</v>
      </c>
      <c r="F79" s="37">
        <f>怪物标准模型!AP87</f>
        <v>3594</v>
      </c>
      <c r="G79" s="38">
        <f t="shared" si="1"/>
        <v>4899</v>
      </c>
      <c r="H79" s="1">
        <f>怪物标准模型!AR87</f>
        <v>18672</v>
      </c>
      <c r="I79" s="1">
        <f>怪物标准模型!AS87</f>
        <v>56016</v>
      </c>
      <c r="J79" s="1">
        <f>怪物标准模型!AT87</f>
        <v>33610</v>
      </c>
      <c r="K79" s="1">
        <f>怪物标准模型!AU87</f>
        <v>9336</v>
      </c>
      <c r="L79" s="1">
        <f>怪物标准模型!AV87</f>
        <v>2801</v>
      </c>
      <c r="M79" s="1">
        <f>怪物标准模型!AW87</f>
        <v>74688</v>
      </c>
      <c r="N79" s="1">
        <f>怪物标准模型!AX87</f>
        <v>168048</v>
      </c>
    </row>
    <row r="80" spans="2:14">
      <c r="B80" s="4">
        <v>77</v>
      </c>
      <c r="C80" s="1">
        <f>怪物标准模型!AY88</f>
        <v>1638373</v>
      </c>
      <c r="D80" s="1">
        <f>怪物标准模型!AM88</f>
        <v>3668</v>
      </c>
      <c r="E80" s="1">
        <f>怪物标准模型!AN88</f>
        <v>4972</v>
      </c>
      <c r="F80" s="37">
        <f>怪物标准模型!AP88</f>
        <v>3668</v>
      </c>
      <c r="G80" s="38">
        <f t="shared" si="1"/>
        <v>4972</v>
      </c>
      <c r="H80" s="1">
        <f>怪物标准模型!AR88</f>
        <v>19108</v>
      </c>
      <c r="I80" s="1">
        <f>怪物标准模型!AS88</f>
        <v>57324</v>
      </c>
      <c r="J80" s="1">
        <f>怪物标准模型!AT88</f>
        <v>34395</v>
      </c>
      <c r="K80" s="1">
        <f>怪物标准模型!AU88</f>
        <v>9554</v>
      </c>
      <c r="L80" s="1">
        <f>怪物标准模型!AV88</f>
        <v>2867</v>
      </c>
      <c r="M80" s="1">
        <f>怪物标准模型!AW88</f>
        <v>76432</v>
      </c>
      <c r="N80" s="1">
        <f>怪物标准模型!AX88</f>
        <v>171972</v>
      </c>
    </row>
    <row r="81" spans="2:14">
      <c r="B81" s="4">
        <v>78</v>
      </c>
      <c r="C81" s="1">
        <f>怪物标准模型!AY89</f>
        <v>1680479</v>
      </c>
      <c r="D81" s="1">
        <f>怪物标准模型!AM89</f>
        <v>3743</v>
      </c>
      <c r="E81" s="1">
        <f>怪物标准模型!AN89</f>
        <v>5046</v>
      </c>
      <c r="F81" s="37">
        <f>怪物标准模型!AP89</f>
        <v>3743</v>
      </c>
      <c r="G81" s="38">
        <f t="shared" si="1"/>
        <v>5046</v>
      </c>
      <c r="H81" s="1">
        <f>怪物标准模型!AR89</f>
        <v>19549</v>
      </c>
      <c r="I81" s="1">
        <f>怪物标准模型!AS89</f>
        <v>58647</v>
      </c>
      <c r="J81" s="1">
        <f>怪物标准模型!AT89</f>
        <v>35189</v>
      </c>
      <c r="K81" s="1">
        <f>怪物标准模型!AU89</f>
        <v>9775</v>
      </c>
      <c r="L81" s="1">
        <f>怪物标准模型!AV89</f>
        <v>2933</v>
      </c>
      <c r="M81" s="1">
        <f>怪物标准模型!AW89</f>
        <v>78196</v>
      </c>
      <c r="N81" s="1">
        <f>怪物标准模型!AX89</f>
        <v>175941</v>
      </c>
    </row>
    <row r="82" spans="2:14">
      <c r="B82" s="4">
        <v>79</v>
      </c>
      <c r="C82" s="1">
        <f>怪物标准模型!AY90</f>
        <v>1723319</v>
      </c>
      <c r="D82" s="1">
        <f>怪物标准模型!AM90</f>
        <v>3818</v>
      </c>
      <c r="E82" s="1">
        <f>怪物标准模型!AN90</f>
        <v>5119</v>
      </c>
      <c r="F82" s="37">
        <f>怪物标准模型!AP90</f>
        <v>3818</v>
      </c>
      <c r="G82" s="38">
        <f t="shared" si="1"/>
        <v>5119</v>
      </c>
      <c r="H82" s="1">
        <f>怪物标准模型!AR90</f>
        <v>19997</v>
      </c>
      <c r="I82" s="1">
        <f>怪物标准模型!AS90</f>
        <v>59991</v>
      </c>
      <c r="J82" s="1">
        <f>怪物标准模型!AT90</f>
        <v>35995</v>
      </c>
      <c r="K82" s="1">
        <f>怪物标准模型!AU90</f>
        <v>9999</v>
      </c>
      <c r="L82" s="1">
        <f>怪物标准模型!AV90</f>
        <v>3000</v>
      </c>
      <c r="M82" s="1">
        <f>怪物标准模型!AW90</f>
        <v>79988</v>
      </c>
      <c r="N82" s="1">
        <f>怪物标准模型!AX90</f>
        <v>179973</v>
      </c>
    </row>
    <row r="83" spans="2:14">
      <c r="B83" s="4">
        <v>80</v>
      </c>
      <c r="C83" s="1">
        <f>怪物标准模型!AY91</f>
        <v>1766892</v>
      </c>
      <c r="D83" s="1">
        <f>怪物标准模型!AM91</f>
        <v>3895</v>
      </c>
      <c r="E83" s="1">
        <f>怪物标准模型!AN91</f>
        <v>5193</v>
      </c>
      <c r="F83" s="37">
        <f>怪物标准模型!AP91</f>
        <v>3895</v>
      </c>
      <c r="G83" s="38">
        <f t="shared" si="1"/>
        <v>5193</v>
      </c>
      <c r="H83" s="1">
        <f>怪物标准模型!AR91</f>
        <v>20451</v>
      </c>
      <c r="I83" s="1">
        <f>怪物标准模型!AS91</f>
        <v>61353</v>
      </c>
      <c r="J83" s="1">
        <f>怪物标准模型!AT91</f>
        <v>36812</v>
      </c>
      <c r="K83" s="1">
        <f>怪物标准模型!AU91</f>
        <v>10226</v>
      </c>
      <c r="L83" s="1">
        <f>怪物标准模型!AV91</f>
        <v>3068</v>
      </c>
      <c r="M83" s="1">
        <f>怪物标准模型!AW91</f>
        <v>81804</v>
      </c>
      <c r="N83" s="1">
        <f>怪物标准模型!AX91</f>
        <v>184059</v>
      </c>
    </row>
    <row r="84" spans="2:14">
      <c r="B84" s="4">
        <v>81</v>
      </c>
      <c r="C84" s="1">
        <f>怪物标准模型!AY92</f>
        <v>1811198</v>
      </c>
      <c r="D84" s="1">
        <f>怪物标准模型!AM92</f>
        <v>3972</v>
      </c>
      <c r="E84" s="1">
        <f>怪物标准模型!AN92</f>
        <v>5267</v>
      </c>
      <c r="F84" s="37">
        <f>怪物标准模型!AP92</f>
        <v>3972</v>
      </c>
      <c r="G84" s="38">
        <f t="shared" si="1"/>
        <v>5267</v>
      </c>
      <c r="H84" s="1">
        <f>怪物标准模型!AR92</f>
        <v>20911</v>
      </c>
      <c r="I84" s="1">
        <f>怪物标准模型!AS92</f>
        <v>62733</v>
      </c>
      <c r="J84" s="1">
        <f>怪物标准模型!AT92</f>
        <v>37640</v>
      </c>
      <c r="K84" s="1">
        <f>怪物标准模型!AU92</f>
        <v>10456</v>
      </c>
      <c r="L84" s="1">
        <f>怪物标准模型!AV92</f>
        <v>3137</v>
      </c>
      <c r="M84" s="1">
        <f>怪物标准模型!AW92</f>
        <v>83644</v>
      </c>
      <c r="N84" s="1">
        <f>怪物标准模型!AX92</f>
        <v>188199</v>
      </c>
    </row>
    <row r="85" spans="2:14">
      <c r="B85" s="4">
        <v>82</v>
      </c>
      <c r="C85" s="1">
        <f>怪物标准模型!AY93</f>
        <v>1856239</v>
      </c>
      <c r="D85" s="1">
        <f>怪物标准模型!AM93</f>
        <v>4050</v>
      </c>
      <c r="E85" s="1">
        <f>怪物标准模型!AN93</f>
        <v>5342</v>
      </c>
      <c r="F85" s="37">
        <f>怪物标准模型!AP93</f>
        <v>4050</v>
      </c>
      <c r="G85" s="38">
        <f t="shared" si="1"/>
        <v>5342</v>
      </c>
      <c r="H85" s="1">
        <f>怪物标准模型!AR93</f>
        <v>21377</v>
      </c>
      <c r="I85" s="1">
        <f>怪物标准模型!AS93</f>
        <v>64131</v>
      </c>
      <c r="J85" s="1">
        <f>怪物标准模型!AT93</f>
        <v>38479</v>
      </c>
      <c r="K85" s="1">
        <f>怪物标准模型!AU93</f>
        <v>10689</v>
      </c>
      <c r="L85" s="1">
        <f>怪物标准模型!AV93</f>
        <v>3207</v>
      </c>
      <c r="M85" s="1">
        <f>怪物标准模型!AW93</f>
        <v>85508</v>
      </c>
      <c r="N85" s="1">
        <f>怪物标准模型!AX93</f>
        <v>192393</v>
      </c>
    </row>
    <row r="86" spans="2:14">
      <c r="B86" s="4">
        <v>83</v>
      </c>
      <c r="C86" s="1">
        <f>怪物标准模型!AY94</f>
        <v>1902074</v>
      </c>
      <c r="D86" s="1">
        <f>怪物标准模型!AM94</f>
        <v>4129</v>
      </c>
      <c r="E86" s="1">
        <f>怪物标准模型!AN94</f>
        <v>5416</v>
      </c>
      <c r="F86" s="37">
        <f>怪物标准模型!AP94</f>
        <v>4129</v>
      </c>
      <c r="G86" s="38">
        <f t="shared" si="1"/>
        <v>5416</v>
      </c>
      <c r="H86" s="1">
        <f>怪物标准模型!AR94</f>
        <v>21849</v>
      </c>
      <c r="I86" s="1">
        <f>怪物标准模型!AS94</f>
        <v>65547</v>
      </c>
      <c r="J86" s="1">
        <f>怪物标准模型!AT94</f>
        <v>39329</v>
      </c>
      <c r="K86" s="1">
        <f>怪物标准模型!AU94</f>
        <v>10925</v>
      </c>
      <c r="L86" s="1">
        <f>怪物标准模型!AV94</f>
        <v>3278</v>
      </c>
      <c r="M86" s="1">
        <f>怪物标准模型!AW94</f>
        <v>87396</v>
      </c>
      <c r="N86" s="1">
        <f>怪物标准模型!AX94</f>
        <v>196641</v>
      </c>
    </row>
    <row r="87" spans="2:14">
      <c r="B87" s="4">
        <v>84</v>
      </c>
      <c r="C87" s="1">
        <f>怪物标准模型!AY95</f>
        <v>1948704</v>
      </c>
      <c r="D87" s="1">
        <f>怪物标准模型!AM95</f>
        <v>4208</v>
      </c>
      <c r="E87" s="1">
        <f>怪物标准模型!AN95</f>
        <v>5491</v>
      </c>
      <c r="F87" s="37">
        <f>怪物标准模型!AP95</f>
        <v>4208</v>
      </c>
      <c r="G87" s="38">
        <f t="shared" si="1"/>
        <v>5491</v>
      </c>
      <c r="H87" s="1">
        <f>怪物标准模型!AR95</f>
        <v>22328</v>
      </c>
      <c r="I87" s="1">
        <f>怪物标准模型!AS95</f>
        <v>66984</v>
      </c>
      <c r="J87" s="1">
        <f>怪物标准模型!AT95</f>
        <v>40191</v>
      </c>
      <c r="K87" s="1">
        <f>怪物标准模型!AU95</f>
        <v>11164</v>
      </c>
      <c r="L87" s="1">
        <f>怪物标准模型!AV95</f>
        <v>3350</v>
      </c>
      <c r="M87" s="1">
        <f>怪物标准模型!AW95</f>
        <v>89312</v>
      </c>
      <c r="N87" s="1">
        <f>怪物标准模型!AX95</f>
        <v>200952</v>
      </c>
    </row>
    <row r="88" spans="2:14">
      <c r="B88" s="4">
        <v>85</v>
      </c>
      <c r="C88" s="1">
        <f>怪物标准模型!AY96</f>
        <v>1996007</v>
      </c>
      <c r="D88" s="1">
        <f>怪物标准模型!AM96</f>
        <v>4289</v>
      </c>
      <c r="E88" s="1">
        <f>怪物标准模型!AN96</f>
        <v>5566</v>
      </c>
      <c r="F88" s="37">
        <f>怪物标准模型!AP96</f>
        <v>4289</v>
      </c>
      <c r="G88" s="38">
        <f t="shared" si="1"/>
        <v>5566</v>
      </c>
      <c r="H88" s="1">
        <f>怪物标准模型!AR96</f>
        <v>22813</v>
      </c>
      <c r="I88" s="1">
        <f>怪物标准模型!AS96</f>
        <v>68439</v>
      </c>
      <c r="J88" s="1">
        <f>怪物标准模型!AT96</f>
        <v>41064</v>
      </c>
      <c r="K88" s="1">
        <f>怪物标准模型!AU96</f>
        <v>11407</v>
      </c>
      <c r="L88" s="1">
        <f>怪物标准模型!AV96</f>
        <v>3422</v>
      </c>
      <c r="M88" s="1">
        <f>怪物标准模型!AW96</f>
        <v>91252</v>
      </c>
      <c r="N88" s="1">
        <f>怪物标准模型!AX96</f>
        <v>205317</v>
      </c>
    </row>
    <row r="89" spans="2:14">
      <c r="B89" s="4">
        <v>86</v>
      </c>
      <c r="C89" s="1">
        <f>怪物标准模型!AY97</f>
        <v>2044166</v>
      </c>
      <c r="D89" s="1">
        <f>怪物标准模型!AM97</f>
        <v>4370</v>
      </c>
      <c r="E89" s="1">
        <f>怪物标准模型!AN97</f>
        <v>5641</v>
      </c>
      <c r="F89" s="37">
        <f>怪物标准模型!AP97</f>
        <v>4370</v>
      </c>
      <c r="G89" s="38">
        <f t="shared" si="1"/>
        <v>5641</v>
      </c>
      <c r="H89" s="1">
        <f>怪物标准模型!AR97</f>
        <v>23304</v>
      </c>
      <c r="I89" s="1">
        <f>怪物标准模型!AS97</f>
        <v>69912</v>
      </c>
      <c r="J89" s="1">
        <f>怪物标准模型!AT97</f>
        <v>41948</v>
      </c>
      <c r="K89" s="1">
        <f>怪物标准模型!AU97</f>
        <v>11652</v>
      </c>
      <c r="L89" s="1">
        <f>怪物标准模型!AV97</f>
        <v>3496</v>
      </c>
      <c r="M89" s="1">
        <f>怪物标准模型!AW97</f>
        <v>93216</v>
      </c>
      <c r="N89" s="1">
        <f>怪物标准模型!AX97</f>
        <v>209736</v>
      </c>
    </row>
    <row r="90" spans="2:14">
      <c r="B90" s="4">
        <v>87</v>
      </c>
      <c r="C90" s="1">
        <f>怪物标准模型!AY98</f>
        <v>2093060</v>
      </c>
      <c r="D90" s="1">
        <f>怪物标准模型!AM98</f>
        <v>4453</v>
      </c>
      <c r="E90" s="1">
        <f>怪物标准模型!AN98</f>
        <v>5717</v>
      </c>
      <c r="F90" s="37">
        <f>怪物标准模型!AP98</f>
        <v>4453</v>
      </c>
      <c r="G90" s="38">
        <f t="shared" si="1"/>
        <v>5717</v>
      </c>
      <c r="H90" s="1">
        <f>怪物标准模型!AR98</f>
        <v>23802</v>
      </c>
      <c r="I90" s="1">
        <f>怪物标准模型!AS98</f>
        <v>71406</v>
      </c>
      <c r="J90" s="1">
        <f>怪物标准模型!AT98</f>
        <v>42844</v>
      </c>
      <c r="K90" s="1">
        <f>怪物标准模型!AU98</f>
        <v>11901</v>
      </c>
      <c r="L90" s="1">
        <f>怪物标准模型!AV98</f>
        <v>3571</v>
      </c>
      <c r="M90" s="1">
        <f>怪物标准模型!AW98</f>
        <v>95208</v>
      </c>
      <c r="N90" s="1">
        <f>怪物标准模型!AX98</f>
        <v>214218</v>
      </c>
    </row>
    <row r="91" spans="2:14">
      <c r="B91" s="4">
        <v>88</v>
      </c>
      <c r="C91" s="1">
        <f>怪物标准模型!AY99</f>
        <v>2142748</v>
      </c>
      <c r="D91" s="1">
        <f>怪物标准模型!AM99</f>
        <v>4536</v>
      </c>
      <c r="E91" s="1">
        <f>怪物标准模型!AN99</f>
        <v>5793</v>
      </c>
      <c r="F91" s="37">
        <f>怪物标准模型!AP99</f>
        <v>4536</v>
      </c>
      <c r="G91" s="38">
        <f t="shared" si="1"/>
        <v>5793</v>
      </c>
      <c r="H91" s="1">
        <f>怪物标准模型!AR99</f>
        <v>24306</v>
      </c>
      <c r="I91" s="1">
        <f>怪物标准模型!AS99</f>
        <v>72918</v>
      </c>
      <c r="J91" s="1">
        <f>怪物标准模型!AT99</f>
        <v>43751</v>
      </c>
      <c r="K91" s="1">
        <f>怪物标准模型!AU99</f>
        <v>12153</v>
      </c>
      <c r="L91" s="1">
        <f>怪物标准模型!AV99</f>
        <v>3646</v>
      </c>
      <c r="M91" s="1">
        <f>怪物标准模型!AW99</f>
        <v>97224</v>
      </c>
      <c r="N91" s="1">
        <f>怪物标准模型!AX99</f>
        <v>218754</v>
      </c>
    </row>
    <row r="92" spans="2:14">
      <c r="B92" s="4">
        <v>89</v>
      </c>
      <c r="C92" s="1">
        <f>怪物标准模型!AY100</f>
        <v>2193231</v>
      </c>
      <c r="D92" s="1">
        <f>怪物标准模型!AM100</f>
        <v>4620</v>
      </c>
      <c r="E92" s="1">
        <f>怪物标准模型!AN100</f>
        <v>5868</v>
      </c>
      <c r="F92" s="37">
        <f>怪物标准模型!AP100</f>
        <v>4620</v>
      </c>
      <c r="G92" s="38">
        <f t="shared" si="1"/>
        <v>5868</v>
      </c>
      <c r="H92" s="1">
        <f>怪物标准模型!AR100</f>
        <v>24817</v>
      </c>
      <c r="I92" s="1">
        <f>怪物标准模型!AS100</f>
        <v>74451</v>
      </c>
      <c r="J92" s="1">
        <f>怪物标准模型!AT100</f>
        <v>44671</v>
      </c>
      <c r="K92" s="1">
        <f>怪物标准模型!AU100</f>
        <v>12409</v>
      </c>
      <c r="L92" s="1">
        <f>怪物标准模型!AV100</f>
        <v>3723</v>
      </c>
      <c r="M92" s="1">
        <f>怪物标准模型!AW100</f>
        <v>99268</v>
      </c>
      <c r="N92" s="1">
        <f>怪物标准模型!AX100</f>
        <v>223353</v>
      </c>
    </row>
    <row r="93" spans="2:14">
      <c r="B93" s="4">
        <v>90</v>
      </c>
      <c r="C93" s="1">
        <f>怪物标准模型!AY101</f>
        <v>2244570</v>
      </c>
      <c r="D93" s="1">
        <f>怪物标准模型!AM101</f>
        <v>4705</v>
      </c>
      <c r="E93" s="1">
        <f>怪物标准模型!AN101</f>
        <v>5945</v>
      </c>
      <c r="F93" s="37">
        <f>怪物标准模型!AP101</f>
        <v>4705</v>
      </c>
      <c r="G93" s="38">
        <f t="shared" si="1"/>
        <v>5945</v>
      </c>
      <c r="H93" s="1">
        <f>怪物标准模型!AR101</f>
        <v>25334</v>
      </c>
      <c r="I93" s="1">
        <f>怪物标准模型!AS101</f>
        <v>76002</v>
      </c>
      <c r="J93" s="1">
        <f>怪物标准模型!AT101</f>
        <v>45602</v>
      </c>
      <c r="K93" s="1">
        <f>怪物标准模型!AU101</f>
        <v>12667</v>
      </c>
      <c r="L93" s="1">
        <f>怪物标准模型!AV101</f>
        <v>3801</v>
      </c>
      <c r="M93" s="1">
        <f>怪物标准模型!AW101</f>
        <v>101336</v>
      </c>
      <c r="N93" s="1">
        <f>怪物标准模型!AX101</f>
        <v>228006</v>
      </c>
    </row>
    <row r="94" spans="2:14">
      <c r="B94" s="4">
        <v>91</v>
      </c>
      <c r="C94" s="1">
        <f>怪物标准模型!AY102</f>
        <v>2296643</v>
      </c>
      <c r="D94" s="1">
        <f>怪物标准模型!AM102</f>
        <v>4790</v>
      </c>
      <c r="E94" s="1">
        <f>怪物标准模型!AN102</f>
        <v>6021</v>
      </c>
      <c r="F94" s="37">
        <f>怪物标准模型!AP102</f>
        <v>4790</v>
      </c>
      <c r="G94" s="38">
        <f t="shared" si="1"/>
        <v>6021</v>
      </c>
      <c r="H94" s="1">
        <f>怪物标准模型!AR102</f>
        <v>25858</v>
      </c>
      <c r="I94" s="1">
        <f>怪物标准模型!AS102</f>
        <v>77574</v>
      </c>
      <c r="J94" s="1">
        <f>怪物标准模型!AT102</f>
        <v>46545</v>
      </c>
      <c r="K94" s="1">
        <f>怪物标准模型!AU102</f>
        <v>12929</v>
      </c>
      <c r="L94" s="1">
        <f>怪物标准模型!AV102</f>
        <v>3879</v>
      </c>
      <c r="M94" s="1">
        <f>怪物标准模型!AW102</f>
        <v>103432</v>
      </c>
      <c r="N94" s="1">
        <f>怪物标准模型!AX102</f>
        <v>232722</v>
      </c>
    </row>
    <row r="95" spans="2:14">
      <c r="B95" s="4">
        <v>92</v>
      </c>
      <c r="C95" s="1">
        <f>怪物标准模型!AY103</f>
        <v>2349571</v>
      </c>
      <c r="D95" s="1">
        <f>怪物标准模型!AM103</f>
        <v>4877</v>
      </c>
      <c r="E95" s="1">
        <f>怪物标准模型!AN103</f>
        <v>6098</v>
      </c>
      <c r="F95" s="37">
        <f>怪物标准模型!AP103</f>
        <v>4877</v>
      </c>
      <c r="G95" s="38">
        <f t="shared" si="1"/>
        <v>6098</v>
      </c>
      <c r="H95" s="1">
        <f>怪物标准模型!AR103</f>
        <v>26389</v>
      </c>
      <c r="I95" s="1">
        <f>怪物标准模型!AS103</f>
        <v>79167</v>
      </c>
      <c r="J95" s="1">
        <f>怪物标准模型!AT103</f>
        <v>47501</v>
      </c>
      <c r="K95" s="1">
        <f>怪物标准模型!AU103</f>
        <v>13195</v>
      </c>
      <c r="L95" s="1">
        <f>怪物标准模型!AV103</f>
        <v>3959</v>
      </c>
      <c r="M95" s="1">
        <f>怪物标准模型!AW103</f>
        <v>105556</v>
      </c>
      <c r="N95" s="1">
        <f>怪物标准模型!AX103</f>
        <v>237501</v>
      </c>
    </row>
    <row r="96" spans="2:14">
      <c r="B96" s="4">
        <v>93</v>
      </c>
      <c r="C96" s="1">
        <f>怪物标准模型!AY104</f>
        <v>2403294</v>
      </c>
      <c r="D96" s="1">
        <f>怪物标准模型!AM104</f>
        <v>4964</v>
      </c>
      <c r="E96" s="1">
        <f>怪物标准模型!AN104</f>
        <v>6175</v>
      </c>
      <c r="F96" s="37">
        <f>怪物标准模型!AP104</f>
        <v>4964</v>
      </c>
      <c r="G96" s="38">
        <f t="shared" si="1"/>
        <v>6175</v>
      </c>
      <c r="H96" s="1">
        <f>怪物标准模型!AR104</f>
        <v>26927</v>
      </c>
      <c r="I96" s="1">
        <f>怪物标准模型!AS104</f>
        <v>80781</v>
      </c>
      <c r="J96" s="1">
        <f>怪物标准模型!AT104</f>
        <v>48469</v>
      </c>
      <c r="K96" s="1">
        <f>怪物标准模型!AU104</f>
        <v>13464</v>
      </c>
      <c r="L96" s="1">
        <f>怪物标准模型!AV104</f>
        <v>4040</v>
      </c>
      <c r="M96" s="1">
        <f>怪物标准模型!AW104</f>
        <v>107708</v>
      </c>
      <c r="N96" s="1">
        <f>怪物标准模型!AX104</f>
        <v>242343</v>
      </c>
    </row>
    <row r="97" spans="2:14">
      <c r="B97" s="4">
        <v>94</v>
      </c>
      <c r="C97" s="1">
        <f>怪物标准模型!AY105</f>
        <v>2457812</v>
      </c>
      <c r="D97" s="1">
        <f>怪物标准模型!AM105</f>
        <v>5053</v>
      </c>
      <c r="E97" s="1">
        <f>怪物标准模型!AN105</f>
        <v>6252</v>
      </c>
      <c r="F97" s="37">
        <f>怪物标准模型!AP105</f>
        <v>5053</v>
      </c>
      <c r="G97" s="38">
        <f t="shared" si="1"/>
        <v>6252</v>
      </c>
      <c r="H97" s="1">
        <f>怪物标准模型!AR105</f>
        <v>27471</v>
      </c>
      <c r="I97" s="1">
        <f>怪物标准模型!AS105</f>
        <v>82413</v>
      </c>
      <c r="J97" s="1">
        <f>怪物标准模型!AT105</f>
        <v>49448</v>
      </c>
      <c r="K97" s="1">
        <f>怪物标准模型!AU105</f>
        <v>13736</v>
      </c>
      <c r="L97" s="1">
        <f>怪物标准模型!AV105</f>
        <v>4121</v>
      </c>
      <c r="M97" s="1">
        <f>怪物标准模型!AW105</f>
        <v>109884</v>
      </c>
      <c r="N97" s="1">
        <f>怪物标准模型!AX105</f>
        <v>247239</v>
      </c>
    </row>
    <row r="98" spans="2:14">
      <c r="B98" s="4">
        <v>95</v>
      </c>
      <c r="C98" s="1">
        <f>怪物标准模型!AY106</f>
        <v>2513245</v>
      </c>
      <c r="D98" s="1">
        <f>怪物标准模型!AM106</f>
        <v>5142</v>
      </c>
      <c r="E98" s="1">
        <f>怪物标准模型!AN106</f>
        <v>6329</v>
      </c>
      <c r="F98" s="37">
        <f>怪物标准模型!AP106</f>
        <v>5142</v>
      </c>
      <c r="G98" s="38">
        <f t="shared" si="1"/>
        <v>6329</v>
      </c>
      <c r="H98" s="1">
        <f>怪物标准模型!AR106</f>
        <v>28022</v>
      </c>
      <c r="I98" s="1">
        <f>怪物标准模型!AS106</f>
        <v>84066</v>
      </c>
      <c r="J98" s="1">
        <f>怪物标准模型!AT106</f>
        <v>50440</v>
      </c>
      <c r="K98" s="1">
        <f>怪物标准模型!AU106</f>
        <v>14011</v>
      </c>
      <c r="L98" s="1">
        <f>怪物标准模型!AV106</f>
        <v>4204</v>
      </c>
      <c r="M98" s="1">
        <f>怪物标准模型!AW106</f>
        <v>112088</v>
      </c>
      <c r="N98" s="1">
        <f>怪物标准模型!AX106</f>
        <v>252198</v>
      </c>
    </row>
    <row r="99" spans="2:14">
      <c r="B99" s="4">
        <v>96</v>
      </c>
      <c r="C99" s="1">
        <f>怪物标准模型!AY107</f>
        <v>2569411</v>
      </c>
      <c r="D99" s="1">
        <f>怪物标准模型!AM107</f>
        <v>5232</v>
      </c>
      <c r="E99" s="1">
        <f>怪物标准模型!AN107</f>
        <v>6406</v>
      </c>
      <c r="F99" s="37">
        <f>怪物标准模型!AP107</f>
        <v>5232</v>
      </c>
      <c r="G99" s="38">
        <f t="shared" si="1"/>
        <v>6406</v>
      </c>
      <c r="H99" s="1">
        <f>怪物标准模型!AR107</f>
        <v>28581</v>
      </c>
      <c r="I99" s="1">
        <f>怪物标准模型!AS107</f>
        <v>85743</v>
      </c>
      <c r="J99" s="1">
        <f>怪物标准模型!AT107</f>
        <v>51446</v>
      </c>
      <c r="K99" s="1">
        <f>怪物标准模型!AU107</f>
        <v>14291</v>
      </c>
      <c r="L99" s="1">
        <f>怪物标准模型!AV107</f>
        <v>4288</v>
      </c>
      <c r="M99" s="1">
        <f>怪物标准模型!AW107</f>
        <v>114324</v>
      </c>
      <c r="N99" s="1">
        <f>怪物标准模型!AX107</f>
        <v>257229</v>
      </c>
    </row>
    <row r="100" spans="2:14">
      <c r="B100" s="4">
        <v>97</v>
      </c>
      <c r="C100" s="1">
        <f>怪物标准模型!AY108</f>
        <v>2626493</v>
      </c>
      <c r="D100" s="1">
        <f>怪物标准模型!AM108</f>
        <v>5323</v>
      </c>
      <c r="E100" s="1">
        <f>怪物标准模型!AN108</f>
        <v>6484</v>
      </c>
      <c r="F100" s="37">
        <f>怪物标准模型!AP108</f>
        <v>5323</v>
      </c>
      <c r="G100" s="38">
        <f t="shared" si="1"/>
        <v>6484</v>
      </c>
      <c r="H100" s="1">
        <f>怪物标准模型!AR108</f>
        <v>29146</v>
      </c>
      <c r="I100" s="1">
        <f>怪物标准模型!AS108</f>
        <v>87438</v>
      </c>
      <c r="J100" s="1">
        <f>怪物标准模型!AT108</f>
        <v>52463</v>
      </c>
      <c r="K100" s="1">
        <f>怪物标准模型!AU108</f>
        <v>14573</v>
      </c>
      <c r="L100" s="1">
        <f>怪物标准模型!AV108</f>
        <v>4372</v>
      </c>
      <c r="M100" s="1">
        <f>怪物标准模型!AW108</f>
        <v>116584</v>
      </c>
      <c r="N100" s="1">
        <f>怪物标准模型!AX108</f>
        <v>262314</v>
      </c>
    </row>
    <row r="101" spans="2:14">
      <c r="B101" s="4">
        <v>98</v>
      </c>
      <c r="C101" s="1">
        <f>怪物标准模型!AY109</f>
        <v>2684430</v>
      </c>
      <c r="D101" s="1">
        <f>怪物标准模型!AM109</f>
        <v>5415</v>
      </c>
      <c r="E101" s="1">
        <f>怪物标准模型!AN109</f>
        <v>6562</v>
      </c>
      <c r="F101" s="37">
        <f>怪物标准模型!AP109</f>
        <v>5415</v>
      </c>
      <c r="G101" s="38">
        <f t="shared" si="1"/>
        <v>6562</v>
      </c>
      <c r="H101" s="1">
        <f>怪物标准模型!AR109</f>
        <v>29718</v>
      </c>
      <c r="I101" s="1">
        <f>怪物标准模型!AS109</f>
        <v>89154</v>
      </c>
      <c r="J101" s="1">
        <f>怪物标准模型!AT109</f>
        <v>53493</v>
      </c>
      <c r="K101" s="1">
        <f>怪物标准模型!AU109</f>
        <v>14859</v>
      </c>
      <c r="L101" s="1">
        <f>怪物标准模型!AV109</f>
        <v>4458</v>
      </c>
      <c r="M101" s="1">
        <f>怪物标准模型!AW109</f>
        <v>118872</v>
      </c>
      <c r="N101" s="1">
        <f>怪物标准模型!AX109</f>
        <v>267462</v>
      </c>
    </row>
    <row r="102" spans="2:14">
      <c r="B102" s="4">
        <v>99</v>
      </c>
      <c r="C102" s="1">
        <f>怪物标准模型!AY110</f>
        <v>2743220</v>
      </c>
      <c r="D102" s="1">
        <f>怪物标准模型!AM110</f>
        <v>5508</v>
      </c>
      <c r="E102" s="1">
        <f>怪物标准模型!AN110</f>
        <v>6640</v>
      </c>
      <c r="F102" s="37">
        <f>怪物标准模型!AP110</f>
        <v>5508</v>
      </c>
      <c r="G102" s="38">
        <f t="shared" si="1"/>
        <v>6640</v>
      </c>
      <c r="H102" s="1">
        <f>怪物标准模型!AR110</f>
        <v>30298</v>
      </c>
      <c r="I102" s="1">
        <f>怪物标准模型!AS110</f>
        <v>90894</v>
      </c>
      <c r="J102" s="1">
        <f>怪物标准模型!AT110</f>
        <v>54537</v>
      </c>
      <c r="K102" s="1">
        <f>怪物标准模型!AU110</f>
        <v>15149</v>
      </c>
      <c r="L102" s="1">
        <f>怪物标准模型!AV110</f>
        <v>4545</v>
      </c>
      <c r="M102" s="1">
        <f>怪物标准模型!AW110</f>
        <v>121192</v>
      </c>
      <c r="N102" s="1">
        <f>怪物标准模型!AX110</f>
        <v>272682</v>
      </c>
    </row>
    <row r="103" spans="2:14">
      <c r="B103" s="4">
        <v>100</v>
      </c>
      <c r="C103" s="1">
        <f>怪物标准模型!AY111</f>
        <v>2802865</v>
      </c>
      <c r="D103" s="1">
        <f>怪物标准模型!AM111</f>
        <v>5601</v>
      </c>
      <c r="E103" s="1">
        <f>怪物标准模型!AN111</f>
        <v>6719</v>
      </c>
      <c r="F103" s="37">
        <f>怪物标准模型!AP111</f>
        <v>5601</v>
      </c>
      <c r="G103" s="38">
        <f t="shared" si="1"/>
        <v>6719</v>
      </c>
      <c r="H103" s="1">
        <f>怪物标准模型!AR111</f>
        <v>30884</v>
      </c>
      <c r="I103" s="1">
        <f>怪物标准模型!AS111</f>
        <v>92652</v>
      </c>
      <c r="J103" s="1">
        <f>怪物标准模型!AT111</f>
        <v>55592</v>
      </c>
      <c r="K103" s="1">
        <f>怪物标准模型!AU111</f>
        <v>15442</v>
      </c>
      <c r="L103" s="1">
        <f>怪物标准模型!AV111</f>
        <v>4633</v>
      </c>
      <c r="M103" s="1">
        <f>怪物标准模型!AW111</f>
        <v>123536</v>
      </c>
      <c r="N103" s="1">
        <f>怪物标准模型!AX111</f>
        <v>277956</v>
      </c>
    </row>
    <row r="104" spans="2:14">
      <c r="B104" s="4">
        <v>101</v>
      </c>
      <c r="C104" s="1">
        <f>怪物标准模型!AY112</f>
        <v>2863364</v>
      </c>
      <c r="D104" s="1">
        <f>怪物标准模型!AM112</f>
        <v>5696</v>
      </c>
      <c r="E104" s="1">
        <f>怪物标准模型!AN112</f>
        <v>6798</v>
      </c>
      <c r="F104" s="37">
        <f>怪物标准模型!AP112</f>
        <v>5696</v>
      </c>
      <c r="G104" s="38">
        <f t="shared" si="1"/>
        <v>6798</v>
      </c>
      <c r="H104" s="1">
        <f>怪物标准模型!AR112</f>
        <v>31478</v>
      </c>
      <c r="I104" s="1">
        <f>怪物标准模型!AS112</f>
        <v>94434</v>
      </c>
      <c r="J104" s="1">
        <f>怪物标准模型!AT112</f>
        <v>56661</v>
      </c>
      <c r="K104" s="1">
        <f>怪物标准模型!AU112</f>
        <v>15739</v>
      </c>
      <c r="L104" s="1">
        <f>怪物标准模型!AV112</f>
        <v>4722</v>
      </c>
      <c r="M104" s="1">
        <f>怪物标准模型!AW112</f>
        <v>125912</v>
      </c>
      <c r="N104" s="1">
        <f>怪物标准模型!AX112</f>
        <v>283302</v>
      </c>
    </row>
    <row r="105" spans="2:14">
      <c r="B105" s="4">
        <v>102</v>
      </c>
      <c r="C105" s="1">
        <f>怪物标准模型!AY113</f>
        <v>2924776</v>
      </c>
      <c r="D105" s="1">
        <f>怪物标准模型!AM113</f>
        <v>5792</v>
      </c>
      <c r="E105" s="1">
        <f>怪物标准模型!AN113</f>
        <v>6877</v>
      </c>
      <c r="F105" s="37">
        <f>怪物标准模型!AP113</f>
        <v>5792</v>
      </c>
      <c r="G105" s="38">
        <f t="shared" si="1"/>
        <v>6877</v>
      </c>
      <c r="H105" s="1">
        <f>怪物标准模型!AR113</f>
        <v>32079</v>
      </c>
      <c r="I105" s="1">
        <f>怪物标准模型!AS113</f>
        <v>96237</v>
      </c>
      <c r="J105" s="1">
        <f>怪物标准模型!AT113</f>
        <v>57743</v>
      </c>
      <c r="K105" s="1">
        <f>怪物标准模型!AU113</f>
        <v>16040</v>
      </c>
      <c r="L105" s="1">
        <f>怪物标准模型!AV113</f>
        <v>4812</v>
      </c>
      <c r="M105" s="1">
        <f>怪物标准模型!AW113</f>
        <v>128316</v>
      </c>
      <c r="N105" s="1">
        <f>怪物标准模型!AX113</f>
        <v>288711</v>
      </c>
    </row>
    <row r="106" spans="2:14">
      <c r="B106" s="4">
        <v>103</v>
      </c>
      <c r="C106" s="1">
        <f>怪物标准模型!AY114</f>
        <v>2987043</v>
      </c>
      <c r="D106" s="1">
        <f>怪物标准模型!AM114</f>
        <v>5888</v>
      </c>
      <c r="E106" s="1">
        <f>怪物标准模型!AN114</f>
        <v>6956</v>
      </c>
      <c r="F106" s="37">
        <f>怪物标准模型!AP114</f>
        <v>5888</v>
      </c>
      <c r="G106" s="38">
        <f t="shared" si="1"/>
        <v>6956</v>
      </c>
      <c r="H106" s="1">
        <f>怪物标准模型!AR114</f>
        <v>32688</v>
      </c>
      <c r="I106" s="1">
        <f>怪物标准模型!AS114</f>
        <v>98064</v>
      </c>
      <c r="J106" s="1">
        <f>怪物标准模型!AT114</f>
        <v>58839</v>
      </c>
      <c r="K106" s="1">
        <f>怪物标准模型!AU114</f>
        <v>16344</v>
      </c>
      <c r="L106" s="1">
        <f>怪物标准模型!AV114</f>
        <v>4904</v>
      </c>
      <c r="M106" s="1">
        <f>怪物标准模型!AW114</f>
        <v>130752</v>
      </c>
      <c r="N106" s="1">
        <f>怪物标准模型!AX114</f>
        <v>294192</v>
      </c>
    </row>
    <row r="107" spans="2:14">
      <c r="B107" s="4">
        <v>104</v>
      </c>
      <c r="C107" s="1">
        <f>怪物标准模型!AY115</f>
        <v>3050222</v>
      </c>
      <c r="D107" s="1">
        <f>怪物标准模型!AM115</f>
        <v>5986</v>
      </c>
      <c r="E107" s="1">
        <f>怪物标准模型!AN115</f>
        <v>7035</v>
      </c>
      <c r="F107" s="37">
        <f>怪物标准模型!AP115</f>
        <v>5986</v>
      </c>
      <c r="G107" s="38">
        <f t="shared" si="1"/>
        <v>7035</v>
      </c>
      <c r="H107" s="1">
        <f>怪物标准模型!AR115</f>
        <v>33303</v>
      </c>
      <c r="I107" s="1">
        <f>怪物标准模型!AS115</f>
        <v>99909</v>
      </c>
      <c r="J107" s="1">
        <f>怪物标准模型!AT115</f>
        <v>59946</v>
      </c>
      <c r="K107" s="1">
        <f>怪物标准模型!AU115</f>
        <v>16652</v>
      </c>
      <c r="L107" s="1">
        <f>怪物标准模型!AV115</f>
        <v>4996</v>
      </c>
      <c r="M107" s="1">
        <f>怪物标准模型!AW115</f>
        <v>133212</v>
      </c>
      <c r="N107" s="1">
        <f>怪物标准模型!AX115</f>
        <v>299727</v>
      </c>
    </row>
    <row r="108" spans="2:14">
      <c r="B108" s="4">
        <v>105</v>
      </c>
      <c r="C108" s="1">
        <f>怪物标准模型!AY116</f>
        <v>3114316</v>
      </c>
      <c r="D108" s="1">
        <f>怪物标准模型!AM116</f>
        <v>6084</v>
      </c>
      <c r="E108" s="1">
        <f>怪物标准模型!AN116</f>
        <v>7115</v>
      </c>
      <c r="F108" s="37">
        <f>怪物标准模型!AP116</f>
        <v>6084</v>
      </c>
      <c r="G108" s="38">
        <f t="shared" si="1"/>
        <v>7115</v>
      </c>
      <c r="H108" s="1">
        <f>怪物标准模型!AR116</f>
        <v>33927</v>
      </c>
      <c r="I108" s="1">
        <f>怪物标准模型!AS116</f>
        <v>101781</v>
      </c>
      <c r="J108" s="1">
        <f>怪物标准模型!AT116</f>
        <v>61069</v>
      </c>
      <c r="K108" s="1">
        <f>怪物标准模型!AU116</f>
        <v>16964</v>
      </c>
      <c r="L108" s="1">
        <f>怪物标准模型!AV116</f>
        <v>5090</v>
      </c>
      <c r="M108" s="1">
        <f>怪物标准模型!AW116</f>
        <v>135708</v>
      </c>
      <c r="N108" s="1">
        <f>怪物标准模型!AX116</f>
        <v>305343</v>
      </c>
    </row>
    <row r="109" spans="2:14">
      <c r="B109" s="4">
        <v>106</v>
      </c>
      <c r="C109" s="1">
        <f>怪物标准模型!AY117</f>
        <v>3179262</v>
      </c>
      <c r="D109" s="1">
        <f>怪物标准模型!AM117</f>
        <v>6183</v>
      </c>
      <c r="E109" s="1">
        <f>怪物标准模型!AN117</f>
        <v>7194</v>
      </c>
      <c r="F109" s="37">
        <f>怪物标准模型!AP117</f>
        <v>6183</v>
      </c>
      <c r="G109" s="38">
        <f t="shared" si="1"/>
        <v>7194</v>
      </c>
      <c r="H109" s="1">
        <f>怪物标准模型!AR117</f>
        <v>34558</v>
      </c>
      <c r="I109" s="1">
        <f>怪物标准模型!AS117</f>
        <v>103674</v>
      </c>
      <c r="J109" s="1">
        <f>怪物标准模型!AT117</f>
        <v>62205</v>
      </c>
      <c r="K109" s="1">
        <f>怪物标准模型!AU117</f>
        <v>17279</v>
      </c>
      <c r="L109" s="1">
        <f>怪物标准模型!AV117</f>
        <v>5184</v>
      </c>
      <c r="M109" s="1">
        <f>怪物标准模型!AW117</f>
        <v>138232</v>
      </c>
      <c r="N109" s="1">
        <f>怪物标准模型!AX117</f>
        <v>311022</v>
      </c>
    </row>
    <row r="110" spans="2:14">
      <c r="B110" s="4">
        <v>107</v>
      </c>
      <c r="C110" s="1">
        <f>怪物标准模型!AY118</f>
        <v>3245181</v>
      </c>
      <c r="D110" s="1">
        <f>怪物标准模型!AM118</f>
        <v>6284</v>
      </c>
      <c r="E110" s="1">
        <f>怪物标准模型!AN118</f>
        <v>7274</v>
      </c>
      <c r="F110" s="37">
        <f>怪物标准模型!AP118</f>
        <v>6284</v>
      </c>
      <c r="G110" s="38">
        <f t="shared" si="1"/>
        <v>7274</v>
      </c>
      <c r="H110" s="1">
        <f>怪物标准模型!AR118</f>
        <v>35196</v>
      </c>
      <c r="I110" s="1">
        <f>怪物标准模型!AS118</f>
        <v>105588</v>
      </c>
      <c r="J110" s="1">
        <f>怪物标准模型!AT118</f>
        <v>63353</v>
      </c>
      <c r="K110" s="1">
        <f>怪物标准模型!AU118</f>
        <v>17598</v>
      </c>
      <c r="L110" s="1">
        <f>怪物标准模型!AV118</f>
        <v>5280</v>
      </c>
      <c r="M110" s="1">
        <f>怪物标准模型!AW118</f>
        <v>140784</v>
      </c>
      <c r="N110" s="1">
        <f>怪物标准模型!AX118</f>
        <v>316764</v>
      </c>
    </row>
    <row r="111" spans="2:14">
      <c r="B111" s="4">
        <v>108</v>
      </c>
      <c r="C111" s="1">
        <f>怪物标准模型!AY119</f>
        <v>3311953</v>
      </c>
      <c r="D111" s="1">
        <f>怪物标准模型!AM119</f>
        <v>6385</v>
      </c>
      <c r="E111" s="1">
        <f>怪物标准模型!AN119</f>
        <v>7355</v>
      </c>
      <c r="F111" s="37">
        <f>怪物标准模型!AP119</f>
        <v>6385</v>
      </c>
      <c r="G111" s="38">
        <f t="shared" si="1"/>
        <v>7355</v>
      </c>
      <c r="H111" s="1">
        <f>怪物标准模型!AR119</f>
        <v>35842</v>
      </c>
      <c r="I111" s="1">
        <f>怪物标准模型!AS119</f>
        <v>107526</v>
      </c>
      <c r="J111" s="1">
        <f>怪物标准模型!AT119</f>
        <v>64516</v>
      </c>
      <c r="K111" s="1">
        <f>怪物标准模型!AU119</f>
        <v>17921</v>
      </c>
      <c r="L111" s="1">
        <f>怪物标准模型!AV119</f>
        <v>5377</v>
      </c>
      <c r="M111" s="1">
        <f>怪物标准模型!AW119</f>
        <v>143368</v>
      </c>
      <c r="N111" s="1">
        <f>怪物标准模型!AX119</f>
        <v>322578</v>
      </c>
    </row>
    <row r="112" spans="2:14">
      <c r="B112" s="4">
        <v>109</v>
      </c>
      <c r="C112" s="1">
        <f>怪物标准模型!AY120</f>
        <v>3379697</v>
      </c>
      <c r="D112" s="1">
        <f>怪物标准模型!AM120</f>
        <v>6487</v>
      </c>
      <c r="E112" s="1">
        <f>怪物标准模型!AN120</f>
        <v>7435</v>
      </c>
      <c r="F112" s="37">
        <f>怪物标准模型!AP120</f>
        <v>6487</v>
      </c>
      <c r="G112" s="38">
        <f t="shared" si="1"/>
        <v>7435</v>
      </c>
      <c r="H112" s="1">
        <f>怪物标准模型!AR120</f>
        <v>36496</v>
      </c>
      <c r="I112" s="1">
        <f>怪物标准模型!AS120</f>
        <v>109488</v>
      </c>
      <c r="J112" s="1">
        <f>怪物标准模型!AT120</f>
        <v>65693</v>
      </c>
      <c r="K112" s="1">
        <f>怪物标准模型!AU120</f>
        <v>18248</v>
      </c>
      <c r="L112" s="1">
        <f>怪物标准模型!AV120</f>
        <v>5475</v>
      </c>
      <c r="M112" s="1">
        <f>怪物标准模型!AW120</f>
        <v>145984</v>
      </c>
      <c r="N112" s="1">
        <f>怪物标准模型!AX120</f>
        <v>328464</v>
      </c>
    </row>
    <row r="113" spans="2:14">
      <c r="B113" s="4">
        <v>110</v>
      </c>
      <c r="C113" s="1">
        <f>怪物标准模型!AY121</f>
        <v>3448354</v>
      </c>
      <c r="D113" s="1">
        <f>怪物标准模型!AM121</f>
        <v>6590</v>
      </c>
      <c r="E113" s="1">
        <f>怪物标准模型!AN121</f>
        <v>7516</v>
      </c>
      <c r="F113" s="37">
        <f>怪物标准模型!AP121</f>
        <v>6590</v>
      </c>
      <c r="G113" s="38">
        <f t="shared" si="1"/>
        <v>7516</v>
      </c>
      <c r="H113" s="1">
        <f>怪物标准模型!AR121</f>
        <v>37158</v>
      </c>
      <c r="I113" s="1">
        <f>怪物标准模型!AS121</f>
        <v>111474</v>
      </c>
      <c r="J113" s="1">
        <f>怪物标准模型!AT121</f>
        <v>66885</v>
      </c>
      <c r="K113" s="1">
        <f>怪物标准模型!AU121</f>
        <v>18579</v>
      </c>
      <c r="L113" s="1">
        <f>怪物标准模型!AV121</f>
        <v>5574</v>
      </c>
      <c r="M113" s="1">
        <f>怪物标准模型!AW121</f>
        <v>148632</v>
      </c>
      <c r="N113" s="1">
        <f>怪物标准模型!AX121</f>
        <v>334422</v>
      </c>
    </row>
    <row r="114" spans="2:14">
      <c r="B114" s="4">
        <v>111</v>
      </c>
      <c r="C114" s="1">
        <f>怪物标准模型!AY122</f>
        <v>3517983</v>
      </c>
      <c r="D114" s="1">
        <f>怪物标准模型!AM122</f>
        <v>6694</v>
      </c>
      <c r="E114" s="1">
        <f>怪物标准模型!AN122</f>
        <v>7597</v>
      </c>
      <c r="F114" s="37">
        <f>怪物标准模型!AP122</f>
        <v>6694</v>
      </c>
      <c r="G114" s="38">
        <f t="shared" si="1"/>
        <v>7597</v>
      </c>
      <c r="H114" s="1">
        <f>怪物标准模型!AR122</f>
        <v>37827</v>
      </c>
      <c r="I114" s="1">
        <f>怪物标准模型!AS122</f>
        <v>113481</v>
      </c>
      <c r="J114" s="1">
        <f>怪物标准模型!AT122</f>
        <v>68089</v>
      </c>
      <c r="K114" s="1">
        <f>怪物标准模型!AU122</f>
        <v>18914</v>
      </c>
      <c r="L114" s="1">
        <f>怪物标准模型!AV122</f>
        <v>5675</v>
      </c>
      <c r="M114" s="1">
        <f>怪物标准模型!AW122</f>
        <v>151308</v>
      </c>
      <c r="N114" s="1">
        <f>怪物标准模型!AX122</f>
        <v>340443</v>
      </c>
    </row>
    <row r="115" spans="2:14">
      <c r="B115" s="4">
        <v>112</v>
      </c>
      <c r="C115" s="1">
        <f>怪物标准模型!AY123</f>
        <v>3588524</v>
      </c>
      <c r="D115" s="1">
        <f>怪物标准模型!AM123</f>
        <v>6799</v>
      </c>
      <c r="E115" s="1">
        <f>怪物标准模型!AN123</f>
        <v>7678</v>
      </c>
      <c r="F115" s="37">
        <f>怪物标准模型!AP123</f>
        <v>6799</v>
      </c>
      <c r="G115" s="38">
        <f t="shared" si="1"/>
        <v>7678</v>
      </c>
      <c r="H115" s="1">
        <f>怪物标准模型!AR123</f>
        <v>38504</v>
      </c>
      <c r="I115" s="1">
        <f>怪物标准模型!AS123</f>
        <v>115512</v>
      </c>
      <c r="J115" s="1">
        <f>怪物标准模型!AT123</f>
        <v>69308</v>
      </c>
      <c r="K115" s="1">
        <f>怪物标准模型!AU123</f>
        <v>19252</v>
      </c>
      <c r="L115" s="1">
        <f>怪物标准模型!AV123</f>
        <v>5776</v>
      </c>
      <c r="M115" s="1">
        <f>怪物标准模型!AW123</f>
        <v>154016</v>
      </c>
      <c r="N115" s="1">
        <f>怪物标准模型!AX123</f>
        <v>346536</v>
      </c>
    </row>
    <row r="116" spans="2:14">
      <c r="B116" s="4">
        <v>113</v>
      </c>
      <c r="C116" s="1">
        <f>怪物标准模型!AY124</f>
        <v>3660036</v>
      </c>
      <c r="D116" s="1">
        <f>怪物标准模型!AM124</f>
        <v>6906</v>
      </c>
      <c r="E116" s="1">
        <f>怪物标准模型!AN124</f>
        <v>7759</v>
      </c>
      <c r="F116" s="37">
        <f>怪物标准模型!AP124</f>
        <v>6906</v>
      </c>
      <c r="G116" s="38">
        <f t="shared" si="1"/>
        <v>7759</v>
      </c>
      <c r="H116" s="1">
        <f>怪物标准模型!AR124</f>
        <v>39190</v>
      </c>
      <c r="I116" s="1">
        <f>怪物标准模型!AS124</f>
        <v>117570</v>
      </c>
      <c r="J116" s="1">
        <f>怪物标准模型!AT124</f>
        <v>70542</v>
      </c>
      <c r="K116" s="1">
        <f>怪物标准模型!AU124</f>
        <v>19595</v>
      </c>
      <c r="L116" s="1">
        <f>怪物标准模型!AV124</f>
        <v>5879</v>
      </c>
      <c r="M116" s="1">
        <f>怪物标准模型!AW124</f>
        <v>156760</v>
      </c>
      <c r="N116" s="1">
        <f>怪物标准模型!AX124</f>
        <v>352710</v>
      </c>
    </row>
    <row r="117" spans="2:14">
      <c r="B117" s="4">
        <v>114</v>
      </c>
      <c r="C117" s="1">
        <f>怪物标准模型!AY125</f>
        <v>3732460</v>
      </c>
      <c r="D117" s="1">
        <f>怪物标准模型!AM125</f>
        <v>7013</v>
      </c>
      <c r="E117" s="1">
        <f>怪物标准模型!AN125</f>
        <v>7841</v>
      </c>
      <c r="F117" s="37">
        <f>怪物标准模型!AP125</f>
        <v>7013</v>
      </c>
      <c r="G117" s="38">
        <f t="shared" si="1"/>
        <v>7841</v>
      </c>
      <c r="H117" s="1">
        <f>怪物标准模型!AR125</f>
        <v>39883</v>
      </c>
      <c r="I117" s="1">
        <f>怪物标准模型!AS125</f>
        <v>119649</v>
      </c>
      <c r="J117" s="1">
        <f>怪物标准模型!AT125</f>
        <v>71790</v>
      </c>
      <c r="K117" s="1">
        <f>怪物标准模型!AU125</f>
        <v>19942</v>
      </c>
      <c r="L117" s="1">
        <f>怪物标准模型!AV125</f>
        <v>5983</v>
      </c>
      <c r="M117" s="1">
        <f>怪物标准模型!AW125</f>
        <v>159532</v>
      </c>
      <c r="N117" s="1">
        <f>怪物标准模型!AX125</f>
        <v>358947</v>
      </c>
    </row>
    <row r="118" spans="2:14">
      <c r="B118" s="4">
        <v>115</v>
      </c>
      <c r="C118" s="1">
        <f>怪物标准模型!AY126</f>
        <v>3805915</v>
      </c>
      <c r="D118" s="1">
        <f>怪物标准模型!AM126</f>
        <v>7121</v>
      </c>
      <c r="E118" s="1">
        <f>怪物标准模型!AN126</f>
        <v>7923</v>
      </c>
      <c r="F118" s="37">
        <f>怪物标准模型!AP126</f>
        <v>7121</v>
      </c>
      <c r="G118" s="38">
        <f t="shared" si="1"/>
        <v>7923</v>
      </c>
      <c r="H118" s="1">
        <f>怪物标准模型!AR126</f>
        <v>40584</v>
      </c>
      <c r="I118" s="1">
        <f>怪物标准模型!AS126</f>
        <v>121752</v>
      </c>
      <c r="J118" s="1">
        <f>怪物标准模型!AT126</f>
        <v>73052</v>
      </c>
      <c r="K118" s="1">
        <f>怪物标准模型!AU126</f>
        <v>20292</v>
      </c>
      <c r="L118" s="1">
        <f>怪物标准模型!AV126</f>
        <v>6088</v>
      </c>
      <c r="M118" s="1">
        <f>怪物标准模型!AW126</f>
        <v>162336</v>
      </c>
      <c r="N118" s="1">
        <f>怪物标准模型!AX126</f>
        <v>365256</v>
      </c>
    </row>
    <row r="119" spans="2:14">
      <c r="B119" s="4">
        <v>116</v>
      </c>
      <c r="C119" s="1">
        <f>怪物标准模型!AY127</f>
        <v>3880342</v>
      </c>
      <c r="D119" s="1">
        <f>怪物标准模型!AM127</f>
        <v>7230</v>
      </c>
      <c r="E119" s="1">
        <f>怪物标准模型!AN127</f>
        <v>8005</v>
      </c>
      <c r="F119" s="37">
        <f>怪物标准模型!AP127</f>
        <v>7230</v>
      </c>
      <c r="G119" s="38">
        <f t="shared" si="1"/>
        <v>8005</v>
      </c>
      <c r="H119" s="1">
        <f>怪物标准模型!AR127</f>
        <v>41294</v>
      </c>
      <c r="I119" s="1">
        <f>怪物标准模型!AS127</f>
        <v>123882</v>
      </c>
      <c r="J119" s="1">
        <f>怪物标准模型!AT127</f>
        <v>74330</v>
      </c>
      <c r="K119" s="1">
        <f>怪物标准模型!AU127</f>
        <v>20647</v>
      </c>
      <c r="L119" s="1">
        <f>怪物标准模型!AV127</f>
        <v>6195</v>
      </c>
      <c r="M119" s="1">
        <f>怪物标准模型!AW127</f>
        <v>165176</v>
      </c>
      <c r="N119" s="1">
        <f>怪物标准模型!AX127</f>
        <v>371646</v>
      </c>
    </row>
    <row r="120" spans="2:14">
      <c r="B120" s="4">
        <v>117</v>
      </c>
      <c r="C120" s="1">
        <f>怪物标准模型!AY128</f>
        <v>3955678</v>
      </c>
      <c r="D120" s="1">
        <f>怪物标准模型!AM128</f>
        <v>7340</v>
      </c>
      <c r="E120" s="1">
        <f>怪物标准模型!AN128</f>
        <v>8087</v>
      </c>
      <c r="F120" s="37">
        <f>怪物标准模型!AP128</f>
        <v>7340</v>
      </c>
      <c r="G120" s="38">
        <f t="shared" si="1"/>
        <v>8087</v>
      </c>
      <c r="H120" s="1">
        <f>怪物标准模型!AR128</f>
        <v>42011</v>
      </c>
      <c r="I120" s="1">
        <f>怪物标准模型!AS128</f>
        <v>126033</v>
      </c>
      <c r="J120" s="1">
        <f>怪物标准模型!AT128</f>
        <v>75620</v>
      </c>
      <c r="K120" s="1">
        <f>怪物标准模型!AU128</f>
        <v>21006</v>
      </c>
      <c r="L120" s="1">
        <f>怪物标准模型!AV128</f>
        <v>6302</v>
      </c>
      <c r="M120" s="1">
        <f>怪物标准模型!AW128</f>
        <v>168044</v>
      </c>
      <c r="N120" s="1">
        <f>怪物标准模型!AX128</f>
        <v>378099</v>
      </c>
    </row>
    <row r="121" spans="2:14">
      <c r="B121" s="4">
        <v>118</v>
      </c>
      <c r="C121" s="1">
        <f>怪物标准模型!AY129</f>
        <v>4032046</v>
      </c>
      <c r="D121" s="1">
        <f>怪物标准模型!AM129</f>
        <v>7451</v>
      </c>
      <c r="E121" s="1">
        <f>怪物标准模型!AN129</f>
        <v>8170</v>
      </c>
      <c r="F121" s="37">
        <f>怪物标准模型!AP129</f>
        <v>7451</v>
      </c>
      <c r="G121" s="38">
        <f t="shared" si="1"/>
        <v>8170</v>
      </c>
      <c r="H121" s="1">
        <f>怪物标准模型!AR129</f>
        <v>42737</v>
      </c>
      <c r="I121" s="1">
        <f>怪物标准模型!AS129</f>
        <v>128211</v>
      </c>
      <c r="J121" s="1">
        <f>怪物标准模型!AT129</f>
        <v>76927</v>
      </c>
      <c r="K121" s="1">
        <f>怪物标准模型!AU129</f>
        <v>21369</v>
      </c>
      <c r="L121" s="1">
        <f>怪物标准模型!AV129</f>
        <v>6411</v>
      </c>
      <c r="M121" s="1">
        <f>怪物标准模型!AW129</f>
        <v>170948</v>
      </c>
      <c r="N121" s="1">
        <f>怪物标准模型!AX129</f>
        <v>384633</v>
      </c>
    </row>
    <row r="122" spans="2:14">
      <c r="B122" s="4">
        <v>119</v>
      </c>
      <c r="C122" s="1">
        <f>怪物标准模型!AY130</f>
        <v>4109444</v>
      </c>
      <c r="D122" s="1">
        <f>怪物标准模型!AM130</f>
        <v>7563</v>
      </c>
      <c r="E122" s="1">
        <f>怪物标准模型!AN130</f>
        <v>8253</v>
      </c>
      <c r="F122" s="37">
        <f>怪物标准模型!AP130</f>
        <v>7563</v>
      </c>
      <c r="G122" s="38">
        <f t="shared" si="1"/>
        <v>8253</v>
      </c>
      <c r="H122" s="1">
        <f>怪物标准模型!AR130</f>
        <v>43471</v>
      </c>
      <c r="I122" s="1">
        <f>怪物标准模型!AS130</f>
        <v>130413</v>
      </c>
      <c r="J122" s="1">
        <f>怪物标准模型!AT130</f>
        <v>78248</v>
      </c>
      <c r="K122" s="1">
        <f>怪物标准模型!AU130</f>
        <v>21736</v>
      </c>
      <c r="L122" s="1">
        <f>怪物标准模型!AV130</f>
        <v>6521</v>
      </c>
      <c r="M122" s="1">
        <f>怪物标准模型!AW130</f>
        <v>173884</v>
      </c>
      <c r="N122" s="1">
        <f>怪物标准模型!AX130</f>
        <v>391239</v>
      </c>
    </row>
    <row r="123" spans="2:14">
      <c r="B123" s="4">
        <v>120</v>
      </c>
      <c r="C123" s="1">
        <f>怪物标准模型!AY131</f>
        <v>4187812</v>
      </c>
      <c r="D123" s="1">
        <f>怪物标准模型!AM131</f>
        <v>7676</v>
      </c>
      <c r="E123" s="1">
        <f>怪物标准模型!AN131</f>
        <v>8336</v>
      </c>
      <c r="F123" s="37">
        <f>怪物标准模型!AP131</f>
        <v>7676</v>
      </c>
      <c r="G123" s="38">
        <f t="shared" si="1"/>
        <v>8336</v>
      </c>
      <c r="H123" s="1">
        <f>怪物标准模型!AR131</f>
        <v>44214</v>
      </c>
      <c r="I123" s="1">
        <f>怪物标准模型!AS131</f>
        <v>132642</v>
      </c>
      <c r="J123" s="1">
        <f>怪物标准模型!AT131</f>
        <v>79586</v>
      </c>
      <c r="K123" s="1">
        <f>怪物标准模型!AU131</f>
        <v>22107</v>
      </c>
      <c r="L123" s="1">
        <f>怪物标准模型!AV131</f>
        <v>6633</v>
      </c>
      <c r="M123" s="1">
        <f>怪物标准模型!AW131</f>
        <v>176856</v>
      </c>
      <c r="N123" s="1">
        <f>怪物标准模型!AX131</f>
        <v>397926</v>
      </c>
    </row>
    <row r="124" spans="2:14">
      <c r="B124" s="4">
        <v>121</v>
      </c>
      <c r="C124" s="1">
        <f>怪物标准模型!AY132</f>
        <v>4267210</v>
      </c>
      <c r="D124" s="1">
        <f>怪物标准模型!AM132</f>
        <v>7790</v>
      </c>
      <c r="E124" s="1">
        <f>怪物标准模型!AN132</f>
        <v>8419</v>
      </c>
      <c r="F124" s="37">
        <f>怪物标准模型!AP132</f>
        <v>7790</v>
      </c>
      <c r="G124" s="38">
        <f t="shared" si="1"/>
        <v>8419</v>
      </c>
      <c r="H124" s="1">
        <f>怪物标准模型!AR132</f>
        <v>44965</v>
      </c>
      <c r="I124" s="1">
        <f>怪物标准模型!AS132</f>
        <v>134895</v>
      </c>
      <c r="J124" s="1">
        <f>怪物标准模型!AT132</f>
        <v>80937</v>
      </c>
      <c r="K124" s="1">
        <f>怪物标准模型!AU132</f>
        <v>22483</v>
      </c>
      <c r="L124" s="1">
        <f>怪物标准模型!AV132</f>
        <v>6745</v>
      </c>
      <c r="M124" s="1">
        <f>怪物标准模型!AW132</f>
        <v>179860</v>
      </c>
      <c r="N124" s="1">
        <f>怪物标准模型!AX132</f>
        <v>404685</v>
      </c>
    </row>
    <row r="125" spans="2:14">
      <c r="B125" s="4">
        <v>122</v>
      </c>
      <c r="C125" s="1">
        <f>怪物标准模型!AY133</f>
        <v>4347578</v>
      </c>
      <c r="D125" s="1">
        <f>怪物标准模型!AM133</f>
        <v>7905</v>
      </c>
      <c r="E125" s="1">
        <f>怪物标准模型!AN133</f>
        <v>8502</v>
      </c>
      <c r="F125" s="37">
        <f>怪物标准模型!AP133</f>
        <v>7905</v>
      </c>
      <c r="G125" s="38">
        <f t="shared" si="1"/>
        <v>8502</v>
      </c>
      <c r="H125" s="1">
        <f>怪物标准模型!AR133</f>
        <v>45725</v>
      </c>
      <c r="I125" s="1">
        <f>怪物标准模型!AS133</f>
        <v>137175</v>
      </c>
      <c r="J125" s="1">
        <f>怪物标准模型!AT133</f>
        <v>82305</v>
      </c>
      <c r="K125" s="1">
        <f>怪物标准模型!AU133</f>
        <v>22863</v>
      </c>
      <c r="L125" s="1">
        <f>怪物标准模型!AV133</f>
        <v>6859</v>
      </c>
      <c r="M125" s="1">
        <f>怪物标准模型!AW133</f>
        <v>182900</v>
      </c>
      <c r="N125" s="1">
        <f>怪物标准模型!AX133</f>
        <v>411525</v>
      </c>
    </row>
    <row r="126" spans="2:14">
      <c r="B126" s="4">
        <v>123</v>
      </c>
      <c r="C126" s="1">
        <f>怪物标准模型!AY134</f>
        <v>4428975</v>
      </c>
      <c r="D126" s="1">
        <f>怪物标准模型!AM134</f>
        <v>8021</v>
      </c>
      <c r="E126" s="1">
        <f>怪物标准模型!AN134</f>
        <v>8586</v>
      </c>
      <c r="F126" s="37">
        <f>怪物标准模型!AP134</f>
        <v>8021</v>
      </c>
      <c r="G126" s="38">
        <f t="shared" si="1"/>
        <v>8586</v>
      </c>
      <c r="H126" s="1">
        <f>怪物标准模型!AR134</f>
        <v>46493</v>
      </c>
      <c r="I126" s="1">
        <f>怪物标准模型!AS134</f>
        <v>139479</v>
      </c>
      <c r="J126" s="1">
        <f>怪物标准模型!AT134</f>
        <v>83688</v>
      </c>
      <c r="K126" s="1">
        <f>怪物标准模型!AU134</f>
        <v>23247</v>
      </c>
      <c r="L126" s="1">
        <f>怪物标准模型!AV134</f>
        <v>6974</v>
      </c>
      <c r="M126" s="1">
        <f>怪物标准模型!AW134</f>
        <v>185972</v>
      </c>
      <c r="N126" s="1">
        <f>怪物标准模型!AX134</f>
        <v>418437</v>
      </c>
    </row>
    <row r="127" spans="2:14">
      <c r="B127" s="4">
        <v>124</v>
      </c>
      <c r="C127" s="1">
        <f>怪物标准模型!AY135</f>
        <v>4511461</v>
      </c>
      <c r="D127" s="1">
        <f>怪物标准模型!AM135</f>
        <v>8139</v>
      </c>
      <c r="E127" s="1">
        <f>怪物标准模型!AN135</f>
        <v>8670</v>
      </c>
      <c r="F127" s="37">
        <f>怪物标准模型!AP135</f>
        <v>8139</v>
      </c>
      <c r="G127" s="38">
        <f t="shared" si="1"/>
        <v>8670</v>
      </c>
      <c r="H127" s="1">
        <f>怪物标准模型!AR135</f>
        <v>47269</v>
      </c>
      <c r="I127" s="1">
        <f>怪物标准模型!AS135</f>
        <v>141807</v>
      </c>
      <c r="J127" s="1">
        <f>怪物标准模型!AT135</f>
        <v>85085</v>
      </c>
      <c r="K127" s="1">
        <f>怪物标准模型!AU135</f>
        <v>23635</v>
      </c>
      <c r="L127" s="1">
        <f>怪物标准模型!AV135</f>
        <v>7091</v>
      </c>
      <c r="M127" s="1">
        <f>怪物标准模型!AW135</f>
        <v>189076</v>
      </c>
      <c r="N127" s="1">
        <f>怪物标准模型!AX135</f>
        <v>425421</v>
      </c>
    </row>
    <row r="128" spans="2:14">
      <c r="B128" s="4">
        <v>125</v>
      </c>
      <c r="C128" s="1">
        <f>怪物标准模型!AY136</f>
        <v>4594917</v>
      </c>
      <c r="D128" s="1">
        <f>怪物标准模型!AM136</f>
        <v>8257</v>
      </c>
      <c r="E128" s="1">
        <f>怪物标准模型!AN136</f>
        <v>8754</v>
      </c>
      <c r="F128" s="37">
        <f>怪物标准模型!AP136</f>
        <v>8257</v>
      </c>
      <c r="G128" s="38">
        <f t="shared" si="1"/>
        <v>8754</v>
      </c>
      <c r="H128" s="1">
        <f>怪物标准模型!AR136</f>
        <v>48055</v>
      </c>
      <c r="I128" s="1">
        <f>怪物标准模型!AS136</f>
        <v>144165</v>
      </c>
      <c r="J128" s="1">
        <f>怪物标准模型!AT136</f>
        <v>86499</v>
      </c>
      <c r="K128" s="1">
        <f>怪物标准模型!AU136</f>
        <v>24028</v>
      </c>
      <c r="L128" s="1">
        <f>怪物标准模型!AV136</f>
        <v>7209</v>
      </c>
      <c r="M128" s="1">
        <f>怪物标准模型!AW136</f>
        <v>192220</v>
      </c>
      <c r="N128" s="1">
        <f>怪物标准模型!AX136</f>
        <v>432495</v>
      </c>
    </row>
    <row r="129" spans="2:14">
      <c r="B129" s="4">
        <v>126</v>
      </c>
      <c r="C129" s="1">
        <f>怪物标准模型!AY137</f>
        <v>4679461</v>
      </c>
      <c r="D129" s="1">
        <f>怪物标准模型!AM137</f>
        <v>8376</v>
      </c>
      <c r="E129" s="1">
        <f>怪物标准模型!AN137</f>
        <v>8838</v>
      </c>
      <c r="F129" s="37">
        <f>怪物标准模型!AP137</f>
        <v>8376</v>
      </c>
      <c r="G129" s="38">
        <f t="shared" si="1"/>
        <v>8838</v>
      </c>
      <c r="H129" s="1">
        <f>怪物标准模型!AR137</f>
        <v>48849</v>
      </c>
      <c r="I129" s="1">
        <f>怪物标准模型!AS137</f>
        <v>146547</v>
      </c>
      <c r="J129" s="1">
        <f>怪物标准模型!AT137</f>
        <v>87929</v>
      </c>
      <c r="K129" s="1">
        <f>怪物标准模型!AU137</f>
        <v>24425</v>
      </c>
      <c r="L129" s="1">
        <f>怪物标准模型!AV137</f>
        <v>7328</v>
      </c>
      <c r="M129" s="1">
        <f>怪物标准模型!AW137</f>
        <v>195396</v>
      </c>
      <c r="N129" s="1">
        <f>怪物标准模型!AX137</f>
        <v>439641</v>
      </c>
    </row>
    <row r="130" spans="2:14">
      <c r="B130" s="4">
        <v>127</v>
      </c>
      <c r="C130" s="1">
        <f>怪物标准模型!AY138</f>
        <v>4765094</v>
      </c>
      <c r="D130" s="1">
        <f>怪物标准模型!AM138</f>
        <v>8496</v>
      </c>
      <c r="E130" s="1">
        <f>怪物标准模型!AN138</f>
        <v>8923</v>
      </c>
      <c r="F130" s="37">
        <f>怪物标准模型!AP138</f>
        <v>8496</v>
      </c>
      <c r="G130" s="38">
        <f t="shared" si="1"/>
        <v>8923</v>
      </c>
      <c r="H130" s="1">
        <f>怪物标准模型!AR138</f>
        <v>49652</v>
      </c>
      <c r="I130" s="1">
        <f>怪物标准模型!AS138</f>
        <v>148956</v>
      </c>
      <c r="J130" s="1">
        <f>怪物标准模型!AT138</f>
        <v>89374</v>
      </c>
      <c r="K130" s="1">
        <f>怪物标准模型!AU138</f>
        <v>24826</v>
      </c>
      <c r="L130" s="1">
        <f>怪物标准模型!AV138</f>
        <v>7448</v>
      </c>
      <c r="M130" s="1">
        <f>怪物标准模型!AW138</f>
        <v>198608</v>
      </c>
      <c r="N130" s="1">
        <f>怪物标准模型!AX138</f>
        <v>446868</v>
      </c>
    </row>
    <row r="131" spans="2:14">
      <c r="B131" s="4">
        <v>128</v>
      </c>
      <c r="C131" s="1">
        <f>怪物标准模型!AY139</f>
        <v>4851696</v>
      </c>
      <c r="D131" s="1">
        <f>怪物标准模型!AM139</f>
        <v>8618</v>
      </c>
      <c r="E131" s="1">
        <f>怪物标准模型!AN139</f>
        <v>9008</v>
      </c>
      <c r="F131" s="37">
        <f>怪物标准模型!AP139</f>
        <v>8618</v>
      </c>
      <c r="G131" s="38">
        <f t="shared" si="1"/>
        <v>9008</v>
      </c>
      <c r="H131" s="1">
        <f>怪物标准模型!AR139</f>
        <v>50464</v>
      </c>
      <c r="I131" s="1">
        <f>怪物标准模型!AS139</f>
        <v>151392</v>
      </c>
      <c r="J131" s="1">
        <f>怪物标准模型!AT139</f>
        <v>90836</v>
      </c>
      <c r="K131" s="1">
        <f>怪物标准模型!AU139</f>
        <v>25232</v>
      </c>
      <c r="L131" s="1">
        <f>怪物标准模型!AV139</f>
        <v>7570</v>
      </c>
      <c r="M131" s="1">
        <f>怪物标准模型!AW139</f>
        <v>201856</v>
      </c>
      <c r="N131" s="1">
        <f>怪物标准模型!AX139</f>
        <v>454176</v>
      </c>
    </row>
    <row r="132" spans="2:14">
      <c r="B132" s="4">
        <v>129</v>
      </c>
      <c r="C132" s="1">
        <f>怪物标准模型!AY140</f>
        <v>4939445</v>
      </c>
      <c r="D132" s="1">
        <f>怪物标准模型!AM140</f>
        <v>8740</v>
      </c>
      <c r="E132" s="1">
        <f>怪物标准模型!AN140</f>
        <v>9093</v>
      </c>
      <c r="F132" s="37">
        <f>怪物标准模型!AP140</f>
        <v>8740</v>
      </c>
      <c r="G132" s="38">
        <f t="shared" ref="G132:G195" si="2">E132</f>
        <v>9093</v>
      </c>
      <c r="H132" s="1">
        <f>怪物标准模型!AR140</f>
        <v>51285</v>
      </c>
      <c r="I132" s="1">
        <f>怪物标准模型!AS140</f>
        <v>153855</v>
      </c>
      <c r="J132" s="1">
        <f>怪物标准模型!AT140</f>
        <v>92313</v>
      </c>
      <c r="K132" s="1">
        <f>怪物标准模型!AU140</f>
        <v>25643</v>
      </c>
      <c r="L132" s="1">
        <f>怪物标准模型!AV140</f>
        <v>7693</v>
      </c>
      <c r="M132" s="1">
        <f>怪物标准模型!AW140</f>
        <v>205140</v>
      </c>
      <c r="N132" s="1">
        <f>怪物标准模型!AX140</f>
        <v>461565</v>
      </c>
    </row>
    <row r="133" spans="2:14">
      <c r="B133" s="4">
        <v>130</v>
      </c>
      <c r="C133" s="1">
        <f>怪物标准模型!AY141</f>
        <v>5028223</v>
      </c>
      <c r="D133" s="1">
        <f>怪物标准模型!AM141</f>
        <v>8864</v>
      </c>
      <c r="E133" s="1">
        <f>怪物标准模型!AN141</f>
        <v>9178</v>
      </c>
      <c r="F133" s="37">
        <f>怪物标准模型!AP141</f>
        <v>8864</v>
      </c>
      <c r="G133" s="38">
        <f t="shared" si="2"/>
        <v>9178</v>
      </c>
      <c r="H133" s="1">
        <f>怪物标准模型!AR141</f>
        <v>52114</v>
      </c>
      <c r="I133" s="1">
        <f>怪物标准模型!AS141</f>
        <v>156342</v>
      </c>
      <c r="J133" s="1">
        <f>怪物标准模型!AT141</f>
        <v>93806</v>
      </c>
      <c r="K133" s="1">
        <f>怪物标准模型!AU141</f>
        <v>26057</v>
      </c>
      <c r="L133" s="1">
        <f>怪物标准模型!AV141</f>
        <v>7818</v>
      </c>
      <c r="M133" s="1">
        <f>怪物标准模型!AW141</f>
        <v>208456</v>
      </c>
      <c r="N133" s="1">
        <f>怪物标准模型!AX141</f>
        <v>469026</v>
      </c>
    </row>
    <row r="134" spans="2:14">
      <c r="B134" s="4">
        <v>131</v>
      </c>
      <c r="C134" s="1">
        <f>怪物标准模型!AY142</f>
        <v>5118149</v>
      </c>
      <c r="D134" s="1">
        <f>怪物标准模型!AM142</f>
        <v>8989</v>
      </c>
      <c r="E134" s="1">
        <f>怪物标准模型!AN142</f>
        <v>9264</v>
      </c>
      <c r="F134" s="37">
        <f>怪物标准模型!AP142</f>
        <v>8989</v>
      </c>
      <c r="G134" s="38">
        <f t="shared" si="2"/>
        <v>9264</v>
      </c>
      <c r="H134" s="1">
        <f>怪物标准模型!AR142</f>
        <v>52953</v>
      </c>
      <c r="I134" s="1">
        <f>怪物标准模型!AS142</f>
        <v>158859</v>
      </c>
      <c r="J134" s="1">
        <f>怪物标准模型!AT142</f>
        <v>95316</v>
      </c>
      <c r="K134" s="1">
        <f>怪物标准模型!AU142</f>
        <v>26477</v>
      </c>
      <c r="L134" s="1">
        <f>怪物标准模型!AV142</f>
        <v>7943</v>
      </c>
      <c r="M134" s="1">
        <f>怪物标准模型!AW142</f>
        <v>211812</v>
      </c>
      <c r="N134" s="1">
        <f>怪物标准模型!AX142</f>
        <v>476577</v>
      </c>
    </row>
    <row r="135" spans="2:14">
      <c r="B135" s="4">
        <v>132</v>
      </c>
      <c r="C135" s="1">
        <f>怪物标准模型!AY143</f>
        <v>5209102</v>
      </c>
      <c r="D135" s="1">
        <f>怪物标准模型!AM143</f>
        <v>9114</v>
      </c>
      <c r="E135" s="1">
        <f>怪物标准模型!AN143</f>
        <v>9349</v>
      </c>
      <c r="F135" s="37">
        <f>怪物标准模型!AP143</f>
        <v>9114</v>
      </c>
      <c r="G135" s="38">
        <f t="shared" si="2"/>
        <v>9349</v>
      </c>
      <c r="H135" s="1">
        <f>怪物标准模型!AR143</f>
        <v>53801</v>
      </c>
      <c r="I135" s="1">
        <f>怪物标准模型!AS143</f>
        <v>161403</v>
      </c>
      <c r="J135" s="1">
        <f>怪物标准模型!AT143</f>
        <v>96842</v>
      </c>
      <c r="K135" s="1">
        <f>怪物标准模型!AU143</f>
        <v>26901</v>
      </c>
      <c r="L135" s="1">
        <f>怪物标准模型!AV143</f>
        <v>8071</v>
      </c>
      <c r="M135" s="1">
        <f>怪物标准模型!AW143</f>
        <v>215204</v>
      </c>
      <c r="N135" s="1">
        <f>怪物标准模型!AX143</f>
        <v>484209</v>
      </c>
    </row>
    <row r="136" spans="2:14">
      <c r="B136" s="4">
        <v>133</v>
      </c>
      <c r="C136" s="1">
        <f>怪物标准模型!AY144</f>
        <v>5301142</v>
      </c>
      <c r="D136" s="1">
        <f>怪物标准模型!AM144</f>
        <v>9241</v>
      </c>
      <c r="E136" s="1">
        <f>怪物标准模型!AN144</f>
        <v>9435</v>
      </c>
      <c r="F136" s="37">
        <f>怪物标准模型!AP144</f>
        <v>9241</v>
      </c>
      <c r="G136" s="38">
        <f t="shared" si="2"/>
        <v>9435</v>
      </c>
      <c r="H136" s="1">
        <f>怪物标准模型!AR144</f>
        <v>54658</v>
      </c>
      <c r="I136" s="1">
        <f>怪物标准模型!AS144</f>
        <v>163974</v>
      </c>
      <c r="J136" s="1">
        <f>怪物标准模型!AT144</f>
        <v>98385</v>
      </c>
      <c r="K136" s="1">
        <f>怪物标准模型!AU144</f>
        <v>27329</v>
      </c>
      <c r="L136" s="1">
        <f>怪物标准模型!AV144</f>
        <v>8199</v>
      </c>
      <c r="M136" s="1">
        <f>怪物标准模型!AW144</f>
        <v>218632</v>
      </c>
      <c r="N136" s="1">
        <f>怪物标准模型!AX144</f>
        <v>491922</v>
      </c>
    </row>
    <row r="137" spans="2:14">
      <c r="B137" s="4">
        <v>134</v>
      </c>
      <c r="C137" s="1">
        <f>怪物标准模型!AY145</f>
        <v>5394330</v>
      </c>
      <c r="D137" s="1">
        <f>怪物标准模型!AM145</f>
        <v>9369</v>
      </c>
      <c r="E137" s="1">
        <f>怪物标准模型!AN145</f>
        <v>9522</v>
      </c>
      <c r="F137" s="37">
        <f>怪物标准模型!AP145</f>
        <v>9369</v>
      </c>
      <c r="G137" s="38">
        <f t="shared" si="2"/>
        <v>9522</v>
      </c>
      <c r="H137" s="1">
        <f>怪物标准模型!AR145</f>
        <v>55525</v>
      </c>
      <c r="I137" s="1">
        <f>怪物标准模型!AS145</f>
        <v>166575</v>
      </c>
      <c r="J137" s="1">
        <f>怪物标准模型!AT145</f>
        <v>99945</v>
      </c>
      <c r="K137" s="1">
        <f>怪物标准模型!AU145</f>
        <v>27763</v>
      </c>
      <c r="L137" s="1">
        <f>怪物标准模型!AV145</f>
        <v>8329</v>
      </c>
      <c r="M137" s="1">
        <f>怪物标准模型!AW145</f>
        <v>222100</v>
      </c>
      <c r="N137" s="1">
        <f>怪物标准模型!AX145</f>
        <v>499725</v>
      </c>
    </row>
    <row r="138" spans="2:14">
      <c r="B138" s="4">
        <v>135</v>
      </c>
      <c r="C138" s="1">
        <f>怪物标准模型!AY146</f>
        <v>5488605</v>
      </c>
      <c r="D138" s="1">
        <f>怪物标准模型!AM146</f>
        <v>9498</v>
      </c>
      <c r="E138" s="1">
        <f>怪物标准模型!AN146</f>
        <v>9608</v>
      </c>
      <c r="F138" s="37">
        <f>怪物标准模型!AP146</f>
        <v>9498</v>
      </c>
      <c r="G138" s="38">
        <f t="shared" si="2"/>
        <v>9608</v>
      </c>
      <c r="H138" s="1">
        <f>怪物标准模型!AR146</f>
        <v>56401</v>
      </c>
      <c r="I138" s="1">
        <f>怪物标准模型!AS146</f>
        <v>169203</v>
      </c>
      <c r="J138" s="1">
        <f>怪物标准模型!AT146</f>
        <v>101522</v>
      </c>
      <c r="K138" s="1">
        <f>怪物标准模型!AU146</f>
        <v>28201</v>
      </c>
      <c r="L138" s="1">
        <f>怪物标准模型!AV146</f>
        <v>8461</v>
      </c>
      <c r="M138" s="1">
        <f>怪物标准模型!AW146</f>
        <v>225604</v>
      </c>
      <c r="N138" s="1">
        <f>怪物标准模型!AX146</f>
        <v>507609</v>
      </c>
    </row>
    <row r="139" spans="2:14">
      <c r="B139" s="4">
        <v>136</v>
      </c>
      <c r="C139" s="1">
        <f>怪物标准模型!AY147</f>
        <v>5584027</v>
      </c>
      <c r="D139" s="1">
        <f>怪物标准模型!AM147</f>
        <v>9628</v>
      </c>
      <c r="E139" s="1">
        <f>怪物标准模型!AN147</f>
        <v>9695</v>
      </c>
      <c r="F139" s="37">
        <f>怪物标准模型!AP147</f>
        <v>9628</v>
      </c>
      <c r="G139" s="38">
        <f t="shared" si="2"/>
        <v>9695</v>
      </c>
      <c r="H139" s="1">
        <f>怪物标准模型!AR147</f>
        <v>57286</v>
      </c>
      <c r="I139" s="1">
        <f>怪物标准模型!AS147</f>
        <v>171858</v>
      </c>
      <c r="J139" s="1">
        <f>怪物标准模型!AT147</f>
        <v>103115</v>
      </c>
      <c r="K139" s="1">
        <f>怪物标准模型!AU147</f>
        <v>28643</v>
      </c>
      <c r="L139" s="1">
        <f>怪物标准模型!AV147</f>
        <v>8593</v>
      </c>
      <c r="M139" s="1">
        <f>怪物标准模型!AW147</f>
        <v>229144</v>
      </c>
      <c r="N139" s="1">
        <f>怪物标准模型!AX147</f>
        <v>515574</v>
      </c>
    </row>
    <row r="140" spans="2:14">
      <c r="B140" s="4">
        <v>137</v>
      </c>
      <c r="C140" s="1">
        <f>怪物标准模型!AY148</f>
        <v>5680596</v>
      </c>
      <c r="D140" s="1">
        <f>怪物标准模型!AM148</f>
        <v>9759</v>
      </c>
      <c r="E140" s="1">
        <f>怪物标准模型!AN148</f>
        <v>9782</v>
      </c>
      <c r="F140" s="37">
        <f>怪物标准模型!AP148</f>
        <v>9759</v>
      </c>
      <c r="G140" s="38">
        <f t="shared" si="2"/>
        <v>9782</v>
      </c>
      <c r="H140" s="1">
        <f>怪物标准模型!AR148</f>
        <v>58180</v>
      </c>
      <c r="I140" s="1">
        <f>怪物标准模型!AS148</f>
        <v>174540</v>
      </c>
      <c r="J140" s="1">
        <f>怪物标准模型!AT148</f>
        <v>104724</v>
      </c>
      <c r="K140" s="1">
        <f>怪物标准模型!AU148</f>
        <v>29090</v>
      </c>
      <c r="L140" s="1">
        <f>怪物标准模型!AV148</f>
        <v>8727</v>
      </c>
      <c r="M140" s="1">
        <f>怪物标准模型!AW148</f>
        <v>232720</v>
      </c>
      <c r="N140" s="1">
        <f>怪物标准模型!AX148</f>
        <v>523620</v>
      </c>
    </row>
    <row r="141" spans="2:14">
      <c r="B141" s="4">
        <v>138</v>
      </c>
      <c r="C141" s="1">
        <f>怪物标准模型!AY149</f>
        <v>5778251</v>
      </c>
      <c r="D141" s="1">
        <f>怪物标准模型!AM149</f>
        <v>9892</v>
      </c>
      <c r="E141" s="1">
        <f>怪物标准模型!AN149</f>
        <v>9869</v>
      </c>
      <c r="F141" s="37">
        <f>怪物标准模型!AP149</f>
        <v>9892</v>
      </c>
      <c r="G141" s="38">
        <f t="shared" si="2"/>
        <v>9869</v>
      </c>
      <c r="H141" s="1">
        <f>怪物标准模型!AR149</f>
        <v>59084</v>
      </c>
      <c r="I141" s="1">
        <f>怪物标准模型!AS149</f>
        <v>177252</v>
      </c>
      <c r="J141" s="1">
        <f>怪物标准模型!AT149</f>
        <v>106352</v>
      </c>
      <c r="K141" s="1">
        <f>怪物标准模型!AU149</f>
        <v>29542</v>
      </c>
      <c r="L141" s="1">
        <f>怪物标准模型!AV149</f>
        <v>8863</v>
      </c>
      <c r="M141" s="1">
        <f>怪物标准模型!AW149</f>
        <v>236336</v>
      </c>
      <c r="N141" s="1">
        <f>怪物标准模型!AX149</f>
        <v>531756</v>
      </c>
    </row>
    <row r="142" spans="2:14">
      <c r="B142" s="4">
        <v>139</v>
      </c>
      <c r="C142" s="1">
        <f>怪物标准模型!AY150</f>
        <v>5877112</v>
      </c>
      <c r="D142" s="1">
        <f>怪物标准模型!AM150</f>
        <v>10025</v>
      </c>
      <c r="E142" s="1">
        <f>怪物标准模型!AN150</f>
        <v>9956</v>
      </c>
      <c r="F142" s="37">
        <f>怪物标准模型!AP150</f>
        <v>10025</v>
      </c>
      <c r="G142" s="38">
        <f t="shared" si="2"/>
        <v>9956</v>
      </c>
      <c r="H142" s="1">
        <f>怪物标准模型!AR150</f>
        <v>59998</v>
      </c>
      <c r="I142" s="1">
        <f>怪物标准模型!AS150</f>
        <v>179994</v>
      </c>
      <c r="J142" s="1">
        <f>怪物标准模型!AT150</f>
        <v>107997</v>
      </c>
      <c r="K142" s="1">
        <f>怪物标准模型!AU150</f>
        <v>29999</v>
      </c>
      <c r="L142" s="1">
        <f>怪物标准模型!AV150</f>
        <v>9000</v>
      </c>
      <c r="M142" s="1">
        <f>怪物标准模型!AW150</f>
        <v>239992</v>
      </c>
      <c r="N142" s="1">
        <f>怪物标准模型!AX150</f>
        <v>539982</v>
      </c>
    </row>
    <row r="143" spans="2:14">
      <c r="B143" s="4">
        <v>140</v>
      </c>
      <c r="C143" s="1">
        <f>怪物标准模型!AY151</f>
        <v>5977120</v>
      </c>
      <c r="D143" s="1">
        <f>怪物标准模型!AM151</f>
        <v>10160</v>
      </c>
      <c r="E143" s="1">
        <f>怪物标准模型!AN151</f>
        <v>10043</v>
      </c>
      <c r="F143" s="37">
        <f>怪物标准模型!AP151</f>
        <v>10160</v>
      </c>
      <c r="G143" s="38">
        <f t="shared" si="2"/>
        <v>10043</v>
      </c>
      <c r="H143" s="1">
        <f>怪物标准模型!AR151</f>
        <v>60921</v>
      </c>
      <c r="I143" s="1">
        <f>怪物标准模型!AS151</f>
        <v>182763</v>
      </c>
      <c r="J143" s="1">
        <f>怪物标准模型!AT151</f>
        <v>109658</v>
      </c>
      <c r="K143" s="1">
        <f>怪物标准模型!AU151</f>
        <v>30461</v>
      </c>
      <c r="L143" s="1">
        <f>怪物标准模型!AV151</f>
        <v>9139</v>
      </c>
      <c r="M143" s="1">
        <f>怪物标准模型!AW151</f>
        <v>243684</v>
      </c>
      <c r="N143" s="1">
        <f>怪物标准模型!AX151</f>
        <v>548289</v>
      </c>
    </row>
    <row r="144" spans="2:14">
      <c r="B144" s="4">
        <v>141</v>
      </c>
      <c r="C144" s="1">
        <f>怪物标准模型!AY152</f>
        <v>6078214</v>
      </c>
      <c r="D144" s="1">
        <f>怪物标准模型!AM152</f>
        <v>10295</v>
      </c>
      <c r="E144" s="1">
        <f>怪物标准模型!AN152</f>
        <v>10131</v>
      </c>
      <c r="F144" s="37">
        <f>怪物标准模型!AP152</f>
        <v>10295</v>
      </c>
      <c r="G144" s="38">
        <f t="shared" si="2"/>
        <v>10131</v>
      </c>
      <c r="H144" s="1">
        <f>怪物标准模型!AR152</f>
        <v>61854</v>
      </c>
      <c r="I144" s="1">
        <f>怪物标准模型!AS152</f>
        <v>185562</v>
      </c>
      <c r="J144" s="1">
        <f>怪物标准模型!AT152</f>
        <v>111338</v>
      </c>
      <c r="K144" s="1">
        <f>怪物标准模型!AU152</f>
        <v>30927</v>
      </c>
      <c r="L144" s="1">
        <f>怪物标准模型!AV152</f>
        <v>9279</v>
      </c>
      <c r="M144" s="1">
        <f>怪物标准模型!AW152</f>
        <v>247416</v>
      </c>
      <c r="N144" s="1">
        <f>怪物标准模型!AX152</f>
        <v>556686</v>
      </c>
    </row>
    <row r="145" spans="2:14">
      <c r="B145" s="4">
        <v>142</v>
      </c>
      <c r="C145" s="1">
        <f>怪物标准模型!AY153</f>
        <v>6180573</v>
      </c>
      <c r="D145" s="1">
        <f>怪物标准模型!AM153</f>
        <v>10432</v>
      </c>
      <c r="E145" s="1">
        <f>怪物标准模型!AN153</f>
        <v>10219</v>
      </c>
      <c r="F145" s="37">
        <f>怪物标准模型!AP153</f>
        <v>10432</v>
      </c>
      <c r="G145" s="38">
        <f t="shared" si="2"/>
        <v>10219</v>
      </c>
      <c r="H145" s="1">
        <f>怪物标准模型!AR153</f>
        <v>62797</v>
      </c>
      <c r="I145" s="1">
        <f>怪物标准模型!AS153</f>
        <v>188391</v>
      </c>
      <c r="J145" s="1">
        <f>怪物标准模型!AT153</f>
        <v>113035</v>
      </c>
      <c r="K145" s="1">
        <f>怪物标准模型!AU153</f>
        <v>31399</v>
      </c>
      <c r="L145" s="1">
        <f>怪物标准模型!AV153</f>
        <v>9420</v>
      </c>
      <c r="M145" s="1">
        <f>怪物标准模型!AW153</f>
        <v>251188</v>
      </c>
      <c r="N145" s="1">
        <f>怪物标准模型!AX153</f>
        <v>565173</v>
      </c>
    </row>
    <row r="146" spans="2:14">
      <c r="B146" s="4">
        <v>143</v>
      </c>
      <c r="C146" s="1">
        <f>怪物标准模型!AY154</f>
        <v>6284078</v>
      </c>
      <c r="D146" s="1">
        <f>怪物标准模型!AM154</f>
        <v>10570</v>
      </c>
      <c r="E146" s="1">
        <f>怪物标准模型!AN154</f>
        <v>10308</v>
      </c>
      <c r="F146" s="37">
        <f>怪物标准模型!AP154</f>
        <v>10570</v>
      </c>
      <c r="G146" s="38">
        <f t="shared" si="2"/>
        <v>10308</v>
      </c>
      <c r="H146" s="1">
        <f>怪物标准模型!AR154</f>
        <v>63750</v>
      </c>
      <c r="I146" s="1">
        <f>怪物标准模型!AS154</f>
        <v>191250</v>
      </c>
      <c r="J146" s="1">
        <f>怪物标准模型!AT154</f>
        <v>114750</v>
      </c>
      <c r="K146" s="1">
        <f>怪物标准模型!AU154</f>
        <v>31875</v>
      </c>
      <c r="L146" s="1">
        <f>怪物标准模型!AV154</f>
        <v>9563</v>
      </c>
      <c r="M146" s="1">
        <f>怪物标准模型!AW154</f>
        <v>255000</v>
      </c>
      <c r="N146" s="1">
        <f>怪物标准模型!AX154</f>
        <v>573750</v>
      </c>
    </row>
    <row r="147" spans="2:14">
      <c r="B147" s="4">
        <v>144</v>
      </c>
      <c r="C147" s="1">
        <f>怪物标准模型!AY155</f>
        <v>6388729</v>
      </c>
      <c r="D147" s="1">
        <f>怪物标准模型!AM155</f>
        <v>10709</v>
      </c>
      <c r="E147" s="1">
        <f>怪物标准模型!AN155</f>
        <v>10396</v>
      </c>
      <c r="F147" s="37">
        <f>怪物标准模型!AP155</f>
        <v>10709</v>
      </c>
      <c r="G147" s="38">
        <f t="shared" si="2"/>
        <v>10396</v>
      </c>
      <c r="H147" s="1">
        <f>怪物标准模型!AR155</f>
        <v>64712</v>
      </c>
      <c r="I147" s="1">
        <f>怪物标准模型!AS155</f>
        <v>194136</v>
      </c>
      <c r="J147" s="1">
        <f>怪物标准模型!AT155</f>
        <v>116482</v>
      </c>
      <c r="K147" s="1">
        <f>怪物标准模型!AU155</f>
        <v>32356</v>
      </c>
      <c r="L147" s="1">
        <f>怪物标准模型!AV155</f>
        <v>9707</v>
      </c>
      <c r="M147" s="1">
        <f>怪物标准模型!AW155</f>
        <v>258848</v>
      </c>
      <c r="N147" s="1">
        <f>怪物标准模型!AX155</f>
        <v>582408</v>
      </c>
    </row>
    <row r="148" spans="2:14">
      <c r="B148" s="4">
        <v>145</v>
      </c>
      <c r="C148" s="1">
        <f>怪物标准模型!AY156</f>
        <v>6494585</v>
      </c>
      <c r="D148" s="1">
        <f>怪物标准模型!AM156</f>
        <v>10850</v>
      </c>
      <c r="E148" s="1">
        <f>怪物标准模型!AN156</f>
        <v>10485</v>
      </c>
      <c r="F148" s="37">
        <f>怪物标准模型!AP156</f>
        <v>10850</v>
      </c>
      <c r="G148" s="38">
        <f t="shared" si="2"/>
        <v>10485</v>
      </c>
      <c r="H148" s="1">
        <f>怪物标准模型!AR156</f>
        <v>65685</v>
      </c>
      <c r="I148" s="1">
        <f>怪物标准模型!AS156</f>
        <v>197055</v>
      </c>
      <c r="J148" s="1">
        <f>怪物标准模型!AT156</f>
        <v>118233</v>
      </c>
      <c r="K148" s="1">
        <f>怪物标准模型!AU156</f>
        <v>32843</v>
      </c>
      <c r="L148" s="1">
        <f>怪物标准模型!AV156</f>
        <v>9853</v>
      </c>
      <c r="M148" s="1">
        <f>怪物标准模型!AW156</f>
        <v>262740</v>
      </c>
      <c r="N148" s="1">
        <f>怪物标准模型!AX156</f>
        <v>591165</v>
      </c>
    </row>
    <row r="149" spans="2:14">
      <c r="B149" s="4">
        <v>146</v>
      </c>
      <c r="C149" s="1">
        <f>怪物标准模型!AY157</f>
        <v>6601707</v>
      </c>
      <c r="D149" s="1">
        <f>怪物标准模型!AM157</f>
        <v>10991</v>
      </c>
      <c r="E149" s="1">
        <f>怪物标准模型!AN157</f>
        <v>10574</v>
      </c>
      <c r="F149" s="37">
        <f>怪物标准模型!AP157</f>
        <v>10991</v>
      </c>
      <c r="G149" s="38">
        <f t="shared" si="2"/>
        <v>10574</v>
      </c>
      <c r="H149" s="1">
        <f>怪物标准模型!AR157</f>
        <v>66667</v>
      </c>
      <c r="I149" s="1">
        <f>怪物标准模型!AS157</f>
        <v>200001</v>
      </c>
      <c r="J149" s="1">
        <f>怪物标准模型!AT157</f>
        <v>120001</v>
      </c>
      <c r="K149" s="1">
        <f>怪物标准模型!AU157</f>
        <v>33334</v>
      </c>
      <c r="L149" s="1">
        <f>怪物标准模型!AV157</f>
        <v>10001</v>
      </c>
      <c r="M149" s="1">
        <f>怪物标准模型!AW157</f>
        <v>266668</v>
      </c>
      <c r="N149" s="1">
        <f>怪物标准模型!AX157</f>
        <v>600003</v>
      </c>
    </row>
    <row r="150" spans="2:14">
      <c r="B150" s="4">
        <v>147</v>
      </c>
      <c r="C150" s="1">
        <f>怪物标准模型!AY158</f>
        <v>6709973</v>
      </c>
      <c r="D150" s="1">
        <f>怪物标准模型!AM158</f>
        <v>11134</v>
      </c>
      <c r="E150" s="1">
        <f>怪物标准模型!AN158</f>
        <v>10663</v>
      </c>
      <c r="F150" s="37">
        <f>怪物标准模型!AP158</f>
        <v>11134</v>
      </c>
      <c r="G150" s="38">
        <f t="shared" si="2"/>
        <v>10663</v>
      </c>
      <c r="H150" s="1">
        <f>怪物标准模型!AR158</f>
        <v>67660</v>
      </c>
      <c r="I150" s="1">
        <f>怪物标准模型!AS158</f>
        <v>202980</v>
      </c>
      <c r="J150" s="1">
        <f>怪物标准模型!AT158</f>
        <v>121788</v>
      </c>
      <c r="K150" s="1">
        <f>怪物标准模型!AU158</f>
        <v>33830</v>
      </c>
      <c r="L150" s="1">
        <f>怪物标准模型!AV158</f>
        <v>10149</v>
      </c>
      <c r="M150" s="1">
        <f>怪物标准模型!AW158</f>
        <v>270640</v>
      </c>
      <c r="N150" s="1">
        <f>怪物标准模型!AX158</f>
        <v>608940</v>
      </c>
    </row>
    <row r="151" spans="2:14">
      <c r="B151" s="4">
        <v>148</v>
      </c>
      <c r="C151" s="1">
        <f>怪物标准模型!AY159</f>
        <v>6819504</v>
      </c>
      <c r="D151" s="1">
        <f>怪物标准模型!AM159</f>
        <v>11278</v>
      </c>
      <c r="E151" s="1">
        <f>怪物标准模型!AN159</f>
        <v>10752</v>
      </c>
      <c r="F151" s="37">
        <f>怪物标准模型!AP159</f>
        <v>11278</v>
      </c>
      <c r="G151" s="38">
        <f t="shared" si="2"/>
        <v>10752</v>
      </c>
      <c r="H151" s="1">
        <f>怪物标准模型!AR159</f>
        <v>68662</v>
      </c>
      <c r="I151" s="1">
        <f>怪物标准模型!AS159</f>
        <v>205986</v>
      </c>
      <c r="J151" s="1">
        <f>怪物标准模型!AT159</f>
        <v>123592</v>
      </c>
      <c r="K151" s="1">
        <f>怪物标准模型!AU159</f>
        <v>34331</v>
      </c>
      <c r="L151" s="1">
        <f>怪物标准模型!AV159</f>
        <v>10300</v>
      </c>
      <c r="M151" s="1">
        <f>怪物标准模型!AW159</f>
        <v>274648</v>
      </c>
      <c r="N151" s="1">
        <f>怪物标准模型!AX159</f>
        <v>617958</v>
      </c>
    </row>
    <row r="152" spans="2:14">
      <c r="B152" s="4">
        <v>149</v>
      </c>
      <c r="C152" s="1">
        <f>怪物标准模型!AY160</f>
        <v>6930241</v>
      </c>
      <c r="D152" s="1">
        <f>怪物标准模型!AM160</f>
        <v>11423</v>
      </c>
      <c r="E152" s="1">
        <f>怪物标准模型!AN160</f>
        <v>10842</v>
      </c>
      <c r="F152" s="37">
        <f>怪物标准模型!AP160</f>
        <v>11423</v>
      </c>
      <c r="G152" s="38">
        <f t="shared" si="2"/>
        <v>10842</v>
      </c>
      <c r="H152" s="1">
        <f>怪物标准模型!AR160</f>
        <v>69675</v>
      </c>
      <c r="I152" s="1">
        <f>怪物标准模型!AS160</f>
        <v>209025</v>
      </c>
      <c r="J152" s="1">
        <f>怪物标准模型!AT160</f>
        <v>125415</v>
      </c>
      <c r="K152" s="1">
        <f>怪物标准模型!AU160</f>
        <v>34838</v>
      </c>
      <c r="L152" s="1">
        <f>怪物标准模型!AV160</f>
        <v>10452</v>
      </c>
      <c r="M152" s="1">
        <f>怪物标准模型!AW160</f>
        <v>278700</v>
      </c>
      <c r="N152" s="1">
        <f>怪物标准模型!AX160</f>
        <v>627075</v>
      </c>
    </row>
    <row r="153" spans="2:14">
      <c r="B153" s="4">
        <v>150</v>
      </c>
      <c r="C153" s="1">
        <f>怪物标准模型!AY161</f>
        <v>7042181</v>
      </c>
      <c r="D153" s="1">
        <f>怪物标准模型!AM161</f>
        <v>11569</v>
      </c>
      <c r="E153" s="1">
        <f>怪物标准模型!AN161</f>
        <v>10931</v>
      </c>
      <c r="F153" s="37">
        <f>怪物标准模型!AP161</f>
        <v>11569</v>
      </c>
      <c r="G153" s="38">
        <f t="shared" si="2"/>
        <v>10931</v>
      </c>
      <c r="H153" s="1">
        <f>怪物标准模型!AR161</f>
        <v>70699</v>
      </c>
      <c r="I153" s="1">
        <f>怪物标准模型!AS161</f>
        <v>212097</v>
      </c>
      <c r="J153" s="1">
        <f>怪物标准模型!AT161</f>
        <v>127259</v>
      </c>
      <c r="K153" s="1">
        <f>怪物标准模型!AU161</f>
        <v>35350</v>
      </c>
      <c r="L153" s="1">
        <f>怪物标准模型!AV161</f>
        <v>10605</v>
      </c>
      <c r="M153" s="1">
        <f>怪物标准模型!AW161</f>
        <v>282796</v>
      </c>
      <c r="N153" s="1">
        <f>怪物标准模型!AX161</f>
        <v>636291</v>
      </c>
    </row>
    <row r="154" spans="2:14">
      <c r="B154" s="4">
        <v>151</v>
      </c>
      <c r="C154" s="1">
        <f>怪物标准模型!AY162</f>
        <v>7155447</v>
      </c>
      <c r="D154" s="1">
        <f>怪物标准模型!AM162</f>
        <v>11716</v>
      </c>
      <c r="E154" s="1">
        <f>怪物标准模型!AN162</f>
        <v>11022</v>
      </c>
      <c r="F154" s="37">
        <f>怪物标准模型!AP162</f>
        <v>11716</v>
      </c>
      <c r="G154" s="38">
        <f t="shared" si="2"/>
        <v>11022</v>
      </c>
      <c r="H154" s="1">
        <f>怪物标准模型!AR162</f>
        <v>71732</v>
      </c>
      <c r="I154" s="1">
        <f>怪物标准模型!AS162</f>
        <v>215196</v>
      </c>
      <c r="J154" s="1">
        <f>怪物标准模型!AT162</f>
        <v>129118</v>
      </c>
      <c r="K154" s="1">
        <f>怪物标准模型!AU162</f>
        <v>35866</v>
      </c>
      <c r="L154" s="1">
        <f>怪物标准模型!AV162</f>
        <v>10760</v>
      </c>
      <c r="M154" s="1">
        <f>怪物标准模型!AW162</f>
        <v>286928</v>
      </c>
      <c r="N154" s="1">
        <f>怪物标准模型!AX162</f>
        <v>645588</v>
      </c>
    </row>
    <row r="155" spans="2:14">
      <c r="B155" s="4">
        <v>152</v>
      </c>
      <c r="C155" s="1">
        <f>怪物标准模型!AY163</f>
        <v>7269916</v>
      </c>
      <c r="D155" s="1">
        <f>怪物标准模型!AM163</f>
        <v>11865</v>
      </c>
      <c r="E155" s="1">
        <f>怪物标准模型!AN163</f>
        <v>11112</v>
      </c>
      <c r="F155" s="37">
        <f>怪物标准模型!AP163</f>
        <v>11865</v>
      </c>
      <c r="G155" s="38">
        <f t="shared" si="2"/>
        <v>11112</v>
      </c>
      <c r="H155" s="1">
        <f>怪物标准模型!AR163</f>
        <v>72776</v>
      </c>
      <c r="I155" s="1">
        <f>怪物标准模型!AS163</f>
        <v>218328</v>
      </c>
      <c r="J155" s="1">
        <f>怪物标准模型!AT163</f>
        <v>130997</v>
      </c>
      <c r="K155" s="1">
        <f>怪物标准模型!AU163</f>
        <v>36388</v>
      </c>
      <c r="L155" s="1">
        <f>怪物标准模型!AV163</f>
        <v>10917</v>
      </c>
      <c r="M155" s="1">
        <f>怪物标准模型!AW163</f>
        <v>291104</v>
      </c>
      <c r="N155" s="1">
        <f>怪物标准模型!AX163</f>
        <v>654984</v>
      </c>
    </row>
    <row r="156" spans="2:14">
      <c r="B156" s="4">
        <v>153</v>
      </c>
      <c r="C156" s="1">
        <f>怪物标准模型!AY164</f>
        <v>7385650</v>
      </c>
      <c r="D156" s="1">
        <f>怪物标准模型!AM164</f>
        <v>12015</v>
      </c>
      <c r="E156" s="1">
        <f>怪物标准模型!AN164</f>
        <v>11202</v>
      </c>
      <c r="F156" s="37">
        <f>怪物标准模型!AP164</f>
        <v>12015</v>
      </c>
      <c r="G156" s="38">
        <f t="shared" si="2"/>
        <v>11202</v>
      </c>
      <c r="H156" s="1">
        <f>怪物标准模型!AR164</f>
        <v>73831</v>
      </c>
      <c r="I156" s="1">
        <f>怪物标准模型!AS164</f>
        <v>221493</v>
      </c>
      <c r="J156" s="1">
        <f>怪物标准模型!AT164</f>
        <v>132896</v>
      </c>
      <c r="K156" s="1">
        <f>怪物标准模型!AU164</f>
        <v>36916</v>
      </c>
      <c r="L156" s="1">
        <f>怪物标准模型!AV164</f>
        <v>11075</v>
      </c>
      <c r="M156" s="1">
        <f>怪物标准模型!AW164</f>
        <v>295324</v>
      </c>
      <c r="N156" s="1">
        <f>怪物标准模型!AX164</f>
        <v>664479</v>
      </c>
    </row>
    <row r="157" spans="2:14">
      <c r="B157" s="4">
        <v>154</v>
      </c>
      <c r="C157" s="1">
        <f>怪物标准模型!AY165</f>
        <v>7502648</v>
      </c>
      <c r="D157" s="1">
        <f>怪物标准模型!AM165</f>
        <v>12166</v>
      </c>
      <c r="E157" s="1">
        <f>怪物标准模型!AN165</f>
        <v>11293</v>
      </c>
      <c r="F157" s="37">
        <f>怪物标准模型!AP165</f>
        <v>12166</v>
      </c>
      <c r="G157" s="38">
        <f t="shared" si="2"/>
        <v>11293</v>
      </c>
      <c r="H157" s="1">
        <f>怪物标准模型!AR165</f>
        <v>74896</v>
      </c>
      <c r="I157" s="1">
        <f>怪物标准模型!AS165</f>
        <v>224688</v>
      </c>
      <c r="J157" s="1">
        <f>怪物标准模型!AT165</f>
        <v>134813</v>
      </c>
      <c r="K157" s="1">
        <f>怪物标准模型!AU165</f>
        <v>37448</v>
      </c>
      <c r="L157" s="1">
        <f>怪物标准模型!AV165</f>
        <v>11235</v>
      </c>
      <c r="M157" s="1">
        <f>怪物标准模型!AW165</f>
        <v>299584</v>
      </c>
      <c r="N157" s="1">
        <f>怪物标准模型!AX165</f>
        <v>674064</v>
      </c>
    </row>
    <row r="158" spans="2:14">
      <c r="B158" s="4">
        <v>155</v>
      </c>
      <c r="C158" s="1">
        <f>怪物标准模型!AY166</f>
        <v>7620911</v>
      </c>
      <c r="D158" s="1">
        <f>怪物标准模型!AM166</f>
        <v>12318</v>
      </c>
      <c r="E158" s="1">
        <f>怪物标准模型!AN166</f>
        <v>11384</v>
      </c>
      <c r="F158" s="37">
        <f>怪物标准模型!AP166</f>
        <v>12318</v>
      </c>
      <c r="G158" s="38">
        <f t="shared" si="2"/>
        <v>11384</v>
      </c>
      <c r="H158" s="1">
        <f>怪物标准模型!AR166</f>
        <v>75971</v>
      </c>
      <c r="I158" s="1">
        <f>怪物标准模型!AS166</f>
        <v>227913</v>
      </c>
      <c r="J158" s="1">
        <f>怪物标准模型!AT166</f>
        <v>136748</v>
      </c>
      <c r="K158" s="1">
        <f>怪物标准模型!AU166</f>
        <v>37986</v>
      </c>
      <c r="L158" s="1">
        <f>怪物标准模型!AV166</f>
        <v>11396</v>
      </c>
      <c r="M158" s="1">
        <f>怪物标准模型!AW166</f>
        <v>303884</v>
      </c>
      <c r="N158" s="1">
        <f>怪物标准模型!AX166</f>
        <v>683739</v>
      </c>
    </row>
    <row r="159" spans="2:14">
      <c r="B159" s="4">
        <v>156</v>
      </c>
      <c r="C159" s="1">
        <f>怪物标准模型!AY167</f>
        <v>7740497</v>
      </c>
      <c r="D159" s="1">
        <f>怪物标准模型!AM167</f>
        <v>12471</v>
      </c>
      <c r="E159" s="1">
        <f>怪物标准模型!AN167</f>
        <v>11475</v>
      </c>
      <c r="F159" s="37">
        <f>怪物标准模型!AP167</f>
        <v>12471</v>
      </c>
      <c r="G159" s="38">
        <f t="shared" si="2"/>
        <v>11475</v>
      </c>
      <c r="H159" s="1">
        <f>怪物标准模型!AR167</f>
        <v>77058</v>
      </c>
      <c r="I159" s="1">
        <f>怪物标准模型!AS167</f>
        <v>231174</v>
      </c>
      <c r="J159" s="1">
        <f>怪物标准模型!AT167</f>
        <v>138705</v>
      </c>
      <c r="K159" s="1">
        <f>怪物标准模型!AU167</f>
        <v>38529</v>
      </c>
      <c r="L159" s="1">
        <f>怪物标准模型!AV167</f>
        <v>11559</v>
      </c>
      <c r="M159" s="1">
        <f>怪物标准模型!AW167</f>
        <v>308232</v>
      </c>
      <c r="N159" s="1">
        <f>怪物标准模型!AX167</f>
        <v>693522</v>
      </c>
    </row>
    <row r="160" spans="2:14">
      <c r="B160" s="4">
        <v>157</v>
      </c>
      <c r="C160" s="1">
        <f>怪物标准模型!AY168</f>
        <v>7861346</v>
      </c>
      <c r="D160" s="1">
        <f>怪物标准模型!AM168</f>
        <v>12626</v>
      </c>
      <c r="E160" s="1">
        <f>怪物标准模型!AN168</f>
        <v>11567</v>
      </c>
      <c r="F160" s="37">
        <f>怪物标准模型!AP168</f>
        <v>12626</v>
      </c>
      <c r="G160" s="38">
        <f t="shared" si="2"/>
        <v>11567</v>
      </c>
      <c r="H160" s="1">
        <f>怪物标准模型!AR168</f>
        <v>78155</v>
      </c>
      <c r="I160" s="1">
        <f>怪物标准模型!AS168</f>
        <v>234465</v>
      </c>
      <c r="J160" s="1">
        <f>怪物标准模型!AT168</f>
        <v>140679</v>
      </c>
      <c r="K160" s="1">
        <f>怪物标准模型!AU168</f>
        <v>39078</v>
      </c>
      <c r="L160" s="1">
        <f>怪物标准模型!AV168</f>
        <v>11724</v>
      </c>
      <c r="M160" s="1">
        <f>怪物标准模型!AW168</f>
        <v>312620</v>
      </c>
      <c r="N160" s="1">
        <f>怪物标准模型!AX168</f>
        <v>703395</v>
      </c>
    </row>
    <row r="161" spans="2:14">
      <c r="B161" s="4">
        <v>158</v>
      </c>
      <c r="C161" s="1">
        <f>怪物标准模型!AY169</f>
        <v>7983520</v>
      </c>
      <c r="D161" s="1">
        <f>怪物标准模型!AM169</f>
        <v>12782</v>
      </c>
      <c r="E161" s="1">
        <f>怪物标准模型!AN169</f>
        <v>11658</v>
      </c>
      <c r="F161" s="37">
        <f>怪物标准模型!AP169</f>
        <v>12782</v>
      </c>
      <c r="G161" s="38">
        <f t="shared" si="2"/>
        <v>11658</v>
      </c>
      <c r="H161" s="1">
        <f>怪物标准模型!AR169</f>
        <v>79263</v>
      </c>
      <c r="I161" s="1">
        <f>怪物标准模型!AS169</f>
        <v>237789</v>
      </c>
      <c r="J161" s="1">
        <f>怪物标准模型!AT169</f>
        <v>142674</v>
      </c>
      <c r="K161" s="1">
        <f>怪物标准模型!AU169</f>
        <v>39632</v>
      </c>
      <c r="L161" s="1">
        <f>怪物标准模型!AV169</f>
        <v>11890</v>
      </c>
      <c r="M161" s="1">
        <f>怪物标准模型!AW169</f>
        <v>317052</v>
      </c>
      <c r="N161" s="1">
        <f>怪物标准模型!AX169</f>
        <v>713367</v>
      </c>
    </row>
    <row r="162" spans="2:14">
      <c r="B162" s="4">
        <v>159</v>
      </c>
      <c r="C162" s="1">
        <f>怪物标准模型!AY170</f>
        <v>8107017</v>
      </c>
      <c r="D162" s="1">
        <f>怪物标准模型!AM170</f>
        <v>12939</v>
      </c>
      <c r="E162" s="1">
        <f>怪物标准模型!AN170</f>
        <v>11750</v>
      </c>
      <c r="F162" s="37">
        <f>怪物标准模型!AP170</f>
        <v>12939</v>
      </c>
      <c r="G162" s="38">
        <f t="shared" si="2"/>
        <v>11750</v>
      </c>
      <c r="H162" s="1">
        <f>怪物标准模型!AR170</f>
        <v>80382</v>
      </c>
      <c r="I162" s="1">
        <f>怪物标准模型!AS170</f>
        <v>241146</v>
      </c>
      <c r="J162" s="1">
        <f>怪物标准模型!AT170</f>
        <v>144688</v>
      </c>
      <c r="K162" s="1">
        <f>怪物标准模型!AU170</f>
        <v>40191</v>
      </c>
      <c r="L162" s="1">
        <f>怪物标准模型!AV170</f>
        <v>12058</v>
      </c>
      <c r="M162" s="1">
        <f>怪物标准模型!AW170</f>
        <v>321528</v>
      </c>
      <c r="N162" s="1">
        <f>怪物标准模型!AX170</f>
        <v>723438</v>
      </c>
    </row>
    <row r="163" spans="2:14">
      <c r="B163" s="4">
        <v>160</v>
      </c>
      <c r="C163" s="1">
        <f>怪物标准模型!AY171</f>
        <v>8231837</v>
      </c>
      <c r="D163" s="1">
        <f>怪物标准模型!AM171</f>
        <v>13097</v>
      </c>
      <c r="E163" s="1">
        <f>怪物标准模型!AN171</f>
        <v>11842</v>
      </c>
      <c r="F163" s="37">
        <f>怪物标准模型!AP171</f>
        <v>13097</v>
      </c>
      <c r="G163" s="38">
        <f t="shared" si="2"/>
        <v>11842</v>
      </c>
      <c r="H163" s="1">
        <f>怪物标准模型!AR171</f>
        <v>81512</v>
      </c>
      <c r="I163" s="1">
        <f>怪物标准模型!AS171</f>
        <v>244536</v>
      </c>
      <c r="J163" s="1">
        <f>怪物标准模型!AT171</f>
        <v>146722</v>
      </c>
      <c r="K163" s="1">
        <f>怪物标准模型!AU171</f>
        <v>40756</v>
      </c>
      <c r="L163" s="1">
        <f>怪物标准模型!AV171</f>
        <v>12227</v>
      </c>
      <c r="M163" s="1">
        <f>怪物标准模型!AW171</f>
        <v>326048</v>
      </c>
      <c r="N163" s="1">
        <f>怪物标准模型!AX171</f>
        <v>733608</v>
      </c>
    </row>
    <row r="164" spans="2:14">
      <c r="B164" s="4">
        <v>161</v>
      </c>
      <c r="C164" s="1">
        <f>怪物标准模型!AY172</f>
        <v>8357981</v>
      </c>
      <c r="D164" s="1">
        <f>怪物标准模型!AM172</f>
        <v>13257</v>
      </c>
      <c r="E164" s="1">
        <f>怪物标准模型!AN172</f>
        <v>11935</v>
      </c>
      <c r="F164" s="37">
        <f>怪物标准模型!AP172</f>
        <v>13257</v>
      </c>
      <c r="G164" s="38">
        <f t="shared" si="2"/>
        <v>11935</v>
      </c>
      <c r="H164" s="1">
        <f>怪物标准模型!AR172</f>
        <v>82652</v>
      </c>
      <c r="I164" s="1">
        <f>怪物标准模型!AS172</f>
        <v>247956</v>
      </c>
      <c r="J164" s="1">
        <f>怪物标准模型!AT172</f>
        <v>148774</v>
      </c>
      <c r="K164" s="1">
        <f>怪物标准模型!AU172</f>
        <v>41326</v>
      </c>
      <c r="L164" s="1">
        <f>怪物标准模型!AV172</f>
        <v>12398</v>
      </c>
      <c r="M164" s="1">
        <f>怪物标准模型!AW172</f>
        <v>330608</v>
      </c>
      <c r="N164" s="1">
        <f>怪物标准模型!AX172</f>
        <v>743868</v>
      </c>
    </row>
    <row r="165" spans="2:14">
      <c r="B165" s="4">
        <v>162</v>
      </c>
      <c r="C165" s="1">
        <f>怪物标准模型!AY173</f>
        <v>8485448</v>
      </c>
      <c r="D165" s="1">
        <f>怪物标准模型!AM173</f>
        <v>13418</v>
      </c>
      <c r="E165" s="1">
        <f>怪物标准模型!AN173</f>
        <v>12027</v>
      </c>
      <c r="F165" s="37">
        <f>怪物标准模型!AP173</f>
        <v>13418</v>
      </c>
      <c r="G165" s="38">
        <f t="shared" si="2"/>
        <v>12027</v>
      </c>
      <c r="H165" s="1">
        <f>怪物标准模型!AR173</f>
        <v>83804</v>
      </c>
      <c r="I165" s="1">
        <f>怪物标准模型!AS173</f>
        <v>251412</v>
      </c>
      <c r="J165" s="1">
        <f>怪物标准模型!AT173</f>
        <v>150848</v>
      </c>
      <c r="K165" s="1">
        <f>怪物标准模型!AU173</f>
        <v>41902</v>
      </c>
      <c r="L165" s="1">
        <f>怪物标准模型!AV173</f>
        <v>12571</v>
      </c>
      <c r="M165" s="1">
        <f>怪物标准模型!AW173</f>
        <v>335216</v>
      </c>
      <c r="N165" s="1">
        <f>怪物标准模型!AX173</f>
        <v>754236</v>
      </c>
    </row>
    <row r="166" spans="2:14">
      <c r="B166" s="4">
        <v>163</v>
      </c>
      <c r="C166" s="1">
        <f>怪物标准模型!AY174</f>
        <v>8614298</v>
      </c>
      <c r="D166" s="1">
        <f>怪物标准模型!AM174</f>
        <v>13580</v>
      </c>
      <c r="E166" s="1">
        <f>怪物标准模型!AN174</f>
        <v>12120</v>
      </c>
      <c r="F166" s="37">
        <f>怪物标准模型!AP174</f>
        <v>13580</v>
      </c>
      <c r="G166" s="38">
        <f t="shared" si="2"/>
        <v>12120</v>
      </c>
      <c r="H166" s="1">
        <f>怪物标准模型!AR174</f>
        <v>84967</v>
      </c>
      <c r="I166" s="1">
        <f>怪物标准模型!AS174</f>
        <v>254901</v>
      </c>
      <c r="J166" s="1">
        <f>怪物标准模型!AT174</f>
        <v>152941</v>
      </c>
      <c r="K166" s="1">
        <f>怪物标准模型!AU174</f>
        <v>42484</v>
      </c>
      <c r="L166" s="1">
        <f>怪物标准模型!AV174</f>
        <v>12746</v>
      </c>
      <c r="M166" s="1">
        <f>怪物标准模型!AW174</f>
        <v>339868</v>
      </c>
      <c r="N166" s="1">
        <f>怪物标准模型!AX174</f>
        <v>764703</v>
      </c>
    </row>
    <row r="167" spans="2:14">
      <c r="B167" s="4">
        <v>164</v>
      </c>
      <c r="C167" s="1">
        <f>怪物标准模型!AY175</f>
        <v>8744471</v>
      </c>
      <c r="D167" s="1">
        <f>怪物标准模型!AM175</f>
        <v>13743</v>
      </c>
      <c r="E167" s="1">
        <f>怪物标准模型!AN175</f>
        <v>12213</v>
      </c>
      <c r="F167" s="37">
        <f>怪物标准模型!AP175</f>
        <v>13743</v>
      </c>
      <c r="G167" s="38">
        <f t="shared" si="2"/>
        <v>12213</v>
      </c>
      <c r="H167" s="1">
        <f>怪物标准模型!AR175</f>
        <v>86142</v>
      </c>
      <c r="I167" s="1">
        <f>怪物标准模型!AS175</f>
        <v>258426</v>
      </c>
      <c r="J167" s="1">
        <f>怪物标准模型!AT175</f>
        <v>155056</v>
      </c>
      <c r="K167" s="1">
        <f>怪物标准模型!AU175</f>
        <v>43071</v>
      </c>
      <c r="L167" s="1">
        <f>怪物标准模型!AV175</f>
        <v>12922</v>
      </c>
      <c r="M167" s="1">
        <f>怪物标准模型!AW175</f>
        <v>344568</v>
      </c>
      <c r="N167" s="1">
        <f>怪物标准模型!AX175</f>
        <v>775278</v>
      </c>
    </row>
    <row r="168" spans="2:14">
      <c r="B168" s="4">
        <v>165</v>
      </c>
      <c r="C168" s="1">
        <f>怪物标准模型!AY176</f>
        <v>8876027</v>
      </c>
      <c r="D168" s="1">
        <f>怪物标准模型!AM176</f>
        <v>13908</v>
      </c>
      <c r="E168" s="1">
        <f>怪物标准模型!AN176</f>
        <v>12306</v>
      </c>
      <c r="F168" s="37">
        <f>怪物标准模型!AP176</f>
        <v>13908</v>
      </c>
      <c r="G168" s="38">
        <f t="shared" si="2"/>
        <v>12306</v>
      </c>
      <c r="H168" s="1">
        <f>怪物标准模型!AR176</f>
        <v>87327</v>
      </c>
      <c r="I168" s="1">
        <f>怪物标准模型!AS176</f>
        <v>261981</v>
      </c>
      <c r="J168" s="1">
        <f>怪物标准模型!AT176</f>
        <v>157189</v>
      </c>
      <c r="K168" s="1">
        <f>怪物标准模型!AU176</f>
        <v>43664</v>
      </c>
      <c r="L168" s="1">
        <f>怪物标准模型!AV176</f>
        <v>13100</v>
      </c>
      <c r="M168" s="1">
        <f>怪物标准模型!AW176</f>
        <v>349308</v>
      </c>
      <c r="N168" s="1">
        <f>怪物标准模型!AX176</f>
        <v>785943</v>
      </c>
    </row>
    <row r="169" spans="2:14">
      <c r="B169" s="4">
        <v>166</v>
      </c>
      <c r="C169" s="1">
        <f>怪物标准模型!AY177</f>
        <v>9008966</v>
      </c>
      <c r="D169" s="1">
        <f>怪物标准模型!AM177</f>
        <v>14074</v>
      </c>
      <c r="E169" s="1">
        <f>怪物标准模型!AN177</f>
        <v>12400</v>
      </c>
      <c r="F169" s="37">
        <f>怪物标准模型!AP177</f>
        <v>14074</v>
      </c>
      <c r="G169" s="38">
        <f t="shared" si="2"/>
        <v>12400</v>
      </c>
      <c r="H169" s="1">
        <f>怪物标准模型!AR177</f>
        <v>88524</v>
      </c>
      <c r="I169" s="1">
        <f>怪物标准模型!AS177</f>
        <v>265572</v>
      </c>
      <c r="J169" s="1">
        <f>怪物标准模型!AT177</f>
        <v>159344</v>
      </c>
      <c r="K169" s="1">
        <f>怪物标准模型!AU177</f>
        <v>44262</v>
      </c>
      <c r="L169" s="1">
        <f>怪物标准模型!AV177</f>
        <v>13279</v>
      </c>
      <c r="M169" s="1">
        <f>怪物标准模型!AW177</f>
        <v>354096</v>
      </c>
      <c r="N169" s="1">
        <f>怪物标准模型!AX177</f>
        <v>796716</v>
      </c>
    </row>
    <row r="170" spans="2:14">
      <c r="B170" s="4">
        <v>167</v>
      </c>
      <c r="C170" s="1">
        <f>怪物标准模型!AY178</f>
        <v>9143288</v>
      </c>
      <c r="D170" s="1">
        <f>怪物标准模型!AM178</f>
        <v>14241</v>
      </c>
      <c r="E170" s="1">
        <f>怪物标准模型!AN178</f>
        <v>12493</v>
      </c>
      <c r="F170" s="37">
        <f>怪物标准模型!AP178</f>
        <v>14241</v>
      </c>
      <c r="G170" s="38">
        <f t="shared" si="2"/>
        <v>12493</v>
      </c>
      <c r="H170" s="1">
        <f>怪物标准模型!AR178</f>
        <v>89733</v>
      </c>
      <c r="I170" s="1">
        <f>怪物标准模型!AS178</f>
        <v>269199</v>
      </c>
      <c r="J170" s="1">
        <f>怪物标准模型!AT178</f>
        <v>161520</v>
      </c>
      <c r="K170" s="1">
        <f>怪物标准模型!AU178</f>
        <v>44867</v>
      </c>
      <c r="L170" s="1">
        <f>怪物标准模型!AV178</f>
        <v>13460</v>
      </c>
      <c r="M170" s="1">
        <f>怪物标准模型!AW178</f>
        <v>358932</v>
      </c>
      <c r="N170" s="1">
        <f>怪物标准模型!AX178</f>
        <v>807597</v>
      </c>
    </row>
    <row r="171" spans="2:14">
      <c r="B171" s="4">
        <v>168</v>
      </c>
      <c r="C171" s="1">
        <f>怪物标准模型!AY179</f>
        <v>9278992</v>
      </c>
      <c r="D171" s="1">
        <f>怪物标准模型!AM179</f>
        <v>14410</v>
      </c>
      <c r="E171" s="1">
        <f>怪物标准模型!AN179</f>
        <v>12587</v>
      </c>
      <c r="F171" s="37">
        <f>怪物标准模型!AP179</f>
        <v>14410</v>
      </c>
      <c r="G171" s="38">
        <f t="shared" si="2"/>
        <v>12587</v>
      </c>
      <c r="H171" s="1">
        <f>怪物标准模型!AR179</f>
        <v>90952</v>
      </c>
      <c r="I171" s="1">
        <f>怪物标准模型!AS179</f>
        <v>272856</v>
      </c>
      <c r="J171" s="1">
        <f>怪物标准模型!AT179</f>
        <v>163714</v>
      </c>
      <c r="K171" s="1">
        <f>怪物标准模型!AU179</f>
        <v>45476</v>
      </c>
      <c r="L171" s="1">
        <f>怪物标准模型!AV179</f>
        <v>13643</v>
      </c>
      <c r="M171" s="1">
        <f>怪物标准模型!AW179</f>
        <v>363808</v>
      </c>
      <c r="N171" s="1">
        <f>怪物标准模型!AX179</f>
        <v>818568</v>
      </c>
    </row>
    <row r="172" spans="2:14">
      <c r="B172" s="4">
        <v>169</v>
      </c>
      <c r="C172" s="1">
        <f>怪物标准模型!AY180</f>
        <v>9416139</v>
      </c>
      <c r="D172" s="1">
        <f>怪物标准模型!AM180</f>
        <v>14580</v>
      </c>
      <c r="E172" s="1">
        <f>怪物标准模型!AN180</f>
        <v>12681</v>
      </c>
      <c r="F172" s="37">
        <f>怪物标准模型!AP180</f>
        <v>14580</v>
      </c>
      <c r="G172" s="38">
        <f t="shared" si="2"/>
        <v>12681</v>
      </c>
      <c r="H172" s="1">
        <f>怪物标准模型!AR180</f>
        <v>92184</v>
      </c>
      <c r="I172" s="1">
        <f>怪物标准模型!AS180</f>
        <v>276552</v>
      </c>
      <c r="J172" s="1">
        <f>怪物标准模型!AT180</f>
        <v>165932</v>
      </c>
      <c r="K172" s="1">
        <f>怪物标准模型!AU180</f>
        <v>46092</v>
      </c>
      <c r="L172" s="1">
        <f>怪物标准模型!AV180</f>
        <v>13828</v>
      </c>
      <c r="M172" s="1">
        <f>怪物标准模型!AW180</f>
        <v>368736</v>
      </c>
      <c r="N172" s="1">
        <f>怪物标准模型!AX180</f>
        <v>829656</v>
      </c>
    </row>
    <row r="173" spans="2:14">
      <c r="B173" s="4">
        <v>170</v>
      </c>
      <c r="C173" s="1">
        <f>怪物标准模型!AY181</f>
        <v>9554668</v>
      </c>
      <c r="D173" s="1">
        <f>怪物标准模型!AM181</f>
        <v>14751</v>
      </c>
      <c r="E173" s="1">
        <f>怪物标准模型!AN181</f>
        <v>12776</v>
      </c>
      <c r="F173" s="37">
        <f>怪物标准模型!AP181</f>
        <v>14751</v>
      </c>
      <c r="G173" s="38">
        <f t="shared" si="2"/>
        <v>12776</v>
      </c>
      <c r="H173" s="1">
        <f>怪物标准模型!AR181</f>
        <v>93427</v>
      </c>
      <c r="I173" s="1">
        <f>怪物标准模型!AS181</f>
        <v>280281</v>
      </c>
      <c r="J173" s="1">
        <f>怪物标准模型!AT181</f>
        <v>168169</v>
      </c>
      <c r="K173" s="1">
        <f>怪物标准模型!AU181</f>
        <v>46714</v>
      </c>
      <c r="L173" s="1">
        <f>怪物标准模型!AV181</f>
        <v>14015</v>
      </c>
      <c r="M173" s="1">
        <f>怪物标准模型!AW181</f>
        <v>373708</v>
      </c>
      <c r="N173" s="1">
        <f>怪物标准模型!AX181</f>
        <v>840843</v>
      </c>
    </row>
    <row r="174" spans="2:14">
      <c r="B174" s="4">
        <v>171</v>
      </c>
      <c r="C174" s="1">
        <f>怪物标准模型!AY182</f>
        <v>9694640</v>
      </c>
      <c r="D174" s="1">
        <f>怪物标准模型!AM182</f>
        <v>14924</v>
      </c>
      <c r="E174" s="1">
        <f>怪物标准模型!AN182</f>
        <v>12870</v>
      </c>
      <c r="F174" s="37">
        <f>怪物标准模型!AP182</f>
        <v>14924</v>
      </c>
      <c r="G174" s="38">
        <f t="shared" si="2"/>
        <v>12870</v>
      </c>
      <c r="H174" s="1">
        <f>怪物标准模型!AR182</f>
        <v>94682</v>
      </c>
      <c r="I174" s="1">
        <f>怪物标准模型!AS182</f>
        <v>284046</v>
      </c>
      <c r="J174" s="1">
        <f>怪物标准模型!AT182</f>
        <v>170428</v>
      </c>
      <c r="K174" s="1">
        <f>怪物标准模型!AU182</f>
        <v>47341</v>
      </c>
      <c r="L174" s="1">
        <f>怪物标准模型!AV182</f>
        <v>14203</v>
      </c>
      <c r="M174" s="1">
        <f>怪物标准模型!AW182</f>
        <v>378728</v>
      </c>
      <c r="N174" s="1">
        <f>怪物标准模型!AX182</f>
        <v>852138</v>
      </c>
    </row>
    <row r="175" spans="2:14">
      <c r="B175" s="4">
        <v>172</v>
      </c>
      <c r="C175" s="1">
        <f>怪物标准模型!AY183</f>
        <v>9835995</v>
      </c>
      <c r="D175" s="1">
        <f>怪物标准模型!AM183</f>
        <v>15097</v>
      </c>
      <c r="E175" s="1">
        <f>怪物标准模型!AN183</f>
        <v>12965</v>
      </c>
      <c r="F175" s="37">
        <f>怪物标准模型!AP183</f>
        <v>15097</v>
      </c>
      <c r="G175" s="38">
        <f t="shared" si="2"/>
        <v>12965</v>
      </c>
      <c r="H175" s="1">
        <f>怪物标准模型!AR183</f>
        <v>95948</v>
      </c>
      <c r="I175" s="1">
        <f>怪物标准模型!AS183</f>
        <v>287844</v>
      </c>
      <c r="J175" s="1">
        <f>怪物标准模型!AT183</f>
        <v>172707</v>
      </c>
      <c r="K175" s="1">
        <f>怪物标准模型!AU183</f>
        <v>47974</v>
      </c>
      <c r="L175" s="1">
        <f>怪物标准模型!AV183</f>
        <v>14393</v>
      </c>
      <c r="M175" s="1">
        <f>怪物标准模型!AW183</f>
        <v>383792</v>
      </c>
      <c r="N175" s="1">
        <f>怪物标准模型!AX183</f>
        <v>863532</v>
      </c>
    </row>
    <row r="176" spans="2:14">
      <c r="B176" s="4">
        <v>173</v>
      </c>
      <c r="C176" s="1">
        <f>怪物标准模型!AY184</f>
        <v>9978851</v>
      </c>
      <c r="D176" s="1">
        <f>怪物标准模型!AM184</f>
        <v>15273</v>
      </c>
      <c r="E176" s="1">
        <f>怪物标准模型!AN184</f>
        <v>13060</v>
      </c>
      <c r="F176" s="37">
        <f>怪物标准模型!AP184</f>
        <v>15273</v>
      </c>
      <c r="G176" s="38">
        <f t="shared" si="2"/>
        <v>13060</v>
      </c>
      <c r="H176" s="1">
        <f>怪物标准模型!AR184</f>
        <v>97227</v>
      </c>
      <c r="I176" s="1">
        <f>怪物标准模型!AS184</f>
        <v>291681</v>
      </c>
      <c r="J176" s="1">
        <f>怪物标准模型!AT184</f>
        <v>175009</v>
      </c>
      <c r="K176" s="1">
        <f>怪物标准模型!AU184</f>
        <v>48614</v>
      </c>
      <c r="L176" s="1">
        <f>怪物标准模型!AV184</f>
        <v>14585</v>
      </c>
      <c r="M176" s="1">
        <f>怪物标准模型!AW184</f>
        <v>388908</v>
      </c>
      <c r="N176" s="1">
        <f>怪物标准模型!AX184</f>
        <v>875043</v>
      </c>
    </row>
    <row r="177" spans="2:14">
      <c r="B177" s="4">
        <v>174</v>
      </c>
      <c r="C177" s="1">
        <f>怪物标准模型!AY185</f>
        <v>10123150</v>
      </c>
      <c r="D177" s="1">
        <f>怪物标准模型!AM185</f>
        <v>15449</v>
      </c>
      <c r="E177" s="1">
        <f>怪物标准模型!AN185</f>
        <v>13156</v>
      </c>
      <c r="F177" s="37">
        <f>怪物标准模型!AP185</f>
        <v>15449</v>
      </c>
      <c r="G177" s="38">
        <f t="shared" si="2"/>
        <v>13156</v>
      </c>
      <c r="H177" s="1">
        <f>怪物标准模型!AR185</f>
        <v>98517</v>
      </c>
      <c r="I177" s="1">
        <f>怪物标准模型!AS185</f>
        <v>295551</v>
      </c>
      <c r="J177" s="1">
        <f>怪物标准模型!AT185</f>
        <v>177331</v>
      </c>
      <c r="K177" s="1">
        <f>怪物标准模型!AU185</f>
        <v>49259</v>
      </c>
      <c r="L177" s="1">
        <f>怪物标准模型!AV185</f>
        <v>14778</v>
      </c>
      <c r="M177" s="1">
        <f>怪物标准模型!AW185</f>
        <v>394068</v>
      </c>
      <c r="N177" s="1">
        <f>怪物标准模型!AX185</f>
        <v>886653</v>
      </c>
    </row>
    <row r="178" spans="2:14">
      <c r="B178" s="4">
        <v>175</v>
      </c>
      <c r="C178" s="1">
        <f>怪物标准模型!AY186</f>
        <v>10268891</v>
      </c>
      <c r="D178" s="1">
        <f>怪物标准模型!AM186</f>
        <v>15627</v>
      </c>
      <c r="E178" s="1">
        <f>怪物标准模型!AN186</f>
        <v>13251</v>
      </c>
      <c r="F178" s="37">
        <f>怪物标准模型!AP186</f>
        <v>15627</v>
      </c>
      <c r="G178" s="38">
        <f t="shared" si="2"/>
        <v>13251</v>
      </c>
      <c r="H178" s="1">
        <f>怪物标准模型!AR186</f>
        <v>99820</v>
      </c>
      <c r="I178" s="1">
        <f>怪物标准模型!AS186</f>
        <v>299460</v>
      </c>
      <c r="J178" s="1">
        <f>怪物标准模型!AT186</f>
        <v>179676</v>
      </c>
      <c r="K178" s="1">
        <f>怪物标准模型!AU186</f>
        <v>49910</v>
      </c>
      <c r="L178" s="1">
        <f>怪物标准模型!AV186</f>
        <v>14973</v>
      </c>
      <c r="M178" s="1">
        <f>怪物标准模型!AW186</f>
        <v>399280</v>
      </c>
      <c r="N178" s="1">
        <f>怪物标准模型!AX186</f>
        <v>898380</v>
      </c>
    </row>
    <row r="179" spans="2:14">
      <c r="B179" s="4">
        <v>176</v>
      </c>
      <c r="C179" s="1">
        <f>怪物标准模型!AY187</f>
        <v>10416133</v>
      </c>
      <c r="D179" s="1">
        <f>怪物标准模型!AM187</f>
        <v>15806</v>
      </c>
      <c r="E179" s="1">
        <f>怪物标准模型!AN187</f>
        <v>13347</v>
      </c>
      <c r="F179" s="37">
        <f>怪物标准模型!AP187</f>
        <v>15806</v>
      </c>
      <c r="G179" s="38">
        <f t="shared" si="2"/>
        <v>13347</v>
      </c>
      <c r="H179" s="1">
        <f>怪物标准模型!AR187</f>
        <v>101134</v>
      </c>
      <c r="I179" s="1">
        <f>怪物标准模型!AS187</f>
        <v>303402</v>
      </c>
      <c r="J179" s="1">
        <f>怪物标准模型!AT187</f>
        <v>182042</v>
      </c>
      <c r="K179" s="1">
        <f>怪物标准模型!AU187</f>
        <v>50567</v>
      </c>
      <c r="L179" s="1">
        <f>怪物标准模型!AV187</f>
        <v>15171</v>
      </c>
      <c r="M179" s="1">
        <f>怪物标准模型!AW187</f>
        <v>404536</v>
      </c>
      <c r="N179" s="1">
        <f>怪物标准模型!AX187</f>
        <v>910206</v>
      </c>
    </row>
    <row r="180" spans="2:14">
      <c r="B180" s="4">
        <v>177</v>
      </c>
      <c r="C180" s="1">
        <f>怪物标准模型!AY188</f>
        <v>10564818</v>
      </c>
      <c r="D180" s="1">
        <f>怪物标准模型!AM188</f>
        <v>15987</v>
      </c>
      <c r="E180" s="1">
        <f>怪物标准模型!AN188</f>
        <v>13443</v>
      </c>
      <c r="F180" s="37">
        <f>怪物标准模型!AP188</f>
        <v>15987</v>
      </c>
      <c r="G180" s="38">
        <f t="shared" si="2"/>
        <v>13443</v>
      </c>
      <c r="H180" s="1">
        <f>怪物标准模型!AR188</f>
        <v>102461</v>
      </c>
      <c r="I180" s="1">
        <f>怪物标准模型!AS188</f>
        <v>307383</v>
      </c>
      <c r="J180" s="1">
        <f>怪物标准模型!AT188</f>
        <v>184430</v>
      </c>
      <c r="K180" s="1">
        <f>怪物标准模型!AU188</f>
        <v>51231</v>
      </c>
      <c r="L180" s="1">
        <f>怪物标准模型!AV188</f>
        <v>15370</v>
      </c>
      <c r="M180" s="1">
        <f>怪物标准模型!AW188</f>
        <v>409844</v>
      </c>
      <c r="N180" s="1">
        <f>怪物标准模型!AX188</f>
        <v>922149</v>
      </c>
    </row>
    <row r="181" spans="2:14">
      <c r="B181" s="4">
        <v>178</v>
      </c>
      <c r="C181" s="1">
        <f>怪物标准模型!AY189</f>
        <v>10715005</v>
      </c>
      <c r="D181" s="1">
        <f>怪物标准模型!AM189</f>
        <v>16169</v>
      </c>
      <c r="E181" s="1">
        <f>怪物标准模型!AN189</f>
        <v>13539</v>
      </c>
      <c r="F181" s="37">
        <f>怪物标准模型!AP189</f>
        <v>16169</v>
      </c>
      <c r="G181" s="38">
        <f t="shared" si="2"/>
        <v>13539</v>
      </c>
      <c r="H181" s="1">
        <f>怪物标准模型!AR189</f>
        <v>103799</v>
      </c>
      <c r="I181" s="1">
        <f>怪物标准模型!AS189</f>
        <v>311397</v>
      </c>
      <c r="J181" s="1">
        <f>怪物标准模型!AT189</f>
        <v>186839</v>
      </c>
      <c r="K181" s="1">
        <f>怪物标准模型!AU189</f>
        <v>51900</v>
      </c>
      <c r="L181" s="1">
        <f>怪物标准模型!AV189</f>
        <v>15570</v>
      </c>
      <c r="M181" s="1">
        <f>怪物标准模型!AW189</f>
        <v>415196</v>
      </c>
      <c r="N181" s="1">
        <f>怪物标准模型!AX189</f>
        <v>934191</v>
      </c>
    </row>
    <row r="182" spans="2:14">
      <c r="B182" s="4">
        <v>179</v>
      </c>
      <c r="C182" s="1">
        <f>怪物标准模型!AY190</f>
        <v>10866694</v>
      </c>
      <c r="D182" s="1">
        <f>怪物标准模型!AM190</f>
        <v>16352</v>
      </c>
      <c r="E182" s="1">
        <f>怪物标准模型!AN190</f>
        <v>13635</v>
      </c>
      <c r="F182" s="37">
        <f>怪物标准模型!AP190</f>
        <v>16352</v>
      </c>
      <c r="G182" s="38">
        <f t="shared" si="2"/>
        <v>13635</v>
      </c>
      <c r="H182" s="1">
        <f>怪物标准模型!AR190</f>
        <v>105150</v>
      </c>
      <c r="I182" s="1">
        <f>怪物标准模型!AS190</f>
        <v>315450</v>
      </c>
      <c r="J182" s="1">
        <f>怪物标准模型!AT190</f>
        <v>189270</v>
      </c>
      <c r="K182" s="1">
        <f>怪物标准模型!AU190</f>
        <v>52575</v>
      </c>
      <c r="L182" s="1">
        <f>怪物标准模型!AV190</f>
        <v>15773</v>
      </c>
      <c r="M182" s="1">
        <f>怪物标准模型!AW190</f>
        <v>420600</v>
      </c>
      <c r="N182" s="1">
        <f>怪物标准模型!AX190</f>
        <v>946350</v>
      </c>
    </row>
    <row r="183" spans="2:14">
      <c r="B183" s="4">
        <v>180</v>
      </c>
      <c r="C183" s="1">
        <f>怪物标准模型!AY191</f>
        <v>11019884</v>
      </c>
      <c r="D183" s="1">
        <f>怪物标准模型!AM191</f>
        <v>16537</v>
      </c>
      <c r="E183" s="1">
        <f>怪物标准模型!AN191</f>
        <v>13732</v>
      </c>
      <c r="F183" s="37">
        <f>怪物标准模型!AP191</f>
        <v>16537</v>
      </c>
      <c r="G183" s="38">
        <f t="shared" si="2"/>
        <v>13732</v>
      </c>
      <c r="H183" s="1">
        <f>怪物标准模型!AR191</f>
        <v>106514</v>
      </c>
      <c r="I183" s="1">
        <f>怪物标准模型!AS191</f>
        <v>319542</v>
      </c>
      <c r="J183" s="1">
        <f>怪物标准模型!AT191</f>
        <v>191726</v>
      </c>
      <c r="K183" s="1">
        <f>怪物标准模型!AU191</f>
        <v>53257</v>
      </c>
      <c r="L183" s="1">
        <f>怪物标准模型!AV191</f>
        <v>15978</v>
      </c>
      <c r="M183" s="1">
        <f>怪物标准模型!AW191</f>
        <v>426056</v>
      </c>
      <c r="N183" s="1">
        <f>怪物标准模型!AX191</f>
        <v>958626</v>
      </c>
    </row>
    <row r="184" spans="2:14">
      <c r="B184" s="4">
        <v>181</v>
      </c>
      <c r="C184" s="1">
        <f>怪物标准模型!AY192</f>
        <v>11174636</v>
      </c>
      <c r="D184" s="1">
        <f>怪物标准模型!AM192</f>
        <v>16723</v>
      </c>
      <c r="E184" s="1">
        <f>怪物标准模型!AN192</f>
        <v>13829</v>
      </c>
      <c r="F184" s="37">
        <f>怪物标准模型!AP192</f>
        <v>16723</v>
      </c>
      <c r="G184" s="38">
        <f t="shared" si="2"/>
        <v>13829</v>
      </c>
      <c r="H184" s="1">
        <f>怪物标准模型!AR192</f>
        <v>107889</v>
      </c>
      <c r="I184" s="1">
        <f>怪物标准模型!AS192</f>
        <v>323667</v>
      </c>
      <c r="J184" s="1">
        <f>怪物标准模型!AT192</f>
        <v>194201</v>
      </c>
      <c r="K184" s="1">
        <f>怪物标准模型!AU192</f>
        <v>53945</v>
      </c>
      <c r="L184" s="1">
        <f>怪物标准模型!AV192</f>
        <v>16184</v>
      </c>
      <c r="M184" s="1">
        <f>怪物标准模型!AW192</f>
        <v>431556</v>
      </c>
      <c r="N184" s="1">
        <f>怪物标准模型!AX192</f>
        <v>971001</v>
      </c>
    </row>
    <row r="185" spans="2:14">
      <c r="B185" s="4">
        <v>182</v>
      </c>
      <c r="C185" s="1">
        <f>怪物标准模型!AY193</f>
        <v>11330830</v>
      </c>
      <c r="D185" s="1">
        <f>怪物标准模型!AM193</f>
        <v>16910</v>
      </c>
      <c r="E185" s="1">
        <f>怪物标准模型!AN193</f>
        <v>13926</v>
      </c>
      <c r="F185" s="37">
        <f>怪物标准模型!AP193</f>
        <v>16910</v>
      </c>
      <c r="G185" s="38">
        <f t="shared" si="2"/>
        <v>13926</v>
      </c>
      <c r="H185" s="1">
        <f>怪物标准模型!AR193</f>
        <v>109277</v>
      </c>
      <c r="I185" s="1">
        <f>怪物标准模型!AS193</f>
        <v>327831</v>
      </c>
      <c r="J185" s="1">
        <f>怪物标准模型!AT193</f>
        <v>196699</v>
      </c>
      <c r="K185" s="1">
        <f>怪物标准模型!AU193</f>
        <v>54639</v>
      </c>
      <c r="L185" s="1">
        <f>怪物标准模型!AV193</f>
        <v>16392</v>
      </c>
      <c r="M185" s="1">
        <f>怪物标准模型!AW193</f>
        <v>437108</v>
      </c>
      <c r="N185" s="1">
        <f>怪物标准模型!AX193</f>
        <v>983493</v>
      </c>
    </row>
    <row r="186" spans="2:14">
      <c r="B186" s="4">
        <v>183</v>
      </c>
      <c r="C186" s="1">
        <f>怪物标准模型!AY194</f>
        <v>11488646</v>
      </c>
      <c r="D186" s="1">
        <f>怪物标准模型!AM194</f>
        <v>17099</v>
      </c>
      <c r="E186" s="1">
        <f>怪物标准模型!AN194</f>
        <v>14023</v>
      </c>
      <c r="F186" s="37">
        <f>怪物标准模型!AP194</f>
        <v>17099</v>
      </c>
      <c r="G186" s="38">
        <f t="shared" si="2"/>
        <v>14023</v>
      </c>
      <c r="H186" s="1">
        <f>怪物标准模型!AR194</f>
        <v>110678</v>
      </c>
      <c r="I186" s="1">
        <f>怪物标准模型!AS194</f>
        <v>332034</v>
      </c>
      <c r="J186" s="1">
        <f>怪物标准模型!AT194</f>
        <v>199221</v>
      </c>
      <c r="K186" s="1">
        <f>怪物标准模型!AU194</f>
        <v>55339</v>
      </c>
      <c r="L186" s="1">
        <f>怪物标准模型!AV194</f>
        <v>16602</v>
      </c>
      <c r="M186" s="1">
        <f>怪物标准模型!AW194</f>
        <v>442712</v>
      </c>
      <c r="N186" s="1">
        <f>怪物标准模型!AX194</f>
        <v>996102</v>
      </c>
    </row>
    <row r="187" spans="2:14">
      <c r="B187" s="4">
        <v>184</v>
      </c>
      <c r="C187" s="1">
        <f>怪物标准模型!AY195</f>
        <v>11647963</v>
      </c>
      <c r="D187" s="1">
        <f>怪物标准模型!AM195</f>
        <v>17289</v>
      </c>
      <c r="E187" s="1">
        <f>怪物标准模型!AN195</f>
        <v>14121</v>
      </c>
      <c r="F187" s="37">
        <f>怪物标准模型!AP195</f>
        <v>17289</v>
      </c>
      <c r="G187" s="38">
        <f t="shared" si="2"/>
        <v>14121</v>
      </c>
      <c r="H187" s="1">
        <f>怪物标准模型!AR195</f>
        <v>112092</v>
      </c>
      <c r="I187" s="1">
        <f>怪物标准模型!AS195</f>
        <v>336276</v>
      </c>
      <c r="J187" s="1">
        <f>怪物标准模型!AT195</f>
        <v>201766</v>
      </c>
      <c r="K187" s="1">
        <f>怪物标准模型!AU195</f>
        <v>56046</v>
      </c>
      <c r="L187" s="1">
        <f>怪物标准模型!AV195</f>
        <v>16814</v>
      </c>
      <c r="M187" s="1">
        <f>怪物标准模型!AW195</f>
        <v>448368</v>
      </c>
      <c r="N187" s="1">
        <f>怪物标准模型!AX195</f>
        <v>1008828</v>
      </c>
    </row>
    <row r="188" spans="2:14">
      <c r="B188" s="4">
        <v>185</v>
      </c>
      <c r="C188" s="1">
        <f>怪物标准模型!AY196</f>
        <v>11808901</v>
      </c>
      <c r="D188" s="1">
        <f>怪物标准模型!AM196</f>
        <v>17481</v>
      </c>
      <c r="E188" s="1">
        <f>怪物标准模型!AN196</f>
        <v>14219</v>
      </c>
      <c r="F188" s="37">
        <f>怪物标准模型!AP196</f>
        <v>17481</v>
      </c>
      <c r="G188" s="38">
        <f t="shared" si="2"/>
        <v>14219</v>
      </c>
      <c r="H188" s="1">
        <f>怪物标准模型!AR196</f>
        <v>113518</v>
      </c>
      <c r="I188" s="1">
        <f>怪物标准模型!AS196</f>
        <v>340554</v>
      </c>
      <c r="J188" s="1">
        <f>怪物标准模型!AT196</f>
        <v>204333</v>
      </c>
      <c r="K188" s="1">
        <f>怪物标准模型!AU196</f>
        <v>56759</v>
      </c>
      <c r="L188" s="1">
        <f>怪物标准模型!AV196</f>
        <v>17028</v>
      </c>
      <c r="M188" s="1">
        <f>怪物标准模型!AW196</f>
        <v>454072</v>
      </c>
      <c r="N188" s="1">
        <f>怪物标准模型!AX196</f>
        <v>1021662</v>
      </c>
    </row>
    <row r="189" spans="2:14">
      <c r="B189" s="4">
        <v>186</v>
      </c>
      <c r="C189" s="1">
        <f>怪物标准模型!AY197</f>
        <v>11971342</v>
      </c>
      <c r="D189" s="1">
        <f>怪物标准模型!AM197</f>
        <v>17674</v>
      </c>
      <c r="E189" s="1">
        <f>怪物标准模型!AN197</f>
        <v>14317</v>
      </c>
      <c r="F189" s="37">
        <f>怪物标准模型!AP197</f>
        <v>17674</v>
      </c>
      <c r="G189" s="38">
        <f t="shared" si="2"/>
        <v>14317</v>
      </c>
      <c r="H189" s="1">
        <f>怪物标准模型!AR197</f>
        <v>114957</v>
      </c>
      <c r="I189" s="1">
        <f>怪物标准模型!AS197</f>
        <v>344871</v>
      </c>
      <c r="J189" s="1">
        <f>怪物标准模型!AT197</f>
        <v>206923</v>
      </c>
      <c r="K189" s="1">
        <f>怪物标准模型!AU197</f>
        <v>57479</v>
      </c>
      <c r="L189" s="1">
        <f>怪物标准模型!AV197</f>
        <v>17244</v>
      </c>
      <c r="M189" s="1">
        <f>怪物标准模型!AW197</f>
        <v>459828</v>
      </c>
      <c r="N189" s="1">
        <f>怪物标准模型!AX197</f>
        <v>1034613</v>
      </c>
    </row>
    <row r="190" spans="2:14">
      <c r="B190" s="4">
        <v>187</v>
      </c>
      <c r="C190" s="1">
        <f>怪物标准模型!AY198</f>
        <v>12135403</v>
      </c>
      <c r="D190" s="1">
        <f>怪物标准模型!AM198</f>
        <v>17868</v>
      </c>
      <c r="E190" s="1">
        <f>怪物标准模型!AN198</f>
        <v>14415</v>
      </c>
      <c r="F190" s="37">
        <f>怪物标准模型!AP198</f>
        <v>17868</v>
      </c>
      <c r="G190" s="38">
        <f t="shared" si="2"/>
        <v>14415</v>
      </c>
      <c r="H190" s="1">
        <f>怪物标准模型!AR198</f>
        <v>116408</v>
      </c>
      <c r="I190" s="1">
        <f>怪物标准模型!AS198</f>
        <v>349224</v>
      </c>
      <c r="J190" s="1">
        <f>怪物标准模型!AT198</f>
        <v>209535</v>
      </c>
      <c r="K190" s="1">
        <f>怪物标准模型!AU198</f>
        <v>58204</v>
      </c>
      <c r="L190" s="1">
        <f>怪物标准模型!AV198</f>
        <v>17462</v>
      </c>
      <c r="M190" s="1">
        <f>怪物标准模型!AW198</f>
        <v>465632</v>
      </c>
      <c r="N190" s="1">
        <f>怪物标准模型!AX198</f>
        <v>1047672</v>
      </c>
    </row>
    <row r="191" spans="2:14">
      <c r="B191" s="4">
        <v>188</v>
      </c>
      <c r="C191" s="1">
        <f>怪物标准模型!AY199</f>
        <v>12301026</v>
      </c>
      <c r="D191" s="1">
        <f>怪物标准模型!AM199</f>
        <v>18064</v>
      </c>
      <c r="E191" s="1">
        <f>怪物标准模型!AN199</f>
        <v>14513</v>
      </c>
      <c r="F191" s="37">
        <f>怪物标准模型!AP199</f>
        <v>18064</v>
      </c>
      <c r="G191" s="38">
        <f t="shared" si="2"/>
        <v>14513</v>
      </c>
      <c r="H191" s="1">
        <f>怪物标准模型!AR199</f>
        <v>117873</v>
      </c>
      <c r="I191" s="1">
        <f>怪物标准模型!AS199</f>
        <v>353619</v>
      </c>
      <c r="J191" s="1">
        <f>怪物标准模型!AT199</f>
        <v>212172</v>
      </c>
      <c r="K191" s="1">
        <f>怪物标准模型!AU199</f>
        <v>58937</v>
      </c>
      <c r="L191" s="1">
        <f>怪物标准模型!AV199</f>
        <v>17681</v>
      </c>
      <c r="M191" s="1">
        <f>怪物标准模型!AW199</f>
        <v>471492</v>
      </c>
      <c r="N191" s="1">
        <f>怪物标准模型!AX199</f>
        <v>1060857</v>
      </c>
    </row>
    <row r="192" spans="2:14">
      <c r="B192" s="4">
        <v>189</v>
      </c>
      <c r="C192" s="1">
        <f>怪物标准模型!AY200</f>
        <v>12468270</v>
      </c>
      <c r="D192" s="1">
        <f>怪物标准模型!AM200</f>
        <v>18262</v>
      </c>
      <c r="E192" s="1">
        <f>怪物标准模型!AN200</f>
        <v>14612</v>
      </c>
      <c r="F192" s="37">
        <f>怪物标准模型!AP200</f>
        <v>18262</v>
      </c>
      <c r="G192" s="38">
        <f t="shared" si="2"/>
        <v>14612</v>
      </c>
      <c r="H192" s="1">
        <f>怪物标准模型!AR200</f>
        <v>119350</v>
      </c>
      <c r="I192" s="1">
        <f>怪物标准模型!AS200</f>
        <v>358050</v>
      </c>
      <c r="J192" s="1">
        <f>怪物标准模型!AT200</f>
        <v>214830</v>
      </c>
      <c r="K192" s="1">
        <f>怪物标准模型!AU200</f>
        <v>59675</v>
      </c>
      <c r="L192" s="1">
        <f>怪物标准模型!AV200</f>
        <v>17903</v>
      </c>
      <c r="M192" s="1">
        <f>怪物标准模型!AW200</f>
        <v>477400</v>
      </c>
      <c r="N192" s="1">
        <f>怪物标准模型!AX200</f>
        <v>1074150</v>
      </c>
    </row>
    <row r="193" spans="2:14">
      <c r="B193" s="4">
        <v>190</v>
      </c>
      <c r="C193" s="1">
        <f>怪物标准模型!AY201</f>
        <v>12637136</v>
      </c>
      <c r="D193" s="1">
        <f>怪物标准模型!AM201</f>
        <v>18460</v>
      </c>
      <c r="E193" s="1">
        <f>怪物标准模型!AN201</f>
        <v>14711</v>
      </c>
      <c r="F193" s="37">
        <f>怪物标准模型!AP201</f>
        <v>18460</v>
      </c>
      <c r="G193" s="38">
        <f t="shared" si="2"/>
        <v>14711</v>
      </c>
      <c r="H193" s="1">
        <f>怪物标准模型!AR201</f>
        <v>120841</v>
      </c>
      <c r="I193" s="1">
        <f>怪物标准模型!AS201</f>
        <v>362523</v>
      </c>
      <c r="J193" s="1">
        <f>怪物标准模型!AT201</f>
        <v>217514</v>
      </c>
      <c r="K193" s="1">
        <f>怪物标准模型!AU201</f>
        <v>60421</v>
      </c>
      <c r="L193" s="1">
        <f>怪物标准模型!AV201</f>
        <v>18127</v>
      </c>
      <c r="M193" s="1">
        <f>怪物标准模型!AW201</f>
        <v>483364</v>
      </c>
      <c r="N193" s="1">
        <f>怪物标准模型!AX201</f>
        <v>1087569</v>
      </c>
    </row>
    <row r="194" spans="2:14">
      <c r="B194" s="4">
        <v>191</v>
      </c>
      <c r="C194" s="1">
        <f>怪物标准模型!AY202</f>
        <v>12807562</v>
      </c>
      <c r="D194" s="1">
        <f>怪物标准模型!AM202</f>
        <v>18661</v>
      </c>
      <c r="E194" s="1">
        <f>怪物标准模型!AN202</f>
        <v>14810</v>
      </c>
      <c r="F194" s="37">
        <f>怪物标准模型!AP202</f>
        <v>18661</v>
      </c>
      <c r="G194" s="38">
        <f t="shared" si="2"/>
        <v>14810</v>
      </c>
      <c r="H194" s="1">
        <f>怪物标准模型!AR202</f>
        <v>122345</v>
      </c>
      <c r="I194" s="1">
        <f>怪物标准模型!AS202</f>
        <v>367035</v>
      </c>
      <c r="J194" s="1">
        <f>怪物标准模型!AT202</f>
        <v>220221</v>
      </c>
      <c r="K194" s="1">
        <f>怪物标准模型!AU202</f>
        <v>61173</v>
      </c>
      <c r="L194" s="1">
        <f>怪物标准模型!AV202</f>
        <v>18352</v>
      </c>
      <c r="M194" s="1">
        <f>怪物标准模型!AW202</f>
        <v>489380</v>
      </c>
      <c r="N194" s="1">
        <f>怪物标准模型!AX202</f>
        <v>1101105</v>
      </c>
    </row>
    <row r="195" spans="2:14">
      <c r="B195" s="4">
        <v>192</v>
      </c>
      <c r="C195" s="1">
        <f>怪物标准模型!AY203</f>
        <v>12979670</v>
      </c>
      <c r="D195" s="1">
        <f>怪物标准模型!AM203</f>
        <v>18862</v>
      </c>
      <c r="E195" s="1">
        <f>怪物标准模型!AN203</f>
        <v>14910</v>
      </c>
      <c r="F195" s="37">
        <f>怪物标准模型!AP203</f>
        <v>18862</v>
      </c>
      <c r="G195" s="38">
        <f t="shared" si="2"/>
        <v>14910</v>
      </c>
      <c r="H195" s="1">
        <f>怪物标准模型!AR203</f>
        <v>123862</v>
      </c>
      <c r="I195" s="1">
        <f>怪物标准模型!AS203</f>
        <v>371586</v>
      </c>
      <c r="J195" s="1">
        <f>怪物标准模型!AT203</f>
        <v>222952</v>
      </c>
      <c r="K195" s="1">
        <f>怪物标准模型!AU203</f>
        <v>61931</v>
      </c>
      <c r="L195" s="1">
        <f>怪物标准模型!AV203</f>
        <v>18580</v>
      </c>
      <c r="M195" s="1">
        <f>怪物标准模型!AW203</f>
        <v>495448</v>
      </c>
      <c r="N195" s="1">
        <f>怪物标准模型!AX203</f>
        <v>1114758</v>
      </c>
    </row>
    <row r="196" spans="2:14">
      <c r="B196" s="4">
        <v>193</v>
      </c>
      <c r="C196" s="1">
        <f>怪物标准模型!AY204</f>
        <v>13153399</v>
      </c>
      <c r="D196" s="1">
        <f>怪物标准模型!AM204</f>
        <v>19065</v>
      </c>
      <c r="E196" s="1">
        <f>怪物标准模型!AN204</f>
        <v>15009</v>
      </c>
      <c r="F196" s="37">
        <f>怪物标准模型!AP204</f>
        <v>19065</v>
      </c>
      <c r="G196" s="38">
        <f t="shared" ref="G196:G259" si="3">E196</f>
        <v>15009</v>
      </c>
      <c r="H196" s="1">
        <f>怪物标准模型!AR204</f>
        <v>125392</v>
      </c>
      <c r="I196" s="1">
        <f>怪物标准模型!AS204</f>
        <v>376176</v>
      </c>
      <c r="J196" s="1">
        <f>怪物标准模型!AT204</f>
        <v>225706</v>
      </c>
      <c r="K196" s="1">
        <f>怪物标准模型!AU204</f>
        <v>62696</v>
      </c>
      <c r="L196" s="1">
        <f>怪物标准模型!AV204</f>
        <v>18809</v>
      </c>
      <c r="M196" s="1">
        <f>怪物标准模型!AW204</f>
        <v>501568</v>
      </c>
      <c r="N196" s="1">
        <f>怪物标准模型!AX204</f>
        <v>1128528</v>
      </c>
    </row>
    <row r="197" spans="2:14">
      <c r="B197" s="4">
        <v>194</v>
      </c>
      <c r="C197" s="1">
        <f>怪物标准模型!AY205</f>
        <v>13328809</v>
      </c>
      <c r="D197" s="1">
        <f>怪物标准模型!AM205</f>
        <v>19270</v>
      </c>
      <c r="E197" s="1">
        <f>怪物标准模型!AN205</f>
        <v>15109</v>
      </c>
      <c r="F197" s="37">
        <f>怪物标准模型!AP205</f>
        <v>19270</v>
      </c>
      <c r="G197" s="38">
        <f t="shared" si="3"/>
        <v>15109</v>
      </c>
      <c r="H197" s="1">
        <f>怪物标准模型!AR205</f>
        <v>126936</v>
      </c>
      <c r="I197" s="1">
        <f>怪物标准模型!AS205</f>
        <v>380808</v>
      </c>
      <c r="J197" s="1">
        <f>怪物标准模型!AT205</f>
        <v>228485</v>
      </c>
      <c r="K197" s="1">
        <f>怪物标准模型!AU205</f>
        <v>63468</v>
      </c>
      <c r="L197" s="1">
        <f>怪物标准模型!AV205</f>
        <v>19041</v>
      </c>
      <c r="M197" s="1">
        <f>怪物标准模型!AW205</f>
        <v>507744</v>
      </c>
      <c r="N197" s="1">
        <f>怪物标准模型!AX205</f>
        <v>1142424</v>
      </c>
    </row>
    <row r="198" spans="2:14">
      <c r="B198" s="4">
        <v>195</v>
      </c>
      <c r="C198" s="1">
        <f>怪物标准模型!AY206</f>
        <v>13505901</v>
      </c>
      <c r="D198" s="1">
        <f>怪物标准模型!AM206</f>
        <v>19476</v>
      </c>
      <c r="E198" s="1">
        <f>怪物标准模型!AN206</f>
        <v>15209</v>
      </c>
      <c r="F198" s="37">
        <f>怪物标准模型!AP206</f>
        <v>19476</v>
      </c>
      <c r="G198" s="38">
        <f t="shared" si="3"/>
        <v>15209</v>
      </c>
      <c r="H198" s="1">
        <f>怪物标准模型!AR206</f>
        <v>128493</v>
      </c>
      <c r="I198" s="1">
        <f>怪物标准模型!AS206</f>
        <v>385479</v>
      </c>
      <c r="J198" s="1">
        <f>怪物标准模型!AT206</f>
        <v>231288</v>
      </c>
      <c r="K198" s="1">
        <f>怪物标准模型!AU206</f>
        <v>64247</v>
      </c>
      <c r="L198" s="1">
        <f>怪物标准模型!AV206</f>
        <v>19274</v>
      </c>
      <c r="M198" s="1">
        <f>怪物标准模型!AW206</f>
        <v>513972</v>
      </c>
      <c r="N198" s="1">
        <f>怪物标准模型!AX206</f>
        <v>1156437</v>
      </c>
    </row>
    <row r="199" spans="2:14">
      <c r="B199" s="4">
        <v>196</v>
      </c>
      <c r="C199" s="1">
        <f>怪物标准模型!AY207</f>
        <v>13684613</v>
      </c>
      <c r="D199" s="1">
        <f>怪物标准模型!AM207</f>
        <v>19684</v>
      </c>
      <c r="E199" s="1">
        <f>怪物标准模型!AN207</f>
        <v>15309</v>
      </c>
      <c r="F199" s="37">
        <f>怪物标准模型!AP207</f>
        <v>19684</v>
      </c>
      <c r="G199" s="38">
        <f t="shared" si="3"/>
        <v>15309</v>
      </c>
      <c r="H199" s="1">
        <f>怪物标准模型!AR207</f>
        <v>130063</v>
      </c>
      <c r="I199" s="1">
        <f>怪物标准模型!AS207</f>
        <v>390189</v>
      </c>
      <c r="J199" s="1">
        <f>怪物标准模型!AT207</f>
        <v>234114</v>
      </c>
      <c r="K199" s="1">
        <f>怪物标准模型!AU207</f>
        <v>65032</v>
      </c>
      <c r="L199" s="1">
        <f>怪物标准模型!AV207</f>
        <v>19510</v>
      </c>
      <c r="M199" s="1">
        <f>怪物标准模型!AW207</f>
        <v>520252</v>
      </c>
      <c r="N199" s="1">
        <f>怪物标准模型!AX207</f>
        <v>1170567</v>
      </c>
    </row>
    <row r="200" spans="2:14">
      <c r="B200" s="4">
        <v>197</v>
      </c>
      <c r="C200" s="1">
        <f>怪物标准模型!AY208</f>
        <v>13865006</v>
      </c>
      <c r="D200" s="1">
        <f>怪物标准模型!AM208</f>
        <v>19893</v>
      </c>
      <c r="E200" s="1">
        <f>怪物标准模型!AN208</f>
        <v>15410</v>
      </c>
      <c r="F200" s="37">
        <f>怪物标准模型!AP208</f>
        <v>19893</v>
      </c>
      <c r="G200" s="38">
        <f t="shared" si="3"/>
        <v>15410</v>
      </c>
      <c r="H200" s="1">
        <f>怪物标准模型!AR208</f>
        <v>131647</v>
      </c>
      <c r="I200" s="1">
        <f>怪物标准模型!AS208</f>
        <v>394941</v>
      </c>
      <c r="J200" s="1">
        <f>怪物标准模型!AT208</f>
        <v>236965</v>
      </c>
      <c r="K200" s="1">
        <f>怪物标准模型!AU208</f>
        <v>65824</v>
      </c>
      <c r="L200" s="1">
        <f>怪物标准模型!AV208</f>
        <v>19748</v>
      </c>
      <c r="M200" s="1">
        <f>怪物标准模型!AW208</f>
        <v>526588</v>
      </c>
      <c r="N200" s="1">
        <f>怪物标准模型!AX208</f>
        <v>1184823</v>
      </c>
    </row>
    <row r="201" spans="2:14">
      <c r="B201" s="4">
        <v>198</v>
      </c>
      <c r="C201" s="1">
        <f>怪物标准模型!AY209</f>
        <v>14047140</v>
      </c>
      <c r="D201" s="1">
        <f>怪物标准模型!AM209</f>
        <v>20103</v>
      </c>
      <c r="E201" s="1">
        <f>怪物标准模型!AN209</f>
        <v>15511</v>
      </c>
      <c r="F201" s="37">
        <f>怪物标准模型!AP209</f>
        <v>20103</v>
      </c>
      <c r="G201" s="38">
        <f t="shared" si="3"/>
        <v>15511</v>
      </c>
      <c r="H201" s="1">
        <f>怪物标准模型!AR209</f>
        <v>133245</v>
      </c>
      <c r="I201" s="1">
        <f>怪物标准模型!AS209</f>
        <v>399735</v>
      </c>
      <c r="J201" s="1">
        <f>怪物标准模型!AT209</f>
        <v>239841</v>
      </c>
      <c r="K201" s="1">
        <f>怪物标准模型!AU209</f>
        <v>66623</v>
      </c>
      <c r="L201" s="1">
        <f>怪物标准模型!AV209</f>
        <v>19987</v>
      </c>
      <c r="M201" s="1">
        <f>怪物标准模型!AW209</f>
        <v>532980</v>
      </c>
      <c r="N201" s="1">
        <f>怪物标准模型!AX209</f>
        <v>1199205</v>
      </c>
    </row>
    <row r="202" spans="2:14">
      <c r="B202" s="4">
        <v>199</v>
      </c>
      <c r="C202" s="1">
        <f>怪物标准模型!AY210</f>
        <v>14230956</v>
      </c>
      <c r="D202" s="1">
        <f>怪物标准模型!AM210</f>
        <v>20315</v>
      </c>
      <c r="E202" s="1">
        <f>怪物标准模型!AN210</f>
        <v>15612</v>
      </c>
      <c r="F202" s="37">
        <f>怪物标准模型!AP210</f>
        <v>20315</v>
      </c>
      <c r="G202" s="38">
        <f t="shared" si="3"/>
        <v>15612</v>
      </c>
      <c r="H202" s="1">
        <f>怪物标准模型!AR210</f>
        <v>134856</v>
      </c>
      <c r="I202" s="1">
        <f>怪物标准模型!AS210</f>
        <v>404568</v>
      </c>
      <c r="J202" s="1">
        <f>怪物标准模型!AT210</f>
        <v>242741</v>
      </c>
      <c r="K202" s="1">
        <f>怪物标准模型!AU210</f>
        <v>67428</v>
      </c>
      <c r="L202" s="1">
        <f>怪物标准模型!AV210</f>
        <v>20229</v>
      </c>
      <c r="M202" s="1">
        <f>怪物标准模型!AW210</f>
        <v>539424</v>
      </c>
      <c r="N202" s="1">
        <f>怪物标准模型!AX210</f>
        <v>1213704</v>
      </c>
    </row>
    <row r="203" spans="2:14">
      <c r="B203" s="4">
        <v>200</v>
      </c>
      <c r="C203" s="1">
        <f>怪物标准模型!AY211</f>
        <v>14416452</v>
      </c>
      <c r="D203" s="1">
        <f>怪物标准模型!AM211</f>
        <v>20529</v>
      </c>
      <c r="E203" s="1">
        <f>怪物标准模型!AN211</f>
        <v>15713</v>
      </c>
      <c r="F203" s="37">
        <f>怪物标准模型!AP211</f>
        <v>20529</v>
      </c>
      <c r="G203" s="38">
        <f t="shared" si="3"/>
        <v>15713</v>
      </c>
      <c r="H203" s="1">
        <f>怪物标准模型!AR211</f>
        <v>136482</v>
      </c>
      <c r="I203" s="1">
        <f>怪物标准模型!AS211</f>
        <v>409446</v>
      </c>
      <c r="J203" s="1">
        <f>怪物标准模型!AT211</f>
        <v>245668</v>
      </c>
      <c r="K203" s="1">
        <f>怪物标准模型!AU211</f>
        <v>68241</v>
      </c>
      <c r="L203" s="1">
        <f>怪物标准模型!AV211</f>
        <v>20473</v>
      </c>
      <c r="M203" s="1">
        <f>怪物标准模型!AW211</f>
        <v>545928</v>
      </c>
      <c r="N203" s="1">
        <f>怪物标准模型!AX211</f>
        <v>1228338</v>
      </c>
    </row>
    <row r="204" spans="2:14">
      <c r="B204" s="4">
        <v>201</v>
      </c>
      <c r="C204" s="1">
        <f>怪物标准模型!AY212</f>
        <v>14603689</v>
      </c>
      <c r="D204" s="1">
        <f>怪物标准模型!AM212</f>
        <v>20744</v>
      </c>
      <c r="E204" s="1">
        <f>怪物标准模型!AN212</f>
        <v>15814</v>
      </c>
      <c r="F204" s="37">
        <f>怪物标准模型!AP212</f>
        <v>20744</v>
      </c>
      <c r="G204" s="38">
        <f t="shared" si="3"/>
        <v>15814</v>
      </c>
      <c r="H204" s="1">
        <f>怪物标准模型!AR212</f>
        <v>138121</v>
      </c>
      <c r="I204" s="1">
        <f>怪物标准模型!AS212</f>
        <v>414363</v>
      </c>
      <c r="J204" s="1">
        <f>怪物标准模型!AT212</f>
        <v>248618</v>
      </c>
      <c r="K204" s="1">
        <f>怪物标准模型!AU212</f>
        <v>69061</v>
      </c>
      <c r="L204" s="1">
        <f>怪物标准模型!AV212</f>
        <v>20719</v>
      </c>
      <c r="M204" s="1">
        <f>怪物标准模型!AW212</f>
        <v>552484</v>
      </c>
      <c r="N204" s="1">
        <f>怪物标准模型!AX212</f>
        <v>1243089</v>
      </c>
    </row>
    <row r="205" spans="2:14">
      <c r="B205" s="4">
        <v>202</v>
      </c>
      <c r="C205" s="1">
        <f>怪物标准模型!AY213</f>
        <v>14792726</v>
      </c>
      <c r="D205" s="1">
        <f>怪物标准模型!AM213</f>
        <v>20961</v>
      </c>
      <c r="E205" s="1">
        <f>怪物标准模型!AN213</f>
        <v>15916</v>
      </c>
      <c r="F205" s="37">
        <f>怪物标准模型!AP213</f>
        <v>20961</v>
      </c>
      <c r="G205" s="38">
        <f t="shared" si="3"/>
        <v>15916</v>
      </c>
      <c r="H205" s="1">
        <f>怪物标准模型!AR213</f>
        <v>139774</v>
      </c>
      <c r="I205" s="1">
        <f>怪物标准模型!AS213</f>
        <v>419322</v>
      </c>
      <c r="J205" s="1">
        <f>怪物标准模型!AT213</f>
        <v>251594</v>
      </c>
      <c r="K205" s="1">
        <f>怪物标准模型!AU213</f>
        <v>69887</v>
      </c>
      <c r="L205" s="1">
        <f>怪物标准模型!AV213</f>
        <v>20967</v>
      </c>
      <c r="M205" s="1">
        <f>怪物标准模型!AW213</f>
        <v>559096</v>
      </c>
      <c r="N205" s="1">
        <f>怪物标准模型!AX213</f>
        <v>1257966</v>
      </c>
    </row>
    <row r="206" spans="2:14">
      <c r="B206" s="4">
        <v>203</v>
      </c>
      <c r="C206" s="1">
        <f>怪物标准模型!AY214</f>
        <v>14983445</v>
      </c>
      <c r="D206" s="1">
        <f>怪物标准模型!AM214</f>
        <v>21179</v>
      </c>
      <c r="E206" s="1">
        <f>怪物标准模型!AN214</f>
        <v>16018</v>
      </c>
      <c r="F206" s="37">
        <f>怪物标准模型!AP214</f>
        <v>21179</v>
      </c>
      <c r="G206" s="38">
        <f t="shared" si="3"/>
        <v>16018</v>
      </c>
      <c r="H206" s="1">
        <f>怪物标准模型!AR214</f>
        <v>141441</v>
      </c>
      <c r="I206" s="1">
        <f>怪物标准模型!AS214</f>
        <v>424323</v>
      </c>
      <c r="J206" s="1">
        <f>怪物标准模型!AT214</f>
        <v>254594</v>
      </c>
      <c r="K206" s="1">
        <f>怪物标准模型!AU214</f>
        <v>70721</v>
      </c>
      <c r="L206" s="1">
        <f>怪物标准模型!AV214</f>
        <v>21217</v>
      </c>
      <c r="M206" s="1">
        <f>怪物标准模型!AW214</f>
        <v>565764</v>
      </c>
      <c r="N206" s="1">
        <f>怪物标准模型!AX214</f>
        <v>1272969</v>
      </c>
    </row>
    <row r="207" spans="2:14">
      <c r="B207" s="4">
        <v>204</v>
      </c>
      <c r="C207" s="1">
        <f>怪物标准模型!AY215</f>
        <v>15175964</v>
      </c>
      <c r="D207" s="1">
        <f>怪物标准模型!AM215</f>
        <v>21398</v>
      </c>
      <c r="E207" s="1">
        <f>怪物标准模型!AN215</f>
        <v>16120</v>
      </c>
      <c r="F207" s="37">
        <f>怪物标准模型!AP215</f>
        <v>21398</v>
      </c>
      <c r="G207" s="38">
        <f t="shared" si="3"/>
        <v>16120</v>
      </c>
      <c r="H207" s="1">
        <f>怪物标准模型!AR215</f>
        <v>143122</v>
      </c>
      <c r="I207" s="1">
        <f>怪物标准模型!AS215</f>
        <v>429366</v>
      </c>
      <c r="J207" s="1">
        <f>怪物标准模型!AT215</f>
        <v>257620</v>
      </c>
      <c r="K207" s="1">
        <f>怪物标准模型!AU215</f>
        <v>71561</v>
      </c>
      <c r="L207" s="1">
        <f>怪物标准模型!AV215</f>
        <v>21469</v>
      </c>
      <c r="M207" s="1">
        <f>怪物标准模型!AW215</f>
        <v>572488</v>
      </c>
      <c r="N207" s="1">
        <f>怪物标准模型!AX215</f>
        <v>1288098</v>
      </c>
    </row>
    <row r="208" spans="2:14">
      <c r="B208" s="4">
        <v>205</v>
      </c>
      <c r="C208" s="1">
        <f>怪物标准模型!AY216</f>
        <v>15370225</v>
      </c>
      <c r="D208" s="1">
        <f>怪物标准模型!AM216</f>
        <v>21620</v>
      </c>
      <c r="E208" s="1">
        <f>怪物标准模型!AN216</f>
        <v>16222</v>
      </c>
      <c r="F208" s="37">
        <f>怪物标准模型!AP216</f>
        <v>21620</v>
      </c>
      <c r="G208" s="38">
        <f t="shared" si="3"/>
        <v>16222</v>
      </c>
      <c r="H208" s="1">
        <f>怪物标准模型!AR216</f>
        <v>144817</v>
      </c>
      <c r="I208" s="1">
        <f>怪物标准模型!AS216</f>
        <v>434451</v>
      </c>
      <c r="J208" s="1">
        <f>怪物标准模型!AT216</f>
        <v>260671</v>
      </c>
      <c r="K208" s="1">
        <f>怪物标准模型!AU216</f>
        <v>72409</v>
      </c>
      <c r="L208" s="1">
        <f>怪物标准模型!AV216</f>
        <v>21723</v>
      </c>
      <c r="M208" s="1">
        <f>怪物标准模型!AW216</f>
        <v>579268</v>
      </c>
      <c r="N208" s="1">
        <f>怪物标准模型!AX216</f>
        <v>1303353</v>
      </c>
    </row>
    <row r="209" spans="2:14">
      <c r="B209" s="4">
        <v>206</v>
      </c>
      <c r="C209" s="1">
        <f>怪物标准模型!AY217</f>
        <v>15566286</v>
      </c>
      <c r="D209" s="1">
        <f>怪物标准模型!AM217</f>
        <v>21842</v>
      </c>
      <c r="E209" s="1">
        <f>怪物标准模型!AN217</f>
        <v>16325</v>
      </c>
      <c r="F209" s="37">
        <f>怪物标准模型!AP217</f>
        <v>21842</v>
      </c>
      <c r="G209" s="38">
        <f t="shared" si="3"/>
        <v>16325</v>
      </c>
      <c r="H209" s="1">
        <f>怪物标准模型!AR217</f>
        <v>146527</v>
      </c>
      <c r="I209" s="1">
        <f>怪物标准模型!AS217</f>
        <v>439581</v>
      </c>
      <c r="J209" s="1">
        <f>怪物标准模型!AT217</f>
        <v>263749</v>
      </c>
      <c r="K209" s="1">
        <f>怪物标准模型!AU217</f>
        <v>73264</v>
      </c>
      <c r="L209" s="1">
        <f>怪物标准模型!AV217</f>
        <v>21980</v>
      </c>
      <c r="M209" s="1">
        <f>怪物标准模型!AW217</f>
        <v>586108</v>
      </c>
      <c r="N209" s="1">
        <f>怪物标准模型!AX217</f>
        <v>1318743</v>
      </c>
    </row>
    <row r="210" spans="2:14">
      <c r="B210" s="4">
        <v>207</v>
      </c>
      <c r="C210" s="1">
        <f>怪物标准模型!AY218</f>
        <v>15764147</v>
      </c>
      <c r="D210" s="1">
        <f>怪物标准模型!AM218</f>
        <v>22067</v>
      </c>
      <c r="E210" s="1">
        <f>怪物标准模型!AN218</f>
        <v>16427</v>
      </c>
      <c r="F210" s="37">
        <f>怪物标准模型!AP218</f>
        <v>22067</v>
      </c>
      <c r="G210" s="38">
        <f t="shared" si="3"/>
        <v>16427</v>
      </c>
      <c r="H210" s="1">
        <f>怪物标准模型!AR218</f>
        <v>148251</v>
      </c>
      <c r="I210" s="1">
        <f>怪物标准模型!AS218</f>
        <v>444753</v>
      </c>
      <c r="J210" s="1">
        <f>怪物标准模型!AT218</f>
        <v>266852</v>
      </c>
      <c r="K210" s="1">
        <f>怪物标准模型!AU218</f>
        <v>74126</v>
      </c>
      <c r="L210" s="1">
        <f>怪物标准模型!AV218</f>
        <v>22238</v>
      </c>
      <c r="M210" s="1">
        <f>怪物标准模型!AW218</f>
        <v>593004</v>
      </c>
      <c r="N210" s="1">
        <f>怪物标准模型!AX218</f>
        <v>1334259</v>
      </c>
    </row>
    <row r="211" spans="2:14">
      <c r="B211" s="4">
        <v>208</v>
      </c>
      <c r="C211" s="1">
        <f>怪物标准模型!AY219</f>
        <v>15963749</v>
      </c>
      <c r="D211" s="1">
        <f>怪物标准模型!AM219</f>
        <v>22293</v>
      </c>
      <c r="E211" s="1">
        <f>怪物标准模型!AN219</f>
        <v>16531</v>
      </c>
      <c r="F211" s="37">
        <f>怪物标准模型!AP219</f>
        <v>22293</v>
      </c>
      <c r="G211" s="38">
        <f t="shared" si="3"/>
        <v>16531</v>
      </c>
      <c r="H211" s="1">
        <f>怪物标准模型!AR219</f>
        <v>149989</v>
      </c>
      <c r="I211" s="1">
        <f>怪物标准模型!AS219</f>
        <v>449967</v>
      </c>
      <c r="J211" s="1">
        <f>怪物标准模型!AT219</f>
        <v>269981</v>
      </c>
      <c r="K211" s="1">
        <f>怪物标准模型!AU219</f>
        <v>74995</v>
      </c>
      <c r="L211" s="1">
        <f>怪物标准模型!AV219</f>
        <v>22499</v>
      </c>
      <c r="M211" s="1">
        <f>怪物标准模型!AW219</f>
        <v>599956</v>
      </c>
      <c r="N211" s="1">
        <f>怪物标准模型!AX219</f>
        <v>1349901</v>
      </c>
    </row>
    <row r="212" spans="2:14">
      <c r="B212" s="4">
        <v>209</v>
      </c>
      <c r="C212" s="1">
        <f>怪物标准模型!AY220</f>
        <v>16165212</v>
      </c>
      <c r="D212" s="1">
        <f>怪物标准模型!AM220</f>
        <v>22520</v>
      </c>
      <c r="E212" s="1">
        <f>怪物标准模型!AN220</f>
        <v>16634</v>
      </c>
      <c r="F212" s="37">
        <f>怪物标准模型!AP220</f>
        <v>22520</v>
      </c>
      <c r="G212" s="38">
        <f t="shared" si="3"/>
        <v>16634</v>
      </c>
      <c r="H212" s="1">
        <f>怪物标准模型!AR220</f>
        <v>151742</v>
      </c>
      <c r="I212" s="1">
        <f>怪物标准模型!AS220</f>
        <v>455226</v>
      </c>
      <c r="J212" s="1">
        <f>怪物标准模型!AT220</f>
        <v>273136</v>
      </c>
      <c r="K212" s="1">
        <f>怪物标准模型!AU220</f>
        <v>75871</v>
      </c>
      <c r="L212" s="1">
        <f>怪物标准模型!AV220</f>
        <v>22762</v>
      </c>
      <c r="M212" s="1">
        <f>怪物标准模型!AW220</f>
        <v>606968</v>
      </c>
      <c r="N212" s="1">
        <f>怪物标准模型!AX220</f>
        <v>1365678</v>
      </c>
    </row>
    <row r="213" spans="2:14">
      <c r="B213" s="4">
        <v>210</v>
      </c>
      <c r="C213" s="1">
        <f>怪物标准模型!AY221</f>
        <v>16368536</v>
      </c>
      <c r="D213" s="1">
        <f>怪物标准模型!AM221</f>
        <v>22749</v>
      </c>
      <c r="E213" s="1">
        <f>怪物标准模型!AN221</f>
        <v>16737</v>
      </c>
      <c r="F213" s="37">
        <f>怪物标准模型!AP221</f>
        <v>22749</v>
      </c>
      <c r="G213" s="38">
        <f t="shared" si="3"/>
        <v>16737</v>
      </c>
      <c r="H213" s="1">
        <f>怪物标准模型!AR221</f>
        <v>153509</v>
      </c>
      <c r="I213" s="1">
        <f>怪物标准模型!AS221</f>
        <v>460527</v>
      </c>
      <c r="J213" s="1">
        <f>怪物标准模型!AT221</f>
        <v>276317</v>
      </c>
      <c r="K213" s="1">
        <f>怪物标准模型!AU221</f>
        <v>76755</v>
      </c>
      <c r="L213" s="1">
        <f>怪物标准模型!AV221</f>
        <v>23027</v>
      </c>
      <c r="M213" s="1">
        <f>怪物标准模型!AW221</f>
        <v>614036</v>
      </c>
      <c r="N213" s="1">
        <f>怪物标准模型!AX221</f>
        <v>1381581</v>
      </c>
    </row>
    <row r="214" spans="2:14">
      <c r="B214" s="4">
        <v>211</v>
      </c>
      <c r="C214" s="1">
        <f>怪物标准模型!AY222</f>
        <v>16573660</v>
      </c>
      <c r="D214" s="1">
        <f>怪物标准模型!AM222</f>
        <v>22980</v>
      </c>
      <c r="E214" s="1">
        <f>怪物标准模型!AN222</f>
        <v>16841</v>
      </c>
      <c r="F214" s="37">
        <f>怪物标准模型!AP222</f>
        <v>22980</v>
      </c>
      <c r="G214" s="38">
        <f t="shared" si="3"/>
        <v>16841</v>
      </c>
      <c r="H214" s="1">
        <f>怪物标准模型!AR222</f>
        <v>155291</v>
      </c>
      <c r="I214" s="1">
        <f>怪物标准模型!AS222</f>
        <v>465873</v>
      </c>
      <c r="J214" s="1">
        <f>怪物标准模型!AT222</f>
        <v>279524</v>
      </c>
      <c r="K214" s="1">
        <f>怪物标准模型!AU222</f>
        <v>77646</v>
      </c>
      <c r="L214" s="1">
        <f>怪物标准模型!AV222</f>
        <v>23294</v>
      </c>
      <c r="M214" s="1">
        <f>怪物标准模型!AW222</f>
        <v>621164</v>
      </c>
      <c r="N214" s="1">
        <f>怪物标准模型!AX222</f>
        <v>1397619</v>
      </c>
    </row>
    <row r="215" spans="2:14">
      <c r="B215" s="4">
        <v>212</v>
      </c>
      <c r="C215" s="1">
        <f>怪物标准模型!AY223</f>
        <v>16780645</v>
      </c>
      <c r="D215" s="1">
        <f>怪物标准模型!AM223</f>
        <v>23212</v>
      </c>
      <c r="E215" s="1">
        <f>怪物标准模型!AN223</f>
        <v>16945</v>
      </c>
      <c r="F215" s="37">
        <f>怪物标准模型!AP223</f>
        <v>23212</v>
      </c>
      <c r="G215" s="38">
        <f t="shared" si="3"/>
        <v>16945</v>
      </c>
      <c r="H215" s="1">
        <f>怪物标准模型!AR223</f>
        <v>157087</v>
      </c>
      <c r="I215" s="1">
        <f>怪物标准模型!AS223</f>
        <v>471261</v>
      </c>
      <c r="J215" s="1">
        <f>怪物标准模型!AT223</f>
        <v>282757</v>
      </c>
      <c r="K215" s="1">
        <f>怪物标准模型!AU223</f>
        <v>78544</v>
      </c>
      <c r="L215" s="1">
        <f>怪物标准模型!AV223</f>
        <v>23564</v>
      </c>
      <c r="M215" s="1">
        <f>怪物标准模型!AW223</f>
        <v>628348</v>
      </c>
      <c r="N215" s="1">
        <f>怪物标准模型!AX223</f>
        <v>1413783</v>
      </c>
    </row>
    <row r="216" spans="2:14">
      <c r="B216" s="4">
        <v>213</v>
      </c>
      <c r="C216" s="1">
        <f>怪物标准模型!AY224</f>
        <v>16989490</v>
      </c>
      <c r="D216" s="1">
        <f>怪物标准模型!AM224</f>
        <v>23446</v>
      </c>
      <c r="E216" s="1">
        <f>怪物标准模型!AN224</f>
        <v>17049</v>
      </c>
      <c r="F216" s="37">
        <f>怪物标准模型!AP224</f>
        <v>23446</v>
      </c>
      <c r="G216" s="38">
        <f t="shared" si="3"/>
        <v>17049</v>
      </c>
      <c r="H216" s="1">
        <f>怪物标准模型!AR224</f>
        <v>158899</v>
      </c>
      <c r="I216" s="1">
        <f>怪物标准模型!AS224</f>
        <v>476697</v>
      </c>
      <c r="J216" s="1">
        <f>怪物标准模型!AT224</f>
        <v>286019</v>
      </c>
      <c r="K216" s="1">
        <f>怪物标准模型!AU224</f>
        <v>79450</v>
      </c>
      <c r="L216" s="1">
        <f>怪物标准模型!AV224</f>
        <v>23835</v>
      </c>
      <c r="M216" s="1">
        <f>怪物标准模型!AW224</f>
        <v>635596</v>
      </c>
      <c r="N216" s="1">
        <f>怪物标准模型!AX224</f>
        <v>1430091</v>
      </c>
    </row>
    <row r="217" spans="2:14">
      <c r="B217" s="4">
        <v>214</v>
      </c>
      <c r="C217" s="1">
        <f>怪物标准模型!AY225</f>
        <v>17200196</v>
      </c>
      <c r="D217" s="1">
        <f>怪物标准模型!AM225</f>
        <v>23681</v>
      </c>
      <c r="E217" s="1">
        <f>怪物标准模型!AN225</f>
        <v>17153</v>
      </c>
      <c r="F217" s="37">
        <f>怪物标准模型!AP225</f>
        <v>23681</v>
      </c>
      <c r="G217" s="38">
        <f t="shared" si="3"/>
        <v>17153</v>
      </c>
      <c r="H217" s="1">
        <f>怪物标准模型!AR225</f>
        <v>160725</v>
      </c>
      <c r="I217" s="1">
        <f>怪物标准模型!AS225</f>
        <v>482175</v>
      </c>
      <c r="J217" s="1">
        <f>怪物标准模型!AT225</f>
        <v>289305</v>
      </c>
      <c r="K217" s="1">
        <f>怪物标准模型!AU225</f>
        <v>80363</v>
      </c>
      <c r="L217" s="1">
        <f>怪物标准模型!AV225</f>
        <v>24109</v>
      </c>
      <c r="M217" s="1">
        <f>怪物标准模型!AW225</f>
        <v>642900</v>
      </c>
      <c r="N217" s="1">
        <f>怪物标准模型!AX225</f>
        <v>1446525</v>
      </c>
    </row>
    <row r="218" spans="2:14">
      <c r="B218" s="4">
        <v>215</v>
      </c>
      <c r="C218" s="1">
        <f>怪物标准模型!AY226</f>
        <v>17412822</v>
      </c>
      <c r="D218" s="1">
        <f>怪物标准模型!AM226</f>
        <v>23919</v>
      </c>
      <c r="E218" s="1">
        <f>怪物标准模型!AN226</f>
        <v>17258</v>
      </c>
      <c r="F218" s="37">
        <f>怪物标准模型!AP226</f>
        <v>23919</v>
      </c>
      <c r="G218" s="38">
        <f t="shared" si="3"/>
        <v>17258</v>
      </c>
      <c r="H218" s="1">
        <f>怪物标准模型!AR226</f>
        <v>162566</v>
      </c>
      <c r="I218" s="1">
        <f>怪物标准模型!AS226</f>
        <v>487698</v>
      </c>
      <c r="J218" s="1">
        <f>怪物标准模型!AT226</f>
        <v>292619</v>
      </c>
      <c r="K218" s="1">
        <f>怪物标准模型!AU226</f>
        <v>81283</v>
      </c>
      <c r="L218" s="1">
        <f>怪物标准模型!AV226</f>
        <v>24385</v>
      </c>
      <c r="M218" s="1">
        <f>怪物标准模型!AW226</f>
        <v>650264</v>
      </c>
      <c r="N218" s="1">
        <f>怪物标准模型!AX226</f>
        <v>1463094</v>
      </c>
    </row>
    <row r="219" spans="2:14">
      <c r="B219" s="4">
        <v>216</v>
      </c>
      <c r="C219" s="1">
        <f>怪物标准模型!AY227</f>
        <v>17627309</v>
      </c>
      <c r="D219" s="1">
        <f>怪物标准模型!AM227</f>
        <v>24157</v>
      </c>
      <c r="E219" s="1">
        <f>怪物标准模型!AN227</f>
        <v>17363</v>
      </c>
      <c r="F219" s="37">
        <f>怪物标准模型!AP227</f>
        <v>24157</v>
      </c>
      <c r="G219" s="38">
        <f t="shared" si="3"/>
        <v>17363</v>
      </c>
      <c r="H219" s="1">
        <f>怪物标准模型!AR227</f>
        <v>164423</v>
      </c>
      <c r="I219" s="1">
        <f>怪物标准模型!AS227</f>
        <v>493269</v>
      </c>
      <c r="J219" s="1">
        <f>怪物标准模型!AT227</f>
        <v>295962</v>
      </c>
      <c r="K219" s="1">
        <f>怪物标准模型!AU227</f>
        <v>82212</v>
      </c>
      <c r="L219" s="1">
        <f>怪物标准模型!AV227</f>
        <v>24664</v>
      </c>
      <c r="M219" s="1">
        <f>怪物标准模型!AW227</f>
        <v>657692</v>
      </c>
      <c r="N219" s="1">
        <f>怪物标准模型!AX227</f>
        <v>1479807</v>
      </c>
    </row>
    <row r="220" spans="2:14">
      <c r="B220" s="4">
        <v>217</v>
      </c>
      <c r="C220" s="1">
        <f>怪物标准模型!AY228</f>
        <v>17843717</v>
      </c>
      <c r="D220" s="1">
        <f>怪物标准模型!AM228</f>
        <v>24398</v>
      </c>
      <c r="E220" s="1">
        <f>怪物标准模型!AN228</f>
        <v>17468</v>
      </c>
      <c r="F220" s="37">
        <f>怪物标准模型!AP228</f>
        <v>24398</v>
      </c>
      <c r="G220" s="38">
        <f t="shared" si="3"/>
        <v>17468</v>
      </c>
      <c r="H220" s="1">
        <f>怪物标准模型!AR228</f>
        <v>166294</v>
      </c>
      <c r="I220" s="1">
        <f>怪物标准模型!AS228</f>
        <v>498882</v>
      </c>
      <c r="J220" s="1">
        <f>怪物标准模型!AT228</f>
        <v>299330</v>
      </c>
      <c r="K220" s="1">
        <f>怪物标准模型!AU228</f>
        <v>83147</v>
      </c>
      <c r="L220" s="1">
        <f>怪物标准模型!AV228</f>
        <v>24945</v>
      </c>
      <c r="M220" s="1">
        <f>怪物标准模型!AW228</f>
        <v>665176</v>
      </c>
      <c r="N220" s="1">
        <f>怪物标准模型!AX228</f>
        <v>1496646</v>
      </c>
    </row>
    <row r="221" spans="2:14">
      <c r="B221" s="4">
        <v>218</v>
      </c>
      <c r="C221" s="1">
        <f>怪物标准模型!AY229</f>
        <v>18061984</v>
      </c>
      <c r="D221" s="1">
        <f>怪物标准模型!AM229</f>
        <v>24640</v>
      </c>
      <c r="E221" s="1">
        <f>怪物标准模型!AN229</f>
        <v>17573</v>
      </c>
      <c r="F221" s="37">
        <f>怪物标准模型!AP229</f>
        <v>24640</v>
      </c>
      <c r="G221" s="38">
        <f t="shared" si="3"/>
        <v>17573</v>
      </c>
      <c r="H221" s="1">
        <f>怪物标准模型!AR229</f>
        <v>168180</v>
      </c>
      <c r="I221" s="1">
        <f>怪物标准模型!AS229</f>
        <v>504540</v>
      </c>
      <c r="J221" s="1">
        <f>怪物标准模型!AT229</f>
        <v>302724</v>
      </c>
      <c r="K221" s="1">
        <f>怪物标准模型!AU229</f>
        <v>84090</v>
      </c>
      <c r="L221" s="1">
        <f>怪物标准模型!AV229</f>
        <v>25227</v>
      </c>
      <c r="M221" s="1">
        <f>怪物标准模型!AW229</f>
        <v>672720</v>
      </c>
      <c r="N221" s="1">
        <f>怪物标准模型!AX229</f>
        <v>1513620</v>
      </c>
    </row>
    <row r="222" spans="2:14">
      <c r="B222" s="4">
        <v>219</v>
      </c>
      <c r="C222" s="1">
        <f>怪物标准模型!AY230</f>
        <v>18282233</v>
      </c>
      <c r="D222" s="1">
        <f>怪物标准模型!AM230</f>
        <v>24883</v>
      </c>
      <c r="E222" s="1">
        <f>怪物标准模型!AN230</f>
        <v>17679</v>
      </c>
      <c r="F222" s="37">
        <f>怪物标准模型!AP230</f>
        <v>24883</v>
      </c>
      <c r="G222" s="38">
        <f t="shared" si="3"/>
        <v>17679</v>
      </c>
      <c r="H222" s="1">
        <f>怪物标准模型!AR230</f>
        <v>170082</v>
      </c>
      <c r="I222" s="1">
        <f>怪物标准模型!AS230</f>
        <v>510246</v>
      </c>
      <c r="J222" s="1">
        <f>怪物标准模型!AT230</f>
        <v>306148</v>
      </c>
      <c r="K222" s="1">
        <f>怪物标准模型!AU230</f>
        <v>85041</v>
      </c>
      <c r="L222" s="1">
        <f>怪物标准模型!AV230</f>
        <v>25513</v>
      </c>
      <c r="M222" s="1">
        <f>怪物标准模型!AW230</f>
        <v>680328</v>
      </c>
      <c r="N222" s="1">
        <f>怪物标准模型!AX230</f>
        <v>1530738</v>
      </c>
    </row>
    <row r="223" spans="2:14">
      <c r="B223" s="4">
        <v>220</v>
      </c>
      <c r="C223" s="1">
        <f>怪物标准模型!AY231</f>
        <v>18504461</v>
      </c>
      <c r="D223" s="1">
        <f>怪物标准模型!AM231</f>
        <v>25128</v>
      </c>
      <c r="E223" s="1">
        <f>怪物标准模型!AN231</f>
        <v>17784</v>
      </c>
      <c r="F223" s="37">
        <f>怪物标准模型!AP231</f>
        <v>25128</v>
      </c>
      <c r="G223" s="38">
        <f t="shared" si="3"/>
        <v>17784</v>
      </c>
      <c r="H223" s="1">
        <f>怪物标准模型!AR231</f>
        <v>171999</v>
      </c>
      <c r="I223" s="1">
        <f>怪物标准模型!AS231</f>
        <v>515997</v>
      </c>
      <c r="J223" s="1">
        <f>怪物标准模型!AT231</f>
        <v>309599</v>
      </c>
      <c r="K223" s="1">
        <f>怪物标准模型!AU231</f>
        <v>86000</v>
      </c>
      <c r="L223" s="1">
        <f>怪物标准模型!AV231</f>
        <v>25800</v>
      </c>
      <c r="M223" s="1">
        <f>怪物标准模型!AW231</f>
        <v>687996</v>
      </c>
      <c r="N223" s="1">
        <f>怪物标准模型!AX231</f>
        <v>1547991</v>
      </c>
    </row>
    <row r="224" spans="2:14">
      <c r="B224" s="4">
        <v>221</v>
      </c>
      <c r="C224" s="1">
        <f>怪物标准模型!AY232</f>
        <v>18728611</v>
      </c>
      <c r="D224" s="1">
        <f>怪物标准模型!AM232</f>
        <v>25375</v>
      </c>
      <c r="E224" s="1">
        <f>怪物标准模型!AN232</f>
        <v>17890</v>
      </c>
      <c r="F224" s="37">
        <f>怪物标准模型!AP232</f>
        <v>25375</v>
      </c>
      <c r="G224" s="38">
        <f t="shared" si="3"/>
        <v>17890</v>
      </c>
      <c r="H224" s="1">
        <f>怪物标准模型!AR232</f>
        <v>173932</v>
      </c>
      <c r="I224" s="1">
        <f>怪物标准模型!AS232</f>
        <v>521796</v>
      </c>
      <c r="J224" s="1">
        <f>怪物标准模型!AT232</f>
        <v>313078</v>
      </c>
      <c r="K224" s="1">
        <f>怪物标准模型!AU232</f>
        <v>86966</v>
      </c>
      <c r="L224" s="1">
        <f>怪物标准模型!AV232</f>
        <v>26090</v>
      </c>
      <c r="M224" s="1">
        <f>怪物标准模型!AW232</f>
        <v>695728</v>
      </c>
      <c r="N224" s="1">
        <f>怪物标准模型!AX232</f>
        <v>1565388</v>
      </c>
    </row>
    <row r="225" spans="2:14">
      <c r="B225" s="4">
        <v>222</v>
      </c>
      <c r="C225" s="1">
        <f>怪物标准模型!AY233</f>
        <v>18954740</v>
      </c>
      <c r="D225" s="1">
        <f>怪物标准模型!AM233</f>
        <v>25624</v>
      </c>
      <c r="E225" s="1">
        <f>怪物标准模型!AN233</f>
        <v>17997</v>
      </c>
      <c r="F225" s="37">
        <f>怪物标准模型!AP233</f>
        <v>25624</v>
      </c>
      <c r="G225" s="38">
        <f t="shared" si="3"/>
        <v>17997</v>
      </c>
      <c r="H225" s="1">
        <f>怪物标准模型!AR233</f>
        <v>175880</v>
      </c>
      <c r="I225" s="1">
        <f>怪物标准模型!AS233</f>
        <v>527640</v>
      </c>
      <c r="J225" s="1">
        <f>怪物标准模型!AT233</f>
        <v>316584</v>
      </c>
      <c r="K225" s="1">
        <f>怪物标准模型!AU233</f>
        <v>87940</v>
      </c>
      <c r="L225" s="1">
        <f>怪物标准模型!AV233</f>
        <v>26382</v>
      </c>
      <c r="M225" s="1">
        <f>怪物标准模型!AW233</f>
        <v>703520</v>
      </c>
      <c r="N225" s="1">
        <f>怪物标准模型!AX233</f>
        <v>1582920</v>
      </c>
    </row>
    <row r="226" spans="2:14">
      <c r="B226" s="4">
        <v>223</v>
      </c>
      <c r="C226" s="1">
        <f>怪物标准模型!AY234</f>
        <v>19182790</v>
      </c>
      <c r="D226" s="1">
        <f>怪物标准模型!AM234</f>
        <v>25874</v>
      </c>
      <c r="E226" s="1">
        <f>怪物标准模型!AN234</f>
        <v>18103</v>
      </c>
      <c r="F226" s="37">
        <f>怪物标准模型!AP234</f>
        <v>25874</v>
      </c>
      <c r="G226" s="38">
        <f t="shared" si="3"/>
        <v>18103</v>
      </c>
      <c r="H226" s="1">
        <f>怪物标准模型!AR234</f>
        <v>177843</v>
      </c>
      <c r="I226" s="1">
        <f>怪物标准模型!AS234</f>
        <v>533529</v>
      </c>
      <c r="J226" s="1">
        <f>怪物标准模型!AT234</f>
        <v>320118</v>
      </c>
      <c r="K226" s="1">
        <f>怪物标准模型!AU234</f>
        <v>88922</v>
      </c>
      <c r="L226" s="1">
        <f>怪物标准模型!AV234</f>
        <v>26677</v>
      </c>
      <c r="M226" s="1">
        <f>怪物标准模型!AW234</f>
        <v>711372</v>
      </c>
      <c r="N226" s="1">
        <f>怪物标准模型!AX234</f>
        <v>1600587</v>
      </c>
    </row>
    <row r="227" spans="2:14">
      <c r="B227" s="4">
        <v>224</v>
      </c>
      <c r="C227" s="1">
        <f>怪物标准模型!AY235</f>
        <v>19412881</v>
      </c>
      <c r="D227" s="1">
        <f>怪物标准模型!AM235</f>
        <v>26126</v>
      </c>
      <c r="E227" s="1">
        <f>怪物标准模型!AN235</f>
        <v>18210</v>
      </c>
      <c r="F227" s="37">
        <f>怪物标准模型!AP235</f>
        <v>26126</v>
      </c>
      <c r="G227" s="38">
        <f t="shared" si="3"/>
        <v>18210</v>
      </c>
      <c r="H227" s="1">
        <f>怪物标准模型!AR235</f>
        <v>179823</v>
      </c>
      <c r="I227" s="1">
        <f>怪物标准模型!AS235</f>
        <v>539469</v>
      </c>
      <c r="J227" s="1">
        <f>怪物标准模型!AT235</f>
        <v>323682</v>
      </c>
      <c r="K227" s="1">
        <f>怪物标准模型!AU235</f>
        <v>89912</v>
      </c>
      <c r="L227" s="1">
        <f>怪物标准模型!AV235</f>
        <v>26974</v>
      </c>
      <c r="M227" s="1">
        <f>怪物标准模型!AW235</f>
        <v>719292</v>
      </c>
      <c r="N227" s="1">
        <f>怪物标准模型!AX235</f>
        <v>1618407</v>
      </c>
    </row>
    <row r="228" spans="2:14">
      <c r="B228" s="4">
        <v>225</v>
      </c>
      <c r="C228" s="1">
        <f>怪物标准模型!AY236</f>
        <v>19644951</v>
      </c>
      <c r="D228" s="1">
        <f>怪物标准模型!AM236</f>
        <v>26380</v>
      </c>
      <c r="E228" s="1">
        <f>怪物标准模型!AN236</f>
        <v>18317</v>
      </c>
      <c r="F228" s="37">
        <f>怪物标准模型!AP236</f>
        <v>26380</v>
      </c>
      <c r="G228" s="38">
        <f t="shared" si="3"/>
        <v>18317</v>
      </c>
      <c r="H228" s="1">
        <f>怪物标准模型!AR236</f>
        <v>181818</v>
      </c>
      <c r="I228" s="1">
        <f>怪物标准模型!AS236</f>
        <v>545454</v>
      </c>
      <c r="J228" s="1">
        <f>怪物标准模型!AT236</f>
        <v>327273</v>
      </c>
      <c r="K228" s="1">
        <f>怪物标准模型!AU236</f>
        <v>90909</v>
      </c>
      <c r="L228" s="1">
        <f>怪物标准模型!AV236</f>
        <v>27273</v>
      </c>
      <c r="M228" s="1">
        <f>怪物标准模型!AW236</f>
        <v>727272</v>
      </c>
      <c r="N228" s="1">
        <f>怪物标准模型!AX236</f>
        <v>1636362</v>
      </c>
    </row>
    <row r="229" spans="2:14">
      <c r="B229" s="4">
        <v>226</v>
      </c>
      <c r="C229" s="1">
        <f>怪物标准模型!AY237</f>
        <v>19879062</v>
      </c>
      <c r="D229" s="1">
        <f>怪物标准模型!AM237</f>
        <v>26635</v>
      </c>
      <c r="E229" s="1">
        <f>怪物标准模型!AN237</f>
        <v>18424</v>
      </c>
      <c r="F229" s="37">
        <f>怪物标准模型!AP237</f>
        <v>26635</v>
      </c>
      <c r="G229" s="38">
        <f t="shared" si="3"/>
        <v>18424</v>
      </c>
      <c r="H229" s="1">
        <f>怪物标准模型!AR237</f>
        <v>183828</v>
      </c>
      <c r="I229" s="1">
        <f>怪物标准模型!AS237</f>
        <v>551484</v>
      </c>
      <c r="J229" s="1">
        <f>怪物标准模型!AT237</f>
        <v>330891</v>
      </c>
      <c r="K229" s="1">
        <f>怪物标准模型!AU237</f>
        <v>91914</v>
      </c>
      <c r="L229" s="1">
        <f>怪物标准模型!AV237</f>
        <v>27575</v>
      </c>
      <c r="M229" s="1">
        <f>怪物标准模型!AW237</f>
        <v>735312</v>
      </c>
      <c r="N229" s="1">
        <f>怪物标准模型!AX237</f>
        <v>1654452</v>
      </c>
    </row>
    <row r="230" spans="2:14">
      <c r="B230" s="4">
        <v>227</v>
      </c>
      <c r="C230" s="1">
        <f>怪物标准模型!AY238</f>
        <v>20115214</v>
      </c>
      <c r="D230" s="1">
        <f>怪物标准模型!AM238</f>
        <v>26893</v>
      </c>
      <c r="E230" s="1">
        <f>怪物标准模型!AN238</f>
        <v>18531</v>
      </c>
      <c r="F230" s="37">
        <f>怪物标准模型!AP238</f>
        <v>26893</v>
      </c>
      <c r="G230" s="38">
        <f t="shared" si="3"/>
        <v>18531</v>
      </c>
      <c r="H230" s="1">
        <f>怪物标准模型!AR238</f>
        <v>185855</v>
      </c>
      <c r="I230" s="1">
        <f>怪物标准模型!AS238</f>
        <v>557565</v>
      </c>
      <c r="J230" s="1">
        <f>怪物标准模型!AT238</f>
        <v>334539</v>
      </c>
      <c r="K230" s="1">
        <f>怪物标准模型!AU238</f>
        <v>92928</v>
      </c>
      <c r="L230" s="1">
        <f>怪物标准模型!AV238</f>
        <v>27879</v>
      </c>
      <c r="M230" s="1">
        <f>怪物标准模型!AW238</f>
        <v>743420</v>
      </c>
      <c r="N230" s="1">
        <f>怪物标准模型!AX238</f>
        <v>1672695</v>
      </c>
    </row>
    <row r="231" spans="2:14">
      <c r="B231" s="4">
        <v>228</v>
      </c>
      <c r="C231" s="1">
        <f>怪物标准模型!AY239</f>
        <v>20353345</v>
      </c>
      <c r="D231" s="1">
        <f>怪物标准模型!AM239</f>
        <v>27151</v>
      </c>
      <c r="E231" s="1">
        <f>怪物标准模型!AN239</f>
        <v>18639</v>
      </c>
      <c r="F231" s="37">
        <f>怪物标准模型!AP239</f>
        <v>27151</v>
      </c>
      <c r="G231" s="38">
        <f t="shared" si="3"/>
        <v>18639</v>
      </c>
      <c r="H231" s="1">
        <f>怪物标准模型!AR239</f>
        <v>187898</v>
      </c>
      <c r="I231" s="1">
        <f>怪物标准模型!AS239</f>
        <v>563694</v>
      </c>
      <c r="J231" s="1">
        <f>怪物标准模型!AT239</f>
        <v>338217</v>
      </c>
      <c r="K231" s="1">
        <f>怪物标准模型!AU239</f>
        <v>93949</v>
      </c>
      <c r="L231" s="1">
        <f>怪物标准模型!AV239</f>
        <v>28185</v>
      </c>
      <c r="M231" s="1">
        <f>怪物标准模型!AW239</f>
        <v>751592</v>
      </c>
      <c r="N231" s="1">
        <f>怪物标准模型!AX239</f>
        <v>1691082</v>
      </c>
    </row>
    <row r="232" spans="2:14">
      <c r="B232" s="4">
        <v>229</v>
      </c>
      <c r="C232" s="1">
        <f>怪物标准模型!AY240</f>
        <v>20593577</v>
      </c>
      <c r="D232" s="1">
        <f>怪物标准模型!AM240</f>
        <v>27412</v>
      </c>
      <c r="E232" s="1">
        <f>怪物标准模型!AN240</f>
        <v>18746</v>
      </c>
      <c r="F232" s="37">
        <f>怪物标准模型!AP240</f>
        <v>27412</v>
      </c>
      <c r="G232" s="38">
        <f t="shared" si="3"/>
        <v>18746</v>
      </c>
      <c r="H232" s="1">
        <f>怪物标准模型!AR240</f>
        <v>189956</v>
      </c>
      <c r="I232" s="1">
        <f>怪物标准模型!AS240</f>
        <v>569868</v>
      </c>
      <c r="J232" s="1">
        <f>怪物标准模型!AT240</f>
        <v>341921</v>
      </c>
      <c r="K232" s="1">
        <f>怪物标准模型!AU240</f>
        <v>94978</v>
      </c>
      <c r="L232" s="1">
        <f>怪物标准模型!AV240</f>
        <v>28494</v>
      </c>
      <c r="M232" s="1">
        <f>怪物标准模型!AW240</f>
        <v>759824</v>
      </c>
      <c r="N232" s="1">
        <f>怪物标准模型!AX240</f>
        <v>1709604</v>
      </c>
    </row>
    <row r="233" spans="2:14">
      <c r="B233" s="4">
        <v>230</v>
      </c>
      <c r="C233" s="1">
        <f>怪物标准模型!AY241</f>
        <v>20835850</v>
      </c>
      <c r="D233" s="1">
        <f>怪物标准模型!AM241</f>
        <v>27674</v>
      </c>
      <c r="E233" s="1">
        <f>怪物标准模型!AN241</f>
        <v>18854</v>
      </c>
      <c r="F233" s="37">
        <f>怪物标准模型!AP241</f>
        <v>27674</v>
      </c>
      <c r="G233" s="38">
        <f t="shared" si="3"/>
        <v>18854</v>
      </c>
      <c r="H233" s="1">
        <f>怪物标准模型!AR241</f>
        <v>192031</v>
      </c>
      <c r="I233" s="1">
        <f>怪物标准模型!AS241</f>
        <v>576093</v>
      </c>
      <c r="J233" s="1">
        <f>怪物标准模型!AT241</f>
        <v>345656</v>
      </c>
      <c r="K233" s="1">
        <f>怪物标准模型!AU241</f>
        <v>96016</v>
      </c>
      <c r="L233" s="1">
        <f>怪物标准模型!AV241</f>
        <v>28805</v>
      </c>
      <c r="M233" s="1">
        <f>怪物标准模型!AW241</f>
        <v>768124</v>
      </c>
      <c r="N233" s="1">
        <f>怪物标准模型!AX241</f>
        <v>1728279</v>
      </c>
    </row>
    <row r="234" spans="2:14">
      <c r="B234" s="4">
        <v>231</v>
      </c>
      <c r="C234" s="1">
        <f>怪物标准模型!AY242</f>
        <v>21080222</v>
      </c>
      <c r="D234" s="1">
        <f>怪物标准模型!AM242</f>
        <v>27938</v>
      </c>
      <c r="E234" s="1">
        <f>怪物标准模型!AN242</f>
        <v>18963</v>
      </c>
      <c r="F234" s="37">
        <f>怪物标准模型!AP242</f>
        <v>27938</v>
      </c>
      <c r="G234" s="38">
        <f t="shared" si="3"/>
        <v>18963</v>
      </c>
      <c r="H234" s="1">
        <f>怪物标准模型!AR242</f>
        <v>194122</v>
      </c>
      <c r="I234" s="1">
        <f>怪物标准模型!AS242</f>
        <v>582366</v>
      </c>
      <c r="J234" s="1">
        <f>怪物标准模型!AT242</f>
        <v>349420</v>
      </c>
      <c r="K234" s="1">
        <f>怪物标准模型!AU242</f>
        <v>97061</v>
      </c>
      <c r="L234" s="1">
        <f>怪物标准模型!AV242</f>
        <v>29119</v>
      </c>
      <c r="M234" s="1">
        <f>怪物标准模型!AW242</f>
        <v>776488</v>
      </c>
      <c r="N234" s="1">
        <f>怪物标准模型!AX242</f>
        <v>1747098</v>
      </c>
    </row>
    <row r="235" spans="2:14">
      <c r="B235" s="4">
        <v>232</v>
      </c>
      <c r="C235" s="1">
        <f>怪物标准模型!AY243</f>
        <v>21326695</v>
      </c>
      <c r="D235" s="1">
        <f>怪物标准模型!AM243</f>
        <v>28204</v>
      </c>
      <c r="E235" s="1">
        <f>怪物标准模型!AN243</f>
        <v>19071</v>
      </c>
      <c r="F235" s="37">
        <f>怪物标准模型!AP243</f>
        <v>28204</v>
      </c>
      <c r="G235" s="38">
        <f t="shared" si="3"/>
        <v>19071</v>
      </c>
      <c r="H235" s="1">
        <f>怪物标准模型!AR243</f>
        <v>196230</v>
      </c>
      <c r="I235" s="1">
        <f>怪物标准模型!AS243</f>
        <v>588690</v>
      </c>
      <c r="J235" s="1">
        <f>怪物标准模型!AT243</f>
        <v>353214</v>
      </c>
      <c r="K235" s="1">
        <f>怪物标准模型!AU243</f>
        <v>98115</v>
      </c>
      <c r="L235" s="1">
        <f>怪物标准模型!AV243</f>
        <v>29435</v>
      </c>
      <c r="M235" s="1">
        <f>怪物标准模型!AW243</f>
        <v>784920</v>
      </c>
      <c r="N235" s="1">
        <f>怪物标准模型!AX243</f>
        <v>1766070</v>
      </c>
    </row>
    <row r="236" spans="2:14">
      <c r="B236" s="4">
        <v>233</v>
      </c>
      <c r="C236" s="1">
        <f>怪物标准模型!AY244</f>
        <v>21575208</v>
      </c>
      <c r="D236" s="1">
        <f>怪物标准模型!AM244</f>
        <v>28472</v>
      </c>
      <c r="E236" s="1">
        <f>怪物标准模型!AN244</f>
        <v>19180</v>
      </c>
      <c r="F236" s="37">
        <f>怪物标准模型!AP244</f>
        <v>28472</v>
      </c>
      <c r="G236" s="38">
        <f t="shared" si="3"/>
        <v>19180</v>
      </c>
      <c r="H236" s="1">
        <f>怪物标准模型!AR244</f>
        <v>198353</v>
      </c>
      <c r="I236" s="1">
        <f>怪物标准模型!AS244</f>
        <v>595059</v>
      </c>
      <c r="J236" s="1">
        <f>怪物标准模型!AT244</f>
        <v>357036</v>
      </c>
      <c r="K236" s="1">
        <f>怪物标准模型!AU244</f>
        <v>99177</v>
      </c>
      <c r="L236" s="1">
        <f>怪物标准模型!AV244</f>
        <v>29753</v>
      </c>
      <c r="M236" s="1">
        <f>怪物标准模型!AW244</f>
        <v>793412</v>
      </c>
      <c r="N236" s="1">
        <f>怪物标准模型!AX244</f>
        <v>1785177</v>
      </c>
    </row>
    <row r="237" spans="2:14">
      <c r="B237" s="4">
        <v>234</v>
      </c>
      <c r="C237" s="1">
        <f>怪物标准模型!AY245</f>
        <v>21825882</v>
      </c>
      <c r="D237" s="1">
        <f>怪物标准模型!AM245</f>
        <v>28741</v>
      </c>
      <c r="E237" s="1">
        <f>怪物标准模型!AN245</f>
        <v>19289</v>
      </c>
      <c r="F237" s="37">
        <f>怪物标准模型!AP245</f>
        <v>28741</v>
      </c>
      <c r="G237" s="38">
        <f t="shared" si="3"/>
        <v>19289</v>
      </c>
      <c r="H237" s="1">
        <f>怪物标准模型!AR245</f>
        <v>200494</v>
      </c>
      <c r="I237" s="1">
        <f>怪物标准模型!AS245</f>
        <v>601482</v>
      </c>
      <c r="J237" s="1">
        <f>怪物标准模型!AT245</f>
        <v>360890</v>
      </c>
      <c r="K237" s="1">
        <f>怪物标准模型!AU245</f>
        <v>100247</v>
      </c>
      <c r="L237" s="1">
        <f>怪物标准模型!AV245</f>
        <v>30075</v>
      </c>
      <c r="M237" s="1">
        <f>怪物标准模型!AW245</f>
        <v>801976</v>
      </c>
      <c r="N237" s="1">
        <f>怪物标准模型!AX245</f>
        <v>1804446</v>
      </c>
    </row>
    <row r="238" spans="2:14">
      <c r="B238" s="4">
        <v>235</v>
      </c>
      <c r="C238" s="1">
        <f>怪物标准模型!AY246</f>
        <v>22078656</v>
      </c>
      <c r="D238" s="1">
        <f>怪物标准模型!AM246</f>
        <v>29012</v>
      </c>
      <c r="E238" s="1">
        <f>怪物标准模型!AN246</f>
        <v>19398</v>
      </c>
      <c r="F238" s="37">
        <f>怪物标准模型!AP246</f>
        <v>29012</v>
      </c>
      <c r="G238" s="38">
        <f t="shared" si="3"/>
        <v>19398</v>
      </c>
      <c r="H238" s="1">
        <f>怪物标准模型!AR246</f>
        <v>202650</v>
      </c>
      <c r="I238" s="1">
        <f>怪物标准模型!AS246</f>
        <v>607950</v>
      </c>
      <c r="J238" s="1">
        <f>怪物标准模型!AT246</f>
        <v>364770</v>
      </c>
      <c r="K238" s="1">
        <f>怪物标准模型!AU246</f>
        <v>101325</v>
      </c>
      <c r="L238" s="1">
        <f>怪物标准模型!AV246</f>
        <v>30398</v>
      </c>
      <c r="M238" s="1">
        <f>怪物标准模型!AW246</f>
        <v>810600</v>
      </c>
      <c r="N238" s="1">
        <f>怪物标准模型!AX246</f>
        <v>1823850</v>
      </c>
    </row>
    <row r="239" spans="2:14">
      <c r="B239" s="4">
        <v>236</v>
      </c>
      <c r="C239" s="1">
        <f>怪物标准模型!AY247</f>
        <v>22333590</v>
      </c>
      <c r="D239" s="1">
        <f>怪物标准模型!AM247</f>
        <v>29285</v>
      </c>
      <c r="E239" s="1">
        <f>怪物标准模型!AN247</f>
        <v>19507</v>
      </c>
      <c r="F239" s="37">
        <f>怪物标准模型!AP247</f>
        <v>29285</v>
      </c>
      <c r="G239" s="38">
        <f t="shared" si="3"/>
        <v>19507</v>
      </c>
      <c r="H239" s="1">
        <f>怪物标准模型!AR247</f>
        <v>204824</v>
      </c>
      <c r="I239" s="1">
        <f>怪物标准模型!AS247</f>
        <v>614472</v>
      </c>
      <c r="J239" s="1">
        <f>怪物标准模型!AT247</f>
        <v>368684</v>
      </c>
      <c r="K239" s="1">
        <f>怪物标准模型!AU247</f>
        <v>102412</v>
      </c>
      <c r="L239" s="1">
        <f>怪物标准模型!AV247</f>
        <v>30724</v>
      </c>
      <c r="M239" s="1">
        <f>怪物标准模型!AW247</f>
        <v>819296</v>
      </c>
      <c r="N239" s="1">
        <f>怪物标准模型!AX247</f>
        <v>1843416</v>
      </c>
    </row>
    <row r="240" spans="2:14">
      <c r="B240" s="4">
        <v>237</v>
      </c>
      <c r="C240" s="1">
        <f>怪物标准模型!AY248</f>
        <v>22590684</v>
      </c>
      <c r="D240" s="1">
        <f>怪物标准模型!AM248</f>
        <v>29559</v>
      </c>
      <c r="E240" s="1">
        <f>怪物标准模型!AN248</f>
        <v>19617</v>
      </c>
      <c r="F240" s="37">
        <f>怪物标准模型!AP248</f>
        <v>29559</v>
      </c>
      <c r="G240" s="38">
        <f t="shared" si="3"/>
        <v>19617</v>
      </c>
      <c r="H240" s="1">
        <f>怪物标准模型!AR248</f>
        <v>207014</v>
      </c>
      <c r="I240" s="1">
        <f>怪物标准模型!AS248</f>
        <v>621042</v>
      </c>
      <c r="J240" s="1">
        <f>怪物标准模型!AT248</f>
        <v>372626</v>
      </c>
      <c r="K240" s="1">
        <f>怪物标准模型!AU248</f>
        <v>103507</v>
      </c>
      <c r="L240" s="1">
        <f>怪物标准模型!AV248</f>
        <v>31053</v>
      </c>
      <c r="M240" s="1">
        <f>怪物标准模型!AW248</f>
        <v>828056</v>
      </c>
      <c r="N240" s="1">
        <f>怪物标准模型!AX248</f>
        <v>1863126</v>
      </c>
    </row>
    <row r="241" spans="2:14">
      <c r="B241" s="4">
        <v>238</v>
      </c>
      <c r="C241" s="1">
        <f>怪物标准模型!AY249</f>
        <v>22849938</v>
      </c>
      <c r="D241" s="1">
        <f>怪物标准模型!AM249</f>
        <v>29836</v>
      </c>
      <c r="E241" s="1">
        <f>怪物标准模型!AN249</f>
        <v>19727</v>
      </c>
      <c r="F241" s="37">
        <f>怪物标准模型!AP249</f>
        <v>29836</v>
      </c>
      <c r="G241" s="38">
        <f t="shared" si="3"/>
        <v>19727</v>
      </c>
      <c r="H241" s="1">
        <f>怪物标准模型!AR249</f>
        <v>209221</v>
      </c>
      <c r="I241" s="1">
        <f>怪物标准模型!AS249</f>
        <v>627663</v>
      </c>
      <c r="J241" s="1">
        <f>怪物标准模型!AT249</f>
        <v>376598</v>
      </c>
      <c r="K241" s="1">
        <f>怪物标准模型!AU249</f>
        <v>104611</v>
      </c>
      <c r="L241" s="1">
        <f>怪物标准模型!AV249</f>
        <v>31384</v>
      </c>
      <c r="M241" s="1">
        <f>怪物标准模型!AW249</f>
        <v>836884</v>
      </c>
      <c r="N241" s="1">
        <f>怪物标准模型!AX249</f>
        <v>1882989</v>
      </c>
    </row>
    <row r="242" spans="2:14">
      <c r="B242" s="4">
        <v>239</v>
      </c>
      <c r="C242" s="1">
        <f>怪物标准模型!AY250</f>
        <v>23111353</v>
      </c>
      <c r="D242" s="1">
        <f>怪物标准模型!AM250</f>
        <v>30114</v>
      </c>
      <c r="E242" s="1">
        <f>怪物标准模型!AN250</f>
        <v>19837</v>
      </c>
      <c r="F242" s="37">
        <f>怪物标准模型!AP250</f>
        <v>30114</v>
      </c>
      <c r="G242" s="38">
        <f t="shared" si="3"/>
        <v>19837</v>
      </c>
      <c r="H242" s="1">
        <f>怪物标准模型!AR250</f>
        <v>211445</v>
      </c>
      <c r="I242" s="1">
        <f>怪物标准模型!AS250</f>
        <v>634335</v>
      </c>
      <c r="J242" s="1">
        <f>怪物标准模型!AT250</f>
        <v>380601</v>
      </c>
      <c r="K242" s="1">
        <f>怪物标准模型!AU250</f>
        <v>105723</v>
      </c>
      <c r="L242" s="1">
        <f>怪物标准模型!AV250</f>
        <v>31717</v>
      </c>
      <c r="M242" s="1">
        <f>怪物标准模型!AW250</f>
        <v>845780</v>
      </c>
      <c r="N242" s="1">
        <f>怪物标准模型!AX250</f>
        <v>1903005</v>
      </c>
    </row>
    <row r="243" spans="2:14">
      <c r="B243" s="4">
        <v>240</v>
      </c>
      <c r="C243" s="1">
        <f>怪物标准模型!AY251</f>
        <v>23374987</v>
      </c>
      <c r="D243" s="1">
        <f>怪物标准模型!AM251</f>
        <v>30394</v>
      </c>
      <c r="E243" s="1">
        <f>怪物标准模型!AN251</f>
        <v>19947</v>
      </c>
      <c r="F243" s="37">
        <f>怪物标准模型!AP251</f>
        <v>30394</v>
      </c>
      <c r="G243" s="38">
        <f t="shared" si="3"/>
        <v>19947</v>
      </c>
      <c r="H243" s="1">
        <f>怪物标准模型!AR251</f>
        <v>213685</v>
      </c>
      <c r="I243" s="1">
        <f>怪物标准模型!AS251</f>
        <v>641055</v>
      </c>
      <c r="J243" s="1">
        <f>怪物标准模型!AT251</f>
        <v>384633</v>
      </c>
      <c r="K243" s="1">
        <f>怪物标准模型!AU251</f>
        <v>106843</v>
      </c>
      <c r="L243" s="1">
        <f>怪物标准模型!AV251</f>
        <v>32053</v>
      </c>
      <c r="M243" s="1">
        <f>怪物标准模型!AW251</f>
        <v>854740</v>
      </c>
      <c r="N243" s="1">
        <f>怪物标准模型!AX251</f>
        <v>1923165</v>
      </c>
    </row>
    <row r="244" spans="2:14">
      <c r="B244" s="4">
        <v>241</v>
      </c>
      <c r="C244" s="1">
        <f>怪物标准模型!AY252</f>
        <v>23640782</v>
      </c>
      <c r="D244" s="1">
        <f>怪物标准模型!AM252</f>
        <v>30676</v>
      </c>
      <c r="E244" s="1">
        <f>怪物标准模型!AN252</f>
        <v>20058</v>
      </c>
      <c r="F244" s="37">
        <f>怪物标准模型!AP252</f>
        <v>30676</v>
      </c>
      <c r="G244" s="38">
        <f t="shared" si="3"/>
        <v>20058</v>
      </c>
      <c r="H244" s="1">
        <f>怪物标准模型!AR252</f>
        <v>215943</v>
      </c>
      <c r="I244" s="1">
        <f>怪物标准模型!AS252</f>
        <v>647829</v>
      </c>
      <c r="J244" s="1">
        <f>怪物标准模型!AT252</f>
        <v>388698</v>
      </c>
      <c r="K244" s="1">
        <f>怪物标准模型!AU252</f>
        <v>107972</v>
      </c>
      <c r="L244" s="1">
        <f>怪物标准模型!AV252</f>
        <v>32392</v>
      </c>
      <c r="M244" s="1">
        <f>怪物标准模型!AW252</f>
        <v>863772</v>
      </c>
      <c r="N244" s="1">
        <f>怪物标准模型!AX252</f>
        <v>1943487</v>
      </c>
    </row>
    <row r="245" spans="2:14">
      <c r="B245" s="4">
        <v>242</v>
      </c>
      <c r="C245" s="1">
        <f>怪物标准模型!AY253</f>
        <v>23908858</v>
      </c>
      <c r="D245" s="1">
        <f>怪物标准模型!AM253</f>
        <v>30959</v>
      </c>
      <c r="E245" s="1">
        <f>怪物标准模型!AN253</f>
        <v>20168</v>
      </c>
      <c r="F245" s="37">
        <f>怪物标准模型!AP253</f>
        <v>30959</v>
      </c>
      <c r="G245" s="38">
        <f t="shared" si="3"/>
        <v>20168</v>
      </c>
      <c r="H245" s="1">
        <f>怪物标准模型!AR253</f>
        <v>218218</v>
      </c>
      <c r="I245" s="1">
        <f>怪物标准模型!AS253</f>
        <v>654654</v>
      </c>
      <c r="J245" s="1">
        <f>怪物标准模型!AT253</f>
        <v>392793</v>
      </c>
      <c r="K245" s="1">
        <f>怪物标准模型!AU253</f>
        <v>109109</v>
      </c>
      <c r="L245" s="1">
        <f>怪物标准模型!AV253</f>
        <v>32733</v>
      </c>
      <c r="M245" s="1">
        <f>怪物标准模型!AW253</f>
        <v>872872</v>
      </c>
      <c r="N245" s="1">
        <f>怪物标准模型!AX253</f>
        <v>1963962</v>
      </c>
    </row>
    <row r="246" spans="2:14">
      <c r="B246" s="4">
        <v>243</v>
      </c>
      <c r="C246" s="1">
        <f>怪物标准模型!AY254</f>
        <v>24179093</v>
      </c>
      <c r="D246" s="1">
        <f>怪物标准模型!AM254</f>
        <v>31245</v>
      </c>
      <c r="E246" s="1">
        <f>怪物标准模型!AN254</f>
        <v>20279</v>
      </c>
      <c r="F246" s="37">
        <f>怪物标准模型!AP254</f>
        <v>31245</v>
      </c>
      <c r="G246" s="38">
        <f t="shared" si="3"/>
        <v>20279</v>
      </c>
      <c r="H246" s="1">
        <f>怪物标准模型!AR254</f>
        <v>220510</v>
      </c>
      <c r="I246" s="1">
        <f>怪物标准模型!AS254</f>
        <v>661530</v>
      </c>
      <c r="J246" s="1">
        <f>怪物标准模型!AT254</f>
        <v>396918</v>
      </c>
      <c r="K246" s="1">
        <f>怪物标准模型!AU254</f>
        <v>110255</v>
      </c>
      <c r="L246" s="1">
        <f>怪物标准模型!AV254</f>
        <v>33077</v>
      </c>
      <c r="M246" s="1">
        <f>怪物标准模型!AW254</f>
        <v>882040</v>
      </c>
      <c r="N246" s="1">
        <f>怪物标准模型!AX254</f>
        <v>1984590</v>
      </c>
    </row>
    <row r="247" spans="2:14">
      <c r="B247" s="4">
        <v>244</v>
      </c>
      <c r="C247" s="1">
        <f>怪物标准模型!AY255</f>
        <v>24451609</v>
      </c>
      <c r="D247" s="1">
        <f>怪物标准模型!AM255</f>
        <v>31532</v>
      </c>
      <c r="E247" s="1">
        <f>怪物标准模型!AN255</f>
        <v>20391</v>
      </c>
      <c r="F247" s="37">
        <f>怪物标准模型!AP255</f>
        <v>31532</v>
      </c>
      <c r="G247" s="38">
        <f t="shared" si="3"/>
        <v>20391</v>
      </c>
      <c r="H247" s="1">
        <f>怪物标准模型!AR255</f>
        <v>222820</v>
      </c>
      <c r="I247" s="1">
        <f>怪物标准模型!AS255</f>
        <v>668460</v>
      </c>
      <c r="J247" s="1">
        <f>怪物标准模型!AT255</f>
        <v>401076</v>
      </c>
      <c r="K247" s="1">
        <f>怪物标准模型!AU255</f>
        <v>111410</v>
      </c>
      <c r="L247" s="1">
        <f>怪物标准模型!AV255</f>
        <v>33423</v>
      </c>
      <c r="M247" s="1">
        <f>怪物标准模型!AW255</f>
        <v>891280</v>
      </c>
      <c r="N247" s="1">
        <f>怪物标准模型!AX255</f>
        <v>2005380</v>
      </c>
    </row>
    <row r="248" spans="2:14">
      <c r="B248" s="4">
        <v>245</v>
      </c>
      <c r="C248" s="1">
        <f>怪物标准模型!AY256</f>
        <v>24726404</v>
      </c>
      <c r="D248" s="1">
        <f>怪物标准模型!AM256</f>
        <v>31822</v>
      </c>
      <c r="E248" s="1">
        <f>怪物标准模型!AN256</f>
        <v>20502</v>
      </c>
      <c r="F248" s="37">
        <f>怪物标准模型!AP256</f>
        <v>31822</v>
      </c>
      <c r="G248" s="38">
        <f t="shared" si="3"/>
        <v>20502</v>
      </c>
      <c r="H248" s="1">
        <f>怪物标准模型!AR256</f>
        <v>225147</v>
      </c>
      <c r="I248" s="1">
        <f>怪物标准模型!AS256</f>
        <v>675441</v>
      </c>
      <c r="J248" s="1">
        <f>怪物标准模型!AT256</f>
        <v>405265</v>
      </c>
      <c r="K248" s="1">
        <f>怪物标准模型!AU256</f>
        <v>112574</v>
      </c>
      <c r="L248" s="1">
        <f>怪物标准模型!AV256</f>
        <v>33773</v>
      </c>
      <c r="M248" s="1">
        <f>怪物标准模型!AW256</f>
        <v>900588</v>
      </c>
      <c r="N248" s="1">
        <f>怪物标准模型!AX256</f>
        <v>2026323</v>
      </c>
    </row>
    <row r="249" spans="2:14">
      <c r="B249" s="4">
        <v>246</v>
      </c>
      <c r="C249" s="1">
        <f>怪物标准模型!AY257</f>
        <v>25003420</v>
      </c>
      <c r="D249" s="1">
        <f>怪物标准模型!AM257</f>
        <v>32113</v>
      </c>
      <c r="E249" s="1">
        <f>怪物标准模型!AN257</f>
        <v>20614</v>
      </c>
      <c r="F249" s="37">
        <f>怪物标准模型!AP257</f>
        <v>32113</v>
      </c>
      <c r="G249" s="38">
        <f t="shared" si="3"/>
        <v>20614</v>
      </c>
      <c r="H249" s="1">
        <f>怪物标准模型!AR257</f>
        <v>227491</v>
      </c>
      <c r="I249" s="1">
        <f>怪物标准模型!AS257</f>
        <v>682473</v>
      </c>
      <c r="J249" s="1">
        <f>怪物标准模型!AT257</f>
        <v>409484</v>
      </c>
      <c r="K249" s="1">
        <f>怪物标准模型!AU257</f>
        <v>113746</v>
      </c>
      <c r="L249" s="1">
        <f>怪物标准模型!AV257</f>
        <v>34124</v>
      </c>
      <c r="M249" s="1">
        <f>怪物标准模型!AW257</f>
        <v>909964</v>
      </c>
      <c r="N249" s="1">
        <f>怪物标准模型!AX257</f>
        <v>2047419</v>
      </c>
    </row>
    <row r="250" spans="2:14">
      <c r="B250" s="4">
        <v>247</v>
      </c>
      <c r="C250" s="1">
        <f>怪物标准模型!AY258</f>
        <v>25282776</v>
      </c>
      <c r="D250" s="1">
        <f>怪物标准模型!AM258</f>
        <v>32406</v>
      </c>
      <c r="E250" s="1">
        <f>怪物标准模型!AN258</f>
        <v>20726</v>
      </c>
      <c r="F250" s="37">
        <f>怪物标准模型!AP258</f>
        <v>32406</v>
      </c>
      <c r="G250" s="38">
        <f t="shared" si="3"/>
        <v>20726</v>
      </c>
      <c r="H250" s="1">
        <f>怪物标准模型!AR258</f>
        <v>229853</v>
      </c>
      <c r="I250" s="1">
        <f>怪物标准模型!AS258</f>
        <v>689559</v>
      </c>
      <c r="J250" s="1">
        <f>怪物标准模型!AT258</f>
        <v>413736</v>
      </c>
      <c r="K250" s="1">
        <f>怪物标准模型!AU258</f>
        <v>114927</v>
      </c>
      <c r="L250" s="1">
        <f>怪物标准模型!AV258</f>
        <v>34478</v>
      </c>
      <c r="M250" s="1">
        <f>怪物标准模型!AW258</f>
        <v>919412</v>
      </c>
      <c r="N250" s="1">
        <f>怪物标准模型!AX258</f>
        <v>2068677</v>
      </c>
    </row>
    <row r="251" spans="2:14">
      <c r="B251" s="4">
        <v>248</v>
      </c>
      <c r="C251" s="1">
        <f>怪物标准模型!AY259</f>
        <v>25564352</v>
      </c>
      <c r="D251" s="1">
        <f>怪物标准模型!AM259</f>
        <v>32700</v>
      </c>
      <c r="E251" s="1">
        <f>怪物标准模型!AN259</f>
        <v>20838</v>
      </c>
      <c r="F251" s="37">
        <f>怪物标准模型!AP259</f>
        <v>32700</v>
      </c>
      <c r="G251" s="38">
        <f t="shared" si="3"/>
        <v>20838</v>
      </c>
      <c r="H251" s="1">
        <f>怪物标准模型!AR259</f>
        <v>232233</v>
      </c>
      <c r="I251" s="1">
        <f>怪物标准模型!AS259</f>
        <v>696699</v>
      </c>
      <c r="J251" s="1">
        <f>怪物标准模型!AT259</f>
        <v>418020</v>
      </c>
      <c r="K251" s="1">
        <f>怪物标准模型!AU259</f>
        <v>116117</v>
      </c>
      <c r="L251" s="1">
        <f>怪物标准模型!AV259</f>
        <v>34835</v>
      </c>
      <c r="M251" s="1">
        <f>怪物标准模型!AW259</f>
        <v>928932</v>
      </c>
      <c r="N251" s="1">
        <f>怪物标准模型!AX259</f>
        <v>2090097</v>
      </c>
    </row>
    <row r="252" spans="2:14">
      <c r="B252" s="4">
        <v>249</v>
      </c>
      <c r="C252" s="1">
        <f>怪物标准模型!AY260</f>
        <v>25848269</v>
      </c>
      <c r="D252" s="1">
        <f>怪物标准模型!AM260</f>
        <v>32997</v>
      </c>
      <c r="E252" s="1">
        <f>怪物标准模型!AN260</f>
        <v>20950</v>
      </c>
      <c r="F252" s="37">
        <f>怪物标准模型!AP260</f>
        <v>32997</v>
      </c>
      <c r="G252" s="38">
        <f t="shared" si="3"/>
        <v>20950</v>
      </c>
      <c r="H252" s="1">
        <f>怪物标准模型!AR260</f>
        <v>234630</v>
      </c>
      <c r="I252" s="1">
        <f>怪物标准模型!AS260</f>
        <v>703890</v>
      </c>
      <c r="J252" s="1">
        <f>怪物标准模型!AT260</f>
        <v>422334</v>
      </c>
      <c r="K252" s="1">
        <f>怪物标准模型!AU260</f>
        <v>117315</v>
      </c>
      <c r="L252" s="1">
        <f>怪物标准模型!AV260</f>
        <v>35195</v>
      </c>
      <c r="M252" s="1">
        <f>怪物标准模型!AW260</f>
        <v>938520</v>
      </c>
      <c r="N252" s="1">
        <f>怪物标准模型!AX260</f>
        <v>2111670</v>
      </c>
    </row>
    <row r="253" spans="2:14">
      <c r="B253" s="4">
        <v>250</v>
      </c>
      <c r="C253" s="1">
        <f>怪物标准模型!AY261</f>
        <v>26134525</v>
      </c>
      <c r="D253" s="1">
        <f>怪物标准模型!AM261</f>
        <v>33296</v>
      </c>
      <c r="E253" s="1">
        <f>怪物标准模型!AN261</f>
        <v>21063</v>
      </c>
      <c r="F253" s="37">
        <f>怪物标准模型!AP261</f>
        <v>33296</v>
      </c>
      <c r="G253" s="38">
        <f t="shared" si="3"/>
        <v>21063</v>
      </c>
      <c r="H253" s="1">
        <f>怪物标准模型!AR261</f>
        <v>237046</v>
      </c>
      <c r="I253" s="1">
        <f>怪物标准模型!AS261</f>
        <v>711138</v>
      </c>
      <c r="J253" s="1">
        <f>怪物标准模型!AT261</f>
        <v>426683</v>
      </c>
      <c r="K253" s="1">
        <f>怪物标准模型!AU261</f>
        <v>118523</v>
      </c>
      <c r="L253" s="1">
        <f>怪物标准模型!AV261</f>
        <v>35557</v>
      </c>
      <c r="M253" s="1">
        <f>怪物标准模型!AW261</f>
        <v>948184</v>
      </c>
      <c r="N253" s="1">
        <f>怪物标准模型!AX261</f>
        <v>2133414</v>
      </c>
    </row>
    <row r="254" spans="2:14">
      <c r="B254" s="4">
        <v>251</v>
      </c>
      <c r="C254" s="1">
        <f>怪物标准模型!AY262</f>
        <v>26423122</v>
      </c>
      <c r="D254" s="1">
        <f>怪物标准模型!AM262</f>
        <v>33596</v>
      </c>
      <c r="E254" s="1">
        <f>怪物标准模型!AN262</f>
        <v>21175</v>
      </c>
      <c r="F254" s="37">
        <f>怪物标准模型!AP262</f>
        <v>33596</v>
      </c>
      <c r="G254" s="38">
        <f t="shared" si="3"/>
        <v>21175</v>
      </c>
      <c r="H254" s="1">
        <f>怪物标准模型!AR262</f>
        <v>239479</v>
      </c>
      <c r="I254" s="1">
        <f>怪物标准模型!AS262</f>
        <v>718437</v>
      </c>
      <c r="J254" s="1">
        <f>怪物标准模型!AT262</f>
        <v>431063</v>
      </c>
      <c r="K254" s="1">
        <f>怪物标准模型!AU262</f>
        <v>119740</v>
      </c>
      <c r="L254" s="1">
        <f>怪物标准模型!AV262</f>
        <v>35922</v>
      </c>
      <c r="M254" s="1">
        <f>怪物标准模型!AW262</f>
        <v>957916</v>
      </c>
      <c r="N254" s="1">
        <f>怪物标准模型!AX262</f>
        <v>2155311</v>
      </c>
    </row>
    <row r="255" spans="2:14">
      <c r="B255" s="4">
        <v>252</v>
      </c>
      <c r="C255" s="1">
        <f>怪物标准模型!AY263</f>
        <v>26714059</v>
      </c>
      <c r="D255" s="1">
        <f>怪物标准模型!AM263</f>
        <v>33899</v>
      </c>
      <c r="E255" s="1">
        <f>怪物标准模型!AN263</f>
        <v>21288</v>
      </c>
      <c r="F255" s="37">
        <f>怪物标准模型!AP263</f>
        <v>33899</v>
      </c>
      <c r="G255" s="38">
        <f t="shared" si="3"/>
        <v>21288</v>
      </c>
      <c r="H255" s="1">
        <f>怪物标准模型!AR263</f>
        <v>241930</v>
      </c>
      <c r="I255" s="1">
        <f>怪物标准模型!AS263</f>
        <v>725790</v>
      </c>
      <c r="J255" s="1">
        <f>怪物标准模型!AT263</f>
        <v>435474</v>
      </c>
      <c r="K255" s="1">
        <f>怪物标准模型!AU263</f>
        <v>120965</v>
      </c>
      <c r="L255" s="1">
        <f>怪物标准模型!AV263</f>
        <v>36290</v>
      </c>
      <c r="M255" s="1">
        <f>怪物标准模型!AW263</f>
        <v>967720</v>
      </c>
      <c r="N255" s="1">
        <f>怪物标准模型!AX263</f>
        <v>2177370</v>
      </c>
    </row>
    <row r="256" spans="2:14">
      <c r="B256" s="4">
        <v>253</v>
      </c>
      <c r="C256" s="1">
        <f>怪物标准模型!AY264</f>
        <v>27007396</v>
      </c>
      <c r="D256" s="1">
        <f>怪物标准模型!AM264</f>
        <v>34203</v>
      </c>
      <c r="E256" s="1">
        <f>怪物标准模型!AN264</f>
        <v>21402</v>
      </c>
      <c r="F256" s="37">
        <f>怪物标准模型!AP264</f>
        <v>34203</v>
      </c>
      <c r="G256" s="38">
        <f t="shared" si="3"/>
        <v>21402</v>
      </c>
      <c r="H256" s="1">
        <f>怪物标准模型!AR264</f>
        <v>244399</v>
      </c>
      <c r="I256" s="1">
        <f>怪物标准模型!AS264</f>
        <v>733197</v>
      </c>
      <c r="J256" s="1">
        <f>怪物标准模型!AT264</f>
        <v>439919</v>
      </c>
      <c r="K256" s="1">
        <f>怪物标准模型!AU264</f>
        <v>122200</v>
      </c>
      <c r="L256" s="1">
        <f>怪物标准模型!AV264</f>
        <v>36660</v>
      </c>
      <c r="M256" s="1">
        <f>怪物标准模型!AW264</f>
        <v>977596</v>
      </c>
      <c r="N256" s="1">
        <f>怪物标准模型!AX264</f>
        <v>2199591</v>
      </c>
    </row>
    <row r="257" spans="2:14">
      <c r="B257" s="4">
        <v>254</v>
      </c>
      <c r="C257" s="1">
        <f>怪物标准模型!AY265</f>
        <v>27303073</v>
      </c>
      <c r="D257" s="1">
        <f>怪物标准模型!AM265</f>
        <v>34509</v>
      </c>
      <c r="E257" s="1">
        <f>怪物标准模型!AN265</f>
        <v>21515</v>
      </c>
      <c r="F257" s="37">
        <f>怪物标准模型!AP265</f>
        <v>34509</v>
      </c>
      <c r="G257" s="38">
        <f t="shared" si="3"/>
        <v>21515</v>
      </c>
      <c r="H257" s="1">
        <f>怪物标准模型!AR265</f>
        <v>246887</v>
      </c>
      <c r="I257" s="1">
        <f>怪物标准模型!AS265</f>
        <v>740661</v>
      </c>
      <c r="J257" s="1">
        <f>怪物标准模型!AT265</f>
        <v>444397</v>
      </c>
      <c r="K257" s="1">
        <f>怪物标准模型!AU265</f>
        <v>123444</v>
      </c>
      <c r="L257" s="1">
        <f>怪物标准模型!AV265</f>
        <v>37034</v>
      </c>
      <c r="M257" s="1">
        <f>怪物标准模型!AW265</f>
        <v>987548</v>
      </c>
      <c r="N257" s="1">
        <f>怪物标准模型!AX265</f>
        <v>2221983</v>
      </c>
    </row>
    <row r="258" spans="2:14">
      <c r="B258" s="4">
        <v>255</v>
      </c>
      <c r="C258" s="1">
        <f>怪物标准模型!AY266</f>
        <v>27601150</v>
      </c>
      <c r="D258" s="1">
        <f>怪物标准模型!AM266</f>
        <v>34817</v>
      </c>
      <c r="E258" s="1">
        <f>怪物标准模型!AN266</f>
        <v>21629</v>
      </c>
      <c r="F258" s="37">
        <f>怪物标准模型!AP266</f>
        <v>34817</v>
      </c>
      <c r="G258" s="38">
        <f t="shared" si="3"/>
        <v>21629</v>
      </c>
      <c r="H258" s="1">
        <f>怪物标准模型!AR266</f>
        <v>249392</v>
      </c>
      <c r="I258" s="1">
        <f>怪物标准模型!AS266</f>
        <v>748176</v>
      </c>
      <c r="J258" s="1">
        <f>怪物标准模型!AT266</f>
        <v>448906</v>
      </c>
      <c r="K258" s="1">
        <f>怪物标准模型!AU266</f>
        <v>124696</v>
      </c>
      <c r="L258" s="1">
        <f>怪物标准模型!AV266</f>
        <v>37409</v>
      </c>
      <c r="M258" s="1">
        <f>怪物标准模型!AW266</f>
        <v>997568</v>
      </c>
      <c r="N258" s="1">
        <f>怪物标准模型!AX266</f>
        <v>2244528</v>
      </c>
    </row>
    <row r="259" spans="2:14">
      <c r="B259" s="4">
        <v>256</v>
      </c>
      <c r="C259" s="1">
        <f>怪物标准模型!AY267</f>
        <v>27901627</v>
      </c>
      <c r="D259" s="1">
        <f>怪物标准模型!AM267</f>
        <v>35127</v>
      </c>
      <c r="E259" s="1">
        <f>怪物标准模型!AN267</f>
        <v>21743</v>
      </c>
      <c r="F259" s="37">
        <f>怪物标准模型!AP267</f>
        <v>35127</v>
      </c>
      <c r="G259" s="38">
        <f t="shared" si="3"/>
        <v>21743</v>
      </c>
      <c r="H259" s="1">
        <f>怪物标准模型!AR267</f>
        <v>251916</v>
      </c>
      <c r="I259" s="1">
        <f>怪物标准模型!AS267</f>
        <v>755748</v>
      </c>
      <c r="J259" s="1">
        <f>怪物标准模型!AT267</f>
        <v>453449</v>
      </c>
      <c r="K259" s="1">
        <f>怪物标准模型!AU267</f>
        <v>125958</v>
      </c>
      <c r="L259" s="1">
        <f>怪物标准模型!AV267</f>
        <v>37788</v>
      </c>
      <c r="M259" s="1">
        <f>怪物标准模型!AW267</f>
        <v>1007664</v>
      </c>
      <c r="N259" s="1">
        <f>怪物标准模型!AX267</f>
        <v>2267244</v>
      </c>
    </row>
    <row r="260" spans="2:14">
      <c r="B260" s="4">
        <v>257</v>
      </c>
      <c r="C260" s="1">
        <f>怪物标准模型!AY268</f>
        <v>28204504</v>
      </c>
      <c r="D260" s="1">
        <f>怪物标准模型!AM268</f>
        <v>35440</v>
      </c>
      <c r="E260" s="1">
        <f>怪物标准模型!AN268</f>
        <v>21857</v>
      </c>
      <c r="F260" s="37">
        <f>怪物标准模型!AP268</f>
        <v>35440</v>
      </c>
      <c r="G260" s="38">
        <f t="shared" ref="G260:G323" si="4">E260</f>
        <v>21857</v>
      </c>
      <c r="H260" s="1">
        <f>怪物标准模型!AR268</f>
        <v>254459</v>
      </c>
      <c r="I260" s="1">
        <f>怪物标准模型!AS268</f>
        <v>763377</v>
      </c>
      <c r="J260" s="1">
        <f>怪物标准模型!AT268</f>
        <v>458027</v>
      </c>
      <c r="K260" s="1">
        <f>怪物标准模型!AU268</f>
        <v>127230</v>
      </c>
      <c r="L260" s="1">
        <f>怪物标准模型!AV268</f>
        <v>38169</v>
      </c>
      <c r="M260" s="1">
        <f>怪物标准模型!AW268</f>
        <v>1017836</v>
      </c>
      <c r="N260" s="1">
        <f>怪物标准模型!AX268</f>
        <v>2290131</v>
      </c>
    </row>
    <row r="261" spans="2:14">
      <c r="B261" s="4">
        <v>258</v>
      </c>
      <c r="C261" s="1">
        <f>怪物标准模型!AY269</f>
        <v>28509902</v>
      </c>
      <c r="D261" s="1">
        <f>怪物标准模型!AM269</f>
        <v>35754</v>
      </c>
      <c r="E261" s="1">
        <f>怪物标准模型!AN269</f>
        <v>21971</v>
      </c>
      <c r="F261" s="37">
        <f>怪物标准模型!AP269</f>
        <v>35754</v>
      </c>
      <c r="G261" s="38">
        <f t="shared" si="4"/>
        <v>21971</v>
      </c>
      <c r="H261" s="1">
        <f>怪物标准模型!AR269</f>
        <v>257020</v>
      </c>
      <c r="I261" s="1">
        <f>怪物标准模型!AS269</f>
        <v>771060</v>
      </c>
      <c r="J261" s="1">
        <f>怪物标准模型!AT269</f>
        <v>462636</v>
      </c>
      <c r="K261" s="1">
        <f>怪物标准模型!AU269</f>
        <v>128510</v>
      </c>
      <c r="L261" s="1">
        <f>怪物标准模型!AV269</f>
        <v>38553</v>
      </c>
      <c r="M261" s="1">
        <f>怪物标准模型!AW269</f>
        <v>1028080</v>
      </c>
      <c r="N261" s="1">
        <f>怪物标准模型!AX269</f>
        <v>2313180</v>
      </c>
    </row>
    <row r="262" spans="2:14">
      <c r="B262" s="4">
        <v>259</v>
      </c>
      <c r="C262" s="1">
        <f>怪物标准模型!AY270</f>
        <v>28817639</v>
      </c>
      <c r="D262" s="1">
        <f>怪物标准模型!AM270</f>
        <v>36070</v>
      </c>
      <c r="E262" s="1">
        <f>怪物标准模型!AN270</f>
        <v>22086</v>
      </c>
      <c r="F262" s="37">
        <f>怪物标准模型!AP270</f>
        <v>36070</v>
      </c>
      <c r="G262" s="38">
        <f t="shared" si="4"/>
        <v>22086</v>
      </c>
      <c r="H262" s="1">
        <f>怪物标准模型!AR270</f>
        <v>259600</v>
      </c>
      <c r="I262" s="1">
        <f>怪物标准模型!AS270</f>
        <v>778800</v>
      </c>
      <c r="J262" s="1">
        <f>怪物标准模型!AT270</f>
        <v>467280</v>
      </c>
      <c r="K262" s="1">
        <f>怪物标准模型!AU270</f>
        <v>129800</v>
      </c>
      <c r="L262" s="1">
        <f>怪物标准模型!AV270</f>
        <v>38940</v>
      </c>
      <c r="M262" s="1">
        <f>怪物标准模型!AW270</f>
        <v>1038400</v>
      </c>
      <c r="N262" s="1">
        <f>怪物标准模型!AX270</f>
        <v>2336400</v>
      </c>
    </row>
    <row r="263" spans="2:14">
      <c r="B263" s="4">
        <v>260</v>
      </c>
      <c r="C263" s="1">
        <f>怪物标准模型!AY271</f>
        <v>29127897</v>
      </c>
      <c r="D263" s="1">
        <f>怪物标准模型!AM271</f>
        <v>36388</v>
      </c>
      <c r="E263" s="1">
        <f>怪物标准模型!AN271</f>
        <v>22201</v>
      </c>
      <c r="F263" s="37">
        <f>怪物标准模型!AP271</f>
        <v>36388</v>
      </c>
      <c r="G263" s="38">
        <f t="shared" si="4"/>
        <v>22201</v>
      </c>
      <c r="H263" s="1">
        <f>怪物标准模型!AR271</f>
        <v>262198</v>
      </c>
      <c r="I263" s="1">
        <f>怪物标准模型!AS271</f>
        <v>786594</v>
      </c>
      <c r="J263" s="1">
        <f>怪物标准模型!AT271</f>
        <v>471957</v>
      </c>
      <c r="K263" s="1">
        <f>怪物标准模型!AU271</f>
        <v>131099</v>
      </c>
      <c r="L263" s="1">
        <f>怪物标准模型!AV271</f>
        <v>39330</v>
      </c>
      <c r="M263" s="1">
        <f>怪物标准模型!AW271</f>
        <v>1048792</v>
      </c>
      <c r="N263" s="1">
        <f>怪物标准模型!AX271</f>
        <v>2359782</v>
      </c>
    </row>
    <row r="264" spans="2:14">
      <c r="B264" s="4">
        <v>261</v>
      </c>
      <c r="C264" s="1">
        <f>怪物标准模型!AY272</f>
        <v>29440615</v>
      </c>
      <c r="D264" s="1">
        <f>怪物标准模型!AM272</f>
        <v>36708</v>
      </c>
      <c r="E264" s="1">
        <f>怪物标准模型!AN272</f>
        <v>22316</v>
      </c>
      <c r="F264" s="37">
        <f>怪物标准模型!AP272</f>
        <v>36708</v>
      </c>
      <c r="G264" s="38">
        <f t="shared" si="4"/>
        <v>22316</v>
      </c>
      <c r="H264" s="1">
        <f>怪物标准模型!AR272</f>
        <v>264815</v>
      </c>
      <c r="I264" s="1">
        <f>怪物标准模型!AS272</f>
        <v>794445</v>
      </c>
      <c r="J264" s="1">
        <f>怪物标准模型!AT272</f>
        <v>476667</v>
      </c>
      <c r="K264" s="1">
        <f>怪物标准模型!AU272</f>
        <v>132408</v>
      </c>
      <c r="L264" s="1">
        <f>怪物标准模型!AV272</f>
        <v>39723</v>
      </c>
      <c r="M264" s="1">
        <f>怪物标准模型!AW272</f>
        <v>1059260</v>
      </c>
      <c r="N264" s="1">
        <f>怪物标准模型!AX272</f>
        <v>2383335</v>
      </c>
    </row>
    <row r="265" spans="2:14">
      <c r="B265" s="4">
        <v>262</v>
      </c>
      <c r="C265" s="1">
        <f>怪物标准模型!AY273</f>
        <v>29755852</v>
      </c>
      <c r="D265" s="1">
        <f>怪物标准模型!AM273</f>
        <v>37029</v>
      </c>
      <c r="E265" s="1">
        <f>怪物标准模型!AN273</f>
        <v>22431</v>
      </c>
      <c r="F265" s="37">
        <f>怪物标准模型!AP273</f>
        <v>37029</v>
      </c>
      <c r="G265" s="38">
        <f t="shared" si="4"/>
        <v>22431</v>
      </c>
      <c r="H265" s="1">
        <f>怪物标准模型!AR273</f>
        <v>267451</v>
      </c>
      <c r="I265" s="1">
        <f>怪物标准模型!AS273</f>
        <v>802353</v>
      </c>
      <c r="J265" s="1">
        <f>怪物标准模型!AT273</f>
        <v>481412</v>
      </c>
      <c r="K265" s="1">
        <f>怪物标准模型!AU273</f>
        <v>133726</v>
      </c>
      <c r="L265" s="1">
        <f>怪物标准模型!AV273</f>
        <v>40118</v>
      </c>
      <c r="M265" s="1">
        <f>怪物标准模型!AW273</f>
        <v>1069804</v>
      </c>
      <c r="N265" s="1">
        <f>怪物标准模型!AX273</f>
        <v>2407059</v>
      </c>
    </row>
    <row r="266" spans="2:14">
      <c r="B266" s="4">
        <v>263</v>
      </c>
      <c r="C266" s="1">
        <f>怪物标准模型!AY274</f>
        <v>30073550</v>
      </c>
      <c r="D266" s="1">
        <f>怪物标准模型!AM274</f>
        <v>37353</v>
      </c>
      <c r="E266" s="1">
        <f>怪物标准模型!AN274</f>
        <v>22547</v>
      </c>
      <c r="F266" s="37">
        <f>怪物标准模型!AP274</f>
        <v>37353</v>
      </c>
      <c r="G266" s="38">
        <f t="shared" si="4"/>
        <v>22547</v>
      </c>
      <c r="H266" s="1">
        <f>怪物标准模型!AR274</f>
        <v>270107</v>
      </c>
      <c r="I266" s="1">
        <f>怪物标准模型!AS274</f>
        <v>810321</v>
      </c>
      <c r="J266" s="1">
        <f>怪物标准模型!AT274</f>
        <v>486193</v>
      </c>
      <c r="K266" s="1">
        <f>怪物标准模型!AU274</f>
        <v>135054</v>
      </c>
      <c r="L266" s="1">
        <f>怪物标准模型!AV274</f>
        <v>40517</v>
      </c>
      <c r="M266" s="1">
        <f>怪物标准模型!AW274</f>
        <v>1080428</v>
      </c>
      <c r="N266" s="1">
        <f>怪物标准模型!AX274</f>
        <v>2430963</v>
      </c>
    </row>
    <row r="267" spans="2:14">
      <c r="B267" s="4">
        <v>264</v>
      </c>
      <c r="C267" s="1">
        <f>怪物标准模型!AY275</f>
        <v>30393828</v>
      </c>
      <c r="D267" s="1">
        <f>怪物标准模型!AM275</f>
        <v>37679</v>
      </c>
      <c r="E267" s="1">
        <f>怪物标准模型!AN275</f>
        <v>22662</v>
      </c>
      <c r="F267" s="37">
        <f>怪物标准模型!AP275</f>
        <v>37679</v>
      </c>
      <c r="G267" s="38">
        <f t="shared" si="4"/>
        <v>22662</v>
      </c>
      <c r="H267" s="1">
        <f>怪物标准模型!AR275</f>
        <v>272781</v>
      </c>
      <c r="I267" s="1">
        <f>怪物标准模型!AS275</f>
        <v>818343</v>
      </c>
      <c r="J267" s="1">
        <f>怪物标准模型!AT275</f>
        <v>491006</v>
      </c>
      <c r="K267" s="1">
        <f>怪物标准模型!AU275</f>
        <v>136391</v>
      </c>
      <c r="L267" s="1">
        <f>怪物标准模型!AV275</f>
        <v>40918</v>
      </c>
      <c r="M267" s="1">
        <f>怪物标准模型!AW275</f>
        <v>1091124</v>
      </c>
      <c r="N267" s="1">
        <f>怪物标准模型!AX275</f>
        <v>2455029</v>
      </c>
    </row>
    <row r="268" spans="2:14">
      <c r="B268" s="4">
        <v>265</v>
      </c>
      <c r="C268" s="1">
        <f>怪物标准模型!AY276</f>
        <v>30716626</v>
      </c>
      <c r="D268" s="1">
        <f>怪物标准模型!AM276</f>
        <v>38007</v>
      </c>
      <c r="E268" s="1">
        <f>怪物标准模型!AN276</f>
        <v>22778</v>
      </c>
      <c r="F268" s="37">
        <f>怪物标准模型!AP276</f>
        <v>38007</v>
      </c>
      <c r="G268" s="38">
        <f t="shared" si="4"/>
        <v>22778</v>
      </c>
      <c r="H268" s="1">
        <f>怪物标准模型!AR276</f>
        <v>275474</v>
      </c>
      <c r="I268" s="1">
        <f>怪物标准模型!AS276</f>
        <v>826422</v>
      </c>
      <c r="J268" s="1">
        <f>怪物标准模型!AT276</f>
        <v>495854</v>
      </c>
      <c r="K268" s="1">
        <f>怪物标准模型!AU276</f>
        <v>137737</v>
      </c>
      <c r="L268" s="1">
        <f>怪物标准模型!AV276</f>
        <v>41322</v>
      </c>
      <c r="M268" s="1">
        <f>怪物标准模型!AW276</f>
        <v>1101896</v>
      </c>
      <c r="N268" s="1">
        <f>怪物标准模型!AX276</f>
        <v>2479266</v>
      </c>
    </row>
    <row r="269" spans="2:14">
      <c r="B269" s="4">
        <v>266</v>
      </c>
      <c r="C269" s="1">
        <f>怪物标准模型!AY277</f>
        <v>31041945</v>
      </c>
      <c r="D269" s="1">
        <f>怪物标准模型!AM277</f>
        <v>38337</v>
      </c>
      <c r="E269" s="1">
        <f>怪物标准模型!AN277</f>
        <v>22895</v>
      </c>
      <c r="F269" s="37">
        <f>怪物标准模型!AP277</f>
        <v>38337</v>
      </c>
      <c r="G269" s="38">
        <f t="shared" si="4"/>
        <v>22895</v>
      </c>
      <c r="H269" s="1">
        <f>怪物标准模型!AR277</f>
        <v>278187</v>
      </c>
      <c r="I269" s="1">
        <f>怪物标准模型!AS277</f>
        <v>834561</v>
      </c>
      <c r="J269" s="1">
        <f>怪物标准模型!AT277</f>
        <v>500737</v>
      </c>
      <c r="K269" s="1">
        <f>怪物标准模型!AU277</f>
        <v>139094</v>
      </c>
      <c r="L269" s="1">
        <f>怪物标准模型!AV277</f>
        <v>41729</v>
      </c>
      <c r="M269" s="1">
        <f>怪物标准模型!AW277</f>
        <v>1112748</v>
      </c>
      <c r="N269" s="1">
        <f>怪物标准模型!AX277</f>
        <v>2503683</v>
      </c>
    </row>
    <row r="270" spans="2:14">
      <c r="B270" s="4">
        <v>267</v>
      </c>
      <c r="C270" s="1">
        <f>怪物标准模型!AY278</f>
        <v>31369843</v>
      </c>
      <c r="D270" s="1">
        <f>怪物标准模型!AM278</f>
        <v>38670</v>
      </c>
      <c r="E270" s="1">
        <f>怪物标准模型!AN278</f>
        <v>23011</v>
      </c>
      <c r="F270" s="37">
        <f>怪物标准模型!AP278</f>
        <v>38670</v>
      </c>
      <c r="G270" s="38">
        <f t="shared" si="4"/>
        <v>23011</v>
      </c>
      <c r="H270" s="1">
        <f>怪物标准模型!AR278</f>
        <v>280919</v>
      </c>
      <c r="I270" s="1">
        <f>怪物标准模型!AS278</f>
        <v>842757</v>
      </c>
      <c r="J270" s="1">
        <f>怪物标准模型!AT278</f>
        <v>505655</v>
      </c>
      <c r="K270" s="1">
        <f>怪物标准模型!AU278</f>
        <v>140460</v>
      </c>
      <c r="L270" s="1">
        <f>怪物标准模型!AV278</f>
        <v>42138</v>
      </c>
      <c r="M270" s="1">
        <f>怪物标准模型!AW278</f>
        <v>1123676</v>
      </c>
      <c r="N270" s="1">
        <f>怪物标准模型!AX278</f>
        <v>2528271</v>
      </c>
    </row>
    <row r="271" spans="2:14">
      <c r="B271" s="4">
        <v>268</v>
      </c>
      <c r="C271" s="1">
        <f>怪物标准模型!AY279</f>
        <v>31700261</v>
      </c>
      <c r="D271" s="1">
        <f>怪物标准模型!AM279</f>
        <v>39004</v>
      </c>
      <c r="E271" s="1">
        <f>怪物标准模型!AN279</f>
        <v>23128</v>
      </c>
      <c r="F271" s="37">
        <f>怪物标准模型!AP279</f>
        <v>39004</v>
      </c>
      <c r="G271" s="38">
        <f t="shared" si="4"/>
        <v>23128</v>
      </c>
      <c r="H271" s="1">
        <f>怪物标准模型!AR279</f>
        <v>283670</v>
      </c>
      <c r="I271" s="1">
        <f>怪物标准模型!AS279</f>
        <v>851010</v>
      </c>
      <c r="J271" s="1">
        <f>怪物标准模型!AT279</f>
        <v>510606</v>
      </c>
      <c r="K271" s="1">
        <f>怪物标准模型!AU279</f>
        <v>141835</v>
      </c>
      <c r="L271" s="1">
        <f>怪物标准模型!AV279</f>
        <v>42551</v>
      </c>
      <c r="M271" s="1">
        <f>怪物标准模型!AW279</f>
        <v>1134680</v>
      </c>
      <c r="N271" s="1">
        <f>怪物标准模型!AX279</f>
        <v>2553030</v>
      </c>
    </row>
    <row r="272" spans="2:14">
      <c r="B272" s="4">
        <v>269</v>
      </c>
      <c r="C272" s="1">
        <f>怪物标准模型!AY280</f>
        <v>32033319</v>
      </c>
      <c r="D272" s="1">
        <f>怪物标准模型!AM280</f>
        <v>39340</v>
      </c>
      <c r="E272" s="1">
        <f>怪物标准模型!AN280</f>
        <v>23245</v>
      </c>
      <c r="F272" s="37">
        <f>怪物标准模型!AP280</f>
        <v>39340</v>
      </c>
      <c r="G272" s="38">
        <f t="shared" si="4"/>
        <v>23245</v>
      </c>
      <c r="H272" s="1">
        <f>怪物标准模型!AR280</f>
        <v>286441</v>
      </c>
      <c r="I272" s="1">
        <f>怪物标准模型!AS280</f>
        <v>859323</v>
      </c>
      <c r="J272" s="1">
        <f>怪物标准模型!AT280</f>
        <v>515594</v>
      </c>
      <c r="K272" s="1">
        <f>怪物标准模型!AU280</f>
        <v>143221</v>
      </c>
      <c r="L272" s="1">
        <f>怪物标准模型!AV280</f>
        <v>42967</v>
      </c>
      <c r="M272" s="1">
        <f>怪物标准模型!AW280</f>
        <v>1145764</v>
      </c>
      <c r="N272" s="1">
        <f>怪物标准模型!AX280</f>
        <v>2577969</v>
      </c>
    </row>
    <row r="273" spans="2:14">
      <c r="B273" s="4">
        <v>270</v>
      </c>
      <c r="C273" s="1">
        <f>怪物标准模型!AY281</f>
        <v>32369018</v>
      </c>
      <c r="D273" s="1">
        <f>怪物标准模型!AM281</f>
        <v>39678</v>
      </c>
      <c r="E273" s="1">
        <f>怪物标准模型!AN281</f>
        <v>23362</v>
      </c>
      <c r="F273" s="37">
        <f>怪物标准模型!AP281</f>
        <v>39678</v>
      </c>
      <c r="G273" s="38">
        <f t="shared" si="4"/>
        <v>23362</v>
      </c>
      <c r="H273" s="1">
        <f>怪物标准模型!AR281</f>
        <v>289232</v>
      </c>
      <c r="I273" s="1">
        <f>怪物标准模型!AS281</f>
        <v>867696</v>
      </c>
      <c r="J273" s="1">
        <f>怪物标准模型!AT281</f>
        <v>520618</v>
      </c>
      <c r="K273" s="1">
        <f>怪物标准模型!AU281</f>
        <v>144616</v>
      </c>
      <c r="L273" s="1">
        <f>怪物标准模型!AV281</f>
        <v>43385</v>
      </c>
      <c r="M273" s="1">
        <f>怪物标准模型!AW281</f>
        <v>1156928</v>
      </c>
      <c r="N273" s="1">
        <f>怪物标准模型!AX281</f>
        <v>2603088</v>
      </c>
    </row>
    <row r="274" spans="2:14">
      <c r="B274" s="4">
        <v>271</v>
      </c>
      <c r="C274" s="1">
        <f>怪物标准模型!AY282</f>
        <v>32707296</v>
      </c>
      <c r="D274" s="1">
        <f>怪物标准模型!AM282</f>
        <v>40018</v>
      </c>
      <c r="E274" s="1">
        <f>怪物标准模型!AN282</f>
        <v>23479</v>
      </c>
      <c r="F274" s="37">
        <f>怪物标准模型!AP282</f>
        <v>40018</v>
      </c>
      <c r="G274" s="38">
        <f t="shared" si="4"/>
        <v>23479</v>
      </c>
      <c r="H274" s="1">
        <f>怪物标准模型!AR282</f>
        <v>292043</v>
      </c>
      <c r="I274" s="1">
        <f>怪物标准模型!AS282</f>
        <v>876129</v>
      </c>
      <c r="J274" s="1">
        <f>怪物标准模型!AT282</f>
        <v>525678</v>
      </c>
      <c r="K274" s="1">
        <f>怪物标准模型!AU282</f>
        <v>146022</v>
      </c>
      <c r="L274" s="1">
        <f>怪物标准模型!AV282</f>
        <v>43807</v>
      </c>
      <c r="M274" s="1">
        <f>怪物标准模型!AW282</f>
        <v>1168172</v>
      </c>
      <c r="N274" s="1">
        <f>怪物标准模型!AX282</f>
        <v>2628387</v>
      </c>
    </row>
    <row r="275" spans="2:14">
      <c r="B275" s="4">
        <v>272</v>
      </c>
      <c r="C275" s="1">
        <f>怪物标准模型!AY283</f>
        <v>33048215</v>
      </c>
      <c r="D275" s="1">
        <f>怪物标准模型!AM283</f>
        <v>40361</v>
      </c>
      <c r="E275" s="1">
        <f>怪物标准模型!AN283</f>
        <v>23597</v>
      </c>
      <c r="F275" s="37">
        <f>怪物标准模型!AP283</f>
        <v>40361</v>
      </c>
      <c r="G275" s="38">
        <f t="shared" si="4"/>
        <v>23597</v>
      </c>
      <c r="H275" s="1">
        <f>怪物标准模型!AR283</f>
        <v>294873</v>
      </c>
      <c r="I275" s="1">
        <f>怪物标准模型!AS283</f>
        <v>884619</v>
      </c>
      <c r="J275" s="1">
        <f>怪物标准模型!AT283</f>
        <v>530772</v>
      </c>
      <c r="K275" s="1">
        <f>怪物标准模型!AU283</f>
        <v>147437</v>
      </c>
      <c r="L275" s="1">
        <f>怪物标准模型!AV283</f>
        <v>44231</v>
      </c>
      <c r="M275" s="1">
        <f>怪物标准模型!AW283</f>
        <v>1179492</v>
      </c>
      <c r="N275" s="1">
        <f>怪物标准模型!AX283</f>
        <v>2653857</v>
      </c>
    </row>
    <row r="276" spans="2:14">
      <c r="B276" s="4">
        <v>273</v>
      </c>
      <c r="C276" s="1">
        <f>怪物标准模型!AY284</f>
        <v>33391834</v>
      </c>
      <c r="D276" s="1">
        <f>怪物标准模型!AM284</f>
        <v>40705</v>
      </c>
      <c r="E276" s="1">
        <f>怪物标准模型!AN284</f>
        <v>23715</v>
      </c>
      <c r="F276" s="37">
        <f>怪物标准模型!AP284</f>
        <v>40705</v>
      </c>
      <c r="G276" s="38">
        <f t="shared" si="4"/>
        <v>23715</v>
      </c>
      <c r="H276" s="1">
        <f>怪物标准模型!AR284</f>
        <v>297723</v>
      </c>
      <c r="I276" s="1">
        <f>怪物标准模型!AS284</f>
        <v>893169</v>
      </c>
      <c r="J276" s="1">
        <f>怪物标准模型!AT284</f>
        <v>535902</v>
      </c>
      <c r="K276" s="1">
        <f>怪物标准模型!AU284</f>
        <v>148862</v>
      </c>
      <c r="L276" s="1">
        <f>怪物标准模型!AV284</f>
        <v>44659</v>
      </c>
      <c r="M276" s="1">
        <f>怪物标准模型!AW284</f>
        <v>1190892</v>
      </c>
      <c r="N276" s="1">
        <f>怪物标准模型!AX284</f>
        <v>2679507</v>
      </c>
    </row>
    <row r="277" spans="2:14">
      <c r="B277" s="4">
        <v>274</v>
      </c>
      <c r="C277" s="1">
        <f>怪物标准模型!AY285</f>
        <v>33738092</v>
      </c>
      <c r="D277" s="1">
        <f>怪物标准模型!AM285</f>
        <v>41052</v>
      </c>
      <c r="E277" s="1">
        <f>怪物标准模型!AN285</f>
        <v>23833</v>
      </c>
      <c r="F277" s="37">
        <f>怪物标准模型!AP285</f>
        <v>41052</v>
      </c>
      <c r="G277" s="38">
        <f t="shared" si="4"/>
        <v>23833</v>
      </c>
      <c r="H277" s="1">
        <f>怪物标准模型!AR285</f>
        <v>300593</v>
      </c>
      <c r="I277" s="1">
        <f>怪物标准模型!AS285</f>
        <v>901779</v>
      </c>
      <c r="J277" s="1">
        <f>怪物标准模型!AT285</f>
        <v>541068</v>
      </c>
      <c r="K277" s="1">
        <f>怪物标准模型!AU285</f>
        <v>150297</v>
      </c>
      <c r="L277" s="1">
        <f>怪物标准模型!AV285</f>
        <v>45089</v>
      </c>
      <c r="M277" s="1">
        <f>怪物标准模型!AW285</f>
        <v>1202372</v>
      </c>
      <c r="N277" s="1">
        <f>怪物标准模型!AX285</f>
        <v>2705337</v>
      </c>
    </row>
    <row r="278" spans="2:14">
      <c r="B278" s="4">
        <v>275</v>
      </c>
      <c r="C278" s="1">
        <f>怪物标准模型!AY286</f>
        <v>34086991</v>
      </c>
      <c r="D278" s="1">
        <f>怪物标准模型!AM286</f>
        <v>41400</v>
      </c>
      <c r="E278" s="1">
        <f>怪物标准模型!AN286</f>
        <v>23951</v>
      </c>
      <c r="F278" s="37">
        <f>怪物标准模型!AP286</f>
        <v>41400</v>
      </c>
      <c r="G278" s="38">
        <f t="shared" si="4"/>
        <v>23951</v>
      </c>
      <c r="H278" s="1">
        <f>怪物标准模型!AR286</f>
        <v>303484</v>
      </c>
      <c r="I278" s="1">
        <f>怪物标准模型!AS286</f>
        <v>910452</v>
      </c>
      <c r="J278" s="1">
        <f>怪物标准模型!AT286</f>
        <v>546272</v>
      </c>
      <c r="K278" s="1">
        <f>怪物标准模型!AU286</f>
        <v>151742</v>
      </c>
      <c r="L278" s="1">
        <f>怪物标准模型!AV286</f>
        <v>45523</v>
      </c>
      <c r="M278" s="1">
        <f>怪物标准模型!AW286</f>
        <v>1213936</v>
      </c>
      <c r="N278" s="1">
        <f>怪物标准模型!AX286</f>
        <v>2731356</v>
      </c>
    </row>
    <row r="279" spans="2:14">
      <c r="B279" s="4">
        <v>276</v>
      </c>
      <c r="C279" s="1">
        <f>怪物标准模型!AY287</f>
        <v>34438650</v>
      </c>
      <c r="D279" s="1">
        <f>怪物标准模型!AM287</f>
        <v>41751</v>
      </c>
      <c r="E279" s="1">
        <f>怪物标准模型!AN287</f>
        <v>24069</v>
      </c>
      <c r="F279" s="37">
        <f>怪物标准模型!AP287</f>
        <v>41751</v>
      </c>
      <c r="G279" s="38">
        <f t="shared" si="4"/>
        <v>24069</v>
      </c>
      <c r="H279" s="1">
        <f>怪物标准模型!AR287</f>
        <v>306394</v>
      </c>
      <c r="I279" s="1">
        <f>怪物标准模型!AS287</f>
        <v>919182</v>
      </c>
      <c r="J279" s="1">
        <f>怪物标准模型!AT287</f>
        <v>551510</v>
      </c>
      <c r="K279" s="1">
        <f>怪物标准模型!AU287</f>
        <v>153197</v>
      </c>
      <c r="L279" s="1">
        <f>怪物标准模型!AV287</f>
        <v>45960</v>
      </c>
      <c r="M279" s="1">
        <f>怪物标准模型!AW287</f>
        <v>1225576</v>
      </c>
      <c r="N279" s="1">
        <f>怪物标准模型!AX287</f>
        <v>2757546</v>
      </c>
    </row>
    <row r="280" spans="2:14">
      <c r="B280" s="4">
        <v>277</v>
      </c>
      <c r="C280" s="1">
        <f>怪物标准模型!AY288</f>
        <v>34793008</v>
      </c>
      <c r="D280" s="1">
        <f>怪物标准模型!AM288</f>
        <v>42104</v>
      </c>
      <c r="E280" s="1">
        <f>怪物标准模型!AN288</f>
        <v>24188</v>
      </c>
      <c r="F280" s="37">
        <f>怪物标准模型!AP288</f>
        <v>42104</v>
      </c>
      <c r="G280" s="38">
        <f t="shared" si="4"/>
        <v>24188</v>
      </c>
      <c r="H280" s="1">
        <f>怪物标准模型!AR288</f>
        <v>309325</v>
      </c>
      <c r="I280" s="1">
        <f>怪物标准模型!AS288</f>
        <v>927975</v>
      </c>
      <c r="J280" s="1">
        <f>怪物标准模型!AT288</f>
        <v>556785</v>
      </c>
      <c r="K280" s="1">
        <f>怪物标准模型!AU288</f>
        <v>154663</v>
      </c>
      <c r="L280" s="1">
        <f>怪物标准模型!AV288</f>
        <v>46399</v>
      </c>
      <c r="M280" s="1">
        <f>怪物标准模型!AW288</f>
        <v>1237300</v>
      </c>
      <c r="N280" s="1">
        <f>怪物标准模型!AX288</f>
        <v>2783925</v>
      </c>
    </row>
    <row r="281" spans="2:14">
      <c r="B281" s="4">
        <v>278</v>
      </c>
      <c r="C281" s="1">
        <f>怪物标准模型!AY289</f>
        <v>35150067</v>
      </c>
      <c r="D281" s="1">
        <f>怪物标准模型!AM289</f>
        <v>42459</v>
      </c>
      <c r="E281" s="1">
        <f>怪物标准模型!AN289</f>
        <v>24307</v>
      </c>
      <c r="F281" s="37">
        <f>怪物标准模型!AP289</f>
        <v>42459</v>
      </c>
      <c r="G281" s="38">
        <f t="shared" si="4"/>
        <v>24307</v>
      </c>
      <c r="H281" s="1">
        <f>怪物标准模型!AR289</f>
        <v>312276</v>
      </c>
      <c r="I281" s="1">
        <f>怪物标准模型!AS289</f>
        <v>936828</v>
      </c>
      <c r="J281" s="1">
        <f>怪物标准模型!AT289</f>
        <v>562097</v>
      </c>
      <c r="K281" s="1">
        <f>怪物标准模型!AU289</f>
        <v>156138</v>
      </c>
      <c r="L281" s="1">
        <f>怪物标准模型!AV289</f>
        <v>46842</v>
      </c>
      <c r="M281" s="1">
        <f>怪物标准模型!AW289</f>
        <v>1249104</v>
      </c>
      <c r="N281" s="1">
        <f>怪物标准模型!AX289</f>
        <v>2810484</v>
      </c>
    </row>
    <row r="282" spans="2:14">
      <c r="B282" s="4">
        <v>279</v>
      </c>
      <c r="C282" s="1">
        <f>怪物标准模型!AY290</f>
        <v>35509886</v>
      </c>
      <c r="D282" s="1">
        <f>怪物标准模型!AM290</f>
        <v>42816</v>
      </c>
      <c r="E282" s="1">
        <f>怪物标准模型!AN290</f>
        <v>24426</v>
      </c>
      <c r="F282" s="37">
        <f>怪物标准模型!AP290</f>
        <v>42816</v>
      </c>
      <c r="G282" s="38">
        <f t="shared" si="4"/>
        <v>24426</v>
      </c>
      <c r="H282" s="1">
        <f>怪物标准模型!AR290</f>
        <v>315248</v>
      </c>
      <c r="I282" s="1">
        <f>怪物标准模型!AS290</f>
        <v>945744</v>
      </c>
      <c r="J282" s="1">
        <f>怪物标准模型!AT290</f>
        <v>567447</v>
      </c>
      <c r="K282" s="1">
        <f>怪物标准模型!AU290</f>
        <v>157624</v>
      </c>
      <c r="L282" s="1">
        <f>怪物标准模型!AV290</f>
        <v>47288</v>
      </c>
      <c r="M282" s="1">
        <f>怪物标准模型!AW290</f>
        <v>1260992</v>
      </c>
      <c r="N282" s="1">
        <f>怪物标准模型!AX290</f>
        <v>2837232</v>
      </c>
    </row>
    <row r="283" spans="2:14">
      <c r="B283" s="4">
        <v>280</v>
      </c>
      <c r="C283" s="1">
        <f>怪物标准模型!AY291</f>
        <v>35872465</v>
      </c>
      <c r="D283" s="1">
        <f>怪物标准模型!AM291</f>
        <v>43176</v>
      </c>
      <c r="E283" s="1">
        <f>怪物标准模型!AN291</f>
        <v>24545</v>
      </c>
      <c r="F283" s="37">
        <f>怪物标准模型!AP291</f>
        <v>43176</v>
      </c>
      <c r="G283" s="38">
        <f t="shared" si="4"/>
        <v>24545</v>
      </c>
      <c r="H283" s="1">
        <f>怪物标准模型!AR291</f>
        <v>318240</v>
      </c>
      <c r="I283" s="1">
        <f>怪物标准模型!AS291</f>
        <v>954720</v>
      </c>
      <c r="J283" s="1">
        <f>怪物标准模型!AT291</f>
        <v>572832</v>
      </c>
      <c r="K283" s="1">
        <f>怪物标准模型!AU291</f>
        <v>159120</v>
      </c>
      <c r="L283" s="1">
        <f>怪物标准模型!AV291</f>
        <v>47736</v>
      </c>
      <c r="M283" s="1">
        <f>怪物标准模型!AW291</f>
        <v>1272960</v>
      </c>
      <c r="N283" s="1">
        <f>怪物标准模型!AX291</f>
        <v>2864160</v>
      </c>
    </row>
    <row r="284" spans="2:14">
      <c r="B284" s="4">
        <v>281</v>
      </c>
      <c r="C284" s="1">
        <f>怪物标准模型!AY292</f>
        <v>36237804</v>
      </c>
      <c r="D284" s="1">
        <f>怪物标准模型!AM292</f>
        <v>43537</v>
      </c>
      <c r="E284" s="1">
        <f>怪物标准模型!AN292</f>
        <v>24665</v>
      </c>
      <c r="F284" s="37">
        <f>怪物标准模型!AP292</f>
        <v>43537</v>
      </c>
      <c r="G284" s="38">
        <f t="shared" si="4"/>
        <v>24665</v>
      </c>
      <c r="H284" s="1">
        <f>怪物标准模型!AR292</f>
        <v>321253</v>
      </c>
      <c r="I284" s="1">
        <f>怪物标准模型!AS292</f>
        <v>963759</v>
      </c>
      <c r="J284" s="1">
        <f>怪物标准模型!AT292</f>
        <v>578256</v>
      </c>
      <c r="K284" s="1">
        <f>怪物标准模型!AU292</f>
        <v>160627</v>
      </c>
      <c r="L284" s="1">
        <f>怪物标准模型!AV292</f>
        <v>48188</v>
      </c>
      <c r="M284" s="1">
        <f>怪物标准模型!AW292</f>
        <v>1285012</v>
      </c>
      <c r="N284" s="1">
        <f>怪物标准模型!AX292</f>
        <v>2891277</v>
      </c>
    </row>
    <row r="285" spans="2:14">
      <c r="B285" s="4">
        <v>282</v>
      </c>
      <c r="C285" s="1">
        <f>怪物标准模型!AY293</f>
        <v>36605963</v>
      </c>
      <c r="D285" s="1">
        <f>怪物标准模型!AM293</f>
        <v>43901</v>
      </c>
      <c r="E285" s="1">
        <f>怪物标准模型!AN293</f>
        <v>24785</v>
      </c>
      <c r="F285" s="37">
        <f>怪物标准模型!AP293</f>
        <v>43901</v>
      </c>
      <c r="G285" s="38">
        <f t="shared" si="4"/>
        <v>24785</v>
      </c>
      <c r="H285" s="1">
        <f>怪物标准模型!AR293</f>
        <v>324287</v>
      </c>
      <c r="I285" s="1">
        <f>怪物标准模型!AS293</f>
        <v>972861</v>
      </c>
      <c r="J285" s="1">
        <f>怪物标准模型!AT293</f>
        <v>583717</v>
      </c>
      <c r="K285" s="1">
        <f>怪物标准模型!AU293</f>
        <v>162144</v>
      </c>
      <c r="L285" s="1">
        <f>怪物标准模型!AV293</f>
        <v>48644</v>
      </c>
      <c r="M285" s="1">
        <f>怪物标准模型!AW293</f>
        <v>1297148</v>
      </c>
      <c r="N285" s="1">
        <f>怪物标准模型!AX293</f>
        <v>2918583</v>
      </c>
    </row>
    <row r="286" spans="2:14">
      <c r="B286" s="4">
        <v>283</v>
      </c>
      <c r="C286" s="1">
        <f>怪物标准模型!AY294</f>
        <v>36976882</v>
      </c>
      <c r="D286" s="1">
        <f>怪物标准模型!AM294</f>
        <v>44267</v>
      </c>
      <c r="E286" s="1">
        <f>怪物标准模型!AN294</f>
        <v>24905</v>
      </c>
      <c r="F286" s="37">
        <f>怪物标准模型!AP294</f>
        <v>44267</v>
      </c>
      <c r="G286" s="38">
        <f t="shared" si="4"/>
        <v>24905</v>
      </c>
      <c r="H286" s="1">
        <f>怪物标准模型!AR294</f>
        <v>327342</v>
      </c>
      <c r="I286" s="1">
        <f>怪物标准模型!AS294</f>
        <v>982026</v>
      </c>
      <c r="J286" s="1">
        <f>怪物标准模型!AT294</f>
        <v>589216</v>
      </c>
      <c r="K286" s="1">
        <f>怪物标准模型!AU294</f>
        <v>163671</v>
      </c>
      <c r="L286" s="1">
        <f>怪物标准模型!AV294</f>
        <v>49102</v>
      </c>
      <c r="M286" s="1">
        <f>怪物标准模型!AW294</f>
        <v>1309368</v>
      </c>
      <c r="N286" s="1">
        <f>怪物标准模型!AX294</f>
        <v>2946078</v>
      </c>
    </row>
    <row r="287" spans="2:14">
      <c r="B287" s="4">
        <v>284</v>
      </c>
      <c r="C287" s="1">
        <f>怪物标准模型!AY295</f>
        <v>37350621</v>
      </c>
      <c r="D287" s="1">
        <f>怪物标准模型!AM295</f>
        <v>44635</v>
      </c>
      <c r="E287" s="1">
        <f>怪物标准模型!AN295</f>
        <v>25025</v>
      </c>
      <c r="F287" s="37">
        <f>怪物标准模型!AP295</f>
        <v>44635</v>
      </c>
      <c r="G287" s="38">
        <f t="shared" si="4"/>
        <v>25025</v>
      </c>
      <c r="H287" s="1">
        <f>怪物标准模型!AR295</f>
        <v>330417</v>
      </c>
      <c r="I287" s="1">
        <f>怪物标准模型!AS295</f>
        <v>991251</v>
      </c>
      <c r="J287" s="1">
        <f>怪物标准模型!AT295</f>
        <v>594751</v>
      </c>
      <c r="K287" s="1">
        <f>怪物标准模型!AU295</f>
        <v>165209</v>
      </c>
      <c r="L287" s="1">
        <f>怪物标准模型!AV295</f>
        <v>49563</v>
      </c>
      <c r="M287" s="1">
        <f>怪物标准模型!AW295</f>
        <v>1321668</v>
      </c>
      <c r="N287" s="1">
        <f>怪物标准模型!AX295</f>
        <v>2973753</v>
      </c>
    </row>
    <row r="288" spans="2:14">
      <c r="B288" s="4">
        <v>285</v>
      </c>
      <c r="C288" s="1">
        <f>怪物标准模型!AY296</f>
        <v>37727240</v>
      </c>
      <c r="D288" s="1">
        <f>怪物标准模型!AM296</f>
        <v>45005</v>
      </c>
      <c r="E288" s="1">
        <f>怪物标准模型!AN296</f>
        <v>25146</v>
      </c>
      <c r="F288" s="37">
        <f>怪物标准模型!AP296</f>
        <v>45005</v>
      </c>
      <c r="G288" s="38">
        <f t="shared" si="4"/>
        <v>25146</v>
      </c>
      <c r="H288" s="1">
        <f>怪物标准模型!AR296</f>
        <v>333514</v>
      </c>
      <c r="I288" s="1">
        <f>怪物标准模型!AS296</f>
        <v>1000542</v>
      </c>
      <c r="J288" s="1">
        <f>怪物标准模型!AT296</f>
        <v>600326</v>
      </c>
      <c r="K288" s="1">
        <f>怪物标准模型!AU296</f>
        <v>166757</v>
      </c>
      <c r="L288" s="1">
        <f>怪物标准模型!AV296</f>
        <v>50028</v>
      </c>
      <c r="M288" s="1">
        <f>怪物标准模型!AW296</f>
        <v>1334056</v>
      </c>
      <c r="N288" s="1">
        <f>怪物标准模型!AX296</f>
        <v>3001626</v>
      </c>
    </row>
    <row r="289" spans="2:14">
      <c r="B289" s="4">
        <v>286</v>
      </c>
      <c r="C289" s="1">
        <f>怪物标准模型!AY297</f>
        <v>38106740</v>
      </c>
      <c r="D289" s="1">
        <f>怪物标准模型!AM297</f>
        <v>45378</v>
      </c>
      <c r="E289" s="1">
        <f>怪物标准模型!AN297</f>
        <v>25267</v>
      </c>
      <c r="F289" s="37">
        <f>怪物标准模型!AP297</f>
        <v>45378</v>
      </c>
      <c r="G289" s="38">
        <f t="shared" si="4"/>
        <v>25267</v>
      </c>
      <c r="H289" s="1">
        <f>怪物标准模型!AR297</f>
        <v>336632</v>
      </c>
      <c r="I289" s="1">
        <f>怪物标准模型!AS297</f>
        <v>1009896</v>
      </c>
      <c r="J289" s="1">
        <f>怪物标准模型!AT297</f>
        <v>605938</v>
      </c>
      <c r="K289" s="1">
        <f>怪物标准模型!AU297</f>
        <v>168316</v>
      </c>
      <c r="L289" s="1">
        <f>怪物标准模型!AV297</f>
        <v>50495</v>
      </c>
      <c r="M289" s="1">
        <f>怪物标准模型!AW297</f>
        <v>1346528</v>
      </c>
      <c r="N289" s="1">
        <f>怪物标准模型!AX297</f>
        <v>3029688</v>
      </c>
    </row>
    <row r="290" spans="2:14">
      <c r="B290" s="4">
        <v>287</v>
      </c>
      <c r="C290" s="1">
        <f>怪物标准模型!AY298</f>
        <v>38489059</v>
      </c>
      <c r="D290" s="1">
        <f>怪物标准模型!AM298</f>
        <v>45752</v>
      </c>
      <c r="E290" s="1">
        <f>怪物标准模型!AN298</f>
        <v>25388</v>
      </c>
      <c r="F290" s="37">
        <f>怪物标准模型!AP298</f>
        <v>45752</v>
      </c>
      <c r="G290" s="38">
        <f t="shared" si="4"/>
        <v>25388</v>
      </c>
      <c r="H290" s="1">
        <f>怪物标准模型!AR298</f>
        <v>339771</v>
      </c>
      <c r="I290" s="1">
        <f>怪物标准模型!AS298</f>
        <v>1019313</v>
      </c>
      <c r="J290" s="1">
        <f>怪物标准模型!AT298</f>
        <v>611588</v>
      </c>
      <c r="K290" s="1">
        <f>怪物标准模型!AU298</f>
        <v>169886</v>
      </c>
      <c r="L290" s="1">
        <f>怪物标准模型!AV298</f>
        <v>50966</v>
      </c>
      <c r="M290" s="1">
        <f>怪物标准模型!AW298</f>
        <v>1359084</v>
      </c>
      <c r="N290" s="1">
        <f>怪物标准模型!AX298</f>
        <v>3057939</v>
      </c>
    </row>
    <row r="291" spans="2:14">
      <c r="B291" s="4">
        <v>288</v>
      </c>
      <c r="C291" s="1">
        <f>怪物标准模型!AY299</f>
        <v>38874258</v>
      </c>
      <c r="D291" s="1">
        <f>怪物标准模型!AM299</f>
        <v>46129</v>
      </c>
      <c r="E291" s="1">
        <f>怪物标准模型!AN299</f>
        <v>25509</v>
      </c>
      <c r="F291" s="37">
        <f>怪物标准模型!AP299</f>
        <v>46129</v>
      </c>
      <c r="G291" s="38">
        <f t="shared" si="4"/>
        <v>25509</v>
      </c>
      <c r="H291" s="1">
        <f>怪物标准模型!AR299</f>
        <v>342932</v>
      </c>
      <c r="I291" s="1">
        <f>怪物标准模型!AS299</f>
        <v>1028796</v>
      </c>
      <c r="J291" s="1">
        <f>怪物标准模型!AT299</f>
        <v>617278</v>
      </c>
      <c r="K291" s="1">
        <f>怪物标准模型!AU299</f>
        <v>171466</v>
      </c>
      <c r="L291" s="1">
        <f>怪物标准模型!AV299</f>
        <v>51440</v>
      </c>
      <c r="M291" s="1">
        <f>怪物标准模型!AW299</f>
        <v>1371728</v>
      </c>
      <c r="N291" s="1">
        <f>怪物标准模型!AX299</f>
        <v>3086388</v>
      </c>
    </row>
    <row r="292" spans="2:14">
      <c r="B292" s="4">
        <v>289</v>
      </c>
      <c r="C292" s="1">
        <f>怪物标准模型!AY300</f>
        <v>39262397</v>
      </c>
      <c r="D292" s="1">
        <f>怪物标准模型!AM300</f>
        <v>46508</v>
      </c>
      <c r="E292" s="1">
        <f>怪物标准模型!AN300</f>
        <v>25630</v>
      </c>
      <c r="F292" s="37">
        <f>怪物标准模型!AP300</f>
        <v>46508</v>
      </c>
      <c r="G292" s="38">
        <f t="shared" si="4"/>
        <v>25630</v>
      </c>
      <c r="H292" s="1">
        <f>怪物标准模型!AR300</f>
        <v>346114</v>
      </c>
      <c r="I292" s="1">
        <f>怪物标准模型!AS300</f>
        <v>1038342</v>
      </c>
      <c r="J292" s="1">
        <f>怪物标准模型!AT300</f>
        <v>623006</v>
      </c>
      <c r="K292" s="1">
        <f>怪物标准模型!AU300</f>
        <v>173057</v>
      </c>
      <c r="L292" s="1">
        <f>怪物标准模型!AV300</f>
        <v>51918</v>
      </c>
      <c r="M292" s="1">
        <f>怪物标准模型!AW300</f>
        <v>1384456</v>
      </c>
      <c r="N292" s="1">
        <f>怪物标准模型!AX300</f>
        <v>3115026</v>
      </c>
    </row>
    <row r="293" spans="2:14">
      <c r="B293" s="4">
        <v>290</v>
      </c>
      <c r="C293" s="1">
        <f>怪物标准模型!AY301</f>
        <v>39653417</v>
      </c>
      <c r="D293" s="1">
        <f>怪物标准模型!AM301</f>
        <v>46890</v>
      </c>
      <c r="E293" s="1">
        <f>怪物标准模型!AN301</f>
        <v>25752</v>
      </c>
      <c r="F293" s="37">
        <f>怪物标准模型!AP301</f>
        <v>46890</v>
      </c>
      <c r="G293" s="38">
        <f t="shared" si="4"/>
        <v>25752</v>
      </c>
      <c r="H293" s="1">
        <f>怪物标准模型!AR301</f>
        <v>349318</v>
      </c>
      <c r="I293" s="1">
        <f>怪物标准模型!AS301</f>
        <v>1047954</v>
      </c>
      <c r="J293" s="1">
        <f>怪物标准模型!AT301</f>
        <v>628773</v>
      </c>
      <c r="K293" s="1">
        <f>怪物标准模型!AU301</f>
        <v>174659</v>
      </c>
      <c r="L293" s="1">
        <f>怪物标准模型!AV301</f>
        <v>52398</v>
      </c>
      <c r="M293" s="1">
        <f>怪物标准模型!AW301</f>
        <v>1397272</v>
      </c>
      <c r="N293" s="1">
        <f>怪物标准模型!AX301</f>
        <v>3143862</v>
      </c>
    </row>
    <row r="294" spans="2:14">
      <c r="B294" s="4">
        <v>291</v>
      </c>
      <c r="C294" s="1">
        <f>怪物标准模型!AY302</f>
        <v>40047376</v>
      </c>
      <c r="D294" s="1">
        <f>怪物标准模型!AM302</f>
        <v>47274</v>
      </c>
      <c r="E294" s="1">
        <f>怪物标准模型!AN302</f>
        <v>25874</v>
      </c>
      <c r="F294" s="37">
        <f>怪物标准模型!AP302</f>
        <v>47274</v>
      </c>
      <c r="G294" s="38">
        <f t="shared" si="4"/>
        <v>25874</v>
      </c>
      <c r="H294" s="1">
        <f>怪物标准模型!AR302</f>
        <v>352543</v>
      </c>
      <c r="I294" s="1">
        <f>怪物标准模型!AS302</f>
        <v>1057629</v>
      </c>
      <c r="J294" s="1">
        <f>怪物标准模型!AT302</f>
        <v>634578</v>
      </c>
      <c r="K294" s="1">
        <f>怪物标准模型!AU302</f>
        <v>176272</v>
      </c>
      <c r="L294" s="1">
        <f>怪物标准模型!AV302</f>
        <v>52882</v>
      </c>
      <c r="M294" s="1">
        <f>怪物标准模型!AW302</f>
        <v>1410172</v>
      </c>
      <c r="N294" s="1">
        <f>怪物标准模型!AX302</f>
        <v>3172887</v>
      </c>
    </row>
    <row r="295" spans="2:14">
      <c r="B295" s="4">
        <v>292</v>
      </c>
      <c r="C295" s="1">
        <f>怪物标准模型!AY303</f>
        <v>40444275</v>
      </c>
      <c r="D295" s="1">
        <f>怪物标准模型!AM303</f>
        <v>47659</v>
      </c>
      <c r="E295" s="1">
        <f>怪物标准模型!AN303</f>
        <v>25996</v>
      </c>
      <c r="F295" s="37">
        <f>怪物标准模型!AP303</f>
        <v>47659</v>
      </c>
      <c r="G295" s="38">
        <f t="shared" si="4"/>
        <v>25996</v>
      </c>
      <c r="H295" s="1">
        <f>怪物标准模型!AR303</f>
        <v>355790</v>
      </c>
      <c r="I295" s="1">
        <f>怪物标准模型!AS303</f>
        <v>1067370</v>
      </c>
      <c r="J295" s="1">
        <f>怪物标准模型!AT303</f>
        <v>640422</v>
      </c>
      <c r="K295" s="1">
        <f>怪物标准模型!AU303</f>
        <v>177895</v>
      </c>
      <c r="L295" s="1">
        <f>怪物标准模型!AV303</f>
        <v>53369</v>
      </c>
      <c r="M295" s="1">
        <f>怪物标准模型!AW303</f>
        <v>1423160</v>
      </c>
      <c r="N295" s="1">
        <f>怪物标准模型!AX303</f>
        <v>3202110</v>
      </c>
    </row>
    <row r="296" spans="2:14">
      <c r="B296" s="4">
        <v>293</v>
      </c>
      <c r="C296" s="1">
        <f>怪物标准模型!AY304</f>
        <v>40844175</v>
      </c>
      <c r="D296" s="1">
        <f>怪物标准模型!AM304</f>
        <v>48048</v>
      </c>
      <c r="E296" s="1">
        <f>怪物标准模型!AN304</f>
        <v>26118</v>
      </c>
      <c r="F296" s="37">
        <f>怪物标准模型!AP304</f>
        <v>48048</v>
      </c>
      <c r="G296" s="38">
        <f t="shared" si="4"/>
        <v>26118</v>
      </c>
      <c r="H296" s="1">
        <f>怪物标准模型!AR304</f>
        <v>359059</v>
      </c>
      <c r="I296" s="1">
        <f>怪物标准模型!AS304</f>
        <v>1077177</v>
      </c>
      <c r="J296" s="1">
        <f>怪物标准模型!AT304</f>
        <v>646307</v>
      </c>
      <c r="K296" s="1">
        <f>怪物标准模型!AU304</f>
        <v>179530</v>
      </c>
      <c r="L296" s="1">
        <f>怪物标准模型!AV304</f>
        <v>53859</v>
      </c>
      <c r="M296" s="1">
        <f>怪物标准模型!AW304</f>
        <v>1436236</v>
      </c>
      <c r="N296" s="1">
        <f>怪物标准模型!AX304</f>
        <v>3231531</v>
      </c>
    </row>
    <row r="297" spans="2:14">
      <c r="B297" s="4">
        <v>294</v>
      </c>
      <c r="C297" s="1">
        <f>怪物标准模型!AY305</f>
        <v>41247014</v>
      </c>
      <c r="D297" s="1">
        <f>怪物标准模型!AM305</f>
        <v>48438</v>
      </c>
      <c r="E297" s="1">
        <f>怪物标准模型!AN305</f>
        <v>26241</v>
      </c>
      <c r="F297" s="37">
        <f>怪物标准模型!AP305</f>
        <v>48438</v>
      </c>
      <c r="G297" s="38">
        <f t="shared" si="4"/>
        <v>26241</v>
      </c>
      <c r="H297" s="1">
        <f>怪物标准模型!AR305</f>
        <v>362350</v>
      </c>
      <c r="I297" s="1">
        <f>怪物标准模型!AS305</f>
        <v>1087050</v>
      </c>
      <c r="J297" s="1">
        <f>怪物标准模型!AT305</f>
        <v>652230</v>
      </c>
      <c r="K297" s="1">
        <f>怪物标准模型!AU305</f>
        <v>181175</v>
      </c>
      <c r="L297" s="1">
        <f>怪物标准模型!AV305</f>
        <v>54353</v>
      </c>
      <c r="M297" s="1">
        <f>怪物标准模型!AW305</f>
        <v>1449400</v>
      </c>
      <c r="N297" s="1">
        <f>怪物标准模型!AX305</f>
        <v>3261150</v>
      </c>
    </row>
    <row r="298" spans="2:14">
      <c r="B298" s="4">
        <v>295</v>
      </c>
      <c r="C298" s="1">
        <f>怪物标准模型!AY306</f>
        <v>41652914</v>
      </c>
      <c r="D298" s="1">
        <f>怪物标准模型!AM306</f>
        <v>48831</v>
      </c>
      <c r="E298" s="1">
        <f>怪物标准模型!AN306</f>
        <v>26364</v>
      </c>
      <c r="F298" s="37">
        <f>怪物标准模型!AP306</f>
        <v>48831</v>
      </c>
      <c r="G298" s="38">
        <f t="shared" si="4"/>
        <v>26364</v>
      </c>
      <c r="H298" s="1">
        <f>怪物标准模型!AR306</f>
        <v>365663</v>
      </c>
      <c r="I298" s="1">
        <f>怪物标准模型!AS306</f>
        <v>1096989</v>
      </c>
      <c r="J298" s="1">
        <f>怪物标准模型!AT306</f>
        <v>658194</v>
      </c>
      <c r="K298" s="1">
        <f>怪物标准模型!AU306</f>
        <v>182832</v>
      </c>
      <c r="L298" s="1">
        <f>怪物标准模型!AV306</f>
        <v>54850</v>
      </c>
      <c r="M298" s="1">
        <f>怪物标准模型!AW306</f>
        <v>1462652</v>
      </c>
      <c r="N298" s="1">
        <f>怪物标准模型!AX306</f>
        <v>3290967</v>
      </c>
    </row>
    <row r="299" spans="2:14">
      <c r="B299" s="4">
        <v>296</v>
      </c>
      <c r="C299" s="1">
        <f>怪物标准模型!AY307</f>
        <v>42061753</v>
      </c>
      <c r="D299" s="1">
        <f>怪物标准模型!AM307</f>
        <v>49226</v>
      </c>
      <c r="E299" s="1">
        <f>怪物标准模型!AN307</f>
        <v>26487</v>
      </c>
      <c r="F299" s="37">
        <f>怪物标准模型!AP307</f>
        <v>49226</v>
      </c>
      <c r="G299" s="38">
        <f t="shared" si="4"/>
        <v>26487</v>
      </c>
      <c r="H299" s="1">
        <f>怪物标准模型!AR307</f>
        <v>368999</v>
      </c>
      <c r="I299" s="1">
        <f>怪物标准模型!AS307</f>
        <v>1106997</v>
      </c>
      <c r="J299" s="1">
        <f>怪物标准模型!AT307</f>
        <v>664199</v>
      </c>
      <c r="K299" s="1">
        <f>怪物标准模型!AU307</f>
        <v>184500</v>
      </c>
      <c r="L299" s="1">
        <f>怪物标准模型!AV307</f>
        <v>55350</v>
      </c>
      <c r="M299" s="1">
        <f>怪物标准模型!AW307</f>
        <v>1475996</v>
      </c>
      <c r="N299" s="1">
        <f>怪物标准模型!AX307</f>
        <v>3320991</v>
      </c>
    </row>
    <row r="300" spans="2:14">
      <c r="B300" s="4">
        <v>297</v>
      </c>
      <c r="C300" s="1">
        <f>怪物标准模型!AY308</f>
        <v>42473712</v>
      </c>
      <c r="D300" s="1">
        <f>怪物标准模型!AM308</f>
        <v>49623</v>
      </c>
      <c r="E300" s="1">
        <f>怪物标准模型!AN308</f>
        <v>26610</v>
      </c>
      <c r="F300" s="37">
        <f>怪物标准模型!AP308</f>
        <v>49623</v>
      </c>
      <c r="G300" s="38">
        <f t="shared" si="4"/>
        <v>26610</v>
      </c>
      <c r="H300" s="1">
        <f>怪物标准模型!AR308</f>
        <v>372356</v>
      </c>
      <c r="I300" s="1">
        <f>怪物标准模型!AS308</f>
        <v>1117068</v>
      </c>
      <c r="J300" s="1">
        <f>怪物标准模型!AT308</f>
        <v>670241</v>
      </c>
      <c r="K300" s="1">
        <f>怪物标准模型!AU308</f>
        <v>186178</v>
      </c>
      <c r="L300" s="1">
        <f>怪物标准模型!AV308</f>
        <v>55854</v>
      </c>
      <c r="M300" s="1">
        <f>怪物标准模型!AW308</f>
        <v>1489424</v>
      </c>
      <c r="N300" s="1">
        <f>怪物标准模型!AX308</f>
        <v>3351204</v>
      </c>
    </row>
    <row r="301" spans="2:14">
      <c r="B301" s="4">
        <v>298</v>
      </c>
      <c r="C301" s="1">
        <f>怪物标准模型!AY309</f>
        <v>42888672</v>
      </c>
      <c r="D301" s="1">
        <f>怪物标准模型!AM309</f>
        <v>50023</v>
      </c>
      <c r="E301" s="1">
        <f>怪物标准模型!AN309</f>
        <v>26733</v>
      </c>
      <c r="F301" s="37">
        <f>怪物标准模型!AP309</f>
        <v>50023</v>
      </c>
      <c r="G301" s="38">
        <f t="shared" si="4"/>
        <v>26733</v>
      </c>
      <c r="H301" s="1">
        <f>怪物标准模型!AR309</f>
        <v>375736</v>
      </c>
      <c r="I301" s="1">
        <f>怪物标准模型!AS309</f>
        <v>1127208</v>
      </c>
      <c r="J301" s="1">
        <f>怪物标准模型!AT309</f>
        <v>676325</v>
      </c>
      <c r="K301" s="1">
        <f>怪物标准模型!AU309</f>
        <v>187868</v>
      </c>
      <c r="L301" s="1">
        <f>怪物标准模型!AV309</f>
        <v>56361</v>
      </c>
      <c r="M301" s="1">
        <f>怪物标准模型!AW309</f>
        <v>1502944</v>
      </c>
      <c r="N301" s="1">
        <f>怪物标准模型!AX309</f>
        <v>3381624</v>
      </c>
    </row>
    <row r="302" spans="2:14">
      <c r="B302" s="4">
        <v>299</v>
      </c>
      <c r="C302" s="1">
        <f>怪物标准模型!AY310</f>
        <v>43306691</v>
      </c>
      <c r="D302" s="1">
        <f>怪物标准模型!AM310</f>
        <v>50425</v>
      </c>
      <c r="E302" s="1">
        <f>怪物标准模型!AN310</f>
        <v>26857</v>
      </c>
      <c r="F302" s="37">
        <f>怪物标准模型!AP310</f>
        <v>50425</v>
      </c>
      <c r="G302" s="38">
        <f t="shared" si="4"/>
        <v>26857</v>
      </c>
      <c r="H302" s="1">
        <f>怪物标准模型!AR310</f>
        <v>379139</v>
      </c>
      <c r="I302" s="1">
        <f>怪物标准模型!AS310</f>
        <v>1137417</v>
      </c>
      <c r="J302" s="1">
        <f>怪物标准模型!AT310</f>
        <v>682451</v>
      </c>
      <c r="K302" s="1">
        <f>怪物标准模型!AU310</f>
        <v>189570</v>
      </c>
      <c r="L302" s="1">
        <f>怪物标准模型!AV310</f>
        <v>56871</v>
      </c>
      <c r="M302" s="1">
        <f>怪物标准模型!AW310</f>
        <v>1516556</v>
      </c>
      <c r="N302" s="1">
        <f>怪物标准模型!AX310</f>
        <v>3412251</v>
      </c>
    </row>
    <row r="303" spans="2:14">
      <c r="B303" s="4">
        <v>300</v>
      </c>
      <c r="C303" s="1">
        <f>怪物标准模型!AY311</f>
        <v>43727771</v>
      </c>
      <c r="D303" s="1">
        <f>怪物标准模型!AM311</f>
        <v>50830</v>
      </c>
      <c r="E303" s="1">
        <f>怪物标准模型!AN311</f>
        <v>26981</v>
      </c>
      <c r="F303" s="37">
        <f>怪物标准模型!AP311</f>
        <v>50830</v>
      </c>
      <c r="G303" s="38">
        <f t="shared" si="4"/>
        <v>26981</v>
      </c>
      <c r="H303" s="1">
        <f>怪物标准模型!AR311</f>
        <v>382564</v>
      </c>
      <c r="I303" s="1">
        <f>怪物标准模型!AS311</f>
        <v>1147692</v>
      </c>
      <c r="J303" s="1">
        <f>怪物标准模型!AT311</f>
        <v>688616</v>
      </c>
      <c r="K303" s="1">
        <f>怪物标准模型!AU311</f>
        <v>191282</v>
      </c>
      <c r="L303" s="1">
        <f>怪物标准模型!AV311</f>
        <v>57385</v>
      </c>
      <c r="M303" s="1">
        <f>怪物标准模型!AW311</f>
        <v>1530256</v>
      </c>
      <c r="N303" s="1">
        <f>怪物标准模型!AX311</f>
        <v>3443076</v>
      </c>
    </row>
    <row r="304" spans="2:14">
      <c r="B304" s="4">
        <v>301</v>
      </c>
      <c r="C304" s="1">
        <f>怪物标准模型!AY312</f>
        <v>44151971</v>
      </c>
      <c r="D304" s="1">
        <f>怪物标准模型!AM312</f>
        <v>51236</v>
      </c>
      <c r="E304" s="1">
        <f>怪物标准模型!AN312</f>
        <v>27105</v>
      </c>
      <c r="F304" s="37">
        <f>怪物标准模型!AP312</f>
        <v>51236</v>
      </c>
      <c r="G304" s="38">
        <f t="shared" si="4"/>
        <v>27105</v>
      </c>
      <c r="H304" s="1">
        <f>怪物标准模型!AR312</f>
        <v>386012</v>
      </c>
      <c r="I304" s="1">
        <f>怪物标准模型!AS312</f>
        <v>1158036</v>
      </c>
      <c r="J304" s="1">
        <f>怪物标准模型!AT312</f>
        <v>694822</v>
      </c>
      <c r="K304" s="1">
        <f>怪物标准模型!AU312</f>
        <v>193006</v>
      </c>
      <c r="L304" s="1">
        <f>怪物标准模型!AV312</f>
        <v>57902</v>
      </c>
      <c r="M304" s="1">
        <f>怪物标准模型!AW312</f>
        <v>1544048</v>
      </c>
      <c r="N304" s="1">
        <f>怪物标准模型!AX312</f>
        <v>3474108</v>
      </c>
    </row>
    <row r="305" spans="2:14">
      <c r="B305" s="4">
        <v>302</v>
      </c>
      <c r="C305" s="1">
        <f>怪物标准模型!AY313</f>
        <v>44579290</v>
      </c>
      <c r="D305" s="1">
        <f>怪物标准模型!AM313</f>
        <v>51645</v>
      </c>
      <c r="E305" s="1">
        <f>怪物标准模型!AN313</f>
        <v>27230</v>
      </c>
      <c r="F305" s="37">
        <f>怪物标准模型!AP313</f>
        <v>51645</v>
      </c>
      <c r="G305" s="38">
        <f t="shared" si="4"/>
        <v>27230</v>
      </c>
      <c r="H305" s="1">
        <f>怪物标准模型!AR313</f>
        <v>389482</v>
      </c>
      <c r="I305" s="1">
        <f>怪物标准模型!AS313</f>
        <v>1168446</v>
      </c>
      <c r="J305" s="1">
        <f>怪物标准模型!AT313</f>
        <v>701068</v>
      </c>
      <c r="K305" s="1">
        <f>怪物标准模型!AU313</f>
        <v>194741</v>
      </c>
      <c r="L305" s="1">
        <f>怪物标准模型!AV313</f>
        <v>58423</v>
      </c>
      <c r="M305" s="1">
        <f>怪物标准模型!AW313</f>
        <v>1557928</v>
      </c>
      <c r="N305" s="1">
        <f>怪物标准模型!AX313</f>
        <v>3505338</v>
      </c>
    </row>
    <row r="306" spans="2:14">
      <c r="B306" s="4">
        <v>303</v>
      </c>
      <c r="C306" s="1">
        <f>怪物标准模型!AY314</f>
        <v>45009790</v>
      </c>
      <c r="D306" s="1">
        <f>怪物标准模型!AM314</f>
        <v>52057</v>
      </c>
      <c r="E306" s="1">
        <f>怪物标准模型!AN314</f>
        <v>27354</v>
      </c>
      <c r="F306" s="37">
        <f>怪物标准模型!AP314</f>
        <v>52057</v>
      </c>
      <c r="G306" s="38">
        <f t="shared" si="4"/>
        <v>27354</v>
      </c>
      <c r="H306" s="1">
        <f>怪物标准模型!AR314</f>
        <v>392976</v>
      </c>
      <c r="I306" s="1">
        <f>怪物标准模型!AS314</f>
        <v>1178928</v>
      </c>
      <c r="J306" s="1">
        <f>怪物标准模型!AT314</f>
        <v>707357</v>
      </c>
      <c r="K306" s="1">
        <f>怪物标准模型!AU314</f>
        <v>196488</v>
      </c>
      <c r="L306" s="1">
        <f>怪物标准模型!AV314</f>
        <v>58947</v>
      </c>
      <c r="M306" s="1">
        <f>怪物标准模型!AW314</f>
        <v>1571904</v>
      </c>
      <c r="N306" s="1">
        <f>怪物标准模型!AX314</f>
        <v>3536784</v>
      </c>
    </row>
    <row r="307" spans="2:14">
      <c r="B307" s="4">
        <v>304</v>
      </c>
      <c r="C307" s="1">
        <f>怪物标准模型!AY315</f>
        <v>45443349</v>
      </c>
      <c r="D307" s="1">
        <f>怪物标准模型!AM315</f>
        <v>52471</v>
      </c>
      <c r="E307" s="1">
        <f>怪物标准模型!AN315</f>
        <v>27479</v>
      </c>
      <c r="F307" s="37">
        <f>怪物标准模型!AP315</f>
        <v>52471</v>
      </c>
      <c r="G307" s="38">
        <f t="shared" si="4"/>
        <v>27479</v>
      </c>
      <c r="H307" s="1">
        <f>怪物标准模型!AR315</f>
        <v>396492</v>
      </c>
      <c r="I307" s="1">
        <f>怪物标准模型!AS315</f>
        <v>1189476</v>
      </c>
      <c r="J307" s="1">
        <f>怪物标准模型!AT315</f>
        <v>713686</v>
      </c>
      <c r="K307" s="1">
        <f>怪物标准模型!AU315</f>
        <v>198246</v>
      </c>
      <c r="L307" s="1">
        <f>怪物标准模型!AV315</f>
        <v>59474</v>
      </c>
      <c r="M307" s="1">
        <f>怪物标准模型!AW315</f>
        <v>1585968</v>
      </c>
      <c r="N307" s="1">
        <f>怪物标准模型!AX315</f>
        <v>3568428</v>
      </c>
    </row>
    <row r="308" spans="2:14">
      <c r="B308" s="4">
        <v>305</v>
      </c>
      <c r="C308" s="1">
        <f>怪物标准模型!AY316</f>
        <v>45880149</v>
      </c>
      <c r="D308" s="1">
        <f>怪物标准模型!AM316</f>
        <v>52887</v>
      </c>
      <c r="E308" s="1">
        <f>怪物标准模型!AN316</f>
        <v>27604</v>
      </c>
      <c r="F308" s="37">
        <f>怪物标准模型!AP316</f>
        <v>52887</v>
      </c>
      <c r="G308" s="38">
        <f t="shared" si="4"/>
        <v>27604</v>
      </c>
      <c r="H308" s="1">
        <f>怪物标准模型!AR316</f>
        <v>400032</v>
      </c>
      <c r="I308" s="1">
        <f>怪物标准模型!AS316</f>
        <v>1200096</v>
      </c>
      <c r="J308" s="1">
        <f>怪物标准模型!AT316</f>
        <v>720058</v>
      </c>
      <c r="K308" s="1">
        <f>怪物标准模型!AU316</f>
        <v>200016</v>
      </c>
      <c r="L308" s="1">
        <f>怪物标准模型!AV316</f>
        <v>60005</v>
      </c>
      <c r="M308" s="1">
        <f>怪物标准模型!AW316</f>
        <v>1600128</v>
      </c>
      <c r="N308" s="1">
        <f>怪物标准模型!AX316</f>
        <v>3600288</v>
      </c>
    </row>
    <row r="309" spans="2:14">
      <c r="B309" s="4">
        <v>306</v>
      </c>
      <c r="C309" s="1">
        <f>怪物标准模型!AY317</f>
        <v>46320129</v>
      </c>
      <c r="D309" s="1">
        <f>怪物标准模型!AM317</f>
        <v>53306</v>
      </c>
      <c r="E309" s="1">
        <f>怪物标准模型!AN317</f>
        <v>27730</v>
      </c>
      <c r="F309" s="37">
        <f>怪物标准模型!AP317</f>
        <v>53306</v>
      </c>
      <c r="G309" s="38">
        <f t="shared" si="4"/>
        <v>27730</v>
      </c>
      <c r="H309" s="1">
        <f>怪物标准模型!AR317</f>
        <v>403595</v>
      </c>
      <c r="I309" s="1">
        <f>怪物标准模型!AS317</f>
        <v>1210785</v>
      </c>
      <c r="J309" s="1">
        <f>怪物标准模型!AT317</f>
        <v>726471</v>
      </c>
      <c r="K309" s="1">
        <f>怪物标准模型!AU317</f>
        <v>201798</v>
      </c>
      <c r="L309" s="1">
        <f>怪物标准模型!AV317</f>
        <v>60540</v>
      </c>
      <c r="M309" s="1">
        <f>怪物标准模型!AW317</f>
        <v>1614380</v>
      </c>
      <c r="N309" s="1">
        <f>怪物标准模型!AX317</f>
        <v>3632355</v>
      </c>
    </row>
    <row r="310" spans="2:14">
      <c r="B310" s="4">
        <v>307</v>
      </c>
      <c r="C310" s="1">
        <f>怪物标准模型!AY318</f>
        <v>46763288</v>
      </c>
      <c r="D310" s="1">
        <f>怪物标准模型!AM318</f>
        <v>53727</v>
      </c>
      <c r="E310" s="1">
        <f>怪物标准模型!AN318</f>
        <v>27855</v>
      </c>
      <c r="F310" s="37">
        <f>怪物标准模型!AP318</f>
        <v>53727</v>
      </c>
      <c r="G310" s="38">
        <f t="shared" si="4"/>
        <v>27855</v>
      </c>
      <c r="H310" s="1">
        <f>怪物标准模型!AR318</f>
        <v>407181</v>
      </c>
      <c r="I310" s="1">
        <f>怪物标准模型!AS318</f>
        <v>1221543</v>
      </c>
      <c r="J310" s="1">
        <f>怪物标准模型!AT318</f>
        <v>732926</v>
      </c>
      <c r="K310" s="1">
        <f>怪物标准模型!AU318</f>
        <v>203591</v>
      </c>
      <c r="L310" s="1">
        <f>怪物标准模型!AV318</f>
        <v>61078</v>
      </c>
      <c r="M310" s="1">
        <f>怪物标准模型!AW318</f>
        <v>1628724</v>
      </c>
      <c r="N310" s="1">
        <f>怪物标准模型!AX318</f>
        <v>3664629</v>
      </c>
    </row>
    <row r="311" spans="2:14">
      <c r="B311" s="4">
        <v>308</v>
      </c>
      <c r="C311" s="1">
        <f>怪物标准模型!AY319</f>
        <v>47209628</v>
      </c>
      <c r="D311" s="1">
        <f>怪物标准模型!AM319</f>
        <v>54150</v>
      </c>
      <c r="E311" s="1">
        <f>怪物标准模型!AN319</f>
        <v>27981</v>
      </c>
      <c r="F311" s="37">
        <f>怪物标准模型!AP319</f>
        <v>54150</v>
      </c>
      <c r="G311" s="38">
        <f t="shared" si="4"/>
        <v>27981</v>
      </c>
      <c r="H311" s="1">
        <f>怪物标准模型!AR319</f>
        <v>410791</v>
      </c>
      <c r="I311" s="1">
        <f>怪物标准模型!AS319</f>
        <v>1232373</v>
      </c>
      <c r="J311" s="1">
        <f>怪物标准模型!AT319</f>
        <v>739424</v>
      </c>
      <c r="K311" s="1">
        <f>怪物标准模型!AU319</f>
        <v>205396</v>
      </c>
      <c r="L311" s="1">
        <f>怪物标准模型!AV319</f>
        <v>61619</v>
      </c>
      <c r="M311" s="1">
        <f>怪物标准模型!AW319</f>
        <v>1643164</v>
      </c>
      <c r="N311" s="1">
        <f>怪物标准模型!AX319</f>
        <v>3697119</v>
      </c>
    </row>
    <row r="312" spans="2:14">
      <c r="B312" s="4">
        <v>309</v>
      </c>
      <c r="C312" s="1">
        <f>怪物标准模型!AY320</f>
        <v>47659268</v>
      </c>
      <c r="D312" s="1">
        <f>怪物标准模型!AM320</f>
        <v>54576</v>
      </c>
      <c r="E312" s="1">
        <f>怪物标准模型!AN320</f>
        <v>28107</v>
      </c>
      <c r="F312" s="37">
        <f>怪物标准模型!AP320</f>
        <v>54576</v>
      </c>
      <c r="G312" s="38">
        <f t="shared" si="4"/>
        <v>28107</v>
      </c>
      <c r="H312" s="1">
        <f>怪物标准模型!AR320</f>
        <v>414424</v>
      </c>
      <c r="I312" s="1">
        <f>怪物标准模型!AS320</f>
        <v>1243272</v>
      </c>
      <c r="J312" s="1">
        <f>怪物标准模型!AT320</f>
        <v>745964</v>
      </c>
      <c r="K312" s="1">
        <f>怪物标准模型!AU320</f>
        <v>207212</v>
      </c>
      <c r="L312" s="1">
        <f>怪物标准模型!AV320</f>
        <v>62164</v>
      </c>
      <c r="M312" s="1">
        <f>怪物标准模型!AW320</f>
        <v>1657696</v>
      </c>
      <c r="N312" s="1">
        <f>怪物标准模型!AX320</f>
        <v>3729816</v>
      </c>
    </row>
    <row r="313" spans="2:14">
      <c r="B313" s="4">
        <v>310</v>
      </c>
      <c r="C313" s="1">
        <f>怪物标准模型!AY321</f>
        <v>48112147</v>
      </c>
      <c r="D313" s="1">
        <f>怪物标准模型!AM321</f>
        <v>55005</v>
      </c>
      <c r="E313" s="1">
        <f>怪物标准模型!AN321</f>
        <v>28233</v>
      </c>
      <c r="F313" s="37">
        <f>怪物标准模型!AP321</f>
        <v>55005</v>
      </c>
      <c r="G313" s="38">
        <f t="shared" si="4"/>
        <v>28233</v>
      </c>
      <c r="H313" s="1">
        <f>怪物标准模型!AR321</f>
        <v>418081</v>
      </c>
      <c r="I313" s="1">
        <f>怪物标准模型!AS321</f>
        <v>1254243</v>
      </c>
      <c r="J313" s="1">
        <f>怪物标准模型!AT321</f>
        <v>752546</v>
      </c>
      <c r="K313" s="1">
        <f>怪物标准模型!AU321</f>
        <v>209041</v>
      </c>
      <c r="L313" s="1">
        <f>怪物标准模型!AV321</f>
        <v>62713</v>
      </c>
      <c r="M313" s="1">
        <f>怪物标准模型!AW321</f>
        <v>1672324</v>
      </c>
      <c r="N313" s="1">
        <f>怪物标准模型!AX321</f>
        <v>3762729</v>
      </c>
    </row>
    <row r="314" spans="2:14">
      <c r="B314" s="4">
        <v>311</v>
      </c>
      <c r="C314" s="1">
        <f>怪物标准模型!AY322</f>
        <v>48568267</v>
      </c>
      <c r="D314" s="1">
        <f>怪物标准模型!AM322</f>
        <v>55435</v>
      </c>
      <c r="E314" s="1">
        <f>怪物标准模型!AN322</f>
        <v>28359</v>
      </c>
      <c r="F314" s="37">
        <f>怪物标准模型!AP322</f>
        <v>55435</v>
      </c>
      <c r="G314" s="38">
        <f t="shared" si="4"/>
        <v>28359</v>
      </c>
      <c r="H314" s="1">
        <f>怪物标准模型!AR322</f>
        <v>421762</v>
      </c>
      <c r="I314" s="1">
        <f>怪物标准模型!AS322</f>
        <v>1265286</v>
      </c>
      <c r="J314" s="1">
        <f>怪物标准模型!AT322</f>
        <v>759172</v>
      </c>
      <c r="K314" s="1">
        <f>怪物标准模型!AU322</f>
        <v>210881</v>
      </c>
      <c r="L314" s="1">
        <f>怪物标准模型!AV322</f>
        <v>63265</v>
      </c>
      <c r="M314" s="1">
        <f>怪物标准模型!AW322</f>
        <v>1687048</v>
      </c>
      <c r="N314" s="1">
        <f>怪物标准模型!AX322</f>
        <v>3795858</v>
      </c>
    </row>
    <row r="315" spans="2:14">
      <c r="B315" s="4">
        <v>312</v>
      </c>
      <c r="C315" s="1">
        <f>怪物标准模型!AY323</f>
        <v>49027747</v>
      </c>
      <c r="D315" s="1">
        <f>怪物标准模型!AM323</f>
        <v>55869</v>
      </c>
      <c r="E315" s="1">
        <f>怪物标准模型!AN323</f>
        <v>28486</v>
      </c>
      <c r="F315" s="37">
        <f>怪物标准模型!AP323</f>
        <v>55869</v>
      </c>
      <c r="G315" s="38">
        <f t="shared" si="4"/>
        <v>28486</v>
      </c>
      <c r="H315" s="1">
        <f>怪物标准模型!AR323</f>
        <v>425466</v>
      </c>
      <c r="I315" s="1">
        <f>怪物标准模型!AS323</f>
        <v>1276398</v>
      </c>
      <c r="J315" s="1">
        <f>怪物标准模型!AT323</f>
        <v>765839</v>
      </c>
      <c r="K315" s="1">
        <f>怪物标准模型!AU323</f>
        <v>212733</v>
      </c>
      <c r="L315" s="1">
        <f>怪物标准模型!AV323</f>
        <v>63820</v>
      </c>
      <c r="M315" s="1">
        <f>怪物标准模型!AW323</f>
        <v>1701864</v>
      </c>
      <c r="N315" s="1">
        <f>怪物标准模型!AX323</f>
        <v>3829194</v>
      </c>
    </row>
    <row r="316" spans="2:14">
      <c r="B316" s="4">
        <v>313</v>
      </c>
      <c r="C316" s="1">
        <f>怪物标准模型!AY324</f>
        <v>49490466</v>
      </c>
      <c r="D316" s="1">
        <f>怪物标准模型!AM324</f>
        <v>56304</v>
      </c>
      <c r="E316" s="1">
        <f>怪物标准模型!AN324</f>
        <v>28613</v>
      </c>
      <c r="F316" s="37">
        <f>怪物标准模型!AP324</f>
        <v>56304</v>
      </c>
      <c r="G316" s="38">
        <f t="shared" si="4"/>
        <v>28613</v>
      </c>
      <c r="H316" s="1">
        <f>怪物标准模型!AR324</f>
        <v>429195</v>
      </c>
      <c r="I316" s="1">
        <f>怪物标准模型!AS324</f>
        <v>1287585</v>
      </c>
      <c r="J316" s="1">
        <f>怪物标准模型!AT324</f>
        <v>772551</v>
      </c>
      <c r="K316" s="1">
        <f>怪物标准模型!AU324</f>
        <v>214598</v>
      </c>
      <c r="L316" s="1">
        <f>怪物标准模型!AV324</f>
        <v>64380</v>
      </c>
      <c r="M316" s="1">
        <f>怪物标准模型!AW324</f>
        <v>1716780</v>
      </c>
      <c r="N316" s="1">
        <f>怪物标准模型!AX324</f>
        <v>3862755</v>
      </c>
    </row>
    <row r="317" spans="2:14">
      <c r="B317" s="4">
        <v>314</v>
      </c>
      <c r="C317" s="1">
        <f>怪物标准模型!AY325</f>
        <v>49956546</v>
      </c>
      <c r="D317" s="1">
        <f>怪物标准模型!AM325</f>
        <v>56743</v>
      </c>
      <c r="E317" s="1">
        <f>怪物标准模型!AN325</f>
        <v>28740</v>
      </c>
      <c r="F317" s="37">
        <f>怪物标准模型!AP325</f>
        <v>56743</v>
      </c>
      <c r="G317" s="38">
        <f t="shared" si="4"/>
        <v>28740</v>
      </c>
      <c r="H317" s="1">
        <f>怪物标准模型!AR325</f>
        <v>432947</v>
      </c>
      <c r="I317" s="1">
        <f>怪物标准模型!AS325</f>
        <v>1298841</v>
      </c>
      <c r="J317" s="1">
        <f>怪物标准模型!AT325</f>
        <v>779305</v>
      </c>
      <c r="K317" s="1">
        <f>怪物标准模型!AU325</f>
        <v>216474</v>
      </c>
      <c r="L317" s="1">
        <f>怪物标准模型!AV325</f>
        <v>64943</v>
      </c>
      <c r="M317" s="1">
        <f>怪物标准模型!AW325</f>
        <v>1731788</v>
      </c>
      <c r="N317" s="1">
        <f>怪物标准模型!AX325</f>
        <v>3896523</v>
      </c>
    </row>
    <row r="318" spans="2:14">
      <c r="B318" s="4">
        <v>315</v>
      </c>
      <c r="C318" s="1">
        <f>怪物标准模型!AY326</f>
        <v>50425926</v>
      </c>
      <c r="D318" s="1">
        <f>怪物标准模型!AM326</f>
        <v>57183</v>
      </c>
      <c r="E318" s="1">
        <f>怪物标准模型!AN326</f>
        <v>28867</v>
      </c>
      <c r="F318" s="37">
        <f>怪物标准模型!AP326</f>
        <v>57183</v>
      </c>
      <c r="G318" s="38">
        <f t="shared" si="4"/>
        <v>28867</v>
      </c>
      <c r="H318" s="1">
        <f>怪物标准模型!AR326</f>
        <v>436724</v>
      </c>
      <c r="I318" s="1">
        <f>怪物标准模型!AS326</f>
        <v>1310172</v>
      </c>
      <c r="J318" s="1">
        <f>怪物标准模型!AT326</f>
        <v>786104</v>
      </c>
      <c r="K318" s="1">
        <f>怪物标准模型!AU326</f>
        <v>218362</v>
      </c>
      <c r="L318" s="1">
        <f>怪物标准模型!AV326</f>
        <v>65509</v>
      </c>
      <c r="M318" s="1">
        <f>怪物标准模型!AW326</f>
        <v>1746896</v>
      </c>
      <c r="N318" s="1">
        <f>怪物标准模型!AX326</f>
        <v>3930516</v>
      </c>
    </row>
    <row r="319" spans="2:14">
      <c r="B319" s="4">
        <v>316</v>
      </c>
      <c r="C319" s="1">
        <f>怪物标准模型!AY327</f>
        <v>50898726</v>
      </c>
      <c r="D319" s="1">
        <f>怪物标准模型!AM327</f>
        <v>57627</v>
      </c>
      <c r="E319" s="1">
        <f>怪物标准模型!AN327</f>
        <v>28995</v>
      </c>
      <c r="F319" s="37">
        <f>怪物标准模型!AP327</f>
        <v>57627</v>
      </c>
      <c r="G319" s="38">
        <f t="shared" si="4"/>
        <v>28995</v>
      </c>
      <c r="H319" s="1">
        <f>怪物标准模型!AR327</f>
        <v>440525</v>
      </c>
      <c r="I319" s="1">
        <f>怪物标准模型!AS327</f>
        <v>1321575</v>
      </c>
      <c r="J319" s="1">
        <f>怪物标准模型!AT327</f>
        <v>792945</v>
      </c>
      <c r="K319" s="1">
        <f>怪物标准模型!AU327</f>
        <v>220263</v>
      </c>
      <c r="L319" s="1">
        <f>怪物标准模型!AV327</f>
        <v>66079</v>
      </c>
      <c r="M319" s="1">
        <f>怪物标准模型!AW327</f>
        <v>1762100</v>
      </c>
      <c r="N319" s="1">
        <f>怪物标准模型!AX327</f>
        <v>3964725</v>
      </c>
    </row>
    <row r="320" spans="2:14">
      <c r="B320" s="4">
        <v>317</v>
      </c>
      <c r="C320" s="1">
        <f>怪物标准模型!AY328</f>
        <v>51374885</v>
      </c>
      <c r="D320" s="1">
        <f>怪物标准模型!AM328</f>
        <v>58072</v>
      </c>
      <c r="E320" s="1">
        <f>怪物标准模型!AN328</f>
        <v>29123</v>
      </c>
      <c r="F320" s="37">
        <f>怪物标准模型!AP328</f>
        <v>58072</v>
      </c>
      <c r="G320" s="38">
        <f t="shared" si="4"/>
        <v>29123</v>
      </c>
      <c r="H320" s="1">
        <f>怪物标准模型!AR328</f>
        <v>444351</v>
      </c>
      <c r="I320" s="1">
        <f>怪物标准模型!AS328</f>
        <v>1333053</v>
      </c>
      <c r="J320" s="1">
        <f>怪物标准模型!AT328</f>
        <v>799832</v>
      </c>
      <c r="K320" s="1">
        <f>怪物标准模型!AU328</f>
        <v>222176</v>
      </c>
      <c r="L320" s="1">
        <f>怪物标准模型!AV328</f>
        <v>66653</v>
      </c>
      <c r="M320" s="1">
        <f>怪物标准模型!AW328</f>
        <v>1777404</v>
      </c>
      <c r="N320" s="1">
        <f>怪物标准模型!AX328</f>
        <v>3999159</v>
      </c>
    </row>
    <row r="321" spans="2:14">
      <c r="B321" s="4">
        <v>318</v>
      </c>
      <c r="C321" s="1">
        <f>怪物标准模型!AY329</f>
        <v>51854405</v>
      </c>
      <c r="D321" s="1">
        <f>怪物标准模型!AM329</f>
        <v>58521</v>
      </c>
      <c r="E321" s="1">
        <f>怪物标准模型!AN329</f>
        <v>29251</v>
      </c>
      <c r="F321" s="37">
        <f>怪物标准模型!AP329</f>
        <v>58521</v>
      </c>
      <c r="G321" s="38">
        <f t="shared" si="4"/>
        <v>29251</v>
      </c>
      <c r="H321" s="1">
        <f>怪物标准模型!AR329</f>
        <v>448201</v>
      </c>
      <c r="I321" s="1">
        <f>怪物标准模型!AS329</f>
        <v>1344603</v>
      </c>
      <c r="J321" s="1">
        <f>怪物标准模型!AT329</f>
        <v>806762</v>
      </c>
      <c r="K321" s="1">
        <f>怪物标准模型!AU329</f>
        <v>224101</v>
      </c>
      <c r="L321" s="1">
        <f>怪物标准模型!AV329</f>
        <v>67231</v>
      </c>
      <c r="M321" s="1">
        <f>怪物标准模型!AW329</f>
        <v>1792804</v>
      </c>
      <c r="N321" s="1">
        <f>怪物标准模型!AX329</f>
        <v>4033809</v>
      </c>
    </row>
    <row r="322" spans="2:14">
      <c r="B322" s="4">
        <v>319</v>
      </c>
      <c r="C322" s="1">
        <f>怪物标准模型!AY330</f>
        <v>52337405</v>
      </c>
      <c r="D322" s="1">
        <f>怪物标准模型!AM330</f>
        <v>58971</v>
      </c>
      <c r="E322" s="1">
        <f>怪物标准模型!AN330</f>
        <v>29379</v>
      </c>
      <c r="F322" s="37">
        <f>怪物标准模型!AP330</f>
        <v>58971</v>
      </c>
      <c r="G322" s="38">
        <f t="shared" si="4"/>
        <v>29379</v>
      </c>
      <c r="H322" s="1">
        <f>怪物标准模型!AR330</f>
        <v>452075</v>
      </c>
      <c r="I322" s="1">
        <f>怪物标准模型!AS330</f>
        <v>1356225</v>
      </c>
      <c r="J322" s="1">
        <f>怪物标准模型!AT330</f>
        <v>813735</v>
      </c>
      <c r="K322" s="1">
        <f>怪物标准模型!AU330</f>
        <v>226038</v>
      </c>
      <c r="L322" s="1">
        <f>怪物标准模型!AV330</f>
        <v>67812</v>
      </c>
      <c r="M322" s="1">
        <f>怪物标准模型!AW330</f>
        <v>1808300</v>
      </c>
      <c r="N322" s="1">
        <f>怪物标准模型!AX330</f>
        <v>4068675</v>
      </c>
    </row>
    <row r="323" spans="2:14">
      <c r="B323" s="4">
        <v>320</v>
      </c>
      <c r="C323" s="1">
        <f>怪物标准模型!AY331</f>
        <v>52823765</v>
      </c>
      <c r="D323" s="1">
        <f>怪物标准模型!AM331</f>
        <v>59425</v>
      </c>
      <c r="E323" s="1">
        <f>怪物标准模型!AN331</f>
        <v>29508</v>
      </c>
      <c r="F323" s="37">
        <f>怪物标准模型!AP331</f>
        <v>59425</v>
      </c>
      <c r="G323" s="38">
        <f t="shared" si="4"/>
        <v>29508</v>
      </c>
      <c r="H323" s="1">
        <f>怪物标准模型!AR331</f>
        <v>455975</v>
      </c>
      <c r="I323" s="1">
        <f>怪物标准模型!AS331</f>
        <v>1367925</v>
      </c>
      <c r="J323" s="1">
        <f>怪物标准模型!AT331</f>
        <v>820755</v>
      </c>
      <c r="K323" s="1">
        <f>怪物标准模型!AU331</f>
        <v>227988</v>
      </c>
      <c r="L323" s="1">
        <f>怪物标准模型!AV331</f>
        <v>68397</v>
      </c>
      <c r="M323" s="1">
        <f>怪物标准模型!AW331</f>
        <v>1823900</v>
      </c>
      <c r="N323" s="1">
        <f>怪物标准模型!AX331</f>
        <v>4103775</v>
      </c>
    </row>
    <row r="324" spans="2:14">
      <c r="B324" s="4">
        <v>321</v>
      </c>
      <c r="C324" s="1">
        <f>怪物标准模型!AY332</f>
        <v>53313665</v>
      </c>
      <c r="D324" s="1">
        <f>怪物标准模型!AM332</f>
        <v>59881</v>
      </c>
      <c r="E324" s="1">
        <f>怪物标准模型!AN332</f>
        <v>29636</v>
      </c>
      <c r="F324" s="37">
        <f>怪物标准模型!AP332</f>
        <v>59881</v>
      </c>
      <c r="G324" s="38">
        <f t="shared" ref="G324:G387" si="5">E324</f>
        <v>29636</v>
      </c>
      <c r="H324" s="1">
        <f>怪物标准模型!AR332</f>
        <v>459899</v>
      </c>
      <c r="I324" s="1">
        <f>怪物标准模型!AS332</f>
        <v>1379697</v>
      </c>
      <c r="J324" s="1">
        <f>怪物标准模型!AT332</f>
        <v>827819</v>
      </c>
      <c r="K324" s="1">
        <f>怪物标准模型!AU332</f>
        <v>229950</v>
      </c>
      <c r="L324" s="1">
        <f>怪物标准模型!AV332</f>
        <v>68985</v>
      </c>
      <c r="M324" s="1">
        <f>怪物标准模型!AW332</f>
        <v>1839596</v>
      </c>
      <c r="N324" s="1">
        <f>怪物标准模型!AX332</f>
        <v>4139091</v>
      </c>
    </row>
    <row r="325" spans="2:14">
      <c r="B325" s="4">
        <v>322</v>
      </c>
      <c r="C325" s="1">
        <f>怪物标准模型!AY333</f>
        <v>53806984</v>
      </c>
      <c r="D325" s="1">
        <f>怪物标准模型!AM333</f>
        <v>60339</v>
      </c>
      <c r="E325" s="1">
        <f>怪物标准模型!AN333</f>
        <v>29765</v>
      </c>
      <c r="F325" s="37">
        <f>怪物标准模型!AP333</f>
        <v>60339</v>
      </c>
      <c r="G325" s="38">
        <f t="shared" si="5"/>
        <v>29765</v>
      </c>
      <c r="H325" s="1">
        <f>怪物标准模型!AR333</f>
        <v>463848</v>
      </c>
      <c r="I325" s="1">
        <f>怪物标准模型!AS333</f>
        <v>1391544</v>
      </c>
      <c r="J325" s="1">
        <f>怪物标准模型!AT333</f>
        <v>834927</v>
      </c>
      <c r="K325" s="1">
        <f>怪物标准模型!AU333</f>
        <v>231924</v>
      </c>
      <c r="L325" s="1">
        <f>怪物标准模型!AV333</f>
        <v>69578</v>
      </c>
      <c r="M325" s="1">
        <f>怪物标准模型!AW333</f>
        <v>1855392</v>
      </c>
      <c r="N325" s="1">
        <f>怪物标准模型!AX333</f>
        <v>4174632</v>
      </c>
    </row>
    <row r="326" spans="2:14">
      <c r="B326" s="4">
        <v>323</v>
      </c>
      <c r="C326" s="1">
        <f>怪物标准模型!AY334</f>
        <v>54303784</v>
      </c>
      <c r="D326" s="1">
        <f>怪物标准模型!AM334</f>
        <v>60800</v>
      </c>
      <c r="E326" s="1">
        <f>怪物标准模型!AN334</f>
        <v>29895</v>
      </c>
      <c r="F326" s="37">
        <f>怪物标准模型!AP334</f>
        <v>60800</v>
      </c>
      <c r="G326" s="38">
        <f t="shared" si="5"/>
        <v>29895</v>
      </c>
      <c r="H326" s="1">
        <f>怪物标准模型!AR334</f>
        <v>467823</v>
      </c>
      <c r="I326" s="1">
        <f>怪物标准模型!AS334</f>
        <v>1403469</v>
      </c>
      <c r="J326" s="1">
        <f>怪物标准模型!AT334</f>
        <v>842082</v>
      </c>
      <c r="K326" s="1">
        <f>怪物标准模型!AU334</f>
        <v>233912</v>
      </c>
      <c r="L326" s="1">
        <f>怪物标准模型!AV334</f>
        <v>70174</v>
      </c>
      <c r="M326" s="1">
        <f>怪物标准模型!AW334</f>
        <v>1871292</v>
      </c>
      <c r="N326" s="1">
        <f>怪物标准模型!AX334</f>
        <v>4210407</v>
      </c>
    </row>
    <row r="327" spans="2:14">
      <c r="B327" s="4">
        <v>324</v>
      </c>
      <c r="C327" s="1">
        <f>怪物标准模型!AY335</f>
        <v>54804124</v>
      </c>
      <c r="D327" s="1">
        <f>怪物标准模型!AM335</f>
        <v>61264</v>
      </c>
      <c r="E327" s="1">
        <f>怪物标准模型!AN335</f>
        <v>30024</v>
      </c>
      <c r="F327" s="37">
        <f>怪物标准模型!AP335</f>
        <v>61264</v>
      </c>
      <c r="G327" s="38">
        <f t="shared" si="5"/>
        <v>30024</v>
      </c>
      <c r="H327" s="1">
        <f>怪物标准模型!AR335</f>
        <v>471822</v>
      </c>
      <c r="I327" s="1">
        <f>怪物标准模型!AS335</f>
        <v>1415466</v>
      </c>
      <c r="J327" s="1">
        <f>怪物标准模型!AT335</f>
        <v>849280</v>
      </c>
      <c r="K327" s="1">
        <f>怪物标准模型!AU335</f>
        <v>235911</v>
      </c>
      <c r="L327" s="1">
        <f>怪物标准模型!AV335</f>
        <v>70774</v>
      </c>
      <c r="M327" s="1">
        <f>怪物标准模型!AW335</f>
        <v>1887288</v>
      </c>
      <c r="N327" s="1">
        <f>怪物标准模型!AX335</f>
        <v>4246398</v>
      </c>
    </row>
    <row r="328" spans="2:14">
      <c r="B328" s="4">
        <v>325</v>
      </c>
      <c r="C328" s="1">
        <f>怪物标准模型!AY336</f>
        <v>55307944</v>
      </c>
      <c r="D328" s="1">
        <f>怪物标准模型!AM336</f>
        <v>61730</v>
      </c>
      <c r="E328" s="1">
        <f>怪物标准模型!AN336</f>
        <v>30154</v>
      </c>
      <c r="F328" s="37">
        <f>怪物标准模型!AP336</f>
        <v>61730</v>
      </c>
      <c r="G328" s="38">
        <f t="shared" si="5"/>
        <v>30154</v>
      </c>
      <c r="H328" s="1">
        <f>怪物标准模型!AR336</f>
        <v>475847</v>
      </c>
      <c r="I328" s="1">
        <f>怪物标准模型!AS336</f>
        <v>1427541</v>
      </c>
      <c r="J328" s="1">
        <f>怪物标准模型!AT336</f>
        <v>856525</v>
      </c>
      <c r="K328" s="1">
        <f>怪物标准模型!AU336</f>
        <v>237924</v>
      </c>
      <c r="L328" s="1">
        <f>怪物标准模型!AV336</f>
        <v>71378</v>
      </c>
      <c r="M328" s="1">
        <f>怪物标准模型!AW336</f>
        <v>1903388</v>
      </c>
      <c r="N328" s="1">
        <f>怪物标准模型!AX336</f>
        <v>4282623</v>
      </c>
    </row>
    <row r="329" spans="2:14">
      <c r="B329" s="4">
        <v>326</v>
      </c>
      <c r="C329" s="1">
        <f>怪物标准模型!AY337</f>
        <v>55815364</v>
      </c>
      <c r="D329" s="1">
        <f>怪物标准模型!AM337</f>
        <v>62199</v>
      </c>
      <c r="E329" s="1">
        <f>怪物标准模型!AN337</f>
        <v>30283</v>
      </c>
      <c r="F329" s="37">
        <f>怪物标准模型!AP337</f>
        <v>62199</v>
      </c>
      <c r="G329" s="38">
        <f t="shared" si="5"/>
        <v>30283</v>
      </c>
      <c r="H329" s="1">
        <f>怪物标准模型!AR337</f>
        <v>479897</v>
      </c>
      <c r="I329" s="1">
        <f>怪物标准模型!AS337</f>
        <v>1439691</v>
      </c>
      <c r="J329" s="1">
        <f>怪物标准模型!AT337</f>
        <v>863815</v>
      </c>
      <c r="K329" s="1">
        <f>怪物标准模型!AU337</f>
        <v>239949</v>
      </c>
      <c r="L329" s="1">
        <f>怪物标准模型!AV337</f>
        <v>71985</v>
      </c>
      <c r="M329" s="1">
        <f>怪物标准模型!AW337</f>
        <v>1919588</v>
      </c>
      <c r="N329" s="1">
        <f>怪物标准模型!AX337</f>
        <v>4319073</v>
      </c>
    </row>
    <row r="330" spans="2:14">
      <c r="B330" s="4">
        <v>327</v>
      </c>
      <c r="C330" s="1">
        <f>怪物标准模型!AY338</f>
        <v>56326324</v>
      </c>
      <c r="D330" s="1">
        <f>怪物标准模型!AM338</f>
        <v>62670</v>
      </c>
      <c r="E330" s="1">
        <f>怪物标准模型!AN338</f>
        <v>30413</v>
      </c>
      <c r="F330" s="37">
        <f>怪物标准模型!AP338</f>
        <v>62670</v>
      </c>
      <c r="G330" s="38">
        <f t="shared" si="5"/>
        <v>30413</v>
      </c>
      <c r="H330" s="1">
        <f>怪物标准模型!AR338</f>
        <v>483973</v>
      </c>
      <c r="I330" s="1">
        <f>怪物标准模型!AS338</f>
        <v>1451919</v>
      </c>
      <c r="J330" s="1">
        <f>怪物标准模型!AT338</f>
        <v>871152</v>
      </c>
      <c r="K330" s="1">
        <f>怪物标准模型!AU338</f>
        <v>241987</v>
      </c>
      <c r="L330" s="1">
        <f>怪物标准模型!AV338</f>
        <v>72596</v>
      </c>
      <c r="M330" s="1">
        <f>怪物标准模型!AW338</f>
        <v>1935892</v>
      </c>
      <c r="N330" s="1">
        <f>怪物标准模型!AX338</f>
        <v>4355757</v>
      </c>
    </row>
    <row r="331" spans="2:14">
      <c r="B331" s="4">
        <v>328</v>
      </c>
      <c r="C331" s="1">
        <f>怪物标准模型!AY339</f>
        <v>56840823</v>
      </c>
      <c r="D331" s="1">
        <f>怪物标准模型!AM339</f>
        <v>63144</v>
      </c>
      <c r="E331" s="1">
        <f>怪物标准模型!AN339</f>
        <v>30544</v>
      </c>
      <c r="F331" s="37">
        <f>怪物标准模型!AP339</f>
        <v>63144</v>
      </c>
      <c r="G331" s="38">
        <f t="shared" si="5"/>
        <v>30544</v>
      </c>
      <c r="H331" s="1">
        <f>怪物标准模型!AR339</f>
        <v>488075</v>
      </c>
      <c r="I331" s="1">
        <f>怪物标准模型!AS339</f>
        <v>1464225</v>
      </c>
      <c r="J331" s="1">
        <f>怪物标准模型!AT339</f>
        <v>878535</v>
      </c>
      <c r="K331" s="1">
        <f>怪物标准模型!AU339</f>
        <v>244038</v>
      </c>
      <c r="L331" s="1">
        <f>怪物标准模型!AV339</f>
        <v>73212</v>
      </c>
      <c r="M331" s="1">
        <f>怪物标准模型!AW339</f>
        <v>1952300</v>
      </c>
      <c r="N331" s="1">
        <f>怪物标准模型!AX339</f>
        <v>4392675</v>
      </c>
    </row>
    <row r="332" spans="2:14">
      <c r="B332" s="4">
        <v>329</v>
      </c>
      <c r="C332" s="1">
        <f>怪物标准模型!AY340</f>
        <v>57358983</v>
      </c>
      <c r="D332" s="1">
        <f>怪物标准模型!AM340</f>
        <v>63621</v>
      </c>
      <c r="E332" s="1">
        <f>怪物标准模型!AN340</f>
        <v>30674</v>
      </c>
      <c r="F332" s="37">
        <f>怪物标准模型!AP340</f>
        <v>63621</v>
      </c>
      <c r="G332" s="38">
        <f t="shared" si="5"/>
        <v>30674</v>
      </c>
      <c r="H332" s="1">
        <f>怪物标准模型!AR340</f>
        <v>492202</v>
      </c>
      <c r="I332" s="1">
        <f>怪物标准模型!AS340</f>
        <v>1476606</v>
      </c>
      <c r="J332" s="1">
        <f>怪物标准模型!AT340</f>
        <v>885964</v>
      </c>
      <c r="K332" s="1">
        <f>怪物标准模型!AU340</f>
        <v>246101</v>
      </c>
      <c r="L332" s="1">
        <f>怪物标准模型!AV340</f>
        <v>73831</v>
      </c>
      <c r="M332" s="1">
        <f>怪物标准模型!AW340</f>
        <v>1968808</v>
      </c>
      <c r="N332" s="1">
        <f>怪物标准模型!AX340</f>
        <v>4429818</v>
      </c>
    </row>
    <row r="333" spans="2:14">
      <c r="B333" s="4">
        <v>330</v>
      </c>
      <c r="C333" s="1">
        <f>怪物标准模型!AY341</f>
        <v>57880743</v>
      </c>
      <c r="D333" s="1">
        <f>怪物标准模型!AM341</f>
        <v>64100</v>
      </c>
      <c r="E333" s="1">
        <f>怪物标准模型!AN341</f>
        <v>30805</v>
      </c>
      <c r="F333" s="37">
        <f>怪物标准模型!AP341</f>
        <v>64100</v>
      </c>
      <c r="G333" s="38">
        <f t="shared" si="5"/>
        <v>30805</v>
      </c>
      <c r="H333" s="1">
        <f>怪物标准模型!AR341</f>
        <v>496355</v>
      </c>
      <c r="I333" s="1">
        <f>怪物标准模型!AS341</f>
        <v>1489065</v>
      </c>
      <c r="J333" s="1">
        <f>怪物标准模型!AT341</f>
        <v>893439</v>
      </c>
      <c r="K333" s="1">
        <f>怪物标准模型!AU341</f>
        <v>248178</v>
      </c>
      <c r="L333" s="1">
        <f>怪物标准模型!AV341</f>
        <v>74454</v>
      </c>
      <c r="M333" s="1">
        <f>怪物标准模型!AW341</f>
        <v>1985420</v>
      </c>
      <c r="N333" s="1">
        <f>怪物标准模型!AX341</f>
        <v>4467195</v>
      </c>
    </row>
    <row r="334" spans="2:14">
      <c r="B334" s="4">
        <v>331</v>
      </c>
      <c r="C334" s="1">
        <f>怪物标准模型!AY342</f>
        <v>58406163</v>
      </c>
      <c r="D334" s="1">
        <f>怪物标准模型!AM342</f>
        <v>64582</v>
      </c>
      <c r="E334" s="1">
        <f>怪物标准模型!AN342</f>
        <v>30936</v>
      </c>
      <c r="F334" s="37">
        <f>怪物标准模型!AP342</f>
        <v>64582</v>
      </c>
      <c r="G334" s="38">
        <f t="shared" si="5"/>
        <v>30936</v>
      </c>
      <c r="H334" s="1">
        <f>怪物标准模型!AR342</f>
        <v>500534</v>
      </c>
      <c r="I334" s="1">
        <f>怪物标准模型!AS342</f>
        <v>1501602</v>
      </c>
      <c r="J334" s="1">
        <f>怪物标准模型!AT342</f>
        <v>900962</v>
      </c>
      <c r="K334" s="1">
        <f>怪物标准模型!AU342</f>
        <v>250267</v>
      </c>
      <c r="L334" s="1">
        <f>怪物标准模型!AV342</f>
        <v>75081</v>
      </c>
      <c r="M334" s="1">
        <f>怪物标准模型!AW342</f>
        <v>2002136</v>
      </c>
      <c r="N334" s="1">
        <f>怪物标准模型!AX342</f>
        <v>4504806</v>
      </c>
    </row>
    <row r="335" spans="2:14">
      <c r="B335" s="4">
        <v>332</v>
      </c>
      <c r="C335" s="1">
        <f>怪物标准模型!AY343</f>
        <v>58935183</v>
      </c>
      <c r="D335" s="1">
        <f>怪物标准模型!AM343</f>
        <v>65067</v>
      </c>
      <c r="E335" s="1">
        <f>怪物标准模型!AN343</f>
        <v>31067</v>
      </c>
      <c r="F335" s="37">
        <f>怪物标准模型!AP343</f>
        <v>65067</v>
      </c>
      <c r="G335" s="38">
        <f t="shared" si="5"/>
        <v>31067</v>
      </c>
      <c r="H335" s="1">
        <f>怪物标准模型!AR343</f>
        <v>504739</v>
      </c>
      <c r="I335" s="1">
        <f>怪物标准模型!AS343</f>
        <v>1514217</v>
      </c>
      <c r="J335" s="1">
        <f>怪物标准模型!AT343</f>
        <v>908531</v>
      </c>
      <c r="K335" s="1">
        <f>怪物标准模型!AU343</f>
        <v>252370</v>
      </c>
      <c r="L335" s="1">
        <f>怪物标准模型!AV343</f>
        <v>75711</v>
      </c>
      <c r="M335" s="1">
        <f>怪物标准模型!AW343</f>
        <v>2018956</v>
      </c>
      <c r="N335" s="1">
        <f>怪物标准模型!AX343</f>
        <v>4542651</v>
      </c>
    </row>
    <row r="336" spans="2:14">
      <c r="B336" s="4">
        <v>333</v>
      </c>
      <c r="C336" s="1">
        <f>怪物标准模型!AY344</f>
        <v>59467923</v>
      </c>
      <c r="D336" s="1">
        <f>怪物标准模型!AM344</f>
        <v>65554</v>
      </c>
      <c r="E336" s="1">
        <f>怪物标准模型!AN344</f>
        <v>31199</v>
      </c>
      <c r="F336" s="37">
        <f>怪物标准模型!AP344</f>
        <v>65554</v>
      </c>
      <c r="G336" s="38">
        <f t="shared" si="5"/>
        <v>31199</v>
      </c>
      <c r="H336" s="1">
        <f>怪物标准模型!AR344</f>
        <v>508971</v>
      </c>
      <c r="I336" s="1">
        <f>怪物标准模型!AS344</f>
        <v>1526913</v>
      </c>
      <c r="J336" s="1">
        <f>怪物标准模型!AT344</f>
        <v>916148</v>
      </c>
      <c r="K336" s="1">
        <f>怪物标准模型!AU344</f>
        <v>254486</v>
      </c>
      <c r="L336" s="1">
        <f>怪物标准模型!AV344</f>
        <v>76346</v>
      </c>
      <c r="M336" s="1">
        <f>怪物标准模型!AW344</f>
        <v>2035884</v>
      </c>
      <c r="N336" s="1">
        <f>怪物标准模型!AX344</f>
        <v>4580739</v>
      </c>
    </row>
    <row r="337" spans="2:14">
      <c r="B337" s="4">
        <v>334</v>
      </c>
      <c r="C337" s="1">
        <f>怪物标准模型!AY345</f>
        <v>60004383</v>
      </c>
      <c r="D337" s="1">
        <f>怪物标准模型!AM345</f>
        <v>66044</v>
      </c>
      <c r="E337" s="1">
        <f>怪物标准模型!AN345</f>
        <v>31330</v>
      </c>
      <c r="F337" s="37">
        <f>怪物标准模型!AP345</f>
        <v>66044</v>
      </c>
      <c r="G337" s="38">
        <f t="shared" si="5"/>
        <v>31330</v>
      </c>
      <c r="H337" s="1">
        <f>怪物标准模型!AR345</f>
        <v>513229</v>
      </c>
      <c r="I337" s="1">
        <f>怪物标准模型!AS345</f>
        <v>1539687</v>
      </c>
      <c r="J337" s="1">
        <f>怪物标准模型!AT345</f>
        <v>923813</v>
      </c>
      <c r="K337" s="1">
        <f>怪物标准模型!AU345</f>
        <v>256615</v>
      </c>
      <c r="L337" s="1">
        <f>怪物标准模型!AV345</f>
        <v>76985</v>
      </c>
      <c r="M337" s="1">
        <f>怪物标准模型!AW345</f>
        <v>2052916</v>
      </c>
      <c r="N337" s="1">
        <f>怪物标准模型!AX345</f>
        <v>4619061</v>
      </c>
    </row>
    <row r="338" spans="2:14">
      <c r="B338" s="4">
        <v>335</v>
      </c>
      <c r="C338" s="1">
        <f>怪物标准模型!AY346</f>
        <v>60544563</v>
      </c>
      <c r="D338" s="1">
        <f>怪物标准模型!AM346</f>
        <v>66537</v>
      </c>
      <c r="E338" s="1">
        <f>怪物标准模型!AN346</f>
        <v>31462</v>
      </c>
      <c r="F338" s="37">
        <f>怪物标准模型!AP346</f>
        <v>66537</v>
      </c>
      <c r="G338" s="38">
        <f t="shared" si="5"/>
        <v>31462</v>
      </c>
      <c r="H338" s="1">
        <f>怪物标准模型!AR346</f>
        <v>517513</v>
      </c>
      <c r="I338" s="1">
        <f>怪物标准模型!AS346</f>
        <v>1552539</v>
      </c>
      <c r="J338" s="1">
        <f>怪物标准模型!AT346</f>
        <v>931524</v>
      </c>
      <c r="K338" s="1">
        <f>怪物标准模型!AU346</f>
        <v>258757</v>
      </c>
      <c r="L338" s="1">
        <f>怪物标准模型!AV346</f>
        <v>77627</v>
      </c>
      <c r="M338" s="1">
        <f>怪物标准模型!AW346</f>
        <v>2070052</v>
      </c>
      <c r="N338" s="1">
        <f>怪物标准模型!AX346</f>
        <v>4657617</v>
      </c>
    </row>
    <row r="339" spans="2:14">
      <c r="B339" s="4">
        <v>336</v>
      </c>
      <c r="C339" s="1">
        <f>怪物标准模型!AY347</f>
        <v>61088462</v>
      </c>
      <c r="D339" s="1">
        <f>怪物标准模型!AM347</f>
        <v>67033</v>
      </c>
      <c r="E339" s="1">
        <f>怪物标准模型!AN347</f>
        <v>31594</v>
      </c>
      <c r="F339" s="37">
        <f>怪物标准模型!AP347</f>
        <v>67033</v>
      </c>
      <c r="G339" s="38">
        <f t="shared" si="5"/>
        <v>31594</v>
      </c>
      <c r="H339" s="1">
        <f>怪物标准模型!AR347</f>
        <v>521824</v>
      </c>
      <c r="I339" s="1">
        <f>怪物标准模型!AS347</f>
        <v>1565472</v>
      </c>
      <c r="J339" s="1">
        <f>怪物标准模型!AT347</f>
        <v>939284</v>
      </c>
      <c r="K339" s="1">
        <f>怪物标准模型!AU347</f>
        <v>260912</v>
      </c>
      <c r="L339" s="1">
        <f>怪物标准模型!AV347</f>
        <v>78274</v>
      </c>
      <c r="M339" s="1">
        <f>怪物标准模型!AW347</f>
        <v>2087296</v>
      </c>
      <c r="N339" s="1">
        <f>怪物标准模型!AX347</f>
        <v>4696416</v>
      </c>
    </row>
    <row r="340" spans="2:14">
      <c r="B340" s="4">
        <v>337</v>
      </c>
      <c r="C340" s="1">
        <f>怪物标准模型!AY348</f>
        <v>61636082</v>
      </c>
      <c r="D340" s="1">
        <f>怪物标准模型!AM348</f>
        <v>67531</v>
      </c>
      <c r="E340" s="1">
        <f>怪物标准模型!AN348</f>
        <v>31727</v>
      </c>
      <c r="F340" s="37">
        <f>怪物标准模型!AP348</f>
        <v>67531</v>
      </c>
      <c r="G340" s="38">
        <f t="shared" si="5"/>
        <v>31727</v>
      </c>
      <c r="H340" s="1">
        <f>怪物标准模型!AR348</f>
        <v>526161</v>
      </c>
      <c r="I340" s="1">
        <f>怪物标准模型!AS348</f>
        <v>1578483</v>
      </c>
      <c r="J340" s="1">
        <f>怪物标准模型!AT348</f>
        <v>947090</v>
      </c>
      <c r="K340" s="1">
        <f>怪物标准模型!AU348</f>
        <v>263081</v>
      </c>
      <c r="L340" s="1">
        <f>怪物标准模型!AV348</f>
        <v>78925</v>
      </c>
      <c r="M340" s="1">
        <f>怪物标准模型!AW348</f>
        <v>2104644</v>
      </c>
      <c r="N340" s="1">
        <f>怪物标准模型!AX348</f>
        <v>4735449</v>
      </c>
    </row>
    <row r="341" spans="2:14">
      <c r="B341" s="4">
        <v>338</v>
      </c>
      <c r="C341" s="1">
        <f>怪物标准模型!AY349</f>
        <v>62187542</v>
      </c>
      <c r="D341" s="1">
        <f>怪物标准模型!AM349</f>
        <v>68032</v>
      </c>
      <c r="E341" s="1">
        <f>怪物标准模型!AN349</f>
        <v>31859</v>
      </c>
      <c r="F341" s="37">
        <f>怪物标准模型!AP349</f>
        <v>68032</v>
      </c>
      <c r="G341" s="38">
        <f t="shared" si="5"/>
        <v>31859</v>
      </c>
      <c r="H341" s="1">
        <f>怪物标准模型!AR349</f>
        <v>530526</v>
      </c>
      <c r="I341" s="1">
        <f>怪物标准模型!AS349</f>
        <v>1591578</v>
      </c>
      <c r="J341" s="1">
        <f>怪物标准模型!AT349</f>
        <v>954947</v>
      </c>
      <c r="K341" s="1">
        <f>怪物标准模型!AU349</f>
        <v>265263</v>
      </c>
      <c r="L341" s="1">
        <f>怪物标准模型!AV349</f>
        <v>79579</v>
      </c>
      <c r="M341" s="1">
        <f>怪物标准模型!AW349</f>
        <v>2122104</v>
      </c>
      <c r="N341" s="1">
        <f>怪物标准模型!AX349</f>
        <v>4774734</v>
      </c>
    </row>
    <row r="342" spans="2:14">
      <c r="B342" s="4">
        <v>339</v>
      </c>
      <c r="C342" s="1">
        <f>怪物标准模型!AY350</f>
        <v>62742722</v>
      </c>
      <c r="D342" s="1">
        <f>怪物标准模型!AM350</f>
        <v>68536</v>
      </c>
      <c r="E342" s="1">
        <f>怪物标准模型!AN350</f>
        <v>31992</v>
      </c>
      <c r="F342" s="37">
        <f>怪物标准模型!AP350</f>
        <v>68536</v>
      </c>
      <c r="G342" s="38">
        <f t="shared" si="5"/>
        <v>31992</v>
      </c>
      <c r="H342" s="1">
        <f>怪物标准模型!AR350</f>
        <v>534917</v>
      </c>
      <c r="I342" s="1">
        <f>怪物标准模型!AS350</f>
        <v>1604751</v>
      </c>
      <c r="J342" s="1">
        <f>怪物标准模型!AT350</f>
        <v>962851</v>
      </c>
      <c r="K342" s="1">
        <f>怪物标准模型!AU350</f>
        <v>267459</v>
      </c>
      <c r="L342" s="1">
        <f>怪物标准模型!AV350</f>
        <v>80238</v>
      </c>
      <c r="M342" s="1">
        <f>怪物标准模型!AW350</f>
        <v>2139668</v>
      </c>
      <c r="N342" s="1">
        <f>怪物标准模型!AX350</f>
        <v>4814253</v>
      </c>
    </row>
    <row r="343" spans="2:14">
      <c r="B343" s="4">
        <v>340</v>
      </c>
      <c r="C343" s="1">
        <f>怪物标准模型!AY351</f>
        <v>63301802</v>
      </c>
      <c r="D343" s="1">
        <f>怪物标准模型!AM351</f>
        <v>69042</v>
      </c>
      <c r="E343" s="1">
        <f>怪物标准模型!AN351</f>
        <v>32125</v>
      </c>
      <c r="F343" s="37">
        <f>怪物标准模型!AP351</f>
        <v>69042</v>
      </c>
      <c r="G343" s="38">
        <f t="shared" si="5"/>
        <v>32125</v>
      </c>
      <c r="H343" s="1">
        <f>怪物标准模型!AR351</f>
        <v>539335</v>
      </c>
      <c r="I343" s="1">
        <f>怪物标准模型!AS351</f>
        <v>1618005</v>
      </c>
      <c r="J343" s="1">
        <f>怪物标准模型!AT351</f>
        <v>970803</v>
      </c>
      <c r="K343" s="1">
        <f>怪物标准模型!AU351</f>
        <v>269668</v>
      </c>
      <c r="L343" s="1">
        <f>怪物标准模型!AV351</f>
        <v>80901</v>
      </c>
      <c r="M343" s="1">
        <f>怪物标准模型!AW351</f>
        <v>2157340</v>
      </c>
      <c r="N343" s="1">
        <f>怪物标准模型!AX351</f>
        <v>4854015</v>
      </c>
    </row>
    <row r="344" spans="2:14">
      <c r="B344" s="4">
        <v>341</v>
      </c>
      <c r="C344" s="1">
        <f>怪物标准模型!AY352</f>
        <v>63864662</v>
      </c>
      <c r="D344" s="1">
        <f>怪物标准模型!AM352</f>
        <v>69551</v>
      </c>
      <c r="E344" s="1">
        <f>怪物标准模型!AN352</f>
        <v>32258</v>
      </c>
      <c r="F344" s="37">
        <f>怪物标准模型!AP352</f>
        <v>69551</v>
      </c>
      <c r="G344" s="38">
        <f t="shared" si="5"/>
        <v>32258</v>
      </c>
      <c r="H344" s="1">
        <f>怪物标准模型!AR352</f>
        <v>543781</v>
      </c>
      <c r="I344" s="1">
        <f>怪物标准模型!AS352</f>
        <v>1631343</v>
      </c>
      <c r="J344" s="1">
        <f>怪物标准模型!AT352</f>
        <v>978806</v>
      </c>
      <c r="K344" s="1">
        <f>怪物标准模型!AU352</f>
        <v>271891</v>
      </c>
      <c r="L344" s="1">
        <f>怪物标准模型!AV352</f>
        <v>81568</v>
      </c>
      <c r="M344" s="1">
        <f>怪物标准模型!AW352</f>
        <v>2175124</v>
      </c>
      <c r="N344" s="1">
        <f>怪物标准模型!AX352</f>
        <v>4894029</v>
      </c>
    </row>
    <row r="345" spans="2:14">
      <c r="B345" s="4">
        <v>342</v>
      </c>
      <c r="C345" s="1">
        <f>怪物标准模型!AY353</f>
        <v>64431362</v>
      </c>
      <c r="D345" s="1">
        <f>怪物标准模型!AM353</f>
        <v>70063</v>
      </c>
      <c r="E345" s="1">
        <f>怪物标准模型!AN353</f>
        <v>32392</v>
      </c>
      <c r="F345" s="37">
        <f>怪物标准模型!AP353</f>
        <v>70063</v>
      </c>
      <c r="G345" s="38">
        <f t="shared" si="5"/>
        <v>32392</v>
      </c>
      <c r="H345" s="1">
        <f>怪物标准模型!AR353</f>
        <v>548254</v>
      </c>
      <c r="I345" s="1">
        <f>怪物标准模型!AS353</f>
        <v>1644762</v>
      </c>
      <c r="J345" s="1">
        <f>怪物标准模型!AT353</f>
        <v>986858</v>
      </c>
      <c r="K345" s="1">
        <f>怪物标准模型!AU353</f>
        <v>274127</v>
      </c>
      <c r="L345" s="1">
        <f>怪物标准模型!AV353</f>
        <v>82239</v>
      </c>
      <c r="M345" s="1">
        <f>怪物标准模型!AW353</f>
        <v>2193016</v>
      </c>
      <c r="N345" s="1">
        <f>怪物标准模型!AX353</f>
        <v>4934286</v>
      </c>
    </row>
    <row r="346" spans="2:14">
      <c r="B346" s="4">
        <v>343</v>
      </c>
      <c r="C346" s="1">
        <f>怪物标准模型!AY354</f>
        <v>65001962</v>
      </c>
      <c r="D346" s="1">
        <f>怪物标准模型!AM354</f>
        <v>70578</v>
      </c>
      <c r="E346" s="1">
        <f>怪物标准模型!AN354</f>
        <v>32526</v>
      </c>
      <c r="F346" s="37">
        <f>怪物标准模型!AP354</f>
        <v>70578</v>
      </c>
      <c r="G346" s="38">
        <f t="shared" si="5"/>
        <v>32526</v>
      </c>
      <c r="H346" s="1">
        <f>怪物标准模型!AR354</f>
        <v>552754</v>
      </c>
      <c r="I346" s="1">
        <f>怪物标准模型!AS354</f>
        <v>1658262</v>
      </c>
      <c r="J346" s="1">
        <f>怪物标准模型!AT354</f>
        <v>994958</v>
      </c>
      <c r="K346" s="1">
        <f>怪物标准模型!AU354</f>
        <v>276377</v>
      </c>
      <c r="L346" s="1">
        <f>怪物标准模型!AV354</f>
        <v>82914</v>
      </c>
      <c r="M346" s="1">
        <f>怪物标准模型!AW354</f>
        <v>2211016</v>
      </c>
      <c r="N346" s="1">
        <f>怪物标准模型!AX354</f>
        <v>4974786</v>
      </c>
    </row>
    <row r="347" spans="2:14">
      <c r="B347" s="4">
        <v>344</v>
      </c>
      <c r="C347" s="1">
        <f>怪物标准模型!AY355</f>
        <v>65576462</v>
      </c>
      <c r="D347" s="1">
        <f>怪物标准模型!AM355</f>
        <v>71096</v>
      </c>
      <c r="E347" s="1">
        <f>怪物标准模型!AN355</f>
        <v>32660</v>
      </c>
      <c r="F347" s="37">
        <f>怪物标准模型!AP355</f>
        <v>71096</v>
      </c>
      <c r="G347" s="38">
        <f t="shared" si="5"/>
        <v>32660</v>
      </c>
      <c r="H347" s="1">
        <f>怪物标准模型!AR355</f>
        <v>557282</v>
      </c>
      <c r="I347" s="1">
        <f>怪物标准模型!AS355</f>
        <v>1671846</v>
      </c>
      <c r="J347" s="1">
        <f>怪物标准模型!AT355</f>
        <v>1003108</v>
      </c>
      <c r="K347" s="1">
        <f>怪物标准模型!AU355</f>
        <v>278641</v>
      </c>
      <c r="L347" s="1">
        <f>怪物标准模型!AV355</f>
        <v>83593</v>
      </c>
      <c r="M347" s="1">
        <f>怪物标准模型!AW355</f>
        <v>2229128</v>
      </c>
      <c r="N347" s="1">
        <f>怪物标准模型!AX355</f>
        <v>5015538</v>
      </c>
    </row>
    <row r="348" spans="2:14">
      <c r="B348" s="4">
        <v>345</v>
      </c>
      <c r="C348" s="1">
        <f>怪物标准模型!AY356</f>
        <v>66154922</v>
      </c>
      <c r="D348" s="1">
        <f>怪物标准模型!AM356</f>
        <v>71616</v>
      </c>
      <c r="E348" s="1">
        <f>怪物标准模型!AN356</f>
        <v>32794</v>
      </c>
      <c r="F348" s="37">
        <f>怪物标准模型!AP356</f>
        <v>71616</v>
      </c>
      <c r="G348" s="38">
        <f t="shared" si="5"/>
        <v>32794</v>
      </c>
      <c r="H348" s="1">
        <f>怪物标准模型!AR356</f>
        <v>561837</v>
      </c>
      <c r="I348" s="1">
        <f>怪物标准模型!AS356</f>
        <v>1685511</v>
      </c>
      <c r="J348" s="1">
        <f>怪物标准模型!AT356</f>
        <v>1011307</v>
      </c>
      <c r="K348" s="1">
        <f>怪物标准模型!AU356</f>
        <v>280919</v>
      </c>
      <c r="L348" s="1">
        <f>怪物标准模型!AV356</f>
        <v>84276</v>
      </c>
      <c r="M348" s="1">
        <f>怪物标准模型!AW356</f>
        <v>2247348</v>
      </c>
      <c r="N348" s="1">
        <f>怪物标准模型!AX356</f>
        <v>5056533</v>
      </c>
    </row>
    <row r="349" spans="2:14">
      <c r="B349" s="4">
        <v>346</v>
      </c>
      <c r="C349" s="1">
        <f>怪物标准模型!AY357</f>
        <v>66737282</v>
      </c>
      <c r="D349" s="1">
        <f>怪物标准模型!AM357</f>
        <v>72139</v>
      </c>
      <c r="E349" s="1">
        <f>怪物标准模型!AN357</f>
        <v>32928</v>
      </c>
      <c r="F349" s="37">
        <f>怪物标准模型!AP357</f>
        <v>72139</v>
      </c>
      <c r="G349" s="38">
        <f t="shared" si="5"/>
        <v>32928</v>
      </c>
      <c r="H349" s="1">
        <f>怪物标准模型!AR357</f>
        <v>566420</v>
      </c>
      <c r="I349" s="1">
        <f>怪物标准模型!AS357</f>
        <v>1699260</v>
      </c>
      <c r="J349" s="1">
        <f>怪物标准模型!AT357</f>
        <v>1019556</v>
      </c>
      <c r="K349" s="1">
        <f>怪物标准模型!AU357</f>
        <v>283210</v>
      </c>
      <c r="L349" s="1">
        <f>怪物标准模型!AV357</f>
        <v>84963</v>
      </c>
      <c r="M349" s="1">
        <f>怪物标准模型!AW357</f>
        <v>2265680</v>
      </c>
      <c r="N349" s="1">
        <f>怪物标准模型!AX357</f>
        <v>5097780</v>
      </c>
    </row>
    <row r="350" spans="2:14">
      <c r="B350" s="4">
        <v>347</v>
      </c>
      <c r="C350" s="1">
        <f>怪物标准模型!AY358</f>
        <v>67323602</v>
      </c>
      <c r="D350" s="1">
        <f>怪物标准模型!AM358</f>
        <v>72665</v>
      </c>
      <c r="E350" s="1">
        <f>怪物标准模型!AN358</f>
        <v>33063</v>
      </c>
      <c r="F350" s="37">
        <f>怪物标准模型!AP358</f>
        <v>72665</v>
      </c>
      <c r="G350" s="38">
        <f t="shared" si="5"/>
        <v>33063</v>
      </c>
      <c r="H350" s="1">
        <f>怪物标准模型!AR358</f>
        <v>571031</v>
      </c>
      <c r="I350" s="1">
        <f>怪物标准模型!AS358</f>
        <v>1713093</v>
      </c>
      <c r="J350" s="1">
        <f>怪物标准模型!AT358</f>
        <v>1027856</v>
      </c>
      <c r="K350" s="1">
        <f>怪物标准模型!AU358</f>
        <v>285516</v>
      </c>
      <c r="L350" s="1">
        <f>怪物标准模型!AV358</f>
        <v>85655</v>
      </c>
      <c r="M350" s="1">
        <f>怪物标准模型!AW358</f>
        <v>2284124</v>
      </c>
      <c r="N350" s="1">
        <f>怪物标准模型!AX358</f>
        <v>5139279</v>
      </c>
    </row>
    <row r="351" spans="2:14">
      <c r="B351" s="4">
        <v>348</v>
      </c>
      <c r="C351" s="1">
        <f>怪物标准模型!AY359</f>
        <v>67913881</v>
      </c>
      <c r="D351" s="1">
        <f>怪物标准模型!AM359</f>
        <v>73194</v>
      </c>
      <c r="E351" s="1">
        <f>怪物标准模型!AN359</f>
        <v>33198</v>
      </c>
      <c r="F351" s="37">
        <f>怪物标准模型!AP359</f>
        <v>73194</v>
      </c>
      <c r="G351" s="38">
        <f t="shared" si="5"/>
        <v>33198</v>
      </c>
      <c r="H351" s="1">
        <f>怪物标准模型!AR359</f>
        <v>575671</v>
      </c>
      <c r="I351" s="1">
        <f>怪物标准模型!AS359</f>
        <v>1727013</v>
      </c>
      <c r="J351" s="1">
        <f>怪物标准模型!AT359</f>
        <v>1036208</v>
      </c>
      <c r="K351" s="1">
        <f>怪物标准模型!AU359</f>
        <v>287836</v>
      </c>
      <c r="L351" s="1">
        <f>怪物标准模型!AV359</f>
        <v>86351</v>
      </c>
      <c r="M351" s="1">
        <f>怪物标准模型!AW359</f>
        <v>2302684</v>
      </c>
      <c r="N351" s="1">
        <f>怪物标准模型!AX359</f>
        <v>5181039</v>
      </c>
    </row>
    <row r="352" spans="2:14">
      <c r="B352" s="4">
        <v>349</v>
      </c>
      <c r="C352" s="1">
        <f>怪物标准模型!AY360</f>
        <v>68508181</v>
      </c>
      <c r="D352" s="1">
        <f>怪物标准模型!AM360</f>
        <v>73726</v>
      </c>
      <c r="E352" s="1">
        <f>怪物标准模型!AN360</f>
        <v>33333</v>
      </c>
      <c r="F352" s="37">
        <f>怪物标准模型!AP360</f>
        <v>73726</v>
      </c>
      <c r="G352" s="38">
        <f t="shared" si="5"/>
        <v>33333</v>
      </c>
      <c r="H352" s="1">
        <f>怪物标准模型!AR360</f>
        <v>580338</v>
      </c>
      <c r="I352" s="1">
        <f>怪物标准模型!AS360</f>
        <v>1741014</v>
      </c>
      <c r="J352" s="1">
        <f>怪物标准模型!AT360</f>
        <v>1044609</v>
      </c>
      <c r="K352" s="1">
        <f>怪物标准模型!AU360</f>
        <v>290169</v>
      </c>
      <c r="L352" s="1">
        <f>怪物标准模型!AV360</f>
        <v>87051</v>
      </c>
      <c r="M352" s="1">
        <f>怪物标准模型!AW360</f>
        <v>2321352</v>
      </c>
      <c r="N352" s="1">
        <f>怪物标准模型!AX360</f>
        <v>5223042</v>
      </c>
    </row>
    <row r="353" spans="2:14">
      <c r="B353" s="4">
        <v>350</v>
      </c>
      <c r="C353" s="1">
        <f>怪物标准模型!AY361</f>
        <v>69106441</v>
      </c>
      <c r="D353" s="1">
        <f>怪物标准模型!AM361</f>
        <v>74261</v>
      </c>
      <c r="E353" s="1">
        <f>怪物标准模型!AN361</f>
        <v>33468</v>
      </c>
      <c r="F353" s="37">
        <f>怪物标准模型!AP361</f>
        <v>74261</v>
      </c>
      <c r="G353" s="38">
        <f t="shared" si="5"/>
        <v>33468</v>
      </c>
      <c r="H353" s="1">
        <f>怪物标准模型!AR361</f>
        <v>585033</v>
      </c>
      <c r="I353" s="1">
        <f>怪物标准模型!AS361</f>
        <v>1755099</v>
      </c>
      <c r="J353" s="1">
        <f>怪物标准模型!AT361</f>
        <v>1053060</v>
      </c>
      <c r="K353" s="1">
        <f>怪物标准模型!AU361</f>
        <v>292517</v>
      </c>
      <c r="L353" s="1">
        <f>怪物标准模型!AV361</f>
        <v>87755</v>
      </c>
      <c r="M353" s="1">
        <f>怪物标准模型!AW361</f>
        <v>2340132</v>
      </c>
      <c r="N353" s="1">
        <f>怪物标准模型!AX361</f>
        <v>5265297</v>
      </c>
    </row>
    <row r="354" spans="2:14">
      <c r="B354" s="4">
        <v>351</v>
      </c>
      <c r="C354" s="1">
        <f>怪物标准模型!AY362</f>
        <v>69708841</v>
      </c>
      <c r="D354" s="1">
        <f>怪物标准模型!AM362</f>
        <v>74798</v>
      </c>
      <c r="E354" s="1">
        <f>怪物标准模型!AN362</f>
        <v>33604</v>
      </c>
      <c r="F354" s="37">
        <f>怪物标准模型!AP362</f>
        <v>74798</v>
      </c>
      <c r="G354" s="38">
        <f t="shared" si="5"/>
        <v>33604</v>
      </c>
      <c r="H354" s="1">
        <f>怪物标准模型!AR362</f>
        <v>589757</v>
      </c>
      <c r="I354" s="1">
        <f>怪物标准模型!AS362</f>
        <v>1769271</v>
      </c>
      <c r="J354" s="1">
        <f>怪物标准模型!AT362</f>
        <v>1061563</v>
      </c>
      <c r="K354" s="1">
        <f>怪物标准模型!AU362</f>
        <v>294879</v>
      </c>
      <c r="L354" s="1">
        <f>怪物标准模型!AV362</f>
        <v>88464</v>
      </c>
      <c r="M354" s="1">
        <f>怪物标准模型!AW362</f>
        <v>2359028</v>
      </c>
      <c r="N354" s="1">
        <f>怪物标准模型!AX362</f>
        <v>5307813</v>
      </c>
    </row>
    <row r="355" spans="2:14">
      <c r="B355" s="4">
        <v>352</v>
      </c>
      <c r="C355" s="1">
        <f>怪物标准模型!AY363</f>
        <v>70315201</v>
      </c>
      <c r="D355" s="1">
        <f>怪物标准模型!AM363</f>
        <v>75338</v>
      </c>
      <c r="E355" s="1">
        <f>怪物标准模型!AN363</f>
        <v>33739</v>
      </c>
      <c r="F355" s="37">
        <f>怪物标准模型!AP363</f>
        <v>75338</v>
      </c>
      <c r="G355" s="38">
        <f t="shared" si="5"/>
        <v>33739</v>
      </c>
      <c r="H355" s="1">
        <f>怪物标准模型!AR363</f>
        <v>594510</v>
      </c>
      <c r="I355" s="1">
        <f>怪物标准模型!AS363</f>
        <v>1783530</v>
      </c>
      <c r="J355" s="1">
        <f>怪物标准模型!AT363</f>
        <v>1070118</v>
      </c>
      <c r="K355" s="1">
        <f>怪物标准模型!AU363</f>
        <v>297255</v>
      </c>
      <c r="L355" s="1">
        <f>怪物标准模型!AV363</f>
        <v>89177</v>
      </c>
      <c r="M355" s="1">
        <f>怪物标准模型!AW363</f>
        <v>2378040</v>
      </c>
      <c r="N355" s="1">
        <f>怪物标准模型!AX363</f>
        <v>5350590</v>
      </c>
    </row>
    <row r="356" spans="2:14">
      <c r="B356" s="4">
        <v>353</v>
      </c>
      <c r="C356" s="1">
        <f>怪物标准模型!AY364</f>
        <v>70925701</v>
      </c>
      <c r="D356" s="1">
        <f>怪物标准模型!AM364</f>
        <v>75882</v>
      </c>
      <c r="E356" s="1">
        <f>怪物标准模型!AN364</f>
        <v>33875</v>
      </c>
      <c r="F356" s="37">
        <f>怪物标准模型!AP364</f>
        <v>75882</v>
      </c>
      <c r="G356" s="38">
        <f t="shared" si="5"/>
        <v>33875</v>
      </c>
      <c r="H356" s="1">
        <f>怪物标准模型!AR364</f>
        <v>599291</v>
      </c>
      <c r="I356" s="1">
        <f>怪物标准模型!AS364</f>
        <v>1797873</v>
      </c>
      <c r="J356" s="1">
        <f>怪物标准模型!AT364</f>
        <v>1078724</v>
      </c>
      <c r="K356" s="1">
        <f>怪物标准模型!AU364</f>
        <v>299646</v>
      </c>
      <c r="L356" s="1">
        <f>怪物标准模型!AV364</f>
        <v>89894</v>
      </c>
      <c r="M356" s="1">
        <f>怪物标准模型!AW364</f>
        <v>2397164</v>
      </c>
      <c r="N356" s="1">
        <f>怪物标准模型!AX364</f>
        <v>5393619</v>
      </c>
    </row>
    <row r="357" spans="2:14">
      <c r="B357" s="4">
        <v>354</v>
      </c>
      <c r="C357" s="1">
        <f>怪物标准模型!AY365</f>
        <v>71540281</v>
      </c>
      <c r="D357" s="1">
        <f>怪物标准模型!AM365</f>
        <v>76428</v>
      </c>
      <c r="E357" s="1">
        <f>怪物标准模型!AN365</f>
        <v>34012</v>
      </c>
      <c r="F357" s="37">
        <f>怪物标准模型!AP365</f>
        <v>76428</v>
      </c>
      <c r="G357" s="38">
        <f t="shared" si="5"/>
        <v>34012</v>
      </c>
      <c r="H357" s="1">
        <f>怪物标准模型!AR365</f>
        <v>604100</v>
      </c>
      <c r="I357" s="1">
        <f>怪物标准模型!AS365</f>
        <v>1812300</v>
      </c>
      <c r="J357" s="1">
        <f>怪物标准模型!AT365</f>
        <v>1087380</v>
      </c>
      <c r="K357" s="1">
        <f>怪物标准模型!AU365</f>
        <v>302050</v>
      </c>
      <c r="L357" s="1">
        <f>怪物标准模型!AV365</f>
        <v>90615</v>
      </c>
      <c r="M357" s="1">
        <f>怪物标准模型!AW365</f>
        <v>2416400</v>
      </c>
      <c r="N357" s="1">
        <f>怪物标准模型!AX365</f>
        <v>5436900</v>
      </c>
    </row>
    <row r="358" spans="2:14">
      <c r="B358" s="4">
        <v>355</v>
      </c>
      <c r="C358" s="1">
        <f>怪物标准模型!AY366</f>
        <v>72159001</v>
      </c>
      <c r="D358" s="1">
        <f>怪物标准模型!AM366</f>
        <v>76977</v>
      </c>
      <c r="E358" s="1">
        <f>怪物标准模型!AN366</f>
        <v>34148</v>
      </c>
      <c r="F358" s="37">
        <f>怪物标准模型!AP366</f>
        <v>76977</v>
      </c>
      <c r="G358" s="38">
        <f t="shared" si="5"/>
        <v>34148</v>
      </c>
      <c r="H358" s="1">
        <f>怪物标准模型!AR366</f>
        <v>608939</v>
      </c>
      <c r="I358" s="1">
        <f>怪物标准模型!AS366</f>
        <v>1826817</v>
      </c>
      <c r="J358" s="1">
        <f>怪物标准模型!AT366</f>
        <v>1096091</v>
      </c>
      <c r="K358" s="1">
        <f>怪物标准模型!AU366</f>
        <v>304470</v>
      </c>
      <c r="L358" s="1">
        <f>怪物标准模型!AV366</f>
        <v>91341</v>
      </c>
      <c r="M358" s="1">
        <f>怪物标准模型!AW366</f>
        <v>2435756</v>
      </c>
      <c r="N358" s="1">
        <f>怪物标准模型!AX366</f>
        <v>5480451</v>
      </c>
    </row>
    <row r="359" spans="2:14">
      <c r="B359" s="4">
        <v>356</v>
      </c>
      <c r="C359" s="1">
        <f>怪物标准模型!AY367</f>
        <v>72781861</v>
      </c>
      <c r="D359" s="1">
        <f>怪物标准模型!AM367</f>
        <v>77529</v>
      </c>
      <c r="E359" s="1">
        <f>怪物标准模型!AN367</f>
        <v>34285</v>
      </c>
      <c r="F359" s="37">
        <f>怪物标准模型!AP367</f>
        <v>77529</v>
      </c>
      <c r="G359" s="38">
        <f t="shared" si="5"/>
        <v>34285</v>
      </c>
      <c r="H359" s="1">
        <f>怪物标准模型!AR367</f>
        <v>613807</v>
      </c>
      <c r="I359" s="1">
        <f>怪物标准模型!AS367</f>
        <v>1841421</v>
      </c>
      <c r="J359" s="1">
        <f>怪物标准模型!AT367</f>
        <v>1104853</v>
      </c>
      <c r="K359" s="1">
        <f>怪物标准模型!AU367</f>
        <v>306904</v>
      </c>
      <c r="L359" s="1">
        <f>怪物标准模型!AV367</f>
        <v>92072</v>
      </c>
      <c r="M359" s="1">
        <f>怪物标准模型!AW367</f>
        <v>2455228</v>
      </c>
      <c r="N359" s="1">
        <f>怪物标准模型!AX367</f>
        <v>5524263</v>
      </c>
    </row>
    <row r="360" spans="2:14">
      <c r="B360" s="4">
        <v>357</v>
      </c>
      <c r="C360" s="1">
        <f>怪物标准模型!AY368</f>
        <v>73408921</v>
      </c>
      <c r="D360" s="1">
        <f>怪物标准模型!AM368</f>
        <v>78084</v>
      </c>
      <c r="E360" s="1">
        <f>怪物标准模型!AN368</f>
        <v>34422</v>
      </c>
      <c r="F360" s="37">
        <f>怪物标准模型!AP368</f>
        <v>78084</v>
      </c>
      <c r="G360" s="38">
        <f t="shared" si="5"/>
        <v>34422</v>
      </c>
      <c r="H360" s="1">
        <f>怪物标准模型!AR368</f>
        <v>618704</v>
      </c>
      <c r="I360" s="1">
        <f>怪物标准模型!AS368</f>
        <v>1856112</v>
      </c>
      <c r="J360" s="1">
        <f>怪物标准模型!AT368</f>
        <v>1113668</v>
      </c>
      <c r="K360" s="1">
        <f>怪物标准模型!AU368</f>
        <v>309352</v>
      </c>
      <c r="L360" s="1">
        <f>怪物标准模型!AV368</f>
        <v>92806</v>
      </c>
      <c r="M360" s="1">
        <f>怪物标准模型!AW368</f>
        <v>2474816</v>
      </c>
      <c r="N360" s="1">
        <f>怪物标准模型!AX368</f>
        <v>5568336</v>
      </c>
    </row>
    <row r="361" spans="2:14">
      <c r="B361" s="4">
        <v>358</v>
      </c>
      <c r="C361" s="1">
        <f>怪物标准模型!AY369</f>
        <v>74040121</v>
      </c>
      <c r="D361" s="1">
        <f>怪物标准模型!AM369</f>
        <v>78642</v>
      </c>
      <c r="E361" s="1">
        <f>怪物标准模型!AN369</f>
        <v>34559</v>
      </c>
      <c r="F361" s="37">
        <f>怪物标准模型!AP369</f>
        <v>78642</v>
      </c>
      <c r="G361" s="38">
        <f t="shared" si="5"/>
        <v>34559</v>
      </c>
      <c r="H361" s="1">
        <f>怪物标准模型!AR369</f>
        <v>623630</v>
      </c>
      <c r="I361" s="1">
        <f>怪物标准模型!AS369</f>
        <v>1870890</v>
      </c>
      <c r="J361" s="1">
        <f>怪物标准模型!AT369</f>
        <v>1122534</v>
      </c>
      <c r="K361" s="1">
        <f>怪物标准模型!AU369</f>
        <v>311815</v>
      </c>
      <c r="L361" s="1">
        <f>怪物标准模型!AV369</f>
        <v>93545</v>
      </c>
      <c r="M361" s="1">
        <f>怪物标准模型!AW369</f>
        <v>2494520</v>
      </c>
      <c r="N361" s="1">
        <f>怪物标准模型!AX369</f>
        <v>5612670</v>
      </c>
    </row>
    <row r="362" spans="2:14">
      <c r="B362" s="4">
        <v>359</v>
      </c>
      <c r="C362" s="1">
        <f>怪物标准模型!AY370</f>
        <v>74675521</v>
      </c>
      <c r="D362" s="1">
        <f>怪物标准模型!AM370</f>
        <v>79203</v>
      </c>
      <c r="E362" s="1">
        <f>怪物标准模型!AN370</f>
        <v>34696</v>
      </c>
      <c r="F362" s="37">
        <f>怪物标准模型!AP370</f>
        <v>79203</v>
      </c>
      <c r="G362" s="38">
        <f t="shared" si="5"/>
        <v>34696</v>
      </c>
      <c r="H362" s="1">
        <f>怪物标准模型!AR370</f>
        <v>628585</v>
      </c>
      <c r="I362" s="1">
        <f>怪物标准模型!AS370</f>
        <v>1885755</v>
      </c>
      <c r="J362" s="1">
        <f>怪物标准模型!AT370</f>
        <v>1131453</v>
      </c>
      <c r="K362" s="1">
        <f>怪物标准模型!AU370</f>
        <v>314293</v>
      </c>
      <c r="L362" s="1">
        <f>怪物标准模型!AV370</f>
        <v>94288</v>
      </c>
      <c r="M362" s="1">
        <f>怪物标准模型!AW370</f>
        <v>2514340</v>
      </c>
      <c r="N362" s="1">
        <f>怪物标准模型!AX370</f>
        <v>5657265</v>
      </c>
    </row>
    <row r="363" spans="2:14">
      <c r="B363" s="4">
        <v>360</v>
      </c>
      <c r="C363" s="1">
        <f>怪物标准模型!AY371</f>
        <v>75315181</v>
      </c>
      <c r="D363" s="1">
        <f>怪物标准模型!AM371</f>
        <v>79767</v>
      </c>
      <c r="E363" s="1">
        <f>怪物标准模型!AN371</f>
        <v>34834</v>
      </c>
      <c r="F363" s="37">
        <f>怪物标准模型!AP371</f>
        <v>79767</v>
      </c>
      <c r="G363" s="38">
        <f t="shared" si="5"/>
        <v>34834</v>
      </c>
      <c r="H363" s="1">
        <f>怪物标准模型!AR371</f>
        <v>633570</v>
      </c>
      <c r="I363" s="1">
        <f>怪物标准模型!AS371</f>
        <v>1900710</v>
      </c>
      <c r="J363" s="1">
        <f>怪物标准模型!AT371</f>
        <v>1140426</v>
      </c>
      <c r="K363" s="1">
        <f>怪物标准模型!AU371</f>
        <v>316785</v>
      </c>
      <c r="L363" s="1">
        <f>怪物标准模型!AV371</f>
        <v>95036</v>
      </c>
      <c r="M363" s="1">
        <f>怪物标准模型!AW371</f>
        <v>2534280</v>
      </c>
      <c r="N363" s="1">
        <f>怪物标准模型!AX371</f>
        <v>5702130</v>
      </c>
    </row>
    <row r="364" spans="2:14">
      <c r="B364" s="4">
        <v>361</v>
      </c>
      <c r="C364" s="1">
        <f>怪物标准模型!AY372</f>
        <v>75959101</v>
      </c>
      <c r="D364" s="1">
        <f>怪物标准模型!AM372</f>
        <v>80334</v>
      </c>
      <c r="E364" s="1">
        <f>怪物标准模型!AN372</f>
        <v>34972</v>
      </c>
      <c r="F364" s="37">
        <f>怪物标准模型!AP372</f>
        <v>80334</v>
      </c>
      <c r="G364" s="38">
        <f t="shared" si="5"/>
        <v>34972</v>
      </c>
      <c r="H364" s="1">
        <f>怪物标准模型!AR372</f>
        <v>638585</v>
      </c>
      <c r="I364" s="1">
        <f>怪物标准模型!AS372</f>
        <v>1915755</v>
      </c>
      <c r="J364" s="1">
        <f>怪物标准模型!AT372</f>
        <v>1149453</v>
      </c>
      <c r="K364" s="1">
        <f>怪物标准模型!AU372</f>
        <v>319293</v>
      </c>
      <c r="L364" s="1">
        <f>怪物标准模型!AV372</f>
        <v>95788</v>
      </c>
      <c r="M364" s="1">
        <f>怪物标准模型!AW372</f>
        <v>2554340</v>
      </c>
      <c r="N364" s="1">
        <f>怪物标准模型!AX372</f>
        <v>5747265</v>
      </c>
    </row>
    <row r="365" spans="2:14">
      <c r="B365" s="4">
        <v>362</v>
      </c>
      <c r="C365" s="1">
        <f>怪物标准模型!AY373</f>
        <v>76607281</v>
      </c>
      <c r="D365" s="1">
        <f>怪物标准模型!AM373</f>
        <v>80904</v>
      </c>
      <c r="E365" s="1">
        <f>怪物标准模型!AN373</f>
        <v>35110</v>
      </c>
      <c r="F365" s="37">
        <f>怪物标准模型!AP373</f>
        <v>80904</v>
      </c>
      <c r="G365" s="38">
        <f t="shared" si="5"/>
        <v>35110</v>
      </c>
      <c r="H365" s="1">
        <f>怪物标准模型!AR373</f>
        <v>643629</v>
      </c>
      <c r="I365" s="1">
        <f>怪物标准模型!AS373</f>
        <v>1930887</v>
      </c>
      <c r="J365" s="1">
        <f>怪物标准模型!AT373</f>
        <v>1158533</v>
      </c>
      <c r="K365" s="1">
        <f>怪物标准模型!AU373</f>
        <v>321815</v>
      </c>
      <c r="L365" s="1">
        <f>怪物标准模型!AV373</f>
        <v>96545</v>
      </c>
      <c r="M365" s="1">
        <f>怪物标准模型!AW373</f>
        <v>2574516</v>
      </c>
      <c r="N365" s="1">
        <f>怪物标准模型!AX373</f>
        <v>5792661</v>
      </c>
    </row>
    <row r="366" spans="2:14">
      <c r="B366" s="4">
        <v>363</v>
      </c>
      <c r="C366" s="1">
        <f>怪物标准模型!AY374</f>
        <v>77259781</v>
      </c>
      <c r="D366" s="1">
        <f>怪物标准模型!AM374</f>
        <v>81477</v>
      </c>
      <c r="E366" s="1">
        <f>怪物标准模型!AN374</f>
        <v>35248</v>
      </c>
      <c r="F366" s="37">
        <f>怪物标准模型!AP374</f>
        <v>81477</v>
      </c>
      <c r="G366" s="38">
        <f t="shared" si="5"/>
        <v>35248</v>
      </c>
      <c r="H366" s="1">
        <f>怪物标准模型!AR374</f>
        <v>648704</v>
      </c>
      <c r="I366" s="1">
        <f>怪物标准模型!AS374</f>
        <v>1946112</v>
      </c>
      <c r="J366" s="1">
        <f>怪物标准模型!AT374</f>
        <v>1167668</v>
      </c>
      <c r="K366" s="1">
        <f>怪物标准模型!AU374</f>
        <v>324352</v>
      </c>
      <c r="L366" s="1">
        <f>怪物标准模型!AV374</f>
        <v>97306</v>
      </c>
      <c r="M366" s="1">
        <f>怪物标准模型!AW374</f>
        <v>2594816</v>
      </c>
      <c r="N366" s="1">
        <f>怪物标准模型!AX374</f>
        <v>5838336</v>
      </c>
    </row>
    <row r="367" spans="2:14">
      <c r="B367" s="4">
        <v>364</v>
      </c>
      <c r="C367" s="1">
        <f>怪物标准模型!AY375</f>
        <v>77916541</v>
      </c>
      <c r="D367" s="1">
        <f>怪物标准模型!AM375</f>
        <v>82053</v>
      </c>
      <c r="E367" s="1">
        <f>怪物标准模型!AN375</f>
        <v>35386</v>
      </c>
      <c r="F367" s="37">
        <f>怪物标准模型!AP375</f>
        <v>82053</v>
      </c>
      <c r="G367" s="38">
        <f t="shared" si="5"/>
        <v>35386</v>
      </c>
      <c r="H367" s="1">
        <f>怪物标准模型!AR375</f>
        <v>653808</v>
      </c>
      <c r="I367" s="1">
        <f>怪物标准模型!AS375</f>
        <v>1961424</v>
      </c>
      <c r="J367" s="1">
        <f>怪物标准模型!AT375</f>
        <v>1176855</v>
      </c>
      <c r="K367" s="1">
        <f>怪物标准模型!AU375</f>
        <v>326904</v>
      </c>
      <c r="L367" s="1">
        <f>怪物标准模型!AV375</f>
        <v>98072</v>
      </c>
      <c r="M367" s="1">
        <f>怪物标准模型!AW375</f>
        <v>2615232</v>
      </c>
      <c r="N367" s="1">
        <f>怪物标准模型!AX375</f>
        <v>5884272</v>
      </c>
    </row>
    <row r="368" spans="2:14">
      <c r="B368" s="4">
        <v>365</v>
      </c>
      <c r="C368" s="1">
        <f>怪物标准模型!AY376</f>
        <v>78577681</v>
      </c>
      <c r="D368" s="1">
        <f>怪物标准模型!AM376</f>
        <v>82632</v>
      </c>
      <c r="E368" s="1">
        <f>怪物标准模型!AN376</f>
        <v>35525</v>
      </c>
      <c r="F368" s="37">
        <f>怪物标准模型!AP376</f>
        <v>82632</v>
      </c>
      <c r="G368" s="38">
        <f t="shared" si="5"/>
        <v>35525</v>
      </c>
      <c r="H368" s="1">
        <f>怪物标准模型!AR376</f>
        <v>658942</v>
      </c>
      <c r="I368" s="1">
        <f>怪物标准模型!AS376</f>
        <v>1976826</v>
      </c>
      <c r="J368" s="1">
        <f>怪物标准模型!AT376</f>
        <v>1186096</v>
      </c>
      <c r="K368" s="1">
        <f>怪物标准模型!AU376</f>
        <v>329471</v>
      </c>
      <c r="L368" s="1">
        <f>怪物标准模型!AV376</f>
        <v>98842</v>
      </c>
      <c r="M368" s="1">
        <f>怪物标准模型!AW376</f>
        <v>2635768</v>
      </c>
      <c r="N368" s="1">
        <f>怪物标准模型!AX376</f>
        <v>5930478</v>
      </c>
    </row>
    <row r="369" spans="2:14">
      <c r="B369" s="4">
        <v>366</v>
      </c>
      <c r="C369" s="1">
        <f>怪物标准模型!AY377</f>
        <v>79243141</v>
      </c>
      <c r="D369" s="1">
        <f>怪物标准模型!AM377</f>
        <v>83214</v>
      </c>
      <c r="E369" s="1">
        <f>怪物标准模型!AN377</f>
        <v>35664</v>
      </c>
      <c r="F369" s="37">
        <f>怪物标准模型!AP377</f>
        <v>83214</v>
      </c>
      <c r="G369" s="38">
        <f t="shared" si="5"/>
        <v>35664</v>
      </c>
      <c r="H369" s="1">
        <f>怪物标准模型!AR377</f>
        <v>664107</v>
      </c>
      <c r="I369" s="1">
        <f>怪物标准模型!AS377</f>
        <v>1992321</v>
      </c>
      <c r="J369" s="1">
        <f>怪物标准模型!AT377</f>
        <v>1195393</v>
      </c>
      <c r="K369" s="1">
        <f>怪物标准模型!AU377</f>
        <v>332054</v>
      </c>
      <c r="L369" s="1">
        <f>怪物标准模型!AV377</f>
        <v>99617</v>
      </c>
      <c r="M369" s="1">
        <f>怪物标准模型!AW377</f>
        <v>2656428</v>
      </c>
      <c r="N369" s="1">
        <f>怪物标准模型!AX377</f>
        <v>5976963</v>
      </c>
    </row>
    <row r="370" spans="2:14">
      <c r="B370" s="4">
        <v>367</v>
      </c>
      <c r="C370" s="1">
        <f>怪物标准模型!AY378</f>
        <v>79913041</v>
      </c>
      <c r="D370" s="1">
        <f>怪物标准模型!AM378</f>
        <v>83800</v>
      </c>
      <c r="E370" s="1">
        <f>怪物标准模型!AN378</f>
        <v>35803</v>
      </c>
      <c r="F370" s="37">
        <f>怪物标准模型!AP378</f>
        <v>83800</v>
      </c>
      <c r="G370" s="38">
        <f t="shared" si="5"/>
        <v>35803</v>
      </c>
      <c r="H370" s="1">
        <f>怪物标准模型!AR378</f>
        <v>669303</v>
      </c>
      <c r="I370" s="1">
        <f>怪物标准模型!AS378</f>
        <v>2007909</v>
      </c>
      <c r="J370" s="1">
        <f>怪物标准模型!AT378</f>
        <v>1204746</v>
      </c>
      <c r="K370" s="1">
        <f>怪物标准模型!AU378</f>
        <v>334652</v>
      </c>
      <c r="L370" s="1">
        <f>怪物标准模型!AV378</f>
        <v>100396</v>
      </c>
      <c r="M370" s="1">
        <f>怪物标准模型!AW378</f>
        <v>2677212</v>
      </c>
      <c r="N370" s="1">
        <f>怪物标准模型!AX378</f>
        <v>6023727</v>
      </c>
    </row>
    <row r="371" spans="2:14">
      <c r="B371" s="4">
        <v>368</v>
      </c>
      <c r="C371" s="1">
        <f>怪物标准模型!AY379</f>
        <v>80587321</v>
      </c>
      <c r="D371" s="1">
        <f>怪物标准模型!AM379</f>
        <v>84388</v>
      </c>
      <c r="E371" s="1">
        <f>怪物标准模型!AN379</f>
        <v>35943</v>
      </c>
      <c r="F371" s="37">
        <f>怪物标准模型!AP379</f>
        <v>84388</v>
      </c>
      <c r="G371" s="38">
        <f t="shared" si="5"/>
        <v>35943</v>
      </c>
      <c r="H371" s="1">
        <f>怪物标准模型!AR379</f>
        <v>674528</v>
      </c>
      <c r="I371" s="1">
        <f>怪物标准模型!AS379</f>
        <v>2023584</v>
      </c>
      <c r="J371" s="1">
        <f>怪物标准模型!AT379</f>
        <v>1214151</v>
      </c>
      <c r="K371" s="1">
        <f>怪物标准模型!AU379</f>
        <v>337264</v>
      </c>
      <c r="L371" s="1">
        <f>怪物标准模型!AV379</f>
        <v>101180</v>
      </c>
      <c r="M371" s="1">
        <f>怪物标准模型!AW379</f>
        <v>2698112</v>
      </c>
      <c r="N371" s="1">
        <f>怪物标准模型!AX379</f>
        <v>6070752</v>
      </c>
    </row>
    <row r="372" spans="2:14">
      <c r="B372" s="4">
        <v>369</v>
      </c>
      <c r="C372" s="1">
        <f>怪物标准模型!AY380</f>
        <v>81266041</v>
      </c>
      <c r="D372" s="1">
        <f>怪物标准模型!AM380</f>
        <v>84979</v>
      </c>
      <c r="E372" s="1">
        <f>怪物标准模型!AN380</f>
        <v>36082</v>
      </c>
      <c r="F372" s="37">
        <f>怪物标准模型!AP380</f>
        <v>84979</v>
      </c>
      <c r="G372" s="38">
        <f t="shared" si="5"/>
        <v>36082</v>
      </c>
      <c r="H372" s="1">
        <f>怪物标准模型!AR380</f>
        <v>679785</v>
      </c>
      <c r="I372" s="1">
        <f>怪物标准模型!AS380</f>
        <v>2039355</v>
      </c>
      <c r="J372" s="1">
        <f>怪物标准模型!AT380</f>
        <v>1223613</v>
      </c>
      <c r="K372" s="1">
        <f>怪物标准模型!AU380</f>
        <v>339893</v>
      </c>
      <c r="L372" s="1">
        <f>怪物标准模型!AV380</f>
        <v>101968</v>
      </c>
      <c r="M372" s="1">
        <f>怪物标准模型!AW380</f>
        <v>2719140</v>
      </c>
      <c r="N372" s="1">
        <f>怪物标准模型!AX380</f>
        <v>6118065</v>
      </c>
    </row>
    <row r="373" spans="2:14">
      <c r="B373" s="4">
        <v>370</v>
      </c>
      <c r="C373" s="1">
        <f>怪物标准模型!AY381</f>
        <v>81949201</v>
      </c>
      <c r="D373" s="1">
        <f>怪物标准模型!AM381</f>
        <v>85574</v>
      </c>
      <c r="E373" s="1">
        <f>怪物标准模型!AN381</f>
        <v>36222</v>
      </c>
      <c r="F373" s="37">
        <f>怪物标准模型!AP381</f>
        <v>85574</v>
      </c>
      <c r="G373" s="38">
        <f t="shared" si="5"/>
        <v>36222</v>
      </c>
      <c r="H373" s="1">
        <f>怪物标准模型!AR381</f>
        <v>685072</v>
      </c>
      <c r="I373" s="1">
        <f>怪物标准模型!AS381</f>
        <v>2055216</v>
      </c>
      <c r="J373" s="1">
        <f>怪物标准模型!AT381</f>
        <v>1233130</v>
      </c>
      <c r="K373" s="1">
        <f>怪物标准模型!AU381</f>
        <v>342536</v>
      </c>
      <c r="L373" s="1">
        <f>怪物标准模型!AV381</f>
        <v>102761</v>
      </c>
      <c r="M373" s="1">
        <f>怪物标准模型!AW381</f>
        <v>2740288</v>
      </c>
      <c r="N373" s="1">
        <f>怪物标准模型!AX381</f>
        <v>6165648</v>
      </c>
    </row>
    <row r="374" spans="2:14">
      <c r="B374" s="4">
        <v>371</v>
      </c>
      <c r="C374" s="1">
        <f>怪物标准模型!AY382</f>
        <v>82636801</v>
      </c>
      <c r="D374" s="1">
        <f>怪物标准模型!AM382</f>
        <v>86171</v>
      </c>
      <c r="E374" s="1">
        <f>怪物标准模型!AN382</f>
        <v>36362</v>
      </c>
      <c r="F374" s="37">
        <f>怪物标准模型!AP382</f>
        <v>86171</v>
      </c>
      <c r="G374" s="38">
        <f t="shared" si="5"/>
        <v>36362</v>
      </c>
      <c r="H374" s="1">
        <f>怪物标准模型!AR382</f>
        <v>690390</v>
      </c>
      <c r="I374" s="1">
        <f>怪物标准模型!AS382</f>
        <v>2071170</v>
      </c>
      <c r="J374" s="1">
        <f>怪物标准模型!AT382</f>
        <v>1242702</v>
      </c>
      <c r="K374" s="1">
        <f>怪物标准模型!AU382</f>
        <v>345195</v>
      </c>
      <c r="L374" s="1">
        <f>怪物标准模型!AV382</f>
        <v>103559</v>
      </c>
      <c r="M374" s="1">
        <f>怪物标准模型!AW382</f>
        <v>2761560</v>
      </c>
      <c r="N374" s="1">
        <f>怪物标准模型!AX382</f>
        <v>6213510</v>
      </c>
    </row>
    <row r="375" spans="2:14">
      <c r="B375" s="4">
        <v>372</v>
      </c>
      <c r="C375" s="1">
        <f>怪物标准模型!AY383</f>
        <v>83328961</v>
      </c>
      <c r="D375" s="1">
        <f>怪物标准模型!AM383</f>
        <v>86772</v>
      </c>
      <c r="E375" s="1">
        <f>怪物标准模型!AN383</f>
        <v>36502</v>
      </c>
      <c r="F375" s="37">
        <f>怪物标准模型!AP383</f>
        <v>86772</v>
      </c>
      <c r="G375" s="38">
        <f t="shared" si="5"/>
        <v>36502</v>
      </c>
      <c r="H375" s="1">
        <f>怪物标准模型!AR383</f>
        <v>695739</v>
      </c>
      <c r="I375" s="1">
        <f>怪物标准模型!AS383</f>
        <v>2087217</v>
      </c>
      <c r="J375" s="1">
        <f>怪物标准模型!AT383</f>
        <v>1252331</v>
      </c>
      <c r="K375" s="1">
        <f>怪物标准模型!AU383</f>
        <v>347870</v>
      </c>
      <c r="L375" s="1">
        <f>怪物标准模型!AV383</f>
        <v>104361</v>
      </c>
      <c r="M375" s="1">
        <f>怪物标准模型!AW383</f>
        <v>2782956</v>
      </c>
      <c r="N375" s="1">
        <f>怪物标准模型!AX383</f>
        <v>6261651</v>
      </c>
    </row>
    <row r="376" spans="2:14">
      <c r="B376" s="4">
        <v>373</v>
      </c>
      <c r="C376" s="1">
        <f>怪物标准模型!AY384</f>
        <v>84025560</v>
      </c>
      <c r="D376" s="1">
        <f>怪物标准模型!AM384</f>
        <v>87376</v>
      </c>
      <c r="E376" s="1">
        <f>怪物标准模型!AN384</f>
        <v>36643</v>
      </c>
      <c r="F376" s="37">
        <f>怪物标准模型!AP384</f>
        <v>87376</v>
      </c>
      <c r="G376" s="38">
        <f t="shared" si="5"/>
        <v>36643</v>
      </c>
      <c r="H376" s="1">
        <f>怪物标准模型!AR384</f>
        <v>701120</v>
      </c>
      <c r="I376" s="1">
        <f>怪物标准模型!AS384</f>
        <v>2103360</v>
      </c>
      <c r="J376" s="1">
        <f>怪物标准模型!AT384</f>
        <v>1262016</v>
      </c>
      <c r="K376" s="1">
        <f>怪物标准模型!AU384</f>
        <v>350560</v>
      </c>
      <c r="L376" s="1">
        <f>怪物标准模型!AV384</f>
        <v>105168</v>
      </c>
      <c r="M376" s="1">
        <f>怪物标准模型!AW384</f>
        <v>2804480</v>
      </c>
      <c r="N376" s="1">
        <f>怪物标准模型!AX384</f>
        <v>6310080</v>
      </c>
    </row>
    <row r="377" spans="2:14">
      <c r="B377" s="4">
        <v>374</v>
      </c>
      <c r="C377" s="1">
        <f>怪物标准模型!AY385</f>
        <v>84726780</v>
      </c>
      <c r="D377" s="1">
        <f>怪物标准模型!AM385</f>
        <v>87983</v>
      </c>
      <c r="E377" s="1">
        <f>怪物标准模型!AN385</f>
        <v>36784</v>
      </c>
      <c r="F377" s="37">
        <f>怪物标准模型!AP385</f>
        <v>87983</v>
      </c>
      <c r="G377" s="38">
        <f t="shared" si="5"/>
        <v>36784</v>
      </c>
      <c r="H377" s="1">
        <f>怪物标准模型!AR385</f>
        <v>706532</v>
      </c>
      <c r="I377" s="1">
        <f>怪物标准模型!AS385</f>
        <v>2119596</v>
      </c>
      <c r="J377" s="1">
        <f>怪物标准模型!AT385</f>
        <v>1271758</v>
      </c>
      <c r="K377" s="1">
        <f>怪物标准模型!AU385</f>
        <v>353266</v>
      </c>
      <c r="L377" s="1">
        <f>怪物标准模型!AV385</f>
        <v>105980</v>
      </c>
      <c r="M377" s="1">
        <f>怪物标准模型!AW385</f>
        <v>2826128</v>
      </c>
      <c r="N377" s="1">
        <f>怪物标准模型!AX385</f>
        <v>6358788</v>
      </c>
    </row>
    <row r="378" spans="2:14">
      <c r="B378" s="4">
        <v>375</v>
      </c>
      <c r="C378" s="1">
        <f>怪物标准模型!AY386</f>
        <v>85432500</v>
      </c>
      <c r="D378" s="1">
        <f>怪物标准模型!AM386</f>
        <v>88593</v>
      </c>
      <c r="E378" s="1">
        <f>怪物标准模型!AN386</f>
        <v>36925</v>
      </c>
      <c r="F378" s="37">
        <f>怪物标准模型!AP386</f>
        <v>88593</v>
      </c>
      <c r="G378" s="38">
        <f t="shared" si="5"/>
        <v>36925</v>
      </c>
      <c r="H378" s="1">
        <f>怪物标准模型!AR386</f>
        <v>711975</v>
      </c>
      <c r="I378" s="1">
        <f>怪物标准模型!AS386</f>
        <v>2135925</v>
      </c>
      <c r="J378" s="1">
        <f>怪物标准模型!AT386</f>
        <v>1281555</v>
      </c>
      <c r="K378" s="1">
        <f>怪物标准模型!AU386</f>
        <v>355988</v>
      </c>
      <c r="L378" s="1">
        <f>怪物标准模型!AV386</f>
        <v>106797</v>
      </c>
      <c r="M378" s="1">
        <f>怪物标准模型!AW386</f>
        <v>2847900</v>
      </c>
      <c r="N378" s="1">
        <f>怪物标准模型!AX386</f>
        <v>6407775</v>
      </c>
    </row>
    <row r="379" spans="2:14">
      <c r="B379" s="4">
        <v>376</v>
      </c>
      <c r="C379" s="1">
        <f>怪物标准模型!AY387</f>
        <v>86142840</v>
      </c>
      <c r="D379" s="1">
        <f>怪物标准模型!AM387</f>
        <v>89207</v>
      </c>
      <c r="E379" s="1">
        <f>怪物标准模型!AN387</f>
        <v>37066</v>
      </c>
      <c r="F379" s="37">
        <f>怪物标准模型!AP387</f>
        <v>89207</v>
      </c>
      <c r="G379" s="38">
        <f t="shared" si="5"/>
        <v>37066</v>
      </c>
      <c r="H379" s="1">
        <f>怪物标准模型!AR387</f>
        <v>717450</v>
      </c>
      <c r="I379" s="1">
        <f>怪物标准模型!AS387</f>
        <v>2152350</v>
      </c>
      <c r="J379" s="1">
        <f>怪物标准模型!AT387</f>
        <v>1291410</v>
      </c>
      <c r="K379" s="1">
        <f>怪物标准模型!AU387</f>
        <v>358725</v>
      </c>
      <c r="L379" s="1">
        <f>怪物标准模型!AV387</f>
        <v>107618</v>
      </c>
      <c r="M379" s="1">
        <f>怪物标准模型!AW387</f>
        <v>2869800</v>
      </c>
      <c r="N379" s="1">
        <f>怪物标准模型!AX387</f>
        <v>6457050</v>
      </c>
    </row>
    <row r="380" spans="2:14">
      <c r="B380" s="4">
        <v>377</v>
      </c>
      <c r="C380" s="1">
        <f>怪物标准模型!AY388</f>
        <v>86857800</v>
      </c>
      <c r="D380" s="1">
        <f>怪物标准模型!AM388</f>
        <v>89823</v>
      </c>
      <c r="E380" s="1">
        <f>怪物标准模型!AN388</f>
        <v>37207</v>
      </c>
      <c r="F380" s="37">
        <f>怪物标准模型!AP388</f>
        <v>89823</v>
      </c>
      <c r="G380" s="38">
        <f t="shared" si="5"/>
        <v>37207</v>
      </c>
      <c r="H380" s="1">
        <f>怪物标准模型!AR388</f>
        <v>722957</v>
      </c>
      <c r="I380" s="1">
        <f>怪物标准模型!AS388</f>
        <v>2168871</v>
      </c>
      <c r="J380" s="1">
        <f>怪物标准模型!AT388</f>
        <v>1301323</v>
      </c>
      <c r="K380" s="1">
        <f>怪物标准模型!AU388</f>
        <v>361479</v>
      </c>
      <c r="L380" s="1">
        <f>怪物标准模型!AV388</f>
        <v>108444</v>
      </c>
      <c r="M380" s="1">
        <f>怪物标准模型!AW388</f>
        <v>2891828</v>
      </c>
      <c r="N380" s="1">
        <f>怪物标准模型!AX388</f>
        <v>6506613</v>
      </c>
    </row>
    <row r="381" spans="2:14">
      <c r="B381" s="4">
        <v>378</v>
      </c>
      <c r="C381" s="1">
        <f>怪物标准模型!AY389</f>
        <v>87577380</v>
      </c>
      <c r="D381" s="1">
        <f>怪物标准模型!AM389</f>
        <v>90443</v>
      </c>
      <c r="E381" s="1">
        <f>怪物标准模型!AN389</f>
        <v>37349</v>
      </c>
      <c r="F381" s="37">
        <f>怪物标准模型!AP389</f>
        <v>90443</v>
      </c>
      <c r="G381" s="38">
        <f t="shared" si="5"/>
        <v>37349</v>
      </c>
      <c r="H381" s="1">
        <f>怪物标准模型!AR389</f>
        <v>728495</v>
      </c>
      <c r="I381" s="1">
        <f>怪物标准模型!AS389</f>
        <v>2185485</v>
      </c>
      <c r="J381" s="1">
        <f>怪物标准模型!AT389</f>
        <v>1311291</v>
      </c>
      <c r="K381" s="1">
        <f>怪物标准模型!AU389</f>
        <v>364248</v>
      </c>
      <c r="L381" s="1">
        <f>怪物标准模型!AV389</f>
        <v>109275</v>
      </c>
      <c r="M381" s="1">
        <f>怪物标准模型!AW389</f>
        <v>2913980</v>
      </c>
      <c r="N381" s="1">
        <f>怪物标准模型!AX389</f>
        <v>6556455</v>
      </c>
    </row>
    <row r="382" spans="2:14">
      <c r="B382" s="4">
        <v>379</v>
      </c>
      <c r="C382" s="1">
        <f>怪物标准模型!AY390</f>
        <v>88301580</v>
      </c>
      <c r="D382" s="1">
        <f>怪物标准模型!AM390</f>
        <v>91066</v>
      </c>
      <c r="E382" s="1">
        <f>怪物标准模型!AN390</f>
        <v>37491</v>
      </c>
      <c r="F382" s="37">
        <f>怪物标准模型!AP390</f>
        <v>91066</v>
      </c>
      <c r="G382" s="38">
        <f t="shared" si="5"/>
        <v>37491</v>
      </c>
      <c r="H382" s="1">
        <f>怪物标准模型!AR390</f>
        <v>734066</v>
      </c>
      <c r="I382" s="1">
        <f>怪物标准模型!AS390</f>
        <v>2202198</v>
      </c>
      <c r="J382" s="1">
        <f>怪物标准模型!AT390</f>
        <v>1321319</v>
      </c>
      <c r="K382" s="1">
        <f>怪物标准模型!AU390</f>
        <v>367033</v>
      </c>
      <c r="L382" s="1">
        <f>怪物标准模型!AV390</f>
        <v>110110</v>
      </c>
      <c r="M382" s="1">
        <f>怪物标准模型!AW390</f>
        <v>2936264</v>
      </c>
      <c r="N382" s="1">
        <f>怪物标准模型!AX390</f>
        <v>6606594</v>
      </c>
    </row>
    <row r="383" spans="2:14">
      <c r="B383" s="4">
        <v>380</v>
      </c>
      <c r="C383" s="1">
        <f>怪物标准模型!AY391</f>
        <v>89030520</v>
      </c>
      <c r="D383" s="1">
        <f>怪物标准模型!AM391</f>
        <v>91692</v>
      </c>
      <c r="E383" s="1">
        <f>怪物标准模型!AN391</f>
        <v>37633</v>
      </c>
      <c r="F383" s="37">
        <f>怪物标准模型!AP391</f>
        <v>91692</v>
      </c>
      <c r="G383" s="38">
        <f t="shared" si="5"/>
        <v>37633</v>
      </c>
      <c r="H383" s="1">
        <f>怪物标准模型!AR391</f>
        <v>739668</v>
      </c>
      <c r="I383" s="1">
        <f>怪物标准模型!AS391</f>
        <v>2219004</v>
      </c>
      <c r="J383" s="1">
        <f>怪物标准模型!AT391</f>
        <v>1331403</v>
      </c>
      <c r="K383" s="1">
        <f>怪物标准模型!AU391</f>
        <v>369834</v>
      </c>
      <c r="L383" s="1">
        <f>怪物标准模型!AV391</f>
        <v>110951</v>
      </c>
      <c r="M383" s="1">
        <f>怪物标准模型!AW391</f>
        <v>2958672</v>
      </c>
      <c r="N383" s="1">
        <f>怪物标准模型!AX391</f>
        <v>6657012</v>
      </c>
    </row>
    <row r="384" spans="2:14">
      <c r="B384" s="4">
        <v>381</v>
      </c>
      <c r="C384" s="1">
        <f>怪物标准模型!AY392</f>
        <v>89764140</v>
      </c>
      <c r="D384" s="1">
        <f>怪物标准模型!AM392</f>
        <v>92322</v>
      </c>
      <c r="E384" s="1">
        <f>怪物标准模型!AN392</f>
        <v>37776</v>
      </c>
      <c r="F384" s="37">
        <f>怪物标准模型!AP392</f>
        <v>92322</v>
      </c>
      <c r="G384" s="38">
        <f t="shared" si="5"/>
        <v>37776</v>
      </c>
      <c r="H384" s="1">
        <f>怪物标准模型!AR392</f>
        <v>745303</v>
      </c>
      <c r="I384" s="1">
        <f>怪物标准模型!AS392</f>
        <v>2235909</v>
      </c>
      <c r="J384" s="1">
        <f>怪物标准模型!AT392</f>
        <v>1341546</v>
      </c>
      <c r="K384" s="1">
        <f>怪物标准模型!AU392</f>
        <v>372652</v>
      </c>
      <c r="L384" s="1">
        <f>怪物标准模型!AV392</f>
        <v>111796</v>
      </c>
      <c r="M384" s="1">
        <f>怪物标准模型!AW392</f>
        <v>2981212</v>
      </c>
      <c r="N384" s="1">
        <f>怪物标准模型!AX392</f>
        <v>6707727</v>
      </c>
    </row>
    <row r="385" spans="2:14">
      <c r="B385" s="4">
        <v>382</v>
      </c>
      <c r="C385" s="1">
        <f>怪物标准模型!AY393</f>
        <v>90502440</v>
      </c>
      <c r="D385" s="1">
        <f>怪物标准模型!AM393</f>
        <v>92955</v>
      </c>
      <c r="E385" s="1">
        <f>怪物标准模型!AN393</f>
        <v>37918</v>
      </c>
      <c r="F385" s="37">
        <f>怪物标准模型!AP393</f>
        <v>92955</v>
      </c>
      <c r="G385" s="38">
        <f t="shared" si="5"/>
        <v>37918</v>
      </c>
      <c r="H385" s="1">
        <f>怪物标准模型!AR393</f>
        <v>750971</v>
      </c>
      <c r="I385" s="1">
        <f>怪物标准模型!AS393</f>
        <v>2252913</v>
      </c>
      <c r="J385" s="1">
        <f>怪物标准模型!AT393</f>
        <v>1351748</v>
      </c>
      <c r="K385" s="1">
        <f>怪物标准模型!AU393</f>
        <v>375486</v>
      </c>
      <c r="L385" s="1">
        <f>怪物标准模型!AV393</f>
        <v>112646</v>
      </c>
      <c r="M385" s="1">
        <f>怪物标准模型!AW393</f>
        <v>3003884</v>
      </c>
      <c r="N385" s="1">
        <f>怪物标准模型!AX393</f>
        <v>6758739</v>
      </c>
    </row>
    <row r="386" spans="2:14">
      <c r="B386" s="4">
        <v>383</v>
      </c>
      <c r="C386" s="1">
        <f>怪物标准模型!AY394</f>
        <v>91245540</v>
      </c>
      <c r="D386" s="1">
        <f>怪物标准模型!AM394</f>
        <v>93591</v>
      </c>
      <c r="E386" s="1">
        <f>怪物标准模型!AN394</f>
        <v>38061</v>
      </c>
      <c r="F386" s="37">
        <f>怪物标准模型!AP394</f>
        <v>93591</v>
      </c>
      <c r="G386" s="38">
        <f t="shared" si="5"/>
        <v>38061</v>
      </c>
      <c r="H386" s="1">
        <f>怪物标准模型!AR394</f>
        <v>756671</v>
      </c>
      <c r="I386" s="1">
        <f>怪物标准模型!AS394</f>
        <v>2270013</v>
      </c>
      <c r="J386" s="1">
        <f>怪物标准模型!AT394</f>
        <v>1362008</v>
      </c>
      <c r="K386" s="1">
        <f>怪物标准模型!AU394</f>
        <v>378336</v>
      </c>
      <c r="L386" s="1">
        <f>怪物标准模型!AV394</f>
        <v>113501</v>
      </c>
      <c r="M386" s="1">
        <f>怪物标准模型!AW394</f>
        <v>3026684</v>
      </c>
      <c r="N386" s="1">
        <f>怪物标准模型!AX394</f>
        <v>6810039</v>
      </c>
    </row>
    <row r="387" spans="2:14">
      <c r="B387" s="4">
        <v>384</v>
      </c>
      <c r="C387" s="1">
        <f>怪物标准模型!AY395</f>
        <v>91993440</v>
      </c>
      <c r="D387" s="1">
        <f>怪物标准模型!AM395</f>
        <v>94230</v>
      </c>
      <c r="E387" s="1">
        <f>怪物标准模型!AN395</f>
        <v>38204</v>
      </c>
      <c r="F387" s="37">
        <f>怪物标准模型!AP395</f>
        <v>94230</v>
      </c>
      <c r="G387" s="38">
        <f t="shared" si="5"/>
        <v>38204</v>
      </c>
      <c r="H387" s="1">
        <f>怪物标准模型!AR395</f>
        <v>762404</v>
      </c>
      <c r="I387" s="1">
        <f>怪物标准模型!AS395</f>
        <v>2287212</v>
      </c>
      <c r="J387" s="1">
        <f>怪物标准模型!AT395</f>
        <v>1372328</v>
      </c>
      <c r="K387" s="1">
        <f>怪物标准模型!AU395</f>
        <v>381202</v>
      </c>
      <c r="L387" s="1">
        <f>怪物标准模型!AV395</f>
        <v>114361</v>
      </c>
      <c r="M387" s="1">
        <f>怪物标准模型!AW395</f>
        <v>3049616</v>
      </c>
      <c r="N387" s="1">
        <f>怪物标准模型!AX395</f>
        <v>6861636</v>
      </c>
    </row>
    <row r="388" spans="2:14">
      <c r="B388" s="4">
        <v>385</v>
      </c>
      <c r="C388" s="1">
        <f>怪物标准模型!AY396</f>
        <v>92746080</v>
      </c>
      <c r="D388" s="1">
        <f>怪物标准模型!AM396</f>
        <v>94872</v>
      </c>
      <c r="E388" s="1">
        <f>怪物标准模型!AN396</f>
        <v>38347</v>
      </c>
      <c r="F388" s="37">
        <f>怪物标准模型!AP396</f>
        <v>94872</v>
      </c>
      <c r="G388" s="38">
        <f t="shared" ref="G388:G451" si="6">E388</f>
        <v>38347</v>
      </c>
      <c r="H388" s="1">
        <f>怪物标准模型!AR396</f>
        <v>768169</v>
      </c>
      <c r="I388" s="1">
        <f>怪物标准模型!AS396</f>
        <v>2304507</v>
      </c>
      <c r="J388" s="1">
        <f>怪物标准模型!AT396</f>
        <v>1382705</v>
      </c>
      <c r="K388" s="1">
        <f>怪物标准模型!AU396</f>
        <v>384085</v>
      </c>
      <c r="L388" s="1">
        <f>怪物标准模型!AV396</f>
        <v>115226</v>
      </c>
      <c r="M388" s="1">
        <f>怪物标准模型!AW396</f>
        <v>3072676</v>
      </c>
      <c r="N388" s="1">
        <f>怪物标准模型!AX396</f>
        <v>6913521</v>
      </c>
    </row>
    <row r="389" spans="2:14">
      <c r="B389" s="4">
        <v>386</v>
      </c>
      <c r="C389" s="1">
        <f>怪物标准模型!AY397</f>
        <v>93503580</v>
      </c>
      <c r="D389" s="1">
        <f>怪物标准模型!AM397</f>
        <v>95518</v>
      </c>
      <c r="E389" s="1">
        <f>怪物标准模型!AN397</f>
        <v>38491</v>
      </c>
      <c r="F389" s="37">
        <f>怪物标准模型!AP397</f>
        <v>95518</v>
      </c>
      <c r="G389" s="38">
        <f t="shared" si="6"/>
        <v>38491</v>
      </c>
      <c r="H389" s="1">
        <f>怪物标准模型!AR397</f>
        <v>773968</v>
      </c>
      <c r="I389" s="1">
        <f>怪物标准模型!AS397</f>
        <v>2321904</v>
      </c>
      <c r="J389" s="1">
        <f>怪物标准模型!AT397</f>
        <v>1393143</v>
      </c>
      <c r="K389" s="1">
        <f>怪物标准模型!AU397</f>
        <v>386984</v>
      </c>
      <c r="L389" s="1">
        <f>怪物标准模型!AV397</f>
        <v>116096</v>
      </c>
      <c r="M389" s="1">
        <f>怪物标准模型!AW397</f>
        <v>3095872</v>
      </c>
      <c r="N389" s="1">
        <f>怪物标准模型!AX397</f>
        <v>6965712</v>
      </c>
    </row>
    <row r="390" spans="2:14">
      <c r="B390" s="4">
        <v>387</v>
      </c>
      <c r="C390" s="1">
        <f>怪物标准模型!AY398</f>
        <v>94265880</v>
      </c>
      <c r="D390" s="1">
        <f>怪物标准模型!AM398</f>
        <v>96167</v>
      </c>
      <c r="E390" s="1">
        <f>怪物标准模型!AN398</f>
        <v>38634</v>
      </c>
      <c r="F390" s="37">
        <f>怪物标准模型!AP398</f>
        <v>96167</v>
      </c>
      <c r="G390" s="38">
        <f t="shared" si="6"/>
        <v>38634</v>
      </c>
      <c r="H390" s="1">
        <f>怪物标准模型!AR398</f>
        <v>779799</v>
      </c>
      <c r="I390" s="1">
        <f>怪物标准模型!AS398</f>
        <v>2339397</v>
      </c>
      <c r="J390" s="1">
        <f>怪物标准模型!AT398</f>
        <v>1403639</v>
      </c>
      <c r="K390" s="1">
        <f>怪物标准模型!AU398</f>
        <v>389900</v>
      </c>
      <c r="L390" s="1">
        <f>怪物标准模型!AV398</f>
        <v>116970</v>
      </c>
      <c r="M390" s="1">
        <f>怪物标准模型!AW398</f>
        <v>3119196</v>
      </c>
      <c r="N390" s="1">
        <f>怪物标准模型!AX398</f>
        <v>7018191</v>
      </c>
    </row>
    <row r="391" spans="2:14">
      <c r="B391" s="4">
        <v>388</v>
      </c>
      <c r="C391" s="1">
        <f>怪物标准模型!AY399</f>
        <v>95033040</v>
      </c>
      <c r="D391" s="1">
        <f>怪物标准模型!AM399</f>
        <v>96820</v>
      </c>
      <c r="E391" s="1">
        <f>怪物标准模型!AN399</f>
        <v>38778</v>
      </c>
      <c r="F391" s="37">
        <f>怪物标准模型!AP399</f>
        <v>96820</v>
      </c>
      <c r="G391" s="38">
        <f t="shared" si="6"/>
        <v>38778</v>
      </c>
      <c r="H391" s="1">
        <f>怪物标准模型!AR399</f>
        <v>785664</v>
      </c>
      <c r="I391" s="1">
        <f>怪物标准模型!AS399</f>
        <v>2356992</v>
      </c>
      <c r="J391" s="1">
        <f>怪物标准模型!AT399</f>
        <v>1414196</v>
      </c>
      <c r="K391" s="1">
        <f>怪物标准模型!AU399</f>
        <v>392832</v>
      </c>
      <c r="L391" s="1">
        <f>怪物标准模型!AV399</f>
        <v>117850</v>
      </c>
      <c r="M391" s="1">
        <f>怪物标准模型!AW399</f>
        <v>3142656</v>
      </c>
      <c r="N391" s="1">
        <f>怪物标准模型!AX399</f>
        <v>7070976</v>
      </c>
    </row>
    <row r="392" spans="2:14">
      <c r="B392" s="4">
        <v>389</v>
      </c>
      <c r="C392" s="1">
        <f>怪物标准模型!AY400</f>
        <v>95805180</v>
      </c>
      <c r="D392" s="1">
        <f>怪物标准模型!AM400</f>
        <v>97476</v>
      </c>
      <c r="E392" s="1">
        <f>怪物标准模型!AN400</f>
        <v>38923</v>
      </c>
      <c r="F392" s="37">
        <f>怪物标准模型!AP400</f>
        <v>97476</v>
      </c>
      <c r="G392" s="38">
        <f t="shared" si="6"/>
        <v>38923</v>
      </c>
      <c r="H392" s="1">
        <f>怪物标准模型!AR400</f>
        <v>791562</v>
      </c>
      <c r="I392" s="1">
        <f>怪物标准模型!AS400</f>
        <v>2374686</v>
      </c>
      <c r="J392" s="1">
        <f>怪物标准模型!AT400</f>
        <v>1424812</v>
      </c>
      <c r="K392" s="1">
        <f>怪物标准模型!AU400</f>
        <v>395781</v>
      </c>
      <c r="L392" s="1">
        <f>怪物标准模型!AV400</f>
        <v>118735</v>
      </c>
      <c r="M392" s="1">
        <f>怪物标准模型!AW400</f>
        <v>3166248</v>
      </c>
      <c r="N392" s="1">
        <f>怪物标准模型!AX400</f>
        <v>7124058</v>
      </c>
    </row>
    <row r="393" spans="2:14">
      <c r="B393" s="4">
        <v>390</v>
      </c>
      <c r="C393" s="1">
        <f>怪物标准模型!AY401</f>
        <v>96582180</v>
      </c>
      <c r="D393" s="1">
        <f>怪物标准模型!AM401</f>
        <v>98135</v>
      </c>
      <c r="E393" s="1">
        <f>怪物标准模型!AN401</f>
        <v>39067</v>
      </c>
      <c r="F393" s="37">
        <f>怪物标准模型!AP401</f>
        <v>98135</v>
      </c>
      <c r="G393" s="38">
        <f t="shared" si="6"/>
        <v>39067</v>
      </c>
      <c r="H393" s="1">
        <f>怪物标准模型!AR401</f>
        <v>797494</v>
      </c>
      <c r="I393" s="1">
        <f>怪物标准模型!AS401</f>
        <v>2392482</v>
      </c>
      <c r="J393" s="1">
        <f>怪物标准模型!AT401</f>
        <v>1435490</v>
      </c>
      <c r="K393" s="1">
        <f>怪物标准模型!AU401</f>
        <v>398747</v>
      </c>
      <c r="L393" s="1">
        <f>怪物标准模型!AV401</f>
        <v>119625</v>
      </c>
      <c r="M393" s="1">
        <f>怪物标准模型!AW401</f>
        <v>3189976</v>
      </c>
      <c r="N393" s="1">
        <f>怪物标准模型!AX401</f>
        <v>7177446</v>
      </c>
    </row>
    <row r="394" spans="2:14">
      <c r="B394" s="4">
        <v>391</v>
      </c>
      <c r="C394" s="1">
        <f>怪物标准模型!AY402</f>
        <v>97364100</v>
      </c>
      <c r="D394" s="1">
        <f>怪物标准模型!AM402</f>
        <v>98798</v>
      </c>
      <c r="E394" s="1">
        <f>怪物标准模型!AN402</f>
        <v>39212</v>
      </c>
      <c r="F394" s="37">
        <f>怪物标准模型!AP402</f>
        <v>98798</v>
      </c>
      <c r="G394" s="38">
        <f t="shared" si="6"/>
        <v>39212</v>
      </c>
      <c r="H394" s="1">
        <f>怪物标准模型!AR402</f>
        <v>803460</v>
      </c>
      <c r="I394" s="1">
        <f>怪物标准模型!AS402</f>
        <v>2410380</v>
      </c>
      <c r="J394" s="1">
        <f>怪物标准模型!AT402</f>
        <v>1446228</v>
      </c>
      <c r="K394" s="1">
        <f>怪物标准模型!AU402</f>
        <v>401730</v>
      </c>
      <c r="L394" s="1">
        <f>怪物标准模型!AV402</f>
        <v>120519</v>
      </c>
      <c r="M394" s="1">
        <f>怪物标准模型!AW402</f>
        <v>3213840</v>
      </c>
      <c r="N394" s="1">
        <f>怪物标准模型!AX402</f>
        <v>7231140</v>
      </c>
    </row>
    <row r="395" spans="2:14">
      <c r="B395" s="4">
        <v>392</v>
      </c>
      <c r="C395" s="1">
        <f>怪物标准模型!AY403</f>
        <v>98151000</v>
      </c>
      <c r="D395" s="1">
        <f>怪物标准模型!AM403</f>
        <v>99464</v>
      </c>
      <c r="E395" s="1">
        <f>怪物标准模型!AN403</f>
        <v>39357</v>
      </c>
      <c r="F395" s="37">
        <f>怪物标准模型!AP403</f>
        <v>99464</v>
      </c>
      <c r="G395" s="38">
        <f t="shared" si="6"/>
        <v>39357</v>
      </c>
      <c r="H395" s="1">
        <f>怪物标准模型!AR403</f>
        <v>809459</v>
      </c>
      <c r="I395" s="1">
        <f>怪物标准模型!AS403</f>
        <v>2428377</v>
      </c>
      <c r="J395" s="1">
        <f>怪物标准模型!AT403</f>
        <v>1457027</v>
      </c>
      <c r="K395" s="1">
        <f>怪物标准模型!AU403</f>
        <v>404730</v>
      </c>
      <c r="L395" s="1">
        <f>怪物标准模型!AV403</f>
        <v>121419</v>
      </c>
      <c r="M395" s="1">
        <f>怪物标准模型!AW403</f>
        <v>3237836</v>
      </c>
      <c r="N395" s="1">
        <f>怪物标准模型!AX403</f>
        <v>7285131</v>
      </c>
    </row>
    <row r="396" spans="2:14">
      <c r="B396" s="4">
        <v>393</v>
      </c>
      <c r="C396" s="1">
        <f>怪物标准模型!AY404</f>
        <v>98942940</v>
      </c>
      <c r="D396" s="1">
        <f>怪物标准模型!AM404</f>
        <v>100133</v>
      </c>
      <c r="E396" s="1">
        <f>怪物标准模型!AN404</f>
        <v>39502</v>
      </c>
      <c r="F396" s="37">
        <f>怪物标准模型!AP404</f>
        <v>100133</v>
      </c>
      <c r="G396" s="38">
        <f t="shared" si="6"/>
        <v>39502</v>
      </c>
      <c r="H396" s="1">
        <f>怪物标准模型!AR404</f>
        <v>815492</v>
      </c>
      <c r="I396" s="1">
        <f>怪物标准模型!AS404</f>
        <v>2446476</v>
      </c>
      <c r="J396" s="1">
        <f>怪物标准模型!AT404</f>
        <v>1467886</v>
      </c>
      <c r="K396" s="1">
        <f>怪物标准模型!AU404</f>
        <v>407746</v>
      </c>
      <c r="L396" s="1">
        <f>怪物标准模型!AV404</f>
        <v>122324</v>
      </c>
      <c r="M396" s="1">
        <f>怪物标准模型!AW404</f>
        <v>3261968</v>
      </c>
      <c r="N396" s="1">
        <f>怪物标准模型!AX404</f>
        <v>7339428</v>
      </c>
    </row>
    <row r="397" spans="2:14">
      <c r="B397" s="4">
        <v>394</v>
      </c>
      <c r="C397" s="1">
        <f>怪物标准模型!AY405</f>
        <v>99739800</v>
      </c>
      <c r="D397" s="1">
        <f>怪物标准模型!AM405</f>
        <v>100806</v>
      </c>
      <c r="E397" s="1">
        <f>怪物标准模型!AN405</f>
        <v>39647</v>
      </c>
      <c r="F397" s="37">
        <f>怪物标准模型!AP405</f>
        <v>100806</v>
      </c>
      <c r="G397" s="38">
        <f t="shared" si="6"/>
        <v>39647</v>
      </c>
      <c r="H397" s="1">
        <f>怪物标准模型!AR405</f>
        <v>821560</v>
      </c>
      <c r="I397" s="1">
        <f>怪物标准模型!AS405</f>
        <v>2464680</v>
      </c>
      <c r="J397" s="1">
        <f>怪物标准模型!AT405</f>
        <v>1478808</v>
      </c>
      <c r="K397" s="1">
        <f>怪物标准模型!AU405</f>
        <v>410780</v>
      </c>
      <c r="L397" s="1">
        <f>怪物标准模型!AV405</f>
        <v>123234</v>
      </c>
      <c r="M397" s="1">
        <f>怪物标准模型!AW405</f>
        <v>3286240</v>
      </c>
      <c r="N397" s="1">
        <f>怪物标准模型!AX405</f>
        <v>7394040</v>
      </c>
    </row>
    <row r="398" spans="2:14">
      <c r="B398" s="4">
        <v>395</v>
      </c>
      <c r="C398" s="1">
        <f>怪物标准模型!AY406</f>
        <v>100541760</v>
      </c>
      <c r="D398" s="1">
        <f>怪物标准模型!AM406</f>
        <v>101482</v>
      </c>
      <c r="E398" s="1">
        <f>怪物标准模型!AN406</f>
        <v>39792</v>
      </c>
      <c r="F398" s="37">
        <f>怪物标准模型!AP406</f>
        <v>101482</v>
      </c>
      <c r="G398" s="38">
        <f t="shared" si="6"/>
        <v>39792</v>
      </c>
      <c r="H398" s="1">
        <f>怪物标准模型!AR406</f>
        <v>827661</v>
      </c>
      <c r="I398" s="1">
        <f>怪物标准模型!AS406</f>
        <v>2482983</v>
      </c>
      <c r="J398" s="1">
        <f>怪物标准模型!AT406</f>
        <v>1489790</v>
      </c>
      <c r="K398" s="1">
        <f>怪物标准模型!AU406</f>
        <v>413831</v>
      </c>
      <c r="L398" s="1">
        <f>怪物标准模型!AV406</f>
        <v>124150</v>
      </c>
      <c r="M398" s="1">
        <f>怪物标准模型!AW406</f>
        <v>3310644</v>
      </c>
      <c r="N398" s="1">
        <f>怪物标准模型!AX406</f>
        <v>7448949</v>
      </c>
    </row>
    <row r="399" spans="2:14">
      <c r="B399" s="4">
        <v>396</v>
      </c>
      <c r="C399" s="1">
        <f>怪物标准模型!AY407</f>
        <v>101348820</v>
      </c>
      <c r="D399" s="1">
        <f>怪物标准模型!AM407</f>
        <v>102162</v>
      </c>
      <c r="E399" s="1">
        <f>怪物标准模型!AN407</f>
        <v>39938</v>
      </c>
      <c r="F399" s="37">
        <f>怪物标准模型!AP407</f>
        <v>102162</v>
      </c>
      <c r="G399" s="38">
        <f t="shared" si="6"/>
        <v>39938</v>
      </c>
      <c r="H399" s="1">
        <f>怪物标准模型!AR407</f>
        <v>833797</v>
      </c>
      <c r="I399" s="1">
        <f>怪物标准模型!AS407</f>
        <v>2501391</v>
      </c>
      <c r="J399" s="1">
        <f>怪物标准模型!AT407</f>
        <v>1500835</v>
      </c>
      <c r="K399" s="1">
        <f>怪物标准模型!AU407</f>
        <v>416899</v>
      </c>
      <c r="L399" s="1">
        <f>怪物标准模型!AV407</f>
        <v>125070</v>
      </c>
      <c r="M399" s="1">
        <f>怪物标准模型!AW407</f>
        <v>3335188</v>
      </c>
      <c r="N399" s="1">
        <f>怪物标准模型!AX407</f>
        <v>7504173</v>
      </c>
    </row>
    <row r="400" spans="2:14">
      <c r="B400" s="4">
        <v>397</v>
      </c>
      <c r="C400" s="1">
        <f>怪物标准模型!AY408</f>
        <v>102160920</v>
      </c>
      <c r="D400" s="1">
        <f>怪物标准模型!AM408</f>
        <v>102845</v>
      </c>
      <c r="E400" s="1">
        <f>怪物标准模型!AN408</f>
        <v>40084</v>
      </c>
      <c r="F400" s="37">
        <f>怪物标准模型!AP408</f>
        <v>102845</v>
      </c>
      <c r="G400" s="38">
        <f t="shared" si="6"/>
        <v>40084</v>
      </c>
      <c r="H400" s="1">
        <f>怪物标准模型!AR408</f>
        <v>839968</v>
      </c>
      <c r="I400" s="1">
        <f>怪物标准模型!AS408</f>
        <v>2519904</v>
      </c>
      <c r="J400" s="1">
        <f>怪物标准模型!AT408</f>
        <v>1511943</v>
      </c>
      <c r="K400" s="1">
        <f>怪物标准模型!AU408</f>
        <v>419984</v>
      </c>
      <c r="L400" s="1">
        <f>怪物标准模型!AV408</f>
        <v>125996</v>
      </c>
      <c r="M400" s="1">
        <f>怪物标准模型!AW408</f>
        <v>3359872</v>
      </c>
      <c r="N400" s="1">
        <f>怪物标准模型!AX408</f>
        <v>7559712</v>
      </c>
    </row>
    <row r="401" spans="2:14">
      <c r="B401" s="4">
        <v>398</v>
      </c>
      <c r="C401" s="1">
        <f>怪物标准模型!AY409</f>
        <v>102978120</v>
      </c>
      <c r="D401" s="1">
        <f>怪物标准模型!AM409</f>
        <v>103531</v>
      </c>
      <c r="E401" s="1">
        <f>怪物标准模型!AN409</f>
        <v>40230</v>
      </c>
      <c r="F401" s="37">
        <f>怪物标准模型!AP409</f>
        <v>103531</v>
      </c>
      <c r="G401" s="38">
        <f t="shared" si="6"/>
        <v>40230</v>
      </c>
      <c r="H401" s="1">
        <f>怪物标准模型!AR409</f>
        <v>846173</v>
      </c>
      <c r="I401" s="1">
        <f>怪物标准模型!AS409</f>
        <v>2538519</v>
      </c>
      <c r="J401" s="1">
        <f>怪物标准模型!AT409</f>
        <v>1523112</v>
      </c>
      <c r="K401" s="1">
        <f>怪物标准模型!AU409</f>
        <v>423087</v>
      </c>
      <c r="L401" s="1">
        <f>怪物标准模型!AV409</f>
        <v>126926</v>
      </c>
      <c r="M401" s="1">
        <f>怪物标准模型!AW409</f>
        <v>3384692</v>
      </c>
      <c r="N401" s="1">
        <f>怪物标准模型!AX409</f>
        <v>7615557</v>
      </c>
    </row>
    <row r="402" spans="2:14">
      <c r="B402" s="4">
        <v>399</v>
      </c>
      <c r="C402" s="1">
        <f>怪物标准模型!AY410</f>
        <v>103800480</v>
      </c>
      <c r="D402" s="1">
        <f>怪物标准模型!AM410</f>
        <v>104221</v>
      </c>
      <c r="E402" s="1">
        <f>怪物标准模型!AN410</f>
        <v>40377</v>
      </c>
      <c r="F402" s="37">
        <f>怪物标准模型!AP410</f>
        <v>104221</v>
      </c>
      <c r="G402" s="38">
        <f t="shared" si="6"/>
        <v>40377</v>
      </c>
      <c r="H402" s="1">
        <f>怪物标准模型!AR410</f>
        <v>852413</v>
      </c>
      <c r="I402" s="1">
        <f>怪物标准模型!AS410</f>
        <v>2557239</v>
      </c>
      <c r="J402" s="1">
        <f>怪物标准模型!AT410</f>
        <v>1534344</v>
      </c>
      <c r="K402" s="1">
        <f>怪物标准模型!AU410</f>
        <v>426207</v>
      </c>
      <c r="L402" s="1">
        <f>怪物标准模型!AV410</f>
        <v>127862</v>
      </c>
      <c r="M402" s="1">
        <f>怪物标准模型!AW410</f>
        <v>3409652</v>
      </c>
      <c r="N402" s="1">
        <f>怪物标准模型!AX410</f>
        <v>7671717</v>
      </c>
    </row>
    <row r="403" spans="2:14">
      <c r="B403" s="4">
        <v>400</v>
      </c>
      <c r="C403" s="1">
        <f>怪物标准模型!AY411</f>
        <v>104628000</v>
      </c>
      <c r="D403" s="1">
        <f>怪物标准模型!AM411</f>
        <v>104915</v>
      </c>
      <c r="E403" s="1">
        <f>怪物标准模型!AN411</f>
        <v>40524</v>
      </c>
      <c r="F403" s="37">
        <f>怪物标准模型!AP411</f>
        <v>104915</v>
      </c>
      <c r="G403" s="38">
        <f t="shared" si="6"/>
        <v>40524</v>
      </c>
      <c r="H403" s="1">
        <f>怪物标准模型!AR411</f>
        <v>858688</v>
      </c>
      <c r="I403" s="1">
        <f>怪物标准模型!AS411</f>
        <v>2576064</v>
      </c>
      <c r="J403" s="1">
        <f>怪物标准模型!AT411</f>
        <v>1545639</v>
      </c>
      <c r="K403" s="1">
        <f>怪物标准模型!AU411</f>
        <v>429344</v>
      </c>
      <c r="L403" s="1">
        <f>怪物标准模型!AV411</f>
        <v>128804</v>
      </c>
      <c r="M403" s="1">
        <f>怪物标准模型!AW411</f>
        <v>3434752</v>
      </c>
      <c r="N403" s="1">
        <f>怪物标准模型!AX411</f>
        <v>7728192</v>
      </c>
    </row>
    <row r="404" spans="2:14">
      <c r="B404" s="4">
        <v>401</v>
      </c>
      <c r="C404" s="1">
        <f>怪物标准模型!AY412</f>
        <v>105460740</v>
      </c>
      <c r="D404" s="1">
        <f>怪物标准模型!AM412</f>
        <v>105612</v>
      </c>
      <c r="E404" s="1">
        <f>怪物标准模型!AN412</f>
        <v>40671</v>
      </c>
      <c r="F404" s="37">
        <f>怪物标准模型!AP412</f>
        <v>105612</v>
      </c>
      <c r="G404" s="38">
        <f t="shared" si="6"/>
        <v>40671</v>
      </c>
      <c r="H404" s="1">
        <f>怪物标准模型!AR412</f>
        <v>864998</v>
      </c>
      <c r="I404" s="1">
        <f>怪物标准模型!AS412</f>
        <v>2594994</v>
      </c>
      <c r="J404" s="1">
        <f>怪物标准模型!AT412</f>
        <v>1556997</v>
      </c>
      <c r="K404" s="1">
        <f>怪物标准模型!AU412</f>
        <v>432499</v>
      </c>
      <c r="L404" s="1">
        <f>怪物标准模型!AV412</f>
        <v>129750</v>
      </c>
      <c r="M404" s="1">
        <f>怪物标准模型!AW412</f>
        <v>3459992</v>
      </c>
      <c r="N404" s="1">
        <f>怪物标准模型!AX412</f>
        <v>7784982</v>
      </c>
    </row>
    <row r="405" spans="2:14">
      <c r="B405" s="4">
        <v>402</v>
      </c>
      <c r="C405" s="1">
        <f>怪物标准模型!AY413</f>
        <v>106298640</v>
      </c>
      <c r="D405" s="1">
        <f>怪物标准模型!AM413</f>
        <v>106312</v>
      </c>
      <c r="E405" s="1">
        <f>怪物标准模型!AN413</f>
        <v>40818</v>
      </c>
      <c r="F405" s="37">
        <f>怪物标准模型!AP413</f>
        <v>106312</v>
      </c>
      <c r="G405" s="38">
        <f t="shared" si="6"/>
        <v>40818</v>
      </c>
      <c r="H405" s="1">
        <f>怪物标准模型!AR413</f>
        <v>871344</v>
      </c>
      <c r="I405" s="1">
        <f>怪物标准模型!AS413</f>
        <v>2614032</v>
      </c>
      <c r="J405" s="1">
        <f>怪物标准模型!AT413</f>
        <v>1568420</v>
      </c>
      <c r="K405" s="1">
        <f>怪物标准模型!AU413</f>
        <v>435672</v>
      </c>
      <c r="L405" s="1">
        <f>怪物标准模型!AV413</f>
        <v>130702</v>
      </c>
      <c r="M405" s="1">
        <f>怪物标准模型!AW413</f>
        <v>3485376</v>
      </c>
      <c r="N405" s="1">
        <f>怪物标准模型!AX413</f>
        <v>7842096</v>
      </c>
    </row>
    <row r="406" spans="2:14">
      <c r="B406" s="4">
        <v>403</v>
      </c>
      <c r="C406" s="1">
        <f>怪物标准模型!AY414</f>
        <v>107141820</v>
      </c>
      <c r="D406" s="1">
        <f>怪物标准模型!AM414</f>
        <v>107017</v>
      </c>
      <c r="E406" s="1">
        <f>怪物标准模型!AN414</f>
        <v>40965</v>
      </c>
      <c r="F406" s="37">
        <f>怪物标准模型!AP414</f>
        <v>107017</v>
      </c>
      <c r="G406" s="38">
        <f t="shared" si="6"/>
        <v>40965</v>
      </c>
      <c r="H406" s="1">
        <f>怪物标准模型!AR414</f>
        <v>877724</v>
      </c>
      <c r="I406" s="1">
        <f>怪物标准模型!AS414</f>
        <v>2633172</v>
      </c>
      <c r="J406" s="1">
        <f>怪物标准模型!AT414</f>
        <v>1579904</v>
      </c>
      <c r="K406" s="1">
        <f>怪物标准模型!AU414</f>
        <v>438862</v>
      </c>
      <c r="L406" s="1">
        <f>怪物标准模型!AV414</f>
        <v>131659</v>
      </c>
      <c r="M406" s="1">
        <f>怪物标准模型!AW414</f>
        <v>3510896</v>
      </c>
      <c r="N406" s="1">
        <f>怪物标准模型!AX414</f>
        <v>7899516</v>
      </c>
    </row>
    <row r="407" spans="2:14">
      <c r="B407" s="4">
        <v>404</v>
      </c>
      <c r="C407" s="1">
        <f>怪物标准模型!AY415</f>
        <v>107990280</v>
      </c>
      <c r="D407" s="1">
        <f>怪物标准模型!AM415</f>
        <v>107724</v>
      </c>
      <c r="E407" s="1">
        <f>怪物标准模型!AN415</f>
        <v>41113</v>
      </c>
      <c r="F407" s="37">
        <f>怪物标准模型!AP415</f>
        <v>107724</v>
      </c>
      <c r="G407" s="38">
        <f t="shared" si="6"/>
        <v>41113</v>
      </c>
      <c r="H407" s="1">
        <f>怪物标准模型!AR415</f>
        <v>884141</v>
      </c>
      <c r="I407" s="1">
        <f>怪物标准模型!AS415</f>
        <v>2652423</v>
      </c>
      <c r="J407" s="1">
        <f>怪物标准模型!AT415</f>
        <v>1591454</v>
      </c>
      <c r="K407" s="1">
        <f>怪物标准模型!AU415</f>
        <v>442071</v>
      </c>
      <c r="L407" s="1">
        <f>怪物标准模型!AV415</f>
        <v>132622</v>
      </c>
      <c r="M407" s="1">
        <f>怪物标准模型!AW415</f>
        <v>3536564</v>
      </c>
      <c r="N407" s="1">
        <f>怪物标准模型!AX415</f>
        <v>7957269</v>
      </c>
    </row>
    <row r="408" spans="2:14">
      <c r="B408" s="4">
        <v>405</v>
      </c>
      <c r="C408" s="1">
        <f>怪物标准模型!AY416</f>
        <v>108844020</v>
      </c>
      <c r="D408" s="1">
        <f>怪物标准模型!AM416</f>
        <v>108435</v>
      </c>
      <c r="E408" s="1">
        <f>怪物标准模型!AN416</f>
        <v>41260</v>
      </c>
      <c r="F408" s="37">
        <f>怪物标准模型!AP416</f>
        <v>108435</v>
      </c>
      <c r="G408" s="38">
        <f t="shared" si="6"/>
        <v>41260</v>
      </c>
      <c r="H408" s="1">
        <f>怪物标准模型!AR416</f>
        <v>890593</v>
      </c>
      <c r="I408" s="1">
        <f>怪物标准模型!AS416</f>
        <v>2671779</v>
      </c>
      <c r="J408" s="1">
        <f>怪物标准模型!AT416</f>
        <v>1603068</v>
      </c>
      <c r="K408" s="1">
        <f>怪物标准模型!AU416</f>
        <v>445297</v>
      </c>
      <c r="L408" s="1">
        <f>怪物标准模型!AV416</f>
        <v>133589</v>
      </c>
      <c r="M408" s="1">
        <f>怪物标准模型!AW416</f>
        <v>3562372</v>
      </c>
      <c r="N408" s="1">
        <f>怪物标准模型!AX416</f>
        <v>8015337</v>
      </c>
    </row>
    <row r="409" spans="2:14">
      <c r="B409" s="4">
        <v>406</v>
      </c>
      <c r="C409" s="1">
        <f>怪物标准模型!AY417</f>
        <v>109703040</v>
      </c>
      <c r="D409" s="1">
        <f>怪物标准模型!AM417</f>
        <v>109150</v>
      </c>
      <c r="E409" s="1">
        <f>怪物标准模型!AN417</f>
        <v>41408</v>
      </c>
      <c r="F409" s="37">
        <f>怪物标准模型!AP417</f>
        <v>109150</v>
      </c>
      <c r="G409" s="38">
        <f t="shared" si="6"/>
        <v>41408</v>
      </c>
      <c r="H409" s="1">
        <f>怪物标准模型!AR417</f>
        <v>897081</v>
      </c>
      <c r="I409" s="1">
        <f>怪物标准模型!AS417</f>
        <v>2691243</v>
      </c>
      <c r="J409" s="1">
        <f>怪物标准模型!AT417</f>
        <v>1614746</v>
      </c>
      <c r="K409" s="1">
        <f>怪物标准模型!AU417</f>
        <v>448541</v>
      </c>
      <c r="L409" s="1">
        <f>怪物标准模型!AV417</f>
        <v>134563</v>
      </c>
      <c r="M409" s="1">
        <f>怪物标准模型!AW417</f>
        <v>3588324</v>
      </c>
      <c r="N409" s="1">
        <f>怪物标准模型!AX417</f>
        <v>8073729</v>
      </c>
    </row>
    <row r="410" spans="2:14">
      <c r="B410" s="4">
        <v>407</v>
      </c>
      <c r="C410" s="1">
        <f>怪物标准模型!AY418</f>
        <v>110567460</v>
      </c>
      <c r="D410" s="1">
        <f>怪物标准模型!AM418</f>
        <v>109868</v>
      </c>
      <c r="E410" s="1">
        <f>怪物标准模型!AN418</f>
        <v>41557</v>
      </c>
      <c r="F410" s="37">
        <f>怪物标准模型!AP418</f>
        <v>109868</v>
      </c>
      <c r="G410" s="38">
        <f t="shared" si="6"/>
        <v>41557</v>
      </c>
      <c r="H410" s="1">
        <f>怪物标准模型!AR418</f>
        <v>903605</v>
      </c>
      <c r="I410" s="1">
        <f>怪物标准模型!AS418</f>
        <v>2710815</v>
      </c>
      <c r="J410" s="1">
        <f>怪物标准模型!AT418</f>
        <v>1626489</v>
      </c>
      <c r="K410" s="1">
        <f>怪物标准模型!AU418</f>
        <v>451803</v>
      </c>
      <c r="L410" s="1">
        <f>怪物标准模型!AV418</f>
        <v>135541</v>
      </c>
      <c r="M410" s="1">
        <f>怪物标准模型!AW418</f>
        <v>3614420</v>
      </c>
      <c r="N410" s="1">
        <f>怪物标准模型!AX418</f>
        <v>8132445</v>
      </c>
    </row>
    <row r="411" spans="2:14">
      <c r="B411" s="4">
        <v>408</v>
      </c>
      <c r="C411" s="1">
        <f>怪物标准模型!AY419</f>
        <v>111437220</v>
      </c>
      <c r="D411" s="1">
        <f>怪物标准模型!AM419</f>
        <v>110590</v>
      </c>
      <c r="E411" s="1">
        <f>怪物标准模型!AN419</f>
        <v>41705</v>
      </c>
      <c r="F411" s="37">
        <f>怪物标准模型!AP419</f>
        <v>110590</v>
      </c>
      <c r="G411" s="38">
        <f t="shared" si="6"/>
        <v>41705</v>
      </c>
      <c r="H411" s="1">
        <f>怪物标准模型!AR419</f>
        <v>910165</v>
      </c>
      <c r="I411" s="1">
        <f>怪物标准模型!AS419</f>
        <v>2730495</v>
      </c>
      <c r="J411" s="1">
        <f>怪物标准模型!AT419</f>
        <v>1638297</v>
      </c>
      <c r="K411" s="1">
        <f>怪物标准模型!AU419</f>
        <v>455083</v>
      </c>
      <c r="L411" s="1">
        <f>怪物标准模型!AV419</f>
        <v>136525</v>
      </c>
      <c r="M411" s="1">
        <f>怪物标准模型!AW419</f>
        <v>3640660</v>
      </c>
      <c r="N411" s="1">
        <f>怪物标准模型!AX419</f>
        <v>8191485</v>
      </c>
    </row>
    <row r="412" spans="2:14">
      <c r="B412" s="4">
        <v>409</v>
      </c>
      <c r="C412" s="1">
        <f>怪物标准模型!AY420</f>
        <v>112312380</v>
      </c>
      <c r="D412" s="1">
        <f>怪物标准模型!AM420</f>
        <v>111316</v>
      </c>
      <c r="E412" s="1">
        <f>怪物标准模型!AN420</f>
        <v>41854</v>
      </c>
      <c r="F412" s="37">
        <f>怪物标准模型!AP420</f>
        <v>111316</v>
      </c>
      <c r="G412" s="38">
        <f t="shared" si="6"/>
        <v>41854</v>
      </c>
      <c r="H412" s="1">
        <f>怪物标准模型!AR420</f>
        <v>916761</v>
      </c>
      <c r="I412" s="1">
        <f>怪物标准模型!AS420</f>
        <v>2750283</v>
      </c>
      <c r="J412" s="1">
        <f>怪物标准模型!AT420</f>
        <v>1650170</v>
      </c>
      <c r="K412" s="1">
        <f>怪物标准模型!AU420</f>
        <v>458381</v>
      </c>
      <c r="L412" s="1">
        <f>怪物标准模型!AV420</f>
        <v>137515</v>
      </c>
      <c r="M412" s="1">
        <f>怪物标准模型!AW420</f>
        <v>3667044</v>
      </c>
      <c r="N412" s="1">
        <f>怪物标准模型!AX420</f>
        <v>8250849</v>
      </c>
    </row>
    <row r="413" spans="2:14">
      <c r="B413" s="4">
        <v>410</v>
      </c>
      <c r="C413" s="1">
        <f>怪物标准模型!AY421</f>
        <v>113192940</v>
      </c>
      <c r="D413" s="1">
        <f>怪物标准模型!AM421</f>
        <v>112045</v>
      </c>
      <c r="E413" s="1">
        <f>怪物标准模型!AN421</f>
        <v>42003</v>
      </c>
      <c r="F413" s="37">
        <f>怪物标准模型!AP421</f>
        <v>112045</v>
      </c>
      <c r="G413" s="38">
        <f t="shared" si="6"/>
        <v>42003</v>
      </c>
      <c r="H413" s="1">
        <f>怪物标准模型!AR421</f>
        <v>923394</v>
      </c>
      <c r="I413" s="1">
        <f>怪物标准模型!AS421</f>
        <v>2770182</v>
      </c>
      <c r="J413" s="1">
        <f>怪物标准模型!AT421</f>
        <v>1662110</v>
      </c>
      <c r="K413" s="1">
        <f>怪物标准模型!AU421</f>
        <v>461697</v>
      </c>
      <c r="L413" s="1">
        <f>怪物标准模型!AV421</f>
        <v>138510</v>
      </c>
      <c r="M413" s="1">
        <f>怪物标准模型!AW421</f>
        <v>3693576</v>
      </c>
      <c r="N413" s="1">
        <f>怪物标准模型!AX421</f>
        <v>8310546</v>
      </c>
    </row>
    <row r="414" spans="2:14">
      <c r="B414" s="4">
        <v>411</v>
      </c>
      <c r="C414" s="1">
        <f>怪物标准模型!AY422</f>
        <v>114078960</v>
      </c>
      <c r="D414" s="1">
        <f>怪物标准模型!AM422</f>
        <v>112778</v>
      </c>
      <c r="E414" s="1">
        <f>怪物标准模型!AN422</f>
        <v>42152</v>
      </c>
      <c r="F414" s="37">
        <f>怪物标准模型!AP422</f>
        <v>112778</v>
      </c>
      <c r="G414" s="38">
        <f t="shared" si="6"/>
        <v>42152</v>
      </c>
      <c r="H414" s="1">
        <f>怪物标准模型!AR422</f>
        <v>930063</v>
      </c>
      <c r="I414" s="1">
        <f>怪物标准模型!AS422</f>
        <v>2790189</v>
      </c>
      <c r="J414" s="1">
        <f>怪物标准模型!AT422</f>
        <v>1674114</v>
      </c>
      <c r="K414" s="1">
        <f>怪物标准模型!AU422</f>
        <v>465032</v>
      </c>
      <c r="L414" s="1">
        <f>怪物标准模型!AV422</f>
        <v>139510</v>
      </c>
      <c r="M414" s="1">
        <f>怪物标准模型!AW422</f>
        <v>3720252</v>
      </c>
      <c r="N414" s="1">
        <f>怪物标准模型!AX422</f>
        <v>8370567</v>
      </c>
    </row>
    <row r="415" spans="2:14">
      <c r="B415" s="4">
        <v>412</v>
      </c>
      <c r="C415" s="1">
        <f>怪物标准模型!AY423</f>
        <v>114970440</v>
      </c>
      <c r="D415" s="1">
        <f>怪物标准模型!AM423</f>
        <v>113514</v>
      </c>
      <c r="E415" s="1">
        <f>怪物标准模型!AN423</f>
        <v>42302</v>
      </c>
      <c r="F415" s="37">
        <f>怪物标准模型!AP423</f>
        <v>113514</v>
      </c>
      <c r="G415" s="38">
        <f t="shared" si="6"/>
        <v>42302</v>
      </c>
      <c r="H415" s="1">
        <f>怪物标准模型!AR423</f>
        <v>936769</v>
      </c>
      <c r="I415" s="1">
        <f>怪物标准模型!AS423</f>
        <v>2810307</v>
      </c>
      <c r="J415" s="1">
        <f>怪物标准模型!AT423</f>
        <v>1686185</v>
      </c>
      <c r="K415" s="1">
        <f>怪物标准模型!AU423</f>
        <v>468385</v>
      </c>
      <c r="L415" s="1">
        <f>怪物标准模型!AV423</f>
        <v>140516</v>
      </c>
      <c r="M415" s="1">
        <f>怪物标准模型!AW423</f>
        <v>3747076</v>
      </c>
      <c r="N415" s="1">
        <f>怪物标准模型!AX423</f>
        <v>8430921</v>
      </c>
    </row>
    <row r="416" spans="2:14">
      <c r="B416" s="4">
        <v>413</v>
      </c>
      <c r="C416" s="1">
        <f>怪物标准模型!AY424</f>
        <v>115867440</v>
      </c>
      <c r="D416" s="1">
        <f>怪物标准模型!AM424</f>
        <v>114254</v>
      </c>
      <c r="E416" s="1">
        <f>怪物标准模型!AN424</f>
        <v>42451</v>
      </c>
      <c r="F416" s="37">
        <f>怪物标准模型!AP424</f>
        <v>114254</v>
      </c>
      <c r="G416" s="38">
        <f t="shared" si="6"/>
        <v>42451</v>
      </c>
      <c r="H416" s="1">
        <f>怪物标准模型!AR424</f>
        <v>943512</v>
      </c>
      <c r="I416" s="1">
        <f>怪物标准模型!AS424</f>
        <v>2830536</v>
      </c>
      <c r="J416" s="1">
        <f>怪物标准模型!AT424</f>
        <v>1698322</v>
      </c>
      <c r="K416" s="1">
        <f>怪物标准模型!AU424</f>
        <v>471756</v>
      </c>
      <c r="L416" s="1">
        <f>怪物标准模型!AV424</f>
        <v>141527</v>
      </c>
      <c r="M416" s="1">
        <f>怪物标准模型!AW424</f>
        <v>3774048</v>
      </c>
      <c r="N416" s="1">
        <f>怪物标准模型!AX424</f>
        <v>8491608</v>
      </c>
    </row>
    <row r="417" spans="2:14">
      <c r="B417" s="4">
        <v>414</v>
      </c>
      <c r="C417" s="1">
        <f>怪物标准模型!AY425</f>
        <v>116770020</v>
      </c>
      <c r="D417" s="1">
        <f>怪物标准模型!AM425</f>
        <v>114998</v>
      </c>
      <c r="E417" s="1">
        <f>怪物标准模型!AN425</f>
        <v>42601</v>
      </c>
      <c r="F417" s="37">
        <f>怪物标准模型!AP425</f>
        <v>114998</v>
      </c>
      <c r="G417" s="38">
        <f t="shared" si="6"/>
        <v>42601</v>
      </c>
      <c r="H417" s="1">
        <f>怪物标准模型!AR425</f>
        <v>950292</v>
      </c>
      <c r="I417" s="1">
        <f>怪物标准模型!AS425</f>
        <v>2850876</v>
      </c>
      <c r="J417" s="1">
        <f>怪物标准模型!AT425</f>
        <v>1710526</v>
      </c>
      <c r="K417" s="1">
        <f>怪物标准模型!AU425</f>
        <v>475146</v>
      </c>
      <c r="L417" s="1">
        <f>怪物标准模型!AV425</f>
        <v>142544</v>
      </c>
      <c r="M417" s="1">
        <f>怪物标准模型!AW425</f>
        <v>3801168</v>
      </c>
      <c r="N417" s="1">
        <f>怪物标准模型!AX425</f>
        <v>8552628</v>
      </c>
    </row>
    <row r="418" spans="2:14">
      <c r="B418" s="4">
        <v>415</v>
      </c>
      <c r="C418" s="1">
        <f>怪物标准模型!AY426</f>
        <v>117678060</v>
      </c>
      <c r="D418" s="1">
        <f>怪物标准模型!AM426</f>
        <v>115746</v>
      </c>
      <c r="E418" s="1">
        <f>怪物标准模型!AN426</f>
        <v>42751</v>
      </c>
      <c r="F418" s="37">
        <f>怪物标准模型!AP426</f>
        <v>115746</v>
      </c>
      <c r="G418" s="38">
        <f t="shared" si="6"/>
        <v>42751</v>
      </c>
      <c r="H418" s="1">
        <f>怪物标准模型!AR426</f>
        <v>957110</v>
      </c>
      <c r="I418" s="1">
        <f>怪物标准模型!AS426</f>
        <v>2871330</v>
      </c>
      <c r="J418" s="1">
        <f>怪物标准模型!AT426</f>
        <v>1722798</v>
      </c>
      <c r="K418" s="1">
        <f>怪物标准模型!AU426</f>
        <v>478555</v>
      </c>
      <c r="L418" s="1">
        <f>怪物标准模型!AV426</f>
        <v>143567</v>
      </c>
      <c r="M418" s="1">
        <f>怪物标准模型!AW426</f>
        <v>3828440</v>
      </c>
      <c r="N418" s="1">
        <f>怪物标准模型!AX426</f>
        <v>8613990</v>
      </c>
    </row>
    <row r="419" spans="2:14">
      <c r="B419" s="4">
        <v>416</v>
      </c>
      <c r="C419" s="1">
        <f>怪物标准模型!AY427</f>
        <v>118591740</v>
      </c>
      <c r="D419" s="1">
        <f>怪物标准模型!AM427</f>
        <v>116497</v>
      </c>
      <c r="E419" s="1">
        <f>怪物标准模型!AN427</f>
        <v>42901</v>
      </c>
      <c r="F419" s="37">
        <f>怪物标准模型!AP427</f>
        <v>116497</v>
      </c>
      <c r="G419" s="38">
        <f t="shared" si="6"/>
        <v>42901</v>
      </c>
      <c r="H419" s="1">
        <f>怪物标准模型!AR427</f>
        <v>963964</v>
      </c>
      <c r="I419" s="1">
        <f>怪物标准模型!AS427</f>
        <v>2891892</v>
      </c>
      <c r="J419" s="1">
        <f>怪物标准模型!AT427</f>
        <v>1735136</v>
      </c>
      <c r="K419" s="1">
        <f>怪物标准模型!AU427</f>
        <v>481982</v>
      </c>
      <c r="L419" s="1">
        <f>怪物标准模型!AV427</f>
        <v>144595</v>
      </c>
      <c r="M419" s="1">
        <f>怪物标准模型!AW427</f>
        <v>3855856</v>
      </c>
      <c r="N419" s="1">
        <f>怪物标准模型!AX427</f>
        <v>8675676</v>
      </c>
    </row>
    <row r="420" spans="2:14">
      <c r="B420" s="4">
        <v>417</v>
      </c>
      <c r="C420" s="1">
        <f>怪物标准模型!AY428</f>
        <v>119511000</v>
      </c>
      <c r="D420" s="1">
        <f>怪物标准模型!AM428</f>
        <v>117252</v>
      </c>
      <c r="E420" s="1">
        <f>怪物标准模型!AN428</f>
        <v>43052</v>
      </c>
      <c r="F420" s="37">
        <f>怪物标准模型!AP428</f>
        <v>117252</v>
      </c>
      <c r="G420" s="38">
        <f t="shared" si="6"/>
        <v>43052</v>
      </c>
      <c r="H420" s="1">
        <f>怪物标准模型!AR428</f>
        <v>970856</v>
      </c>
      <c r="I420" s="1">
        <f>怪物标准模型!AS428</f>
        <v>2912568</v>
      </c>
      <c r="J420" s="1">
        <f>怪物标准模型!AT428</f>
        <v>1747541</v>
      </c>
      <c r="K420" s="1">
        <f>怪物标准模型!AU428</f>
        <v>485428</v>
      </c>
      <c r="L420" s="1">
        <f>怪物标准模型!AV428</f>
        <v>145629</v>
      </c>
      <c r="M420" s="1">
        <f>怪物标准模型!AW428</f>
        <v>3883424</v>
      </c>
      <c r="N420" s="1">
        <f>怪物标准模型!AX428</f>
        <v>8737704</v>
      </c>
    </row>
    <row r="421" spans="2:14">
      <c r="B421" s="4">
        <v>418</v>
      </c>
      <c r="C421" s="1">
        <f>怪物标准模型!AY429</f>
        <v>120435900</v>
      </c>
      <c r="D421" s="1">
        <f>怪物标准模型!AM429</f>
        <v>118010</v>
      </c>
      <c r="E421" s="1">
        <f>怪物标准模型!AN429</f>
        <v>43203</v>
      </c>
      <c r="F421" s="37">
        <f>怪物标准模型!AP429</f>
        <v>118010</v>
      </c>
      <c r="G421" s="38">
        <f t="shared" si="6"/>
        <v>43203</v>
      </c>
      <c r="H421" s="1">
        <f>怪物标准模型!AR429</f>
        <v>977786</v>
      </c>
      <c r="I421" s="1">
        <f>怪物标准模型!AS429</f>
        <v>2933358</v>
      </c>
      <c r="J421" s="1">
        <f>怪物标准模型!AT429</f>
        <v>1760015</v>
      </c>
      <c r="K421" s="1">
        <f>怪物标准模型!AU429</f>
        <v>488893</v>
      </c>
      <c r="L421" s="1">
        <f>怪物标准模型!AV429</f>
        <v>146668</v>
      </c>
      <c r="M421" s="1">
        <f>怪物标准模型!AW429</f>
        <v>3911144</v>
      </c>
      <c r="N421" s="1">
        <f>怪物标准模型!AX429</f>
        <v>8800074</v>
      </c>
    </row>
    <row r="422" spans="2:14">
      <c r="B422" s="4">
        <v>419</v>
      </c>
      <c r="C422" s="1">
        <f>怪物标准模型!AY430</f>
        <v>121366500</v>
      </c>
      <c r="D422" s="1">
        <f>怪物标准模型!AM430</f>
        <v>118773</v>
      </c>
      <c r="E422" s="1">
        <f>怪物标准模型!AN430</f>
        <v>43354</v>
      </c>
      <c r="F422" s="37">
        <f>怪物标准模型!AP430</f>
        <v>118773</v>
      </c>
      <c r="G422" s="38">
        <f t="shared" si="6"/>
        <v>43354</v>
      </c>
      <c r="H422" s="1">
        <f>怪物标准模型!AR430</f>
        <v>984754</v>
      </c>
      <c r="I422" s="1">
        <f>怪物标准模型!AS430</f>
        <v>2954262</v>
      </c>
      <c r="J422" s="1">
        <f>怪物标准模型!AT430</f>
        <v>1772558</v>
      </c>
      <c r="K422" s="1">
        <f>怪物标准模型!AU430</f>
        <v>492377</v>
      </c>
      <c r="L422" s="1">
        <f>怪物标准模型!AV430</f>
        <v>147714</v>
      </c>
      <c r="M422" s="1">
        <f>怪物标准模型!AW430</f>
        <v>3939016</v>
      </c>
      <c r="N422" s="1">
        <f>怪物标准模型!AX430</f>
        <v>8862786</v>
      </c>
    </row>
    <row r="423" spans="2:14">
      <c r="B423" s="4">
        <v>420</v>
      </c>
      <c r="C423" s="1">
        <f>怪物标准模型!AY431</f>
        <v>122302740</v>
      </c>
      <c r="D423" s="1">
        <f>怪物标准模型!AM431</f>
        <v>119539</v>
      </c>
      <c r="E423" s="1">
        <f>怪物标准模型!AN431</f>
        <v>43505</v>
      </c>
      <c r="F423" s="37">
        <f>怪物标准模型!AP431</f>
        <v>119539</v>
      </c>
      <c r="G423" s="38">
        <f t="shared" si="6"/>
        <v>43505</v>
      </c>
      <c r="H423" s="1">
        <f>怪物标准模型!AR431</f>
        <v>991760</v>
      </c>
      <c r="I423" s="1">
        <f>怪物标准模型!AS431</f>
        <v>2975280</v>
      </c>
      <c r="J423" s="1">
        <f>怪物标准模型!AT431</f>
        <v>1785168</v>
      </c>
      <c r="K423" s="1">
        <f>怪物标准模型!AU431</f>
        <v>495880</v>
      </c>
      <c r="L423" s="1">
        <f>怪物标准模型!AV431</f>
        <v>148764</v>
      </c>
      <c r="M423" s="1">
        <f>怪物标准模型!AW431</f>
        <v>3967040</v>
      </c>
      <c r="N423" s="1">
        <f>怪物标准模型!AX431</f>
        <v>8925840</v>
      </c>
    </row>
    <row r="424" spans="2:14">
      <c r="B424" s="4">
        <v>421</v>
      </c>
      <c r="C424" s="1">
        <f>怪物标准模型!AY432</f>
        <v>123244740</v>
      </c>
      <c r="D424" s="1">
        <f>怪物标准模型!AM432</f>
        <v>120309</v>
      </c>
      <c r="E424" s="1">
        <f>怪物标准模型!AN432</f>
        <v>43656</v>
      </c>
      <c r="F424" s="37">
        <f>怪物标准模型!AP432</f>
        <v>120309</v>
      </c>
      <c r="G424" s="38">
        <f t="shared" si="6"/>
        <v>43656</v>
      </c>
      <c r="H424" s="1">
        <f>怪物标准模型!AR432</f>
        <v>998803</v>
      </c>
      <c r="I424" s="1">
        <f>怪物标准模型!AS432</f>
        <v>2996409</v>
      </c>
      <c r="J424" s="1">
        <f>怪物标准模型!AT432</f>
        <v>1797846</v>
      </c>
      <c r="K424" s="1">
        <f>怪物标准模型!AU432</f>
        <v>499402</v>
      </c>
      <c r="L424" s="1">
        <f>怪物标准模型!AV432</f>
        <v>149821</v>
      </c>
      <c r="M424" s="1">
        <f>怪物标准模型!AW432</f>
        <v>3995212</v>
      </c>
      <c r="N424" s="1">
        <f>怪物标准模型!AX432</f>
        <v>8989227</v>
      </c>
    </row>
    <row r="425" spans="2:14">
      <c r="B425" s="4">
        <v>422</v>
      </c>
      <c r="C425" s="1">
        <f>怪物标准模型!AY433</f>
        <v>124192440</v>
      </c>
      <c r="D425" s="1">
        <f>怪物标准模型!AM433</f>
        <v>121083</v>
      </c>
      <c r="E425" s="1">
        <f>怪物标准模型!AN433</f>
        <v>43808</v>
      </c>
      <c r="F425" s="37">
        <f>怪物标准模型!AP433</f>
        <v>121083</v>
      </c>
      <c r="G425" s="38">
        <f t="shared" si="6"/>
        <v>43808</v>
      </c>
      <c r="H425" s="1">
        <f>怪物标准模型!AR433</f>
        <v>1005885</v>
      </c>
      <c r="I425" s="1">
        <f>怪物标准模型!AS433</f>
        <v>3017655</v>
      </c>
      <c r="J425" s="1">
        <f>怪物标准模型!AT433</f>
        <v>1810593</v>
      </c>
      <c r="K425" s="1">
        <f>怪物标准模型!AU433</f>
        <v>502943</v>
      </c>
      <c r="L425" s="1">
        <f>怪物标准模型!AV433</f>
        <v>150883</v>
      </c>
      <c r="M425" s="1">
        <f>怪物标准模型!AW433</f>
        <v>4023540</v>
      </c>
      <c r="N425" s="1">
        <f>怪物标准模型!AX433</f>
        <v>9052965</v>
      </c>
    </row>
    <row r="426" spans="2:14">
      <c r="B426" s="4">
        <v>423</v>
      </c>
      <c r="C426" s="1">
        <f>怪物标准模型!AY434</f>
        <v>125145900</v>
      </c>
      <c r="D426" s="1">
        <f>怪物标准模型!AM434</f>
        <v>121860</v>
      </c>
      <c r="E426" s="1">
        <f>怪物标准模型!AN434</f>
        <v>43960</v>
      </c>
      <c r="F426" s="37">
        <f>怪物标准模型!AP434</f>
        <v>121860</v>
      </c>
      <c r="G426" s="38">
        <f t="shared" si="6"/>
        <v>43960</v>
      </c>
      <c r="H426" s="1">
        <f>怪物标准模型!AR434</f>
        <v>1013006</v>
      </c>
      <c r="I426" s="1">
        <f>怪物标准模型!AS434</f>
        <v>3039018</v>
      </c>
      <c r="J426" s="1">
        <f>怪物标准模型!AT434</f>
        <v>1823411</v>
      </c>
      <c r="K426" s="1">
        <f>怪物标准模型!AU434</f>
        <v>506503</v>
      </c>
      <c r="L426" s="1">
        <f>怪物标准模型!AV434</f>
        <v>151951</v>
      </c>
      <c r="M426" s="1">
        <f>怪物标准模型!AW434</f>
        <v>4052024</v>
      </c>
      <c r="N426" s="1">
        <f>怪物标准模型!AX434</f>
        <v>9117054</v>
      </c>
    </row>
    <row r="427" spans="2:14">
      <c r="B427" s="4">
        <v>424</v>
      </c>
      <c r="C427" s="1">
        <f>怪物标准模型!AY435</f>
        <v>126105240</v>
      </c>
      <c r="D427" s="1">
        <f>怪物标准模型!AM435</f>
        <v>122641</v>
      </c>
      <c r="E427" s="1">
        <f>怪物标准模型!AN435</f>
        <v>44112</v>
      </c>
      <c r="F427" s="37">
        <f>怪物标准模型!AP435</f>
        <v>122641</v>
      </c>
      <c r="G427" s="38">
        <f t="shared" si="6"/>
        <v>44112</v>
      </c>
      <c r="H427" s="1">
        <f>怪物标准模型!AR435</f>
        <v>1020165</v>
      </c>
      <c r="I427" s="1">
        <f>怪物标准模型!AS435</f>
        <v>3060495</v>
      </c>
      <c r="J427" s="1">
        <f>怪物标准模型!AT435</f>
        <v>1836297</v>
      </c>
      <c r="K427" s="1">
        <f>怪物标准模型!AU435</f>
        <v>510083</v>
      </c>
      <c r="L427" s="1">
        <f>怪物标准模型!AV435</f>
        <v>153025</v>
      </c>
      <c r="M427" s="1">
        <f>怪物标准模型!AW435</f>
        <v>4080660</v>
      </c>
      <c r="N427" s="1">
        <f>怪物标准模型!AX435</f>
        <v>9181485</v>
      </c>
    </row>
    <row r="428" spans="2:14">
      <c r="B428" s="4">
        <v>425</v>
      </c>
      <c r="C428" s="1">
        <f>怪物标准模型!AY436</f>
        <v>127070340</v>
      </c>
      <c r="D428" s="1">
        <f>怪物标准模型!AM436</f>
        <v>123427</v>
      </c>
      <c r="E428" s="1">
        <f>怪物标准模型!AN436</f>
        <v>44265</v>
      </c>
      <c r="F428" s="37">
        <f>怪物标准模型!AP436</f>
        <v>123427</v>
      </c>
      <c r="G428" s="38">
        <f t="shared" si="6"/>
        <v>44265</v>
      </c>
      <c r="H428" s="1">
        <f>怪物标准模型!AR436</f>
        <v>1027363</v>
      </c>
      <c r="I428" s="1">
        <f>怪物标准模型!AS436</f>
        <v>3082089</v>
      </c>
      <c r="J428" s="1">
        <f>怪物标准模型!AT436</f>
        <v>1849254</v>
      </c>
      <c r="K428" s="1">
        <f>怪物标准模型!AU436</f>
        <v>513682</v>
      </c>
      <c r="L428" s="1">
        <f>怪物标准模型!AV436</f>
        <v>154105</v>
      </c>
      <c r="M428" s="1">
        <f>怪物标准模型!AW436</f>
        <v>4109452</v>
      </c>
      <c r="N428" s="1">
        <f>怪物标准模型!AX436</f>
        <v>9246267</v>
      </c>
    </row>
    <row r="429" spans="2:14">
      <c r="B429" s="4">
        <v>426</v>
      </c>
      <c r="C429" s="1">
        <f>怪物标准模型!AY437</f>
        <v>128041320</v>
      </c>
      <c r="D429" s="1">
        <f>怪物标准模型!AM437</f>
        <v>124216</v>
      </c>
      <c r="E429" s="1">
        <f>怪物标准模型!AN437</f>
        <v>44417</v>
      </c>
      <c r="F429" s="37">
        <f>怪物标准模型!AP437</f>
        <v>124216</v>
      </c>
      <c r="G429" s="38">
        <f t="shared" si="6"/>
        <v>44417</v>
      </c>
      <c r="H429" s="1">
        <f>怪物标准模型!AR437</f>
        <v>1034600</v>
      </c>
      <c r="I429" s="1">
        <f>怪物标准模型!AS437</f>
        <v>3103800</v>
      </c>
      <c r="J429" s="1">
        <f>怪物标准模型!AT437</f>
        <v>1862280</v>
      </c>
      <c r="K429" s="1">
        <f>怪物标准模型!AU437</f>
        <v>517300</v>
      </c>
      <c r="L429" s="1">
        <f>怪物标准模型!AV437</f>
        <v>155190</v>
      </c>
      <c r="M429" s="1">
        <f>怪物标准模型!AW437</f>
        <v>4138400</v>
      </c>
      <c r="N429" s="1">
        <f>怪物标准模型!AX437</f>
        <v>9311400</v>
      </c>
    </row>
    <row r="430" spans="2:14">
      <c r="B430" s="4">
        <v>427</v>
      </c>
      <c r="C430" s="1">
        <f>怪物标准模型!AY438</f>
        <v>129018120</v>
      </c>
      <c r="D430" s="1">
        <f>怪物标准模型!AM438</f>
        <v>125009</v>
      </c>
      <c r="E430" s="1">
        <f>怪物标准模型!AN438</f>
        <v>44570</v>
      </c>
      <c r="F430" s="37">
        <f>怪物标准模型!AP438</f>
        <v>125009</v>
      </c>
      <c r="G430" s="38">
        <f t="shared" si="6"/>
        <v>44570</v>
      </c>
      <c r="H430" s="1">
        <f>怪物标准模型!AR438</f>
        <v>1041875</v>
      </c>
      <c r="I430" s="1">
        <f>怪物标准模型!AS438</f>
        <v>3125625</v>
      </c>
      <c r="J430" s="1">
        <f>怪物标准模型!AT438</f>
        <v>1875375</v>
      </c>
      <c r="K430" s="1">
        <f>怪物标准模型!AU438</f>
        <v>520938</v>
      </c>
      <c r="L430" s="1">
        <f>怪物标准模型!AV438</f>
        <v>156282</v>
      </c>
      <c r="M430" s="1">
        <f>怪物标准模型!AW438</f>
        <v>4167500</v>
      </c>
      <c r="N430" s="1">
        <f>怪物标准模型!AX438</f>
        <v>9376875</v>
      </c>
    </row>
    <row r="431" spans="2:14">
      <c r="B431" s="4">
        <v>428</v>
      </c>
      <c r="C431" s="1">
        <f>怪物标准模型!AY439</f>
        <v>130000920</v>
      </c>
      <c r="D431" s="1">
        <f>怪物标准模型!AM439</f>
        <v>125805</v>
      </c>
      <c r="E431" s="1">
        <f>怪物标准模型!AN439</f>
        <v>44723</v>
      </c>
      <c r="F431" s="37">
        <f>怪物标准模型!AP439</f>
        <v>125805</v>
      </c>
      <c r="G431" s="38">
        <f t="shared" si="6"/>
        <v>44723</v>
      </c>
      <c r="H431" s="1">
        <f>怪物标准模型!AR439</f>
        <v>1049190</v>
      </c>
      <c r="I431" s="1">
        <f>怪物标准模型!AS439</f>
        <v>3147570</v>
      </c>
      <c r="J431" s="1">
        <f>怪物标准模型!AT439</f>
        <v>1888542</v>
      </c>
      <c r="K431" s="1">
        <f>怪物标准模型!AU439</f>
        <v>524595</v>
      </c>
      <c r="L431" s="1">
        <f>怪物标准模型!AV439</f>
        <v>157379</v>
      </c>
      <c r="M431" s="1">
        <f>怪物标准模型!AW439</f>
        <v>4196760</v>
      </c>
      <c r="N431" s="1">
        <f>怪物标准模型!AX439</f>
        <v>9442710</v>
      </c>
    </row>
    <row r="432" spans="2:14">
      <c r="B432" s="4">
        <v>429</v>
      </c>
      <c r="C432" s="1">
        <f>怪物标准模型!AY440</f>
        <v>130989600</v>
      </c>
      <c r="D432" s="1">
        <f>怪物标准模型!AM440</f>
        <v>126606</v>
      </c>
      <c r="E432" s="1">
        <f>怪物标准模型!AN440</f>
        <v>44876</v>
      </c>
      <c r="F432" s="37">
        <f>怪物标准模型!AP440</f>
        <v>126606</v>
      </c>
      <c r="G432" s="38">
        <f t="shared" si="6"/>
        <v>44876</v>
      </c>
      <c r="H432" s="1">
        <f>怪物标准模型!AR440</f>
        <v>1056545</v>
      </c>
      <c r="I432" s="1">
        <f>怪物标准模型!AS440</f>
        <v>3169635</v>
      </c>
      <c r="J432" s="1">
        <f>怪物标准模型!AT440</f>
        <v>1901781</v>
      </c>
      <c r="K432" s="1">
        <f>怪物标准模型!AU440</f>
        <v>528273</v>
      </c>
      <c r="L432" s="1">
        <f>怪物标准模型!AV440</f>
        <v>158482</v>
      </c>
      <c r="M432" s="1">
        <f>怪物标准模型!AW440</f>
        <v>4226180</v>
      </c>
      <c r="N432" s="1">
        <f>怪物标准模型!AX440</f>
        <v>9508905</v>
      </c>
    </row>
    <row r="433" spans="2:14">
      <c r="B433" s="4">
        <v>430</v>
      </c>
      <c r="C433" s="1">
        <f>怪物标准模型!AY441</f>
        <v>131984280</v>
      </c>
      <c r="D433" s="1">
        <f>怪物标准模型!AM441</f>
        <v>127411</v>
      </c>
      <c r="E433" s="1">
        <f>怪物标准模型!AN441</f>
        <v>45030</v>
      </c>
      <c r="F433" s="37">
        <f>怪物标准模型!AP441</f>
        <v>127411</v>
      </c>
      <c r="G433" s="38">
        <f t="shared" si="6"/>
        <v>45030</v>
      </c>
      <c r="H433" s="1">
        <f>怪物标准模型!AR441</f>
        <v>1063939</v>
      </c>
      <c r="I433" s="1">
        <f>怪物标准模型!AS441</f>
        <v>3191817</v>
      </c>
      <c r="J433" s="1">
        <f>怪物标准模型!AT441</f>
        <v>1915091</v>
      </c>
      <c r="K433" s="1">
        <f>怪物标准模型!AU441</f>
        <v>531970</v>
      </c>
      <c r="L433" s="1">
        <f>怪物标准模型!AV441</f>
        <v>159591</v>
      </c>
      <c r="M433" s="1">
        <f>怪物标准模型!AW441</f>
        <v>4255756</v>
      </c>
      <c r="N433" s="1">
        <f>怪物标准模型!AX441</f>
        <v>9575451</v>
      </c>
    </row>
    <row r="434" spans="2:14">
      <c r="B434" s="4">
        <v>431</v>
      </c>
      <c r="C434" s="1">
        <f>怪物标准模型!AY442</f>
        <v>132984900</v>
      </c>
      <c r="D434" s="1">
        <f>怪物标准模型!AM442</f>
        <v>128219</v>
      </c>
      <c r="E434" s="1">
        <f>怪物标准模型!AN442</f>
        <v>45184</v>
      </c>
      <c r="F434" s="37">
        <f>怪物标准模型!AP442</f>
        <v>128219</v>
      </c>
      <c r="G434" s="38">
        <f t="shared" si="6"/>
        <v>45184</v>
      </c>
      <c r="H434" s="1">
        <f>怪物标准模型!AR442</f>
        <v>1071373</v>
      </c>
      <c r="I434" s="1">
        <f>怪物标准模型!AS442</f>
        <v>3214119</v>
      </c>
      <c r="J434" s="1">
        <f>怪物标准模型!AT442</f>
        <v>1928472</v>
      </c>
      <c r="K434" s="1">
        <f>怪物标准模型!AU442</f>
        <v>535687</v>
      </c>
      <c r="L434" s="1">
        <f>怪物标准模型!AV442</f>
        <v>160706</v>
      </c>
      <c r="M434" s="1">
        <f>怪物标准模型!AW442</f>
        <v>4285492</v>
      </c>
      <c r="N434" s="1">
        <f>怪物标准模型!AX442</f>
        <v>9642357</v>
      </c>
    </row>
    <row r="435" spans="2:14">
      <c r="B435" s="4">
        <v>432</v>
      </c>
      <c r="C435" s="1">
        <f>怪物标准模型!AY443</f>
        <v>133991640</v>
      </c>
      <c r="D435" s="1">
        <f>怪物标准模型!AM443</f>
        <v>129032</v>
      </c>
      <c r="E435" s="1">
        <f>怪物标准模型!AN443</f>
        <v>45337</v>
      </c>
      <c r="F435" s="37">
        <f>怪物标准模型!AP443</f>
        <v>129032</v>
      </c>
      <c r="G435" s="38">
        <f t="shared" si="6"/>
        <v>45337</v>
      </c>
      <c r="H435" s="1">
        <f>怪物标准模型!AR443</f>
        <v>1078846</v>
      </c>
      <c r="I435" s="1">
        <f>怪物标准模型!AS443</f>
        <v>3236538</v>
      </c>
      <c r="J435" s="1">
        <f>怪物标准模型!AT443</f>
        <v>1941923</v>
      </c>
      <c r="K435" s="1">
        <f>怪物标准模型!AU443</f>
        <v>539423</v>
      </c>
      <c r="L435" s="1">
        <f>怪物标准模型!AV443</f>
        <v>161827</v>
      </c>
      <c r="M435" s="1">
        <f>怪物标准模型!AW443</f>
        <v>4315384</v>
      </c>
      <c r="N435" s="1">
        <f>怪物标准模型!AX443</f>
        <v>9709614</v>
      </c>
    </row>
    <row r="436" spans="2:14">
      <c r="B436" s="4">
        <v>433</v>
      </c>
      <c r="C436" s="1">
        <f>怪物标准模型!AY444</f>
        <v>135004320</v>
      </c>
      <c r="D436" s="1">
        <f>怪物标准模型!AM444</f>
        <v>129848</v>
      </c>
      <c r="E436" s="1">
        <f>怪物标准模型!AN444</f>
        <v>45492</v>
      </c>
      <c r="F436" s="37">
        <f>怪物标准模型!AP444</f>
        <v>129848</v>
      </c>
      <c r="G436" s="38">
        <f t="shared" si="6"/>
        <v>45492</v>
      </c>
      <c r="H436" s="1">
        <f>怪物标准模型!AR444</f>
        <v>1086360</v>
      </c>
      <c r="I436" s="1">
        <f>怪物标准模型!AS444</f>
        <v>3259080</v>
      </c>
      <c r="J436" s="1">
        <f>怪物标准模型!AT444</f>
        <v>1955448</v>
      </c>
      <c r="K436" s="1">
        <f>怪物标准模型!AU444</f>
        <v>543180</v>
      </c>
      <c r="L436" s="1">
        <f>怪物标准模型!AV444</f>
        <v>162954</v>
      </c>
      <c r="M436" s="1">
        <f>怪物标准模型!AW444</f>
        <v>4345440</v>
      </c>
      <c r="N436" s="1">
        <f>怪物标准模型!AX444</f>
        <v>9777240</v>
      </c>
    </row>
    <row r="437" spans="2:14">
      <c r="B437" s="4">
        <v>434</v>
      </c>
      <c r="C437" s="1">
        <f>怪物标准模型!AY445</f>
        <v>136023180</v>
      </c>
      <c r="D437" s="1">
        <f>怪物标准模型!AM445</f>
        <v>130669</v>
      </c>
      <c r="E437" s="1">
        <f>怪物标准模型!AN445</f>
        <v>45646</v>
      </c>
      <c r="F437" s="37">
        <f>怪物标准模型!AP445</f>
        <v>130669</v>
      </c>
      <c r="G437" s="38">
        <f t="shared" si="6"/>
        <v>45646</v>
      </c>
      <c r="H437" s="1">
        <f>怪物标准模型!AR445</f>
        <v>1093914</v>
      </c>
      <c r="I437" s="1">
        <f>怪物标准模型!AS445</f>
        <v>3281742</v>
      </c>
      <c r="J437" s="1">
        <f>怪物标准模型!AT445</f>
        <v>1969046</v>
      </c>
      <c r="K437" s="1">
        <f>怪物标准模型!AU445</f>
        <v>546957</v>
      </c>
      <c r="L437" s="1">
        <f>怪物标准模型!AV445</f>
        <v>164088</v>
      </c>
      <c r="M437" s="1">
        <f>怪物标准模型!AW445</f>
        <v>4375656</v>
      </c>
      <c r="N437" s="1">
        <f>怪物标准模型!AX445</f>
        <v>9845226</v>
      </c>
    </row>
    <row r="438" spans="2:14">
      <c r="B438" s="4">
        <v>435</v>
      </c>
      <c r="C438" s="1">
        <f>怪物标准模型!AY446</f>
        <v>137048100</v>
      </c>
      <c r="D438" s="1">
        <f>怪物标准模型!AM446</f>
        <v>131493</v>
      </c>
      <c r="E438" s="1">
        <f>怪物标准模型!AN446</f>
        <v>45801</v>
      </c>
      <c r="F438" s="37">
        <f>怪物标准模型!AP446</f>
        <v>131493</v>
      </c>
      <c r="G438" s="38">
        <f t="shared" si="6"/>
        <v>45801</v>
      </c>
      <c r="H438" s="1">
        <f>怪物标准模型!AR446</f>
        <v>1101508</v>
      </c>
      <c r="I438" s="1">
        <f>怪物标准模型!AS446</f>
        <v>3304524</v>
      </c>
      <c r="J438" s="1">
        <f>怪物标准模型!AT446</f>
        <v>1982715</v>
      </c>
      <c r="K438" s="1">
        <f>怪物标准模型!AU446</f>
        <v>550754</v>
      </c>
      <c r="L438" s="1">
        <f>怪物标准模型!AV446</f>
        <v>165227</v>
      </c>
      <c r="M438" s="1">
        <f>怪物标准模型!AW446</f>
        <v>4406032</v>
      </c>
      <c r="N438" s="1">
        <f>怪物标准模型!AX446</f>
        <v>9913572</v>
      </c>
    </row>
    <row r="439" spans="2:14">
      <c r="B439" s="4">
        <v>436</v>
      </c>
      <c r="C439" s="1">
        <f>怪物标准模型!AY447</f>
        <v>138079140</v>
      </c>
      <c r="D439" s="1">
        <f>怪物标准模型!AM447</f>
        <v>132321</v>
      </c>
      <c r="E439" s="1">
        <f>怪物标准模型!AN447</f>
        <v>45956</v>
      </c>
      <c r="F439" s="37">
        <f>怪物标准模型!AP447</f>
        <v>132321</v>
      </c>
      <c r="G439" s="38">
        <f t="shared" si="6"/>
        <v>45956</v>
      </c>
      <c r="H439" s="1">
        <f>怪物标准模型!AR447</f>
        <v>1109143</v>
      </c>
      <c r="I439" s="1">
        <f>怪物标准模型!AS447</f>
        <v>3327429</v>
      </c>
      <c r="J439" s="1">
        <f>怪物标准模型!AT447</f>
        <v>1996458</v>
      </c>
      <c r="K439" s="1">
        <f>怪物标准模型!AU447</f>
        <v>554572</v>
      </c>
      <c r="L439" s="1">
        <f>怪物标准模型!AV447</f>
        <v>166372</v>
      </c>
      <c r="M439" s="1">
        <f>怪物标准模型!AW447</f>
        <v>4436572</v>
      </c>
      <c r="N439" s="1">
        <f>怪物标准模型!AX447</f>
        <v>9982287</v>
      </c>
    </row>
    <row r="440" spans="2:14">
      <c r="B440" s="4">
        <v>437</v>
      </c>
      <c r="C440" s="1">
        <f>怪物标准模型!AY448</f>
        <v>139116360</v>
      </c>
      <c r="D440" s="1">
        <f>怪物标准模型!AM448</f>
        <v>133154</v>
      </c>
      <c r="E440" s="1">
        <f>怪物标准模型!AN448</f>
        <v>46111</v>
      </c>
      <c r="F440" s="37">
        <f>怪物标准模型!AP448</f>
        <v>133154</v>
      </c>
      <c r="G440" s="38">
        <f t="shared" si="6"/>
        <v>46111</v>
      </c>
      <c r="H440" s="1">
        <f>怪物标准模型!AR448</f>
        <v>1116818</v>
      </c>
      <c r="I440" s="1">
        <f>怪物标准模型!AS448</f>
        <v>3350454</v>
      </c>
      <c r="J440" s="1">
        <f>怪物标准模型!AT448</f>
        <v>2010273</v>
      </c>
      <c r="K440" s="1">
        <f>怪物标准模型!AU448</f>
        <v>558409</v>
      </c>
      <c r="L440" s="1">
        <f>怪物标准模型!AV448</f>
        <v>167523</v>
      </c>
      <c r="M440" s="1">
        <f>怪物标准模型!AW448</f>
        <v>4467272</v>
      </c>
      <c r="N440" s="1">
        <f>怪物标准模型!AX448</f>
        <v>10051362</v>
      </c>
    </row>
    <row r="441" spans="2:14">
      <c r="B441" s="4">
        <v>438</v>
      </c>
      <c r="C441" s="1">
        <f>怪物标准模型!AY449</f>
        <v>140159820</v>
      </c>
      <c r="D441" s="1">
        <f>怪物标准模型!AM449</f>
        <v>133990</v>
      </c>
      <c r="E441" s="1">
        <f>怪物标准模型!AN449</f>
        <v>46266</v>
      </c>
      <c r="F441" s="37">
        <f>怪物标准模型!AP449</f>
        <v>133990</v>
      </c>
      <c r="G441" s="38">
        <f t="shared" si="6"/>
        <v>46266</v>
      </c>
      <c r="H441" s="1">
        <f>怪物标准模型!AR449</f>
        <v>1124534</v>
      </c>
      <c r="I441" s="1">
        <f>怪物标准模型!AS449</f>
        <v>3373602</v>
      </c>
      <c r="J441" s="1">
        <f>怪物标准模型!AT449</f>
        <v>2024162</v>
      </c>
      <c r="K441" s="1">
        <f>怪物标准模型!AU449</f>
        <v>562267</v>
      </c>
      <c r="L441" s="1">
        <f>怪物标准模型!AV449</f>
        <v>168681</v>
      </c>
      <c r="M441" s="1">
        <f>怪物标准模型!AW449</f>
        <v>4498136</v>
      </c>
      <c r="N441" s="1">
        <f>怪物标准模型!AX449</f>
        <v>10120806</v>
      </c>
    </row>
    <row r="442" spans="2:14">
      <c r="B442" s="4">
        <v>439</v>
      </c>
      <c r="C442" s="1">
        <f>怪物标准模型!AY450</f>
        <v>141209460</v>
      </c>
      <c r="D442" s="1">
        <f>怪物标准模型!AM450</f>
        <v>134831</v>
      </c>
      <c r="E442" s="1">
        <f>怪物标准模型!AN450</f>
        <v>46422</v>
      </c>
      <c r="F442" s="37">
        <f>怪物标准模型!AP450</f>
        <v>134831</v>
      </c>
      <c r="G442" s="38">
        <f t="shared" si="6"/>
        <v>46422</v>
      </c>
      <c r="H442" s="1">
        <f>怪物标准模型!AR450</f>
        <v>1132292</v>
      </c>
      <c r="I442" s="1">
        <f>怪物标准模型!AS450</f>
        <v>3396876</v>
      </c>
      <c r="J442" s="1">
        <f>怪物标准模型!AT450</f>
        <v>2038126</v>
      </c>
      <c r="K442" s="1">
        <f>怪物标准模型!AU450</f>
        <v>566146</v>
      </c>
      <c r="L442" s="1">
        <f>怪物标准模型!AV450</f>
        <v>169844</v>
      </c>
      <c r="M442" s="1">
        <f>怪物标准模型!AW450</f>
        <v>4529168</v>
      </c>
      <c r="N442" s="1">
        <f>怪物标准模型!AX450</f>
        <v>10190628</v>
      </c>
    </row>
    <row r="443" spans="2:14">
      <c r="B443" s="4">
        <v>440</v>
      </c>
      <c r="C443" s="1">
        <f>怪物标准模型!AY451</f>
        <v>142265400</v>
      </c>
      <c r="D443" s="1">
        <f>怪物标准模型!AM451</f>
        <v>135675</v>
      </c>
      <c r="E443" s="1">
        <f>怪物标准模型!AN451</f>
        <v>46577</v>
      </c>
      <c r="F443" s="37">
        <f>怪物标准模型!AP451</f>
        <v>135675</v>
      </c>
      <c r="G443" s="38">
        <f t="shared" si="6"/>
        <v>46577</v>
      </c>
      <c r="H443" s="1">
        <f>怪物标准模型!AR451</f>
        <v>1140090</v>
      </c>
      <c r="I443" s="1">
        <f>怪物标准模型!AS451</f>
        <v>3420270</v>
      </c>
      <c r="J443" s="1">
        <f>怪物标准模型!AT451</f>
        <v>2052162</v>
      </c>
      <c r="K443" s="1">
        <f>怪物标准模型!AU451</f>
        <v>570045</v>
      </c>
      <c r="L443" s="1">
        <f>怪物标准模型!AV451</f>
        <v>171014</v>
      </c>
      <c r="M443" s="1">
        <f>怪物标准模型!AW451</f>
        <v>4560360</v>
      </c>
      <c r="N443" s="1">
        <f>怪物标准模型!AX451</f>
        <v>10260810</v>
      </c>
    </row>
    <row r="444" spans="2:14">
      <c r="B444" s="4">
        <v>441</v>
      </c>
      <c r="C444" s="1">
        <f>怪物标准模型!AY452</f>
        <v>143327580</v>
      </c>
      <c r="D444" s="1">
        <f>怪物标准模型!AM452</f>
        <v>136524</v>
      </c>
      <c r="E444" s="1">
        <f>怪物标准模型!AN452</f>
        <v>46733</v>
      </c>
      <c r="F444" s="37">
        <f>怪物标准模型!AP452</f>
        <v>136524</v>
      </c>
      <c r="G444" s="38">
        <f t="shared" si="6"/>
        <v>46733</v>
      </c>
      <c r="H444" s="1">
        <f>怪物标准模型!AR452</f>
        <v>1147930</v>
      </c>
      <c r="I444" s="1">
        <f>怪物标准模型!AS452</f>
        <v>3443790</v>
      </c>
      <c r="J444" s="1">
        <f>怪物标准模型!AT452</f>
        <v>2066274</v>
      </c>
      <c r="K444" s="1">
        <f>怪物标准模型!AU452</f>
        <v>573965</v>
      </c>
      <c r="L444" s="1">
        <f>怪物标准模型!AV452</f>
        <v>172190</v>
      </c>
      <c r="M444" s="1">
        <f>怪物标准模型!AW452</f>
        <v>4591720</v>
      </c>
      <c r="N444" s="1">
        <f>怪物标准模型!AX452</f>
        <v>10331370</v>
      </c>
    </row>
    <row r="445" spans="2:14">
      <c r="B445" s="4">
        <v>442</v>
      </c>
      <c r="C445" s="1">
        <f>怪物标准模型!AY453</f>
        <v>144396060</v>
      </c>
      <c r="D445" s="1">
        <f>怪物标准模型!AM453</f>
        <v>137376</v>
      </c>
      <c r="E445" s="1">
        <f>怪物标准模型!AN453</f>
        <v>46890</v>
      </c>
      <c r="F445" s="37">
        <f>怪物标准模型!AP453</f>
        <v>137376</v>
      </c>
      <c r="G445" s="38">
        <f t="shared" si="6"/>
        <v>46890</v>
      </c>
      <c r="H445" s="1">
        <f>怪物标准模型!AR453</f>
        <v>1155811</v>
      </c>
      <c r="I445" s="1">
        <f>怪物标准模型!AS453</f>
        <v>3467433</v>
      </c>
      <c r="J445" s="1">
        <f>怪物标准模型!AT453</f>
        <v>2080460</v>
      </c>
      <c r="K445" s="1">
        <f>怪物标准模型!AU453</f>
        <v>577906</v>
      </c>
      <c r="L445" s="1">
        <f>怪物标准模型!AV453</f>
        <v>173372</v>
      </c>
      <c r="M445" s="1">
        <f>怪物标准模型!AW453</f>
        <v>4623244</v>
      </c>
      <c r="N445" s="1">
        <f>怪物标准模型!AX453</f>
        <v>10402299</v>
      </c>
    </row>
    <row r="446" spans="2:14">
      <c r="B446" s="4">
        <v>443</v>
      </c>
      <c r="C446" s="1">
        <f>怪物标准模型!AY454</f>
        <v>145470900</v>
      </c>
      <c r="D446" s="1">
        <f>怪物标准模型!AM454</f>
        <v>138233</v>
      </c>
      <c r="E446" s="1">
        <f>怪物标准模型!AN454</f>
        <v>47046</v>
      </c>
      <c r="F446" s="37">
        <f>怪物标准模型!AP454</f>
        <v>138233</v>
      </c>
      <c r="G446" s="38">
        <f t="shared" si="6"/>
        <v>47046</v>
      </c>
      <c r="H446" s="1">
        <f>怪物标准模型!AR454</f>
        <v>1163734</v>
      </c>
      <c r="I446" s="1">
        <f>怪物标准模型!AS454</f>
        <v>3491202</v>
      </c>
      <c r="J446" s="1">
        <f>怪物标准模型!AT454</f>
        <v>2094722</v>
      </c>
      <c r="K446" s="1">
        <f>怪物标准模型!AU454</f>
        <v>581867</v>
      </c>
      <c r="L446" s="1">
        <f>怪物标准模型!AV454</f>
        <v>174561</v>
      </c>
      <c r="M446" s="1">
        <f>怪物标准模型!AW454</f>
        <v>4654936</v>
      </c>
      <c r="N446" s="1">
        <f>怪物标准模型!AX454</f>
        <v>10473606</v>
      </c>
    </row>
    <row r="447" spans="2:14">
      <c r="B447" s="4">
        <v>444</v>
      </c>
      <c r="C447" s="1">
        <f>怪物标准模型!AY455</f>
        <v>146552160</v>
      </c>
      <c r="D447" s="1">
        <f>怪物标准模型!AM455</f>
        <v>139094</v>
      </c>
      <c r="E447" s="1">
        <f>怪物标准模型!AN455</f>
        <v>47203</v>
      </c>
      <c r="F447" s="37">
        <f>怪物标准模型!AP455</f>
        <v>139094</v>
      </c>
      <c r="G447" s="38">
        <f t="shared" si="6"/>
        <v>47203</v>
      </c>
      <c r="H447" s="1">
        <f>怪物标准模型!AR455</f>
        <v>1171699</v>
      </c>
      <c r="I447" s="1">
        <f>怪物标准模型!AS455</f>
        <v>3515097</v>
      </c>
      <c r="J447" s="1">
        <f>怪物标准模型!AT455</f>
        <v>2109059</v>
      </c>
      <c r="K447" s="1">
        <f>怪物标准模型!AU455</f>
        <v>585850</v>
      </c>
      <c r="L447" s="1">
        <f>怪物标准模型!AV455</f>
        <v>175755</v>
      </c>
      <c r="M447" s="1">
        <f>怪物标准模型!AW455</f>
        <v>4686796</v>
      </c>
      <c r="N447" s="1">
        <f>怪物标准模型!AX455</f>
        <v>10545291</v>
      </c>
    </row>
    <row r="448" spans="2:14">
      <c r="B448" s="4">
        <v>445</v>
      </c>
      <c r="C448" s="1">
        <f>怪物标准模型!AY456</f>
        <v>147639780</v>
      </c>
      <c r="D448" s="1">
        <f>怪物标准模型!AM456</f>
        <v>139959</v>
      </c>
      <c r="E448" s="1">
        <f>怪物标准模型!AN456</f>
        <v>47360</v>
      </c>
      <c r="F448" s="37">
        <f>怪物标准模型!AP456</f>
        <v>139959</v>
      </c>
      <c r="G448" s="38">
        <f t="shared" si="6"/>
        <v>47360</v>
      </c>
      <c r="H448" s="1">
        <f>怪物标准模型!AR456</f>
        <v>1179706</v>
      </c>
      <c r="I448" s="1">
        <f>怪物标准模型!AS456</f>
        <v>3539118</v>
      </c>
      <c r="J448" s="1">
        <f>怪物标准模型!AT456</f>
        <v>2123471</v>
      </c>
      <c r="K448" s="1">
        <f>怪物标准模型!AU456</f>
        <v>589853</v>
      </c>
      <c r="L448" s="1">
        <f>怪物标准模型!AV456</f>
        <v>176956</v>
      </c>
      <c r="M448" s="1">
        <f>怪物标准模型!AW456</f>
        <v>4718824</v>
      </c>
      <c r="N448" s="1">
        <f>怪物标准模型!AX456</f>
        <v>10617354</v>
      </c>
    </row>
    <row r="449" spans="2:14">
      <c r="B449" s="4">
        <v>446</v>
      </c>
      <c r="C449" s="1">
        <f>怪物标准模型!AY457</f>
        <v>148733820</v>
      </c>
      <c r="D449" s="1">
        <f>怪物标准模型!AM457</f>
        <v>140828</v>
      </c>
      <c r="E449" s="1">
        <f>怪物标准模型!AN457</f>
        <v>47517</v>
      </c>
      <c r="F449" s="37">
        <f>怪物标准模型!AP457</f>
        <v>140828</v>
      </c>
      <c r="G449" s="38">
        <f t="shared" si="6"/>
        <v>47517</v>
      </c>
      <c r="H449" s="1">
        <f>怪物标准模型!AR457</f>
        <v>1187755</v>
      </c>
      <c r="I449" s="1">
        <f>怪物标准模型!AS457</f>
        <v>3563265</v>
      </c>
      <c r="J449" s="1">
        <f>怪物标准模型!AT457</f>
        <v>2137959</v>
      </c>
      <c r="K449" s="1">
        <f>怪物标准模型!AU457</f>
        <v>593878</v>
      </c>
      <c r="L449" s="1">
        <f>怪物标准模型!AV457</f>
        <v>178164</v>
      </c>
      <c r="M449" s="1">
        <f>怪物标准模型!AW457</f>
        <v>4751020</v>
      </c>
      <c r="N449" s="1">
        <f>怪物标准模型!AX457</f>
        <v>10689795</v>
      </c>
    </row>
    <row r="450" spans="2:14">
      <c r="B450" s="4">
        <v>447</v>
      </c>
      <c r="C450" s="1">
        <f>怪物标准模型!AY458</f>
        <v>149834340</v>
      </c>
      <c r="D450" s="1">
        <f>怪物标准模型!AM458</f>
        <v>141702</v>
      </c>
      <c r="E450" s="1">
        <f>怪物标准模型!AN458</f>
        <v>47674</v>
      </c>
      <c r="F450" s="37">
        <f>怪物标准模型!AP458</f>
        <v>141702</v>
      </c>
      <c r="G450" s="38">
        <f t="shared" si="6"/>
        <v>47674</v>
      </c>
      <c r="H450" s="1">
        <f>怪物标准模型!AR458</f>
        <v>1195846</v>
      </c>
      <c r="I450" s="1">
        <f>怪物标准模型!AS458</f>
        <v>3587538</v>
      </c>
      <c r="J450" s="1">
        <f>怪物标准模型!AT458</f>
        <v>2152523</v>
      </c>
      <c r="K450" s="1">
        <f>怪物标准模型!AU458</f>
        <v>597923</v>
      </c>
      <c r="L450" s="1">
        <f>怪物标准模型!AV458</f>
        <v>179377</v>
      </c>
      <c r="M450" s="1">
        <f>怪物标准模型!AW458</f>
        <v>4783384</v>
      </c>
      <c r="N450" s="1">
        <f>怪物标准模型!AX458</f>
        <v>10762614</v>
      </c>
    </row>
    <row r="451" spans="2:14">
      <c r="B451" s="4">
        <v>448</v>
      </c>
      <c r="C451" s="1">
        <f>怪物标准模型!AY459</f>
        <v>150941400</v>
      </c>
      <c r="D451" s="1">
        <f>怪物标准模型!AM459</f>
        <v>142579</v>
      </c>
      <c r="E451" s="1">
        <f>怪物标准模型!AN459</f>
        <v>47832</v>
      </c>
      <c r="F451" s="37">
        <f>怪物标准模型!AP459</f>
        <v>142579</v>
      </c>
      <c r="G451" s="38">
        <f t="shared" si="6"/>
        <v>47832</v>
      </c>
      <c r="H451" s="1">
        <f>怪物标准模型!AR459</f>
        <v>1203980</v>
      </c>
      <c r="I451" s="1">
        <f>怪物标准模型!AS459</f>
        <v>3611940</v>
      </c>
      <c r="J451" s="1">
        <f>怪物标准模型!AT459</f>
        <v>2167164</v>
      </c>
      <c r="K451" s="1">
        <f>怪物标准模型!AU459</f>
        <v>601990</v>
      </c>
      <c r="L451" s="1">
        <f>怪物标准模型!AV459</f>
        <v>180597</v>
      </c>
      <c r="M451" s="1">
        <f>怪物标准模型!AW459</f>
        <v>4815920</v>
      </c>
      <c r="N451" s="1">
        <f>怪物标准模型!AX459</f>
        <v>10835820</v>
      </c>
    </row>
    <row r="452" spans="2:14">
      <c r="B452" s="4">
        <v>449</v>
      </c>
      <c r="C452" s="1">
        <f>怪物标准模型!AY460</f>
        <v>152054940</v>
      </c>
      <c r="D452" s="1">
        <f>怪物标准模型!AM460</f>
        <v>143461</v>
      </c>
      <c r="E452" s="1">
        <f>怪物标准模型!AN460</f>
        <v>47990</v>
      </c>
      <c r="F452" s="37">
        <f>怪物标准模型!AP460</f>
        <v>143461</v>
      </c>
      <c r="G452" s="38">
        <f t="shared" ref="G452:G503" si="7">E452</f>
        <v>47990</v>
      </c>
      <c r="H452" s="1">
        <f>怪物标准模型!AR460</f>
        <v>1212157</v>
      </c>
      <c r="I452" s="1">
        <f>怪物标准模型!AS460</f>
        <v>3636471</v>
      </c>
      <c r="J452" s="1">
        <f>怪物标准模型!AT460</f>
        <v>2181883</v>
      </c>
      <c r="K452" s="1">
        <f>怪物标准模型!AU460</f>
        <v>606079</v>
      </c>
      <c r="L452" s="1">
        <f>怪物标准模型!AV460</f>
        <v>181824</v>
      </c>
      <c r="M452" s="1">
        <f>怪物标准模型!AW460</f>
        <v>4848628</v>
      </c>
      <c r="N452" s="1">
        <f>怪物标准模型!AX460</f>
        <v>10909413</v>
      </c>
    </row>
    <row r="453" spans="2:14">
      <c r="B453" s="4">
        <v>450</v>
      </c>
      <c r="C453" s="1">
        <f>怪物标准模型!AY461</f>
        <v>153175020</v>
      </c>
      <c r="D453" s="1">
        <f>怪物标准模型!AM461</f>
        <v>144347</v>
      </c>
      <c r="E453" s="1">
        <f>怪物标准模型!AN461</f>
        <v>48148</v>
      </c>
      <c r="F453" s="37">
        <f>怪物标准模型!AP461</f>
        <v>144347</v>
      </c>
      <c r="G453" s="38">
        <f t="shared" si="7"/>
        <v>48148</v>
      </c>
      <c r="H453" s="1">
        <f>怪物标准模型!AR461</f>
        <v>1220377</v>
      </c>
      <c r="I453" s="1">
        <f>怪物标准模型!AS461</f>
        <v>3661131</v>
      </c>
      <c r="J453" s="1">
        <f>怪物标准模型!AT461</f>
        <v>2196679</v>
      </c>
      <c r="K453" s="1">
        <f>怪物标准模型!AU461</f>
        <v>610189</v>
      </c>
      <c r="L453" s="1">
        <f>怪物标准模型!AV461</f>
        <v>183057</v>
      </c>
      <c r="M453" s="1">
        <f>怪物标准模型!AW461</f>
        <v>4881508</v>
      </c>
      <c r="N453" s="1">
        <f>怪物标准模型!AX461</f>
        <v>10983393</v>
      </c>
    </row>
    <row r="454" spans="2:14">
      <c r="B454" s="4">
        <v>451</v>
      </c>
      <c r="C454" s="1">
        <f>怪物标准模型!AY462</f>
        <v>154301700</v>
      </c>
      <c r="D454" s="1">
        <f>怪物标准模型!AM462</f>
        <v>145237</v>
      </c>
      <c r="E454" s="1">
        <f>怪物标准模型!AN462</f>
        <v>48306</v>
      </c>
      <c r="F454" s="37">
        <f>怪物标准模型!AP462</f>
        <v>145237</v>
      </c>
      <c r="G454" s="38">
        <f t="shared" si="7"/>
        <v>48306</v>
      </c>
      <c r="H454" s="1">
        <f>怪物标准模型!AR462</f>
        <v>1228639</v>
      </c>
      <c r="I454" s="1">
        <f>怪物标准模型!AS462</f>
        <v>3685917</v>
      </c>
      <c r="J454" s="1">
        <f>怪物标准模型!AT462</f>
        <v>2211551</v>
      </c>
      <c r="K454" s="1">
        <f>怪物标准模型!AU462</f>
        <v>614320</v>
      </c>
      <c r="L454" s="1">
        <f>怪物标准模型!AV462</f>
        <v>184296</v>
      </c>
      <c r="M454" s="1">
        <f>怪物标准模型!AW462</f>
        <v>4914556</v>
      </c>
      <c r="N454" s="1">
        <f>怪物标准模型!AX462</f>
        <v>11057751</v>
      </c>
    </row>
    <row r="455" spans="2:14">
      <c r="B455" s="4">
        <v>452</v>
      </c>
      <c r="C455" s="1">
        <f>怪物标准模型!AY463</f>
        <v>155434980</v>
      </c>
      <c r="D455" s="1">
        <f>怪物标准模型!AM463</f>
        <v>146131</v>
      </c>
      <c r="E455" s="1">
        <f>怪物标准模型!AN463</f>
        <v>48464</v>
      </c>
      <c r="F455" s="37">
        <f>怪物标准模型!AP463</f>
        <v>146131</v>
      </c>
      <c r="G455" s="38">
        <f t="shared" si="7"/>
        <v>48464</v>
      </c>
      <c r="H455" s="1">
        <f>怪物标准模型!AR463</f>
        <v>1236945</v>
      </c>
      <c r="I455" s="1">
        <f>怪物标准模型!AS463</f>
        <v>3710835</v>
      </c>
      <c r="J455" s="1">
        <f>怪物标准模型!AT463</f>
        <v>2226501</v>
      </c>
      <c r="K455" s="1">
        <f>怪物标准模型!AU463</f>
        <v>618473</v>
      </c>
      <c r="L455" s="1">
        <f>怪物标准模型!AV463</f>
        <v>185542</v>
      </c>
      <c r="M455" s="1">
        <f>怪物标准模型!AW463</f>
        <v>4947780</v>
      </c>
      <c r="N455" s="1">
        <f>怪物标准模型!AX463</f>
        <v>11132505</v>
      </c>
    </row>
    <row r="456" spans="2:14">
      <c r="B456" s="4">
        <v>453</v>
      </c>
      <c r="C456" s="1">
        <f>怪物标准模型!AY464</f>
        <v>156574920</v>
      </c>
      <c r="D456" s="1">
        <f>怪物标准模型!AM464</f>
        <v>147030</v>
      </c>
      <c r="E456" s="1">
        <f>怪物标准模型!AN464</f>
        <v>48623</v>
      </c>
      <c r="F456" s="37">
        <f>怪物标准模型!AP464</f>
        <v>147030</v>
      </c>
      <c r="G456" s="38">
        <f t="shared" si="7"/>
        <v>48623</v>
      </c>
      <c r="H456" s="1">
        <f>怪物标准模型!AR464</f>
        <v>1245294</v>
      </c>
      <c r="I456" s="1">
        <f>怪物标准模型!AS464</f>
        <v>3735882</v>
      </c>
      <c r="J456" s="1">
        <f>怪物标准模型!AT464</f>
        <v>2241530</v>
      </c>
      <c r="K456" s="1">
        <f>怪物标准模型!AU464</f>
        <v>622647</v>
      </c>
      <c r="L456" s="1">
        <f>怪物标准模型!AV464</f>
        <v>186795</v>
      </c>
      <c r="M456" s="1">
        <f>怪物标准模型!AW464</f>
        <v>4981176</v>
      </c>
      <c r="N456" s="1">
        <f>怪物标准模型!AX464</f>
        <v>11207646</v>
      </c>
    </row>
    <row r="457" spans="2:14">
      <c r="B457" s="4">
        <v>454</v>
      </c>
      <c r="C457" s="1">
        <f>怪物标准模型!AY465</f>
        <v>157721520</v>
      </c>
      <c r="D457" s="1">
        <f>怪物标准模型!AM465</f>
        <v>147933</v>
      </c>
      <c r="E457" s="1">
        <f>怪物标准模型!AN465</f>
        <v>48782</v>
      </c>
      <c r="F457" s="37">
        <f>怪物标准模型!AP465</f>
        <v>147933</v>
      </c>
      <c r="G457" s="38">
        <f t="shared" si="7"/>
        <v>48782</v>
      </c>
      <c r="H457" s="1">
        <f>怪物标准模型!AR465</f>
        <v>1253687</v>
      </c>
      <c r="I457" s="1">
        <f>怪物标准模型!AS465</f>
        <v>3761061</v>
      </c>
      <c r="J457" s="1">
        <f>怪物标准模型!AT465</f>
        <v>2256637</v>
      </c>
      <c r="K457" s="1">
        <f>怪物标准模型!AU465</f>
        <v>626844</v>
      </c>
      <c r="L457" s="1">
        <f>怪物标准模型!AV465</f>
        <v>188054</v>
      </c>
      <c r="M457" s="1">
        <f>怪物标准模型!AW465</f>
        <v>5014748</v>
      </c>
      <c r="N457" s="1">
        <f>怪物标准模型!AX465</f>
        <v>11283183</v>
      </c>
    </row>
    <row r="458" spans="2:14">
      <c r="B458" s="4">
        <v>455</v>
      </c>
      <c r="C458" s="1">
        <f>怪物标准模型!AY466</f>
        <v>158874900</v>
      </c>
      <c r="D458" s="1">
        <f>怪物标准模型!AM466</f>
        <v>148840</v>
      </c>
      <c r="E458" s="1">
        <f>怪物标准模型!AN466</f>
        <v>48941</v>
      </c>
      <c r="F458" s="37">
        <f>怪物标准模型!AP466</f>
        <v>148840</v>
      </c>
      <c r="G458" s="38">
        <f t="shared" si="7"/>
        <v>48941</v>
      </c>
      <c r="H458" s="1">
        <f>怪物标准模型!AR466</f>
        <v>1262123</v>
      </c>
      <c r="I458" s="1">
        <f>怪物标准模型!AS466</f>
        <v>3786369</v>
      </c>
      <c r="J458" s="1">
        <f>怪物标准模型!AT466</f>
        <v>2271822</v>
      </c>
      <c r="K458" s="1">
        <f>怪物标准模型!AU466</f>
        <v>631062</v>
      </c>
      <c r="L458" s="1">
        <f>怪物标准模型!AV466</f>
        <v>189319</v>
      </c>
      <c r="M458" s="1">
        <f>怪物标准模型!AW466</f>
        <v>5048492</v>
      </c>
      <c r="N458" s="1">
        <f>怪物标准模型!AX466</f>
        <v>11359107</v>
      </c>
    </row>
    <row r="459" spans="2:14">
      <c r="B459" s="4">
        <v>456</v>
      </c>
      <c r="C459" s="1">
        <f>怪物标准模型!AY467</f>
        <v>160034940</v>
      </c>
      <c r="D459" s="1">
        <f>怪物标准模型!AM467</f>
        <v>149752</v>
      </c>
      <c r="E459" s="1">
        <f>怪物标准模型!AN467</f>
        <v>49101</v>
      </c>
      <c r="F459" s="37">
        <f>怪物标准模型!AP467</f>
        <v>149752</v>
      </c>
      <c r="G459" s="38">
        <f t="shared" si="7"/>
        <v>49101</v>
      </c>
      <c r="H459" s="1">
        <f>怪物标准模型!AR467</f>
        <v>1270603</v>
      </c>
      <c r="I459" s="1">
        <f>怪物标准模型!AS467</f>
        <v>3811809</v>
      </c>
      <c r="J459" s="1">
        <f>怪物标准模型!AT467</f>
        <v>2287086</v>
      </c>
      <c r="K459" s="1">
        <f>怪物标准模型!AU467</f>
        <v>635302</v>
      </c>
      <c r="L459" s="1">
        <f>怪物标准模型!AV467</f>
        <v>190591</v>
      </c>
      <c r="M459" s="1">
        <f>怪物标准模型!AW467</f>
        <v>5082412</v>
      </c>
      <c r="N459" s="1">
        <f>怪物标准模型!AX467</f>
        <v>11435427</v>
      </c>
    </row>
    <row r="460" spans="2:14">
      <c r="B460" s="4">
        <v>457</v>
      </c>
      <c r="C460" s="1">
        <f>怪物标准模型!AY468</f>
        <v>161201760</v>
      </c>
      <c r="D460" s="1">
        <f>怪物标准模型!AM468</f>
        <v>150668</v>
      </c>
      <c r="E460" s="1">
        <f>怪物标准模型!AN468</f>
        <v>49260</v>
      </c>
      <c r="F460" s="37">
        <f>怪物标准模型!AP468</f>
        <v>150668</v>
      </c>
      <c r="G460" s="38">
        <f t="shared" si="7"/>
        <v>49260</v>
      </c>
      <c r="H460" s="1">
        <f>怪物标准模型!AR468</f>
        <v>1279128</v>
      </c>
      <c r="I460" s="1">
        <f>怪物标准模型!AS468</f>
        <v>3837384</v>
      </c>
      <c r="J460" s="1">
        <f>怪物标准模型!AT468</f>
        <v>2302431</v>
      </c>
      <c r="K460" s="1">
        <f>怪物标准模型!AU468</f>
        <v>639564</v>
      </c>
      <c r="L460" s="1">
        <f>怪物标准模型!AV468</f>
        <v>191870</v>
      </c>
      <c r="M460" s="1">
        <f>怪物标准模型!AW468</f>
        <v>5116512</v>
      </c>
      <c r="N460" s="1">
        <f>怪物标准模型!AX468</f>
        <v>11512152</v>
      </c>
    </row>
    <row r="461" spans="2:14">
      <c r="B461" s="4">
        <v>458</v>
      </c>
      <c r="C461" s="1">
        <f>怪物标准模型!AY469</f>
        <v>162375420</v>
      </c>
      <c r="D461" s="1">
        <f>怪物标准模型!AM469</f>
        <v>151588</v>
      </c>
      <c r="E461" s="1">
        <f>怪物标准模型!AN469</f>
        <v>49420</v>
      </c>
      <c r="F461" s="37">
        <f>怪物标准模型!AP469</f>
        <v>151588</v>
      </c>
      <c r="G461" s="38">
        <f t="shared" si="7"/>
        <v>49420</v>
      </c>
      <c r="H461" s="1">
        <f>怪物标准模型!AR469</f>
        <v>1287696</v>
      </c>
      <c r="I461" s="1">
        <f>怪物标准模型!AS469</f>
        <v>3863088</v>
      </c>
      <c r="J461" s="1">
        <f>怪物标准模型!AT469</f>
        <v>2317853</v>
      </c>
      <c r="K461" s="1">
        <f>怪物标准模型!AU469</f>
        <v>643848</v>
      </c>
      <c r="L461" s="1">
        <f>怪物标准模型!AV469</f>
        <v>193155</v>
      </c>
      <c r="M461" s="1">
        <f>怪物标准模型!AW469</f>
        <v>5150784</v>
      </c>
      <c r="N461" s="1">
        <f>怪物标准模型!AX469</f>
        <v>11589264</v>
      </c>
    </row>
    <row r="462" spans="2:14">
      <c r="B462" s="4">
        <v>459</v>
      </c>
      <c r="C462" s="1">
        <f>怪物标准模型!AY470</f>
        <v>163555920</v>
      </c>
      <c r="D462" s="1">
        <f>怪物标准模型!AM470</f>
        <v>152512</v>
      </c>
      <c r="E462" s="1">
        <f>怪物标准模型!AN470</f>
        <v>49580</v>
      </c>
      <c r="F462" s="37">
        <f>怪物标准模型!AP470</f>
        <v>152512</v>
      </c>
      <c r="G462" s="38">
        <f t="shared" si="7"/>
        <v>49580</v>
      </c>
      <c r="H462" s="1">
        <f>怪物标准模型!AR470</f>
        <v>1296309</v>
      </c>
      <c r="I462" s="1">
        <f>怪物标准模型!AS470</f>
        <v>3888927</v>
      </c>
      <c r="J462" s="1">
        <f>怪物标准模型!AT470</f>
        <v>2333357</v>
      </c>
      <c r="K462" s="1">
        <f>怪物标准模型!AU470</f>
        <v>648155</v>
      </c>
      <c r="L462" s="1">
        <f>怪物标准模型!AV470</f>
        <v>194447</v>
      </c>
      <c r="M462" s="1">
        <f>怪物标准模型!AW470</f>
        <v>5185236</v>
      </c>
      <c r="N462" s="1">
        <f>怪物标准模型!AX470</f>
        <v>11666781</v>
      </c>
    </row>
    <row r="463" spans="2:14">
      <c r="B463" s="4">
        <v>460</v>
      </c>
      <c r="C463" s="1">
        <f>怪物标准模型!AY471</f>
        <v>164743200</v>
      </c>
      <c r="D463" s="1">
        <f>怪物标准模型!AM471</f>
        <v>153441</v>
      </c>
      <c r="E463" s="1">
        <f>怪物标准模型!AN471</f>
        <v>49741</v>
      </c>
      <c r="F463" s="37">
        <f>怪物标准模型!AP471</f>
        <v>153441</v>
      </c>
      <c r="G463" s="38">
        <f t="shared" si="7"/>
        <v>49741</v>
      </c>
      <c r="H463" s="1">
        <f>怪物标准模型!AR471</f>
        <v>1304967</v>
      </c>
      <c r="I463" s="1">
        <f>怪物标准模型!AS471</f>
        <v>3914901</v>
      </c>
      <c r="J463" s="1">
        <f>怪物标准模型!AT471</f>
        <v>2348941</v>
      </c>
      <c r="K463" s="1">
        <f>怪物标准模型!AU471</f>
        <v>652484</v>
      </c>
      <c r="L463" s="1">
        <f>怪物标准模型!AV471</f>
        <v>195746</v>
      </c>
      <c r="M463" s="1">
        <f>怪物标准模型!AW471</f>
        <v>5219868</v>
      </c>
      <c r="N463" s="1">
        <f>怪物标准模型!AX471</f>
        <v>11744703</v>
      </c>
    </row>
    <row r="464" spans="2:14">
      <c r="B464" s="4">
        <v>461</v>
      </c>
      <c r="C464" s="1">
        <f>怪物标准模型!AY472</f>
        <v>165937440</v>
      </c>
      <c r="D464" s="1">
        <f>怪物标准模型!AM472</f>
        <v>154375</v>
      </c>
      <c r="E464" s="1">
        <f>怪物标准模型!AN472</f>
        <v>49901</v>
      </c>
      <c r="F464" s="37">
        <f>怪物标准模型!AP472</f>
        <v>154375</v>
      </c>
      <c r="G464" s="38">
        <f t="shared" si="7"/>
        <v>49901</v>
      </c>
      <c r="H464" s="1">
        <f>怪物标准模型!AR472</f>
        <v>1313669</v>
      </c>
      <c r="I464" s="1">
        <f>怪物标准模型!AS472</f>
        <v>3941007</v>
      </c>
      <c r="J464" s="1">
        <f>怪物标准模型!AT472</f>
        <v>2364605</v>
      </c>
      <c r="K464" s="1">
        <f>怪物标准模型!AU472</f>
        <v>656835</v>
      </c>
      <c r="L464" s="1">
        <f>怪物标准模型!AV472</f>
        <v>197051</v>
      </c>
      <c r="M464" s="1">
        <f>怪物标准模型!AW472</f>
        <v>5254676</v>
      </c>
      <c r="N464" s="1">
        <f>怪物标准模型!AX472</f>
        <v>11823021</v>
      </c>
    </row>
    <row r="465" spans="2:14">
      <c r="B465" s="4">
        <v>462</v>
      </c>
      <c r="C465" s="1">
        <f>怪物标准模型!AY473</f>
        <v>167138640</v>
      </c>
      <c r="D465" s="1">
        <f>怪物标准模型!AM473</f>
        <v>155312</v>
      </c>
      <c r="E465" s="1">
        <f>怪物标准模型!AN473</f>
        <v>50062</v>
      </c>
      <c r="F465" s="37">
        <f>怪物标准模型!AP473</f>
        <v>155312</v>
      </c>
      <c r="G465" s="38">
        <f t="shared" si="7"/>
        <v>50062</v>
      </c>
      <c r="H465" s="1">
        <f>怪物标准模型!AR473</f>
        <v>1322417</v>
      </c>
      <c r="I465" s="1">
        <f>怪物标准模型!AS473</f>
        <v>3967251</v>
      </c>
      <c r="J465" s="1">
        <f>怪物标准模型!AT473</f>
        <v>2380351</v>
      </c>
      <c r="K465" s="1">
        <f>怪物标准模型!AU473</f>
        <v>661209</v>
      </c>
      <c r="L465" s="1">
        <f>怪物标准模型!AV473</f>
        <v>198363</v>
      </c>
      <c r="M465" s="1">
        <f>怪物标准模型!AW473</f>
        <v>5289668</v>
      </c>
      <c r="N465" s="1">
        <f>怪物标准模型!AX473</f>
        <v>11901753</v>
      </c>
    </row>
    <row r="466" spans="2:14">
      <c r="B466" s="4">
        <v>463</v>
      </c>
      <c r="C466" s="1">
        <f>怪物标准模型!AY474</f>
        <v>168346740</v>
      </c>
      <c r="D466" s="1">
        <f>怪物标准模型!AM474</f>
        <v>156254</v>
      </c>
      <c r="E466" s="1">
        <f>怪物标准模型!AN474</f>
        <v>50223</v>
      </c>
      <c r="F466" s="37">
        <f>怪物标准模型!AP474</f>
        <v>156254</v>
      </c>
      <c r="G466" s="38">
        <f t="shared" si="7"/>
        <v>50223</v>
      </c>
      <c r="H466" s="1">
        <f>怪物标准模型!AR474</f>
        <v>1331209</v>
      </c>
      <c r="I466" s="1">
        <f>怪物标准模型!AS474</f>
        <v>3993627</v>
      </c>
      <c r="J466" s="1">
        <f>怪物标准模型!AT474</f>
        <v>2396177</v>
      </c>
      <c r="K466" s="1">
        <f>怪物标准模型!AU474</f>
        <v>665605</v>
      </c>
      <c r="L466" s="1">
        <f>怪物标准模型!AV474</f>
        <v>199682</v>
      </c>
      <c r="M466" s="1">
        <f>怪物标准模型!AW474</f>
        <v>5324836</v>
      </c>
      <c r="N466" s="1">
        <f>怪物标准模型!AX474</f>
        <v>11980881</v>
      </c>
    </row>
    <row r="467" spans="2:14">
      <c r="B467" s="4">
        <v>464</v>
      </c>
      <c r="C467" s="1">
        <f>怪物标准模型!AY475</f>
        <v>169561860</v>
      </c>
      <c r="D467" s="1">
        <f>怪物标准模型!AM475</f>
        <v>157201</v>
      </c>
      <c r="E467" s="1">
        <f>怪物标准模型!AN475</f>
        <v>50384</v>
      </c>
      <c r="F467" s="37">
        <f>怪物标准模型!AP475</f>
        <v>157201</v>
      </c>
      <c r="G467" s="38">
        <f t="shared" si="7"/>
        <v>50384</v>
      </c>
      <c r="H467" s="1">
        <f>怪物标准模型!AR475</f>
        <v>1340047</v>
      </c>
      <c r="I467" s="1">
        <f>怪物标准模型!AS475</f>
        <v>4020141</v>
      </c>
      <c r="J467" s="1">
        <f>怪物标准模型!AT475</f>
        <v>2412085</v>
      </c>
      <c r="K467" s="1">
        <f>怪物标准模型!AU475</f>
        <v>670024</v>
      </c>
      <c r="L467" s="1">
        <f>怪物标准模型!AV475</f>
        <v>201008</v>
      </c>
      <c r="M467" s="1">
        <f>怪物标准模型!AW475</f>
        <v>5360188</v>
      </c>
      <c r="N467" s="1">
        <f>怪物标准模型!AX475</f>
        <v>12060423</v>
      </c>
    </row>
    <row r="468" spans="2:14">
      <c r="B468" s="4">
        <v>465</v>
      </c>
      <c r="C468" s="1">
        <f>怪物标准模型!AY476</f>
        <v>170784000</v>
      </c>
      <c r="D468" s="1">
        <f>怪物标准模型!AM476</f>
        <v>158152</v>
      </c>
      <c r="E468" s="1">
        <f>怪物标准模型!AN476</f>
        <v>50546</v>
      </c>
      <c r="F468" s="37">
        <f>怪物标准模型!AP476</f>
        <v>158152</v>
      </c>
      <c r="G468" s="38">
        <f t="shared" si="7"/>
        <v>50546</v>
      </c>
      <c r="H468" s="1">
        <f>怪物标准模型!AR476</f>
        <v>1348930</v>
      </c>
      <c r="I468" s="1">
        <f>怪物标准模型!AS476</f>
        <v>4046790</v>
      </c>
      <c r="J468" s="1">
        <f>怪物标准模型!AT476</f>
        <v>2428074</v>
      </c>
      <c r="K468" s="1">
        <f>怪物标准模型!AU476</f>
        <v>674465</v>
      </c>
      <c r="L468" s="1">
        <f>怪物标准模型!AV476</f>
        <v>202340</v>
      </c>
      <c r="M468" s="1">
        <f>怪物标准模型!AW476</f>
        <v>5395720</v>
      </c>
      <c r="N468" s="1">
        <f>怪物标准模型!AX476</f>
        <v>12140370</v>
      </c>
    </row>
    <row r="469" spans="2:14">
      <c r="B469" s="4">
        <v>466</v>
      </c>
      <c r="C469" s="1">
        <f>怪物标准模型!AY477</f>
        <v>172013220</v>
      </c>
      <c r="D469" s="1">
        <f>怪物标准模型!AM477</f>
        <v>159107</v>
      </c>
      <c r="E469" s="1">
        <f>怪物标准模型!AN477</f>
        <v>50707</v>
      </c>
      <c r="F469" s="37">
        <f>怪物标准模型!AP477</f>
        <v>159107</v>
      </c>
      <c r="G469" s="38">
        <f t="shared" si="7"/>
        <v>50707</v>
      </c>
      <c r="H469" s="1">
        <f>怪物标准模型!AR477</f>
        <v>1357859</v>
      </c>
      <c r="I469" s="1">
        <f>怪物标准模型!AS477</f>
        <v>4073577</v>
      </c>
      <c r="J469" s="1">
        <f>怪物标准模型!AT477</f>
        <v>2444147</v>
      </c>
      <c r="K469" s="1">
        <f>怪物标准模型!AU477</f>
        <v>678930</v>
      </c>
      <c r="L469" s="1">
        <f>怪物标准模型!AV477</f>
        <v>203679</v>
      </c>
      <c r="M469" s="1">
        <f>怪物标准模型!AW477</f>
        <v>5431436</v>
      </c>
      <c r="N469" s="1">
        <f>怪物标准模型!AX477</f>
        <v>12220731</v>
      </c>
    </row>
    <row r="470" spans="2:14">
      <c r="B470" s="4">
        <v>467</v>
      </c>
      <c r="C470" s="1">
        <f>怪物标准模型!AY478</f>
        <v>173249460</v>
      </c>
      <c r="D470" s="1">
        <f>怪物标准模型!AM478</f>
        <v>160067</v>
      </c>
      <c r="E470" s="1">
        <f>怪物标准模型!AN478</f>
        <v>50869</v>
      </c>
      <c r="F470" s="37">
        <f>怪物标准模型!AP478</f>
        <v>160067</v>
      </c>
      <c r="G470" s="38">
        <f t="shared" si="7"/>
        <v>50869</v>
      </c>
      <c r="H470" s="1">
        <f>怪物标准模型!AR478</f>
        <v>1366834</v>
      </c>
      <c r="I470" s="1">
        <f>怪物标准模型!AS478</f>
        <v>4100502</v>
      </c>
      <c r="J470" s="1">
        <f>怪物标准模型!AT478</f>
        <v>2460302</v>
      </c>
      <c r="K470" s="1">
        <f>怪物标准模型!AU478</f>
        <v>683417</v>
      </c>
      <c r="L470" s="1">
        <f>怪物标准模型!AV478</f>
        <v>205026</v>
      </c>
      <c r="M470" s="1">
        <f>怪物标准模型!AW478</f>
        <v>5467336</v>
      </c>
      <c r="N470" s="1">
        <f>怪物标准模型!AX478</f>
        <v>12301506</v>
      </c>
    </row>
    <row r="471" spans="2:14">
      <c r="B471" s="4">
        <v>468</v>
      </c>
      <c r="C471" s="1">
        <f>怪物标准模型!AY479</f>
        <v>174492900</v>
      </c>
      <c r="D471" s="1">
        <f>怪物标准模型!AM479</f>
        <v>161032</v>
      </c>
      <c r="E471" s="1">
        <f>怪物标准模型!AN479</f>
        <v>51031</v>
      </c>
      <c r="F471" s="37">
        <f>怪物标准模型!AP479</f>
        <v>161032</v>
      </c>
      <c r="G471" s="38">
        <f t="shared" si="7"/>
        <v>51031</v>
      </c>
      <c r="H471" s="1">
        <f>怪物标准模型!AR479</f>
        <v>1375855</v>
      </c>
      <c r="I471" s="1">
        <f>怪物标准模型!AS479</f>
        <v>4127565</v>
      </c>
      <c r="J471" s="1">
        <f>怪物标准模型!AT479</f>
        <v>2476539</v>
      </c>
      <c r="K471" s="1">
        <f>怪物标准模型!AU479</f>
        <v>687928</v>
      </c>
      <c r="L471" s="1">
        <f>怪物标准模型!AV479</f>
        <v>206379</v>
      </c>
      <c r="M471" s="1">
        <f>怪物标准模型!AW479</f>
        <v>5503420</v>
      </c>
      <c r="N471" s="1">
        <f>怪物标准模型!AX479</f>
        <v>12382695</v>
      </c>
    </row>
    <row r="472" spans="2:14">
      <c r="B472" s="4">
        <v>469</v>
      </c>
      <c r="C472" s="1">
        <f>怪物标准模型!AY480</f>
        <v>175743480</v>
      </c>
      <c r="D472" s="1">
        <f>怪物标准模型!AM480</f>
        <v>162001</v>
      </c>
      <c r="E472" s="1">
        <f>怪物标准模型!AN480</f>
        <v>51194</v>
      </c>
      <c r="F472" s="37">
        <f>怪物标准模型!AP480</f>
        <v>162001</v>
      </c>
      <c r="G472" s="38">
        <f t="shared" si="7"/>
        <v>51194</v>
      </c>
      <c r="H472" s="1">
        <f>怪物标准模型!AR480</f>
        <v>1384922</v>
      </c>
      <c r="I472" s="1">
        <f>怪物标准模型!AS480</f>
        <v>4154766</v>
      </c>
      <c r="J472" s="1">
        <f>怪物标准模型!AT480</f>
        <v>2492860</v>
      </c>
      <c r="K472" s="1">
        <f>怪物标准模型!AU480</f>
        <v>692461</v>
      </c>
      <c r="L472" s="1">
        <f>怪物标准模型!AV480</f>
        <v>207739</v>
      </c>
      <c r="M472" s="1">
        <f>怪物标准模型!AW480</f>
        <v>5539688</v>
      </c>
      <c r="N472" s="1">
        <f>怪物标准模型!AX480</f>
        <v>12464298</v>
      </c>
    </row>
    <row r="473" spans="2:14">
      <c r="B473" s="4">
        <v>470</v>
      </c>
      <c r="C473" s="1">
        <f>怪物标准模型!AY481</f>
        <v>177001200</v>
      </c>
      <c r="D473" s="1">
        <f>怪物标准模型!AM481</f>
        <v>162974</v>
      </c>
      <c r="E473" s="1">
        <f>怪物标准模型!AN481</f>
        <v>51356</v>
      </c>
      <c r="F473" s="37">
        <f>怪物标准模型!AP481</f>
        <v>162974</v>
      </c>
      <c r="G473" s="38">
        <f t="shared" si="7"/>
        <v>51356</v>
      </c>
      <c r="H473" s="1">
        <f>怪物标准模型!AR481</f>
        <v>1394036</v>
      </c>
      <c r="I473" s="1">
        <f>怪物标准模型!AS481</f>
        <v>4182108</v>
      </c>
      <c r="J473" s="1">
        <f>怪物标准模型!AT481</f>
        <v>2509265</v>
      </c>
      <c r="K473" s="1">
        <f>怪物标准模型!AU481</f>
        <v>697018</v>
      </c>
      <c r="L473" s="1">
        <f>怪物标准模型!AV481</f>
        <v>209106</v>
      </c>
      <c r="M473" s="1">
        <f>怪物标准模型!AW481</f>
        <v>5576144</v>
      </c>
      <c r="N473" s="1">
        <f>怪物标准模型!AX481</f>
        <v>12546324</v>
      </c>
    </row>
    <row r="474" spans="2:14">
      <c r="B474" s="4">
        <v>471</v>
      </c>
      <c r="C474" s="1">
        <f>怪物标准模型!AY482</f>
        <v>178266180</v>
      </c>
      <c r="D474" s="1">
        <f>怪物标准模型!AM482</f>
        <v>163952</v>
      </c>
      <c r="E474" s="1">
        <f>怪物标准模型!AN482</f>
        <v>51519</v>
      </c>
      <c r="F474" s="37">
        <f>怪物标准模型!AP482</f>
        <v>163952</v>
      </c>
      <c r="G474" s="38">
        <f t="shared" si="7"/>
        <v>51519</v>
      </c>
      <c r="H474" s="1">
        <f>怪物标准模型!AR482</f>
        <v>1403196</v>
      </c>
      <c r="I474" s="1">
        <f>怪物标准模型!AS482</f>
        <v>4209588</v>
      </c>
      <c r="J474" s="1">
        <f>怪物标准模型!AT482</f>
        <v>2525753</v>
      </c>
      <c r="K474" s="1">
        <f>怪物标准模型!AU482</f>
        <v>701598</v>
      </c>
      <c r="L474" s="1">
        <f>怪物标准模型!AV482</f>
        <v>210480</v>
      </c>
      <c r="M474" s="1">
        <f>怪物标准模型!AW482</f>
        <v>5612784</v>
      </c>
      <c r="N474" s="1">
        <f>怪物标准模型!AX482</f>
        <v>12628764</v>
      </c>
    </row>
    <row r="475" spans="2:14">
      <c r="B475" s="4">
        <v>472</v>
      </c>
      <c r="C475" s="1">
        <f>怪物标准模型!AY483</f>
        <v>179538420</v>
      </c>
      <c r="D475" s="1">
        <f>怪物标准模型!AM483</f>
        <v>164935</v>
      </c>
      <c r="E475" s="1">
        <f>怪物标准模型!AN483</f>
        <v>51682</v>
      </c>
      <c r="F475" s="37">
        <f>怪物标准模型!AP483</f>
        <v>164935</v>
      </c>
      <c r="G475" s="38">
        <f t="shared" si="7"/>
        <v>51682</v>
      </c>
      <c r="H475" s="1">
        <f>怪物标准模型!AR483</f>
        <v>1412403</v>
      </c>
      <c r="I475" s="1">
        <f>怪物标准模型!AS483</f>
        <v>4237209</v>
      </c>
      <c r="J475" s="1">
        <f>怪物标准模型!AT483</f>
        <v>2542326</v>
      </c>
      <c r="K475" s="1">
        <f>怪物标准模型!AU483</f>
        <v>706202</v>
      </c>
      <c r="L475" s="1">
        <f>怪物标准模型!AV483</f>
        <v>211861</v>
      </c>
      <c r="M475" s="1">
        <f>怪物标准模型!AW483</f>
        <v>5649612</v>
      </c>
      <c r="N475" s="1">
        <f>怪物标准模型!AX483</f>
        <v>12711627</v>
      </c>
    </row>
    <row r="476" spans="2:14">
      <c r="B476" s="4">
        <v>473</v>
      </c>
      <c r="C476" s="1">
        <f>怪物标准模型!AY484</f>
        <v>180817920</v>
      </c>
      <c r="D476" s="1">
        <f>怪物标准模型!AM484</f>
        <v>165922</v>
      </c>
      <c r="E476" s="1">
        <f>怪物标准模型!AN484</f>
        <v>51846</v>
      </c>
      <c r="F476" s="37">
        <f>怪物标准模型!AP484</f>
        <v>165922</v>
      </c>
      <c r="G476" s="38">
        <f t="shared" si="7"/>
        <v>51846</v>
      </c>
      <c r="H476" s="1">
        <f>怪物标准模型!AR484</f>
        <v>1421656</v>
      </c>
      <c r="I476" s="1">
        <f>怪物标准模型!AS484</f>
        <v>4264968</v>
      </c>
      <c r="J476" s="1">
        <f>怪物标准模型!AT484</f>
        <v>2558981</v>
      </c>
      <c r="K476" s="1">
        <f>怪物标准模型!AU484</f>
        <v>710828</v>
      </c>
      <c r="L476" s="1">
        <f>怪物标准模型!AV484</f>
        <v>213249</v>
      </c>
      <c r="M476" s="1">
        <f>怪物标准模型!AW484</f>
        <v>5686624</v>
      </c>
      <c r="N476" s="1">
        <f>怪物标准模型!AX484</f>
        <v>12794904</v>
      </c>
    </row>
    <row r="477" spans="2:14">
      <c r="B477" s="4">
        <v>474</v>
      </c>
      <c r="C477" s="1">
        <f>怪物标准模型!AY485</f>
        <v>182104740</v>
      </c>
      <c r="D477" s="1">
        <f>怪物标准模型!AM485</f>
        <v>166914</v>
      </c>
      <c r="E477" s="1">
        <f>怪物标准模型!AN485</f>
        <v>52009</v>
      </c>
      <c r="F477" s="37">
        <f>怪物标准模型!AP485</f>
        <v>166914</v>
      </c>
      <c r="G477" s="38">
        <f t="shared" si="7"/>
        <v>52009</v>
      </c>
      <c r="H477" s="1">
        <f>怪物标准模型!AR485</f>
        <v>1430957</v>
      </c>
      <c r="I477" s="1">
        <f>怪物标准模型!AS485</f>
        <v>4292871</v>
      </c>
      <c r="J477" s="1">
        <f>怪物标准模型!AT485</f>
        <v>2575723</v>
      </c>
      <c r="K477" s="1">
        <f>怪物标准模型!AU485</f>
        <v>715479</v>
      </c>
      <c r="L477" s="1">
        <f>怪物标准模型!AV485</f>
        <v>214644</v>
      </c>
      <c r="M477" s="1">
        <f>怪物标准模型!AW485</f>
        <v>5723828</v>
      </c>
      <c r="N477" s="1">
        <f>怪物标准模型!AX485</f>
        <v>12878613</v>
      </c>
    </row>
    <row r="478" spans="2:14">
      <c r="B478" s="4">
        <v>475</v>
      </c>
      <c r="C478" s="1">
        <f>怪物标准模型!AY486</f>
        <v>183398940</v>
      </c>
      <c r="D478" s="1">
        <f>怪物标准模型!AM486</f>
        <v>167911</v>
      </c>
      <c r="E478" s="1">
        <f>怪物标准模型!AN486</f>
        <v>52173</v>
      </c>
      <c r="F478" s="37">
        <f>怪物标准模型!AP486</f>
        <v>167911</v>
      </c>
      <c r="G478" s="38">
        <f t="shared" si="7"/>
        <v>52173</v>
      </c>
      <c r="H478" s="1">
        <f>怪物标准模型!AR486</f>
        <v>1440305</v>
      </c>
      <c r="I478" s="1">
        <f>怪物标准模型!AS486</f>
        <v>4320915</v>
      </c>
      <c r="J478" s="1">
        <f>怪物标准模型!AT486</f>
        <v>2592549</v>
      </c>
      <c r="K478" s="1">
        <f>怪物标准模型!AU486</f>
        <v>720153</v>
      </c>
      <c r="L478" s="1">
        <f>怪物标准模型!AV486</f>
        <v>216046</v>
      </c>
      <c r="M478" s="1">
        <f>怪物标准模型!AW486</f>
        <v>5761220</v>
      </c>
      <c r="N478" s="1">
        <f>怪物标准模型!AX486</f>
        <v>12962745</v>
      </c>
    </row>
    <row r="479" spans="2:14">
      <c r="B479" s="4">
        <v>476</v>
      </c>
      <c r="C479" s="1">
        <f>怪物标准模型!AY487</f>
        <v>184700520</v>
      </c>
      <c r="D479" s="1">
        <f>怪物标准模型!AM487</f>
        <v>168912</v>
      </c>
      <c r="E479" s="1">
        <f>怪物标准模型!AN487</f>
        <v>52337</v>
      </c>
      <c r="F479" s="37">
        <f>怪物标准模型!AP487</f>
        <v>168912</v>
      </c>
      <c r="G479" s="38">
        <f t="shared" si="7"/>
        <v>52337</v>
      </c>
      <c r="H479" s="1">
        <f>怪物标准模型!AR487</f>
        <v>1449701</v>
      </c>
      <c r="I479" s="1">
        <f>怪物标准模型!AS487</f>
        <v>4349103</v>
      </c>
      <c r="J479" s="1">
        <f>怪物标准模型!AT487</f>
        <v>2609462</v>
      </c>
      <c r="K479" s="1">
        <f>怪物标准模型!AU487</f>
        <v>724851</v>
      </c>
      <c r="L479" s="1">
        <f>怪物标准模型!AV487</f>
        <v>217456</v>
      </c>
      <c r="M479" s="1">
        <f>怪物标准模型!AW487</f>
        <v>5798804</v>
      </c>
      <c r="N479" s="1">
        <f>怪物标准模型!AX487</f>
        <v>13047309</v>
      </c>
    </row>
    <row r="480" spans="2:14">
      <c r="B480" s="4">
        <v>477</v>
      </c>
      <c r="C480" s="1">
        <f>怪物标准模型!AY488</f>
        <v>186009480</v>
      </c>
      <c r="D480" s="1">
        <f>怪物标准模型!AM488</f>
        <v>169917</v>
      </c>
      <c r="E480" s="1">
        <f>怪物标准模型!AN488</f>
        <v>52501</v>
      </c>
      <c r="F480" s="37">
        <f>怪物标准模型!AP488</f>
        <v>169917</v>
      </c>
      <c r="G480" s="38">
        <f t="shared" si="7"/>
        <v>52501</v>
      </c>
      <c r="H480" s="1">
        <f>怪物标准模型!AR488</f>
        <v>1459144</v>
      </c>
      <c r="I480" s="1">
        <f>怪物标准模型!AS488</f>
        <v>4377432</v>
      </c>
      <c r="J480" s="1">
        <f>怪物标准模型!AT488</f>
        <v>2626460</v>
      </c>
      <c r="K480" s="1">
        <f>怪物标准模型!AU488</f>
        <v>729572</v>
      </c>
      <c r="L480" s="1">
        <f>怪物标准模型!AV488</f>
        <v>218872</v>
      </c>
      <c r="M480" s="1">
        <f>怪物标准模型!AW488</f>
        <v>5836576</v>
      </c>
      <c r="N480" s="1">
        <f>怪物标准模型!AX488</f>
        <v>13132296</v>
      </c>
    </row>
    <row r="481" spans="2:14">
      <c r="B481" s="4">
        <v>478</v>
      </c>
      <c r="C481" s="1">
        <f>怪物标准模型!AY489</f>
        <v>187325940</v>
      </c>
      <c r="D481" s="1">
        <f>怪物标准模型!AM489</f>
        <v>170928</v>
      </c>
      <c r="E481" s="1">
        <f>怪物标准模型!AN489</f>
        <v>52665</v>
      </c>
      <c r="F481" s="37">
        <f>怪物标准模型!AP489</f>
        <v>170928</v>
      </c>
      <c r="G481" s="38">
        <f t="shared" si="7"/>
        <v>52665</v>
      </c>
      <c r="H481" s="1">
        <f>怪物标准模型!AR489</f>
        <v>1468636</v>
      </c>
      <c r="I481" s="1">
        <f>怪物标准模型!AS489</f>
        <v>4405908</v>
      </c>
      <c r="J481" s="1">
        <f>怪物标准模型!AT489</f>
        <v>2643545</v>
      </c>
      <c r="K481" s="1">
        <f>怪物标准模型!AU489</f>
        <v>734318</v>
      </c>
      <c r="L481" s="1">
        <f>怪物标准模型!AV489</f>
        <v>220296</v>
      </c>
      <c r="M481" s="1">
        <f>怪物标准模型!AW489</f>
        <v>5874544</v>
      </c>
      <c r="N481" s="1">
        <f>怪物标准模型!AX489</f>
        <v>13217724</v>
      </c>
    </row>
    <row r="482" spans="2:14">
      <c r="B482" s="4">
        <v>479</v>
      </c>
      <c r="C482" s="1">
        <f>怪物标准模型!AY490</f>
        <v>188649840</v>
      </c>
      <c r="D482" s="1">
        <f>怪物标准模型!AM490</f>
        <v>171943</v>
      </c>
      <c r="E482" s="1">
        <f>怪物标准模型!AN490</f>
        <v>52830</v>
      </c>
      <c r="F482" s="37">
        <f>怪物标准模型!AP490</f>
        <v>171943</v>
      </c>
      <c r="G482" s="38">
        <f t="shared" si="7"/>
        <v>52830</v>
      </c>
      <c r="H482" s="1">
        <f>怪物标准模型!AR490</f>
        <v>1478175</v>
      </c>
      <c r="I482" s="1">
        <f>怪物标准模型!AS490</f>
        <v>4434525</v>
      </c>
      <c r="J482" s="1">
        <f>怪物标准模型!AT490</f>
        <v>2660715</v>
      </c>
      <c r="K482" s="1">
        <f>怪物标准模型!AU490</f>
        <v>739088</v>
      </c>
      <c r="L482" s="1">
        <f>怪物标准模型!AV490</f>
        <v>221727</v>
      </c>
      <c r="M482" s="1">
        <f>怪物标准模型!AW490</f>
        <v>5912700</v>
      </c>
      <c r="N482" s="1">
        <f>怪物标准模型!AX490</f>
        <v>13303575</v>
      </c>
    </row>
    <row r="483" spans="2:14">
      <c r="B483" s="4">
        <v>480</v>
      </c>
      <c r="C483" s="1">
        <f>怪物标准模型!AY491</f>
        <v>189981300</v>
      </c>
      <c r="D483" s="1">
        <f>怪物标准模型!AM491</f>
        <v>172963</v>
      </c>
      <c r="E483" s="1">
        <f>怪物标准模型!AN491</f>
        <v>52995</v>
      </c>
      <c r="F483" s="37">
        <f>怪物标准模型!AP491</f>
        <v>172963</v>
      </c>
      <c r="G483" s="38">
        <f t="shared" si="7"/>
        <v>52995</v>
      </c>
      <c r="H483" s="1">
        <f>怪物标准模型!AR491</f>
        <v>1487762</v>
      </c>
      <c r="I483" s="1">
        <f>怪物标准模型!AS491</f>
        <v>4463286</v>
      </c>
      <c r="J483" s="1">
        <f>怪物标准模型!AT491</f>
        <v>2677972</v>
      </c>
      <c r="K483" s="1">
        <f>怪物标准模型!AU491</f>
        <v>743881</v>
      </c>
      <c r="L483" s="1">
        <f>怪物标准模型!AV491</f>
        <v>223165</v>
      </c>
      <c r="M483" s="1">
        <f>怪物标准模型!AW491</f>
        <v>5951048</v>
      </c>
      <c r="N483" s="1">
        <f>怪物标准模型!AX491</f>
        <v>13389858</v>
      </c>
    </row>
    <row r="484" spans="2:14">
      <c r="B484" s="4">
        <v>481</v>
      </c>
      <c r="C484" s="1">
        <f>怪物标准模型!AY492</f>
        <v>191320320</v>
      </c>
      <c r="D484" s="1">
        <f>怪物标准模型!AM492</f>
        <v>173987</v>
      </c>
      <c r="E484" s="1">
        <f>怪物标准模型!AN492</f>
        <v>53160</v>
      </c>
      <c r="F484" s="37">
        <f>怪物标准模型!AP492</f>
        <v>173987</v>
      </c>
      <c r="G484" s="38">
        <f t="shared" si="7"/>
        <v>53160</v>
      </c>
      <c r="H484" s="1">
        <f>怪物标准模型!AR492</f>
        <v>1497398</v>
      </c>
      <c r="I484" s="1">
        <f>怪物标准模型!AS492</f>
        <v>4492194</v>
      </c>
      <c r="J484" s="1">
        <f>怪物标准模型!AT492</f>
        <v>2695317</v>
      </c>
      <c r="K484" s="1">
        <f>怪物标准模型!AU492</f>
        <v>748699</v>
      </c>
      <c r="L484" s="1">
        <f>怪物标准模型!AV492</f>
        <v>224610</v>
      </c>
      <c r="M484" s="1">
        <f>怪物标准模型!AW492</f>
        <v>5989592</v>
      </c>
      <c r="N484" s="1">
        <f>怪物标准模型!AX492</f>
        <v>13476582</v>
      </c>
    </row>
    <row r="485" spans="2:14">
      <c r="B485" s="4">
        <v>482</v>
      </c>
      <c r="C485" s="1">
        <f>怪物标准模型!AY493</f>
        <v>192666900</v>
      </c>
      <c r="D485" s="1">
        <f>怪物标准模型!AM493</f>
        <v>175017</v>
      </c>
      <c r="E485" s="1">
        <f>怪物标准模型!AN493</f>
        <v>53325</v>
      </c>
      <c r="F485" s="37">
        <f>怪物标准模型!AP493</f>
        <v>175017</v>
      </c>
      <c r="G485" s="38">
        <f t="shared" si="7"/>
        <v>53325</v>
      </c>
      <c r="H485" s="1">
        <f>怪物标准模型!AR493</f>
        <v>1507083</v>
      </c>
      <c r="I485" s="1">
        <f>怪物标准模型!AS493</f>
        <v>4521249</v>
      </c>
      <c r="J485" s="1">
        <f>怪物标准模型!AT493</f>
        <v>2712750</v>
      </c>
      <c r="K485" s="1">
        <f>怪物标准模型!AU493</f>
        <v>753542</v>
      </c>
      <c r="L485" s="1">
        <f>怪物标准模型!AV493</f>
        <v>226063</v>
      </c>
      <c r="M485" s="1">
        <f>怪物标准模型!AW493</f>
        <v>6028332</v>
      </c>
      <c r="N485" s="1">
        <f>怪物标准模型!AX493</f>
        <v>13563747</v>
      </c>
    </row>
    <row r="486" spans="2:14">
      <c r="B486" s="4">
        <v>483</v>
      </c>
      <c r="C486" s="1">
        <f>怪物标准模型!AY494</f>
        <v>194021160</v>
      </c>
      <c r="D486" s="1">
        <f>怪物标准模型!AM494</f>
        <v>176051</v>
      </c>
      <c r="E486" s="1">
        <f>怪物标准模型!AN494</f>
        <v>53491</v>
      </c>
      <c r="F486" s="37">
        <f>怪物标准模型!AP494</f>
        <v>176051</v>
      </c>
      <c r="G486" s="38">
        <f t="shared" si="7"/>
        <v>53491</v>
      </c>
      <c r="H486" s="1">
        <f>怪物标准模型!AR494</f>
        <v>1516816</v>
      </c>
      <c r="I486" s="1">
        <f>怪物标准模型!AS494</f>
        <v>4550448</v>
      </c>
      <c r="J486" s="1">
        <f>怪物标准模型!AT494</f>
        <v>2730269</v>
      </c>
      <c r="K486" s="1">
        <f>怪物标准模型!AU494</f>
        <v>758408</v>
      </c>
      <c r="L486" s="1">
        <f>怪物标准模型!AV494</f>
        <v>227523</v>
      </c>
      <c r="M486" s="1">
        <f>怪物标准模型!AW494</f>
        <v>6067264</v>
      </c>
      <c r="N486" s="1">
        <f>怪物标准模型!AX494</f>
        <v>13651344</v>
      </c>
    </row>
    <row r="487" spans="2:14">
      <c r="B487" s="4">
        <v>484</v>
      </c>
      <c r="C487" s="1">
        <f>怪物标准模型!AY495</f>
        <v>195383040</v>
      </c>
      <c r="D487" s="1">
        <f>怪物标准模型!AM495</f>
        <v>177089</v>
      </c>
      <c r="E487" s="1">
        <f>怪物标准模型!AN495</f>
        <v>53657</v>
      </c>
      <c r="F487" s="37">
        <f>怪物标准模型!AP495</f>
        <v>177089</v>
      </c>
      <c r="G487" s="38">
        <f t="shared" si="7"/>
        <v>53657</v>
      </c>
      <c r="H487" s="1">
        <f>怪物标准模型!AR495</f>
        <v>1526599</v>
      </c>
      <c r="I487" s="1">
        <f>怪物标准模型!AS495</f>
        <v>4579797</v>
      </c>
      <c r="J487" s="1">
        <f>怪物标准模型!AT495</f>
        <v>2747879</v>
      </c>
      <c r="K487" s="1">
        <f>怪物标准模型!AU495</f>
        <v>763300</v>
      </c>
      <c r="L487" s="1">
        <f>怪物标准模型!AV495</f>
        <v>228990</v>
      </c>
      <c r="M487" s="1">
        <f>怪物标准模型!AW495</f>
        <v>6106396</v>
      </c>
      <c r="N487" s="1">
        <f>怪物标准模型!AX495</f>
        <v>13739391</v>
      </c>
    </row>
    <row r="488" spans="2:14">
      <c r="B488" s="4">
        <v>485</v>
      </c>
      <c r="C488" s="1">
        <f>怪物标准模型!AY496</f>
        <v>196752600</v>
      </c>
      <c r="D488" s="1">
        <f>怪物标准模型!AM496</f>
        <v>178133</v>
      </c>
      <c r="E488" s="1">
        <f>怪物标准模型!AN496</f>
        <v>53823</v>
      </c>
      <c r="F488" s="37">
        <f>怪物标准模型!AP496</f>
        <v>178133</v>
      </c>
      <c r="G488" s="38">
        <f t="shared" si="7"/>
        <v>53823</v>
      </c>
      <c r="H488" s="1">
        <f>怪物标准模型!AR496</f>
        <v>1536430</v>
      </c>
      <c r="I488" s="1">
        <f>怪物标准模型!AS496</f>
        <v>4609290</v>
      </c>
      <c r="J488" s="1">
        <f>怪物标准模型!AT496</f>
        <v>2765574</v>
      </c>
      <c r="K488" s="1">
        <f>怪物标准模型!AU496</f>
        <v>768215</v>
      </c>
      <c r="L488" s="1">
        <f>怪物标准模型!AV496</f>
        <v>230465</v>
      </c>
      <c r="M488" s="1">
        <f>怪物标准模型!AW496</f>
        <v>6145720</v>
      </c>
      <c r="N488" s="1">
        <f>怪物标准模型!AX496</f>
        <v>13827870</v>
      </c>
    </row>
    <row r="489" spans="2:14">
      <c r="B489" s="4">
        <v>486</v>
      </c>
      <c r="C489" s="1">
        <f>怪物标准模型!AY497</f>
        <v>198129900</v>
      </c>
      <c r="D489" s="1">
        <f>怪物标准模型!AM497</f>
        <v>179181</v>
      </c>
      <c r="E489" s="1">
        <f>怪物标准模型!AN497</f>
        <v>53989</v>
      </c>
      <c r="F489" s="37">
        <f>怪物标准模型!AP497</f>
        <v>179181</v>
      </c>
      <c r="G489" s="38">
        <f t="shared" si="7"/>
        <v>53989</v>
      </c>
      <c r="H489" s="1">
        <f>怪物标准模型!AR497</f>
        <v>1546311</v>
      </c>
      <c r="I489" s="1">
        <f>怪物标准模型!AS497</f>
        <v>4638933</v>
      </c>
      <c r="J489" s="1">
        <f>怪物标准模型!AT497</f>
        <v>2783360</v>
      </c>
      <c r="K489" s="1">
        <f>怪物标准模型!AU497</f>
        <v>773156</v>
      </c>
      <c r="L489" s="1">
        <f>怪物标准模型!AV497</f>
        <v>231947</v>
      </c>
      <c r="M489" s="1">
        <f>怪物标准模型!AW497</f>
        <v>6185244</v>
      </c>
      <c r="N489" s="1">
        <f>怪物标准模型!AX497</f>
        <v>13916799</v>
      </c>
    </row>
    <row r="490" spans="2:14">
      <c r="B490" s="4">
        <v>487</v>
      </c>
      <c r="C490" s="1">
        <f>怪物标准模型!AY498</f>
        <v>199514940</v>
      </c>
      <c r="D490" s="1">
        <f>怪物标准模型!AM498</f>
        <v>180234</v>
      </c>
      <c r="E490" s="1">
        <f>怪物标准模型!AN498</f>
        <v>54155</v>
      </c>
      <c r="F490" s="37">
        <f>怪物标准模型!AP498</f>
        <v>180234</v>
      </c>
      <c r="G490" s="38">
        <f t="shared" si="7"/>
        <v>54155</v>
      </c>
      <c r="H490" s="1">
        <f>怪物标准模型!AR498</f>
        <v>1556242</v>
      </c>
      <c r="I490" s="1">
        <f>怪物标准模型!AS498</f>
        <v>4668726</v>
      </c>
      <c r="J490" s="1">
        <f>怪物标准模型!AT498</f>
        <v>2801236</v>
      </c>
      <c r="K490" s="1">
        <f>怪物标准模型!AU498</f>
        <v>778121</v>
      </c>
      <c r="L490" s="1">
        <f>怪物标准模型!AV498</f>
        <v>233437</v>
      </c>
      <c r="M490" s="1">
        <f>怪物标准模型!AW498</f>
        <v>6224968</v>
      </c>
      <c r="N490" s="1">
        <f>怪物标准模型!AX498</f>
        <v>14006178</v>
      </c>
    </row>
    <row r="491" spans="2:14">
      <c r="B491" s="4">
        <v>488</v>
      </c>
      <c r="C491" s="1">
        <f>怪物标准模型!AY499</f>
        <v>200907840</v>
      </c>
      <c r="D491" s="1">
        <f>怪物标准模型!AM499</f>
        <v>181292</v>
      </c>
      <c r="E491" s="1">
        <f>怪物标准模型!AN499</f>
        <v>54322</v>
      </c>
      <c r="F491" s="37">
        <f>怪物标准模型!AP499</f>
        <v>181292</v>
      </c>
      <c r="G491" s="38">
        <f t="shared" si="7"/>
        <v>54322</v>
      </c>
      <c r="H491" s="1">
        <f>怪物标准模型!AR499</f>
        <v>1566222</v>
      </c>
      <c r="I491" s="1">
        <f>怪物标准模型!AS499</f>
        <v>4698666</v>
      </c>
      <c r="J491" s="1">
        <f>怪物标准模型!AT499</f>
        <v>2819200</v>
      </c>
      <c r="K491" s="1">
        <f>怪物标准模型!AU499</f>
        <v>783111</v>
      </c>
      <c r="L491" s="1">
        <f>怪物标准模型!AV499</f>
        <v>234934</v>
      </c>
      <c r="M491" s="1">
        <f>怪物标准模型!AW499</f>
        <v>6264888</v>
      </c>
      <c r="N491" s="1">
        <f>怪物标准模型!AX499</f>
        <v>14095998</v>
      </c>
    </row>
    <row r="492" spans="2:14">
      <c r="B492" s="4">
        <v>489</v>
      </c>
      <c r="C492" s="1">
        <f>怪物标准模型!AY500</f>
        <v>202308540</v>
      </c>
      <c r="D492" s="1">
        <f>怪物标准模型!AM500</f>
        <v>182355</v>
      </c>
      <c r="E492" s="1">
        <f>怪物标准模型!AN500</f>
        <v>54489</v>
      </c>
      <c r="F492" s="37">
        <f>怪物标准模型!AP500</f>
        <v>182355</v>
      </c>
      <c r="G492" s="38">
        <f t="shared" si="7"/>
        <v>54489</v>
      </c>
      <c r="H492" s="1">
        <f>怪物标准模型!AR500</f>
        <v>1576252</v>
      </c>
      <c r="I492" s="1">
        <f>怪物标准模型!AS500</f>
        <v>4728756</v>
      </c>
      <c r="J492" s="1">
        <f>怪物标准模型!AT500</f>
        <v>2837254</v>
      </c>
      <c r="K492" s="1">
        <f>怪物标准模型!AU500</f>
        <v>788126</v>
      </c>
      <c r="L492" s="1">
        <f>怪物标准模型!AV500</f>
        <v>236438</v>
      </c>
      <c r="M492" s="1">
        <f>怪物标准模型!AW500</f>
        <v>6305008</v>
      </c>
      <c r="N492" s="1">
        <f>怪物标准模型!AX500</f>
        <v>14186268</v>
      </c>
    </row>
    <row r="493" spans="2:14">
      <c r="B493" s="4">
        <v>490</v>
      </c>
      <c r="C493" s="1">
        <f>怪物标准模型!AY501</f>
        <v>203717100</v>
      </c>
      <c r="D493" s="1">
        <f>怪物标准模型!AM501</f>
        <v>183423</v>
      </c>
      <c r="E493" s="1">
        <f>怪物标准模型!AN501</f>
        <v>54656</v>
      </c>
      <c r="F493" s="37">
        <f>怪物标准模型!AP501</f>
        <v>183423</v>
      </c>
      <c r="G493" s="38">
        <f t="shared" si="7"/>
        <v>54656</v>
      </c>
      <c r="H493" s="1">
        <f>怪物标准模型!AR501</f>
        <v>1586333</v>
      </c>
      <c r="I493" s="1">
        <f>怪物标准模型!AS501</f>
        <v>4758999</v>
      </c>
      <c r="J493" s="1">
        <f>怪物标准模型!AT501</f>
        <v>2855400</v>
      </c>
      <c r="K493" s="1">
        <f>怪物标准模型!AU501</f>
        <v>793167</v>
      </c>
      <c r="L493" s="1">
        <f>怪物标准模型!AV501</f>
        <v>237950</v>
      </c>
      <c r="M493" s="1">
        <f>怪物标准模型!AW501</f>
        <v>6345332</v>
      </c>
      <c r="N493" s="1">
        <f>怪物标准模型!AX501</f>
        <v>14276997</v>
      </c>
    </row>
    <row r="494" spans="2:14">
      <c r="B494" s="4">
        <v>491</v>
      </c>
      <c r="C494" s="1">
        <f>怪物标准模型!AY502</f>
        <v>205133580</v>
      </c>
      <c r="D494" s="1">
        <f>怪物标准模型!AM502</f>
        <v>184496</v>
      </c>
      <c r="E494" s="1">
        <f>怪物标准模型!AN502</f>
        <v>54823</v>
      </c>
      <c r="F494" s="37">
        <f>怪物标准模型!AP502</f>
        <v>184496</v>
      </c>
      <c r="G494" s="38">
        <f t="shared" si="7"/>
        <v>54823</v>
      </c>
      <c r="H494" s="1">
        <f>怪物标准模型!AR502</f>
        <v>1596463</v>
      </c>
      <c r="I494" s="1">
        <f>怪物标准模型!AS502</f>
        <v>4789389</v>
      </c>
      <c r="J494" s="1">
        <f>怪物标准模型!AT502</f>
        <v>2873634</v>
      </c>
      <c r="K494" s="1">
        <f>怪物标准模型!AU502</f>
        <v>798232</v>
      </c>
      <c r="L494" s="1">
        <f>怪物标准模型!AV502</f>
        <v>239470</v>
      </c>
      <c r="M494" s="1">
        <f>怪物标准模型!AW502</f>
        <v>6385852</v>
      </c>
      <c r="N494" s="1">
        <f>怪物标准模型!AX502</f>
        <v>14368167</v>
      </c>
    </row>
    <row r="495" spans="2:14">
      <c r="B495" s="4">
        <v>492</v>
      </c>
      <c r="C495" s="1">
        <f>怪物标准模型!AY503</f>
        <v>206557980</v>
      </c>
      <c r="D495" s="1">
        <f>怪物标准模型!AM503</f>
        <v>185573</v>
      </c>
      <c r="E495" s="1">
        <f>怪物标准模型!AN503</f>
        <v>54991</v>
      </c>
      <c r="F495" s="37">
        <f>怪物标准模型!AP503</f>
        <v>185573</v>
      </c>
      <c r="G495" s="38">
        <f t="shared" si="7"/>
        <v>54991</v>
      </c>
      <c r="H495" s="1">
        <f>怪物标准模型!AR503</f>
        <v>1606645</v>
      </c>
      <c r="I495" s="1">
        <f>怪物标准模型!AS503</f>
        <v>4819935</v>
      </c>
      <c r="J495" s="1">
        <f>怪物标准模型!AT503</f>
        <v>2891961</v>
      </c>
      <c r="K495" s="1">
        <f>怪物标准模型!AU503</f>
        <v>803323</v>
      </c>
      <c r="L495" s="1">
        <f>怪物标准模型!AV503</f>
        <v>240997</v>
      </c>
      <c r="M495" s="1">
        <f>怪物标准模型!AW503</f>
        <v>6426580</v>
      </c>
      <c r="N495" s="1">
        <f>怪物标准模型!AX503</f>
        <v>14459805</v>
      </c>
    </row>
    <row r="496" spans="2:14">
      <c r="B496" s="4">
        <v>493</v>
      </c>
      <c r="C496" s="1">
        <f>怪物标准模型!AY504</f>
        <v>207990360</v>
      </c>
      <c r="D496" s="1">
        <f>怪物标准模型!AM504</f>
        <v>186656</v>
      </c>
      <c r="E496" s="1">
        <f>怪物标准模型!AN504</f>
        <v>55159</v>
      </c>
      <c r="F496" s="37">
        <f>怪物标准模型!AP504</f>
        <v>186656</v>
      </c>
      <c r="G496" s="38">
        <f t="shared" si="7"/>
        <v>55159</v>
      </c>
      <c r="H496" s="1">
        <f>怪物标准模型!AR504</f>
        <v>1616877</v>
      </c>
      <c r="I496" s="1">
        <f>怪物标准模型!AS504</f>
        <v>4850631</v>
      </c>
      <c r="J496" s="1">
        <f>怪物标准模型!AT504</f>
        <v>2910379</v>
      </c>
      <c r="K496" s="1">
        <f>怪物标准模型!AU504</f>
        <v>808439</v>
      </c>
      <c r="L496" s="1">
        <f>怪物标准模型!AV504</f>
        <v>242532</v>
      </c>
      <c r="M496" s="1">
        <f>怪物标准模型!AW504</f>
        <v>6467508</v>
      </c>
      <c r="N496" s="1">
        <f>怪物标准模型!AX504</f>
        <v>14551893</v>
      </c>
    </row>
    <row r="497" spans="2:14">
      <c r="B497" s="4">
        <v>494</v>
      </c>
      <c r="C497" s="1">
        <f>怪物标准模型!AY505</f>
        <v>209430720</v>
      </c>
      <c r="D497" s="1">
        <f>怪物标准模型!AM505</f>
        <v>187743</v>
      </c>
      <c r="E497" s="1">
        <f>怪物标准模型!AN505</f>
        <v>55327</v>
      </c>
      <c r="F497" s="37">
        <f>怪物标准模型!AP505</f>
        <v>187743</v>
      </c>
      <c r="G497" s="38">
        <f t="shared" si="7"/>
        <v>55327</v>
      </c>
      <c r="H497" s="1">
        <f>怪物标准模型!AR505</f>
        <v>1627159</v>
      </c>
      <c r="I497" s="1">
        <f>怪物标准模型!AS505</f>
        <v>4881477</v>
      </c>
      <c r="J497" s="1">
        <f>怪物标准模型!AT505</f>
        <v>2928887</v>
      </c>
      <c r="K497" s="1">
        <f>怪物标准模型!AU505</f>
        <v>813580</v>
      </c>
      <c r="L497" s="1">
        <f>怪物标准模型!AV505</f>
        <v>244074</v>
      </c>
      <c r="M497" s="1">
        <f>怪物标准模型!AW505</f>
        <v>6508636</v>
      </c>
      <c r="N497" s="1">
        <f>怪物标准模型!AX505</f>
        <v>14644431</v>
      </c>
    </row>
    <row r="498" spans="2:14">
      <c r="B498" s="4">
        <v>495</v>
      </c>
      <c r="C498" s="1">
        <f>怪物标准模型!AY506</f>
        <v>210879180</v>
      </c>
      <c r="D498" s="1">
        <f>怪物标准模型!AM506</f>
        <v>188836</v>
      </c>
      <c r="E498" s="1">
        <f>怪物标准模型!AN506</f>
        <v>55495</v>
      </c>
      <c r="F498" s="37">
        <f>怪物标准模型!AP506</f>
        <v>188836</v>
      </c>
      <c r="G498" s="38">
        <f t="shared" si="7"/>
        <v>55495</v>
      </c>
      <c r="H498" s="1">
        <f>怪物标准模型!AR506</f>
        <v>1637494</v>
      </c>
      <c r="I498" s="1">
        <f>怪物标准模型!AS506</f>
        <v>4912482</v>
      </c>
      <c r="J498" s="1">
        <f>怪物标准模型!AT506</f>
        <v>2947490</v>
      </c>
      <c r="K498" s="1">
        <f>怪物标准模型!AU506</f>
        <v>818747</v>
      </c>
      <c r="L498" s="1">
        <f>怪物标准模型!AV506</f>
        <v>245625</v>
      </c>
      <c r="M498" s="1">
        <f>怪物标准模型!AW506</f>
        <v>6549976</v>
      </c>
      <c r="N498" s="1">
        <f>怪物标准模型!AX506</f>
        <v>14737446</v>
      </c>
    </row>
    <row r="499" spans="2:14">
      <c r="B499" s="4">
        <v>496</v>
      </c>
      <c r="C499" s="1">
        <f>怪物标准模型!AY507</f>
        <v>212335680</v>
      </c>
      <c r="D499" s="1">
        <f>怪物标准模型!AM507</f>
        <v>189933</v>
      </c>
      <c r="E499" s="1">
        <f>怪物标准模型!AN507</f>
        <v>55664</v>
      </c>
      <c r="F499" s="37">
        <f>怪物标准模型!AP507</f>
        <v>189933</v>
      </c>
      <c r="G499" s="38">
        <f t="shared" si="7"/>
        <v>55664</v>
      </c>
      <c r="H499" s="1">
        <f>怪物标准模型!AR507</f>
        <v>1647879</v>
      </c>
      <c r="I499" s="1">
        <f>怪物标准模型!AS507</f>
        <v>4943637</v>
      </c>
      <c r="J499" s="1">
        <f>怪物标准模型!AT507</f>
        <v>2966183</v>
      </c>
      <c r="K499" s="1">
        <f>怪物标准模型!AU507</f>
        <v>823940</v>
      </c>
      <c r="L499" s="1">
        <f>怪物标准模型!AV507</f>
        <v>247182</v>
      </c>
      <c r="M499" s="1">
        <f>怪物标准模型!AW507</f>
        <v>6591516</v>
      </c>
      <c r="N499" s="1">
        <f>怪物标准模型!AX507</f>
        <v>14830911</v>
      </c>
    </row>
    <row r="500" spans="2:14">
      <c r="B500" s="4">
        <v>497</v>
      </c>
      <c r="C500" s="1">
        <f>怪物标准模型!AY508</f>
        <v>213800340</v>
      </c>
      <c r="D500" s="1">
        <f>怪物标准模型!AM508</f>
        <v>191036</v>
      </c>
      <c r="E500" s="1">
        <f>怪物标准模型!AN508</f>
        <v>55832</v>
      </c>
      <c r="F500" s="37">
        <f>怪物标准模型!AP508</f>
        <v>191036</v>
      </c>
      <c r="G500" s="38">
        <f t="shared" si="7"/>
        <v>55832</v>
      </c>
      <c r="H500" s="1">
        <f>怪物标准模型!AR508</f>
        <v>1658316</v>
      </c>
      <c r="I500" s="1">
        <f>怪物标准模型!AS508</f>
        <v>4974948</v>
      </c>
      <c r="J500" s="1">
        <f>怪物标准模型!AT508</f>
        <v>2984969</v>
      </c>
      <c r="K500" s="1">
        <f>怪物标准模型!AU508</f>
        <v>829158</v>
      </c>
      <c r="L500" s="1">
        <f>怪物标准模型!AV508</f>
        <v>248748</v>
      </c>
      <c r="M500" s="1">
        <f>怪物标准模型!AW508</f>
        <v>6633264</v>
      </c>
      <c r="N500" s="1">
        <f>怪物标准模型!AX508</f>
        <v>14924844</v>
      </c>
    </row>
    <row r="501" spans="2:14">
      <c r="B501" s="4">
        <v>498</v>
      </c>
      <c r="C501" s="1">
        <f>怪物标准模型!AY509</f>
        <v>215273160</v>
      </c>
      <c r="D501" s="1">
        <f>怪物标准模型!AM509</f>
        <v>192143</v>
      </c>
      <c r="E501" s="1">
        <f>怪物标准模型!AN509</f>
        <v>56001</v>
      </c>
      <c r="F501" s="37">
        <f>怪物标准模型!AP509</f>
        <v>192143</v>
      </c>
      <c r="G501" s="38">
        <f t="shared" si="7"/>
        <v>56001</v>
      </c>
      <c r="H501" s="1">
        <f>怪物标准模型!AR509</f>
        <v>1668804</v>
      </c>
      <c r="I501" s="1">
        <f>怪物标准模型!AS509</f>
        <v>5006412</v>
      </c>
      <c r="J501" s="1">
        <f>怪物标准模型!AT509</f>
        <v>3003848</v>
      </c>
      <c r="K501" s="1">
        <f>怪物标准模型!AU509</f>
        <v>834402</v>
      </c>
      <c r="L501" s="1">
        <f>怪物标准模型!AV509</f>
        <v>250321</v>
      </c>
      <c r="M501" s="1">
        <f>怪物标准模型!AW509</f>
        <v>6675216</v>
      </c>
      <c r="N501" s="1">
        <f>怪物标准模型!AX509</f>
        <v>15019236</v>
      </c>
    </row>
    <row r="502" spans="2:14">
      <c r="B502" s="4">
        <v>499</v>
      </c>
      <c r="C502" s="1">
        <f>怪物标准模型!AY510</f>
        <v>216754140</v>
      </c>
      <c r="D502" s="1">
        <f>怪物标准模型!AM510</f>
        <v>193255</v>
      </c>
      <c r="E502" s="1">
        <f>怪物标准模型!AN510</f>
        <v>56171</v>
      </c>
      <c r="F502" s="37">
        <f>怪物标准模型!AP510</f>
        <v>193255</v>
      </c>
      <c r="G502" s="38">
        <f t="shared" si="7"/>
        <v>56171</v>
      </c>
      <c r="H502" s="1">
        <f>怪物标准模型!AR510</f>
        <v>1679345</v>
      </c>
      <c r="I502" s="1">
        <f>怪物标准模型!AS510</f>
        <v>5038035</v>
      </c>
      <c r="J502" s="1">
        <f>怪物标准模型!AT510</f>
        <v>3022821</v>
      </c>
      <c r="K502" s="1">
        <f>怪物标准模型!AU510</f>
        <v>839673</v>
      </c>
      <c r="L502" s="1">
        <f>怪物标准模型!AV510</f>
        <v>251902</v>
      </c>
      <c r="M502" s="1">
        <f>怪物标准模型!AW510</f>
        <v>6717380</v>
      </c>
      <c r="N502" s="1">
        <f>怪物标准模型!AX510</f>
        <v>15114105</v>
      </c>
    </row>
    <row r="503" spans="2:14">
      <c r="B503" s="4">
        <v>500</v>
      </c>
      <c r="C503" s="1">
        <f>怪物标准模型!AY511</f>
        <v>218243340</v>
      </c>
      <c r="D503" s="1">
        <f>怪物标准模型!AM511</f>
        <v>194373</v>
      </c>
      <c r="E503" s="1">
        <f>怪物标准模型!AN511</f>
        <v>56340</v>
      </c>
      <c r="F503" s="37">
        <f>怪物标准模型!AP511</f>
        <v>194373</v>
      </c>
      <c r="G503" s="38">
        <f t="shared" si="7"/>
        <v>56340</v>
      </c>
      <c r="H503" s="1">
        <f>怪物标准模型!AR511</f>
        <v>1689937</v>
      </c>
      <c r="I503" s="1">
        <f>怪物标准模型!AS511</f>
        <v>5069811</v>
      </c>
      <c r="J503" s="1">
        <f>怪物标准模型!AT511</f>
        <v>3041887</v>
      </c>
      <c r="K503" s="1">
        <f>怪物标准模型!AU511</f>
        <v>844969</v>
      </c>
      <c r="L503" s="1">
        <f>怪物标准模型!AV511</f>
        <v>253491</v>
      </c>
      <c r="M503" s="1">
        <f>怪物标准模型!AW511</f>
        <v>6759748</v>
      </c>
      <c r="N503" s="1">
        <f>怪物标准模型!AX511</f>
        <v>15209433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43" sqref="M43"/>
    </sheetView>
  </sheetViews>
  <sheetFormatPr defaultColWidth="9" defaultRowHeight="13.5"/>
  <sheetData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P116"/>
  <sheetViews>
    <sheetView topLeftCell="A38" workbookViewId="0">
      <pane xSplit="4" topLeftCell="AC1" activePane="topRight" state="frozen"/>
      <selection/>
      <selection pane="topRight" activeCell="AO42" sqref="AO42:AO71"/>
    </sheetView>
  </sheetViews>
  <sheetFormatPr defaultColWidth="9" defaultRowHeight="16.5"/>
  <cols>
    <col min="1" max="3" width="9" style="4" customWidth="1"/>
    <col min="4" max="4" width="9.875" style="4" customWidth="1"/>
    <col min="5" max="5" width="16.75" style="4" customWidth="1"/>
    <col min="6" max="6" width="17" style="4" customWidth="1"/>
    <col min="7" max="9" width="14.75" style="4" customWidth="1"/>
    <col min="10" max="10" width="14.875" style="4" customWidth="1"/>
    <col min="11" max="11" width="15.375" style="4" customWidth="1"/>
    <col min="12" max="13" width="12.875" style="4" customWidth="1"/>
    <col min="14" max="15" width="15" style="4" customWidth="1"/>
    <col min="16" max="18" width="12.875" style="4" customWidth="1"/>
    <col min="19" max="20" width="15" style="4" customWidth="1"/>
    <col min="21" max="23" width="12.875" style="4" customWidth="1"/>
    <col min="24" max="25" width="13.25" style="4" customWidth="1"/>
    <col min="26" max="26" width="12.875" style="4" customWidth="1"/>
    <col min="27" max="27" width="17.125" style="4" customWidth="1"/>
    <col min="28" max="31" width="15" style="4" customWidth="1"/>
    <col min="32" max="32" width="10.875" style="4" customWidth="1"/>
    <col min="33" max="35" width="14.125" style="4" customWidth="1"/>
    <col min="36" max="36" width="10.875" style="4" customWidth="1"/>
    <col min="37" max="39" width="15" style="4" customWidth="1"/>
    <col min="40" max="40" width="12.625" style="4" customWidth="1"/>
    <col min="41" max="16384" width="9" style="4" customWidth="1"/>
  </cols>
  <sheetData>
    <row r="2" spans="1:42">
      <c r="A2" s="8" t="s">
        <v>572</v>
      </c>
      <c r="E2" s="3" t="s">
        <v>573</v>
      </c>
      <c r="G2" s="3" t="s">
        <v>574</v>
      </c>
      <c r="H2" s="3" t="s">
        <v>575</v>
      </c>
      <c r="I2" s="3" t="s">
        <v>576</v>
      </c>
      <c r="J2" s="3" t="s">
        <v>577</v>
      </c>
      <c r="K2" s="3" t="s">
        <v>578</v>
      </c>
      <c r="AL2" s="3" t="s">
        <v>579</v>
      </c>
      <c r="AM2" s="3"/>
    </row>
    <row r="3" spans="1:42">
      <c r="A3" s="8" t="s">
        <v>580</v>
      </c>
      <c r="D3" s="4" t="s">
        <v>581</v>
      </c>
      <c r="E3" s="5">
        <v>1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AL3" s="5">
        <v>35</v>
      </c>
      <c r="AM3" s="5"/>
    </row>
    <row r="4" spans="1:42">
      <c r="A4" s="8" t="s">
        <v>582</v>
      </c>
      <c r="C4" s="5">
        <v>8</v>
      </c>
      <c r="D4" s="4" t="s">
        <v>583</v>
      </c>
      <c r="E4" s="5">
        <v>1</v>
      </c>
      <c r="G4" s="5">
        <v>0.8</v>
      </c>
      <c r="H4" s="5">
        <v>0.7</v>
      </c>
      <c r="I4" s="5">
        <v>0.6</v>
      </c>
      <c r="J4" s="5">
        <v>0.5</v>
      </c>
      <c r="K4" s="5">
        <v>0.35</v>
      </c>
      <c r="AL4" s="5">
        <v>55</v>
      </c>
      <c r="AM4" s="5"/>
    </row>
    <row r="5" spans="1:42">
      <c r="A5" s="8" t="s">
        <v>584</v>
      </c>
      <c r="C5" s="4">
        <f>5+10+15*(C4-2)</f>
        <v>105</v>
      </c>
      <c r="D5" s="4" t="s">
        <v>585</v>
      </c>
      <c r="E5" s="5">
        <v>0.999999</v>
      </c>
      <c r="G5" s="5">
        <v>0.97</v>
      </c>
      <c r="H5" s="5">
        <v>0.97</v>
      </c>
      <c r="I5" s="5">
        <v>0.97</v>
      </c>
      <c r="J5" s="5">
        <v>0.97</v>
      </c>
      <c r="K5" s="5">
        <v>0.97</v>
      </c>
      <c r="Y5" s="4">
        <f>标准模型!$D$86</f>
        <v>1.2</v>
      </c>
      <c r="Z5" s="4">
        <f>标准模型!$D$83</f>
        <v>1</v>
      </c>
      <c r="AA5" s="4">
        <f>标准模型!$D$85</f>
        <v>1</v>
      </c>
      <c r="AB5" s="4">
        <f>标准模型!$D$84</f>
        <v>1</v>
      </c>
      <c r="AK5" s="3" t="s">
        <v>586</v>
      </c>
      <c r="AL5" s="5">
        <v>1.01</v>
      </c>
      <c r="AM5" s="5"/>
    </row>
    <row r="6" spans="1:42">
      <c r="A6" s="8"/>
      <c r="D6" s="4" t="s">
        <v>587</v>
      </c>
      <c r="E6" s="5"/>
      <c r="G6" s="5"/>
      <c r="H6" s="5"/>
      <c r="I6" s="5"/>
      <c r="J6" s="5"/>
      <c r="K6" s="5"/>
      <c r="AK6" s="4">
        <f>标准模型!J110</f>
        <v>23884006.6152</v>
      </c>
      <c r="AL6" s="5"/>
      <c r="AM6" s="5"/>
    </row>
    <row r="7" spans="1:42">
      <c r="A7" s="8"/>
      <c r="D7" s="4" t="s">
        <v>588</v>
      </c>
      <c r="E7" s="5"/>
      <c r="G7" s="5"/>
      <c r="H7" s="5"/>
      <c r="I7" s="5"/>
      <c r="J7" s="5"/>
      <c r="K7" s="5"/>
      <c r="AL7" s="5"/>
      <c r="AM7" s="5"/>
    </row>
    <row r="8" spans="1:42">
      <c r="A8" s="8"/>
      <c r="D8" s="4" t="s">
        <v>589</v>
      </c>
      <c r="E8" s="5">
        <v>1</v>
      </c>
      <c r="G8" s="5">
        <v>1</v>
      </c>
      <c r="H8" s="5">
        <v>14</v>
      </c>
      <c r="I8" s="5">
        <v>40</v>
      </c>
      <c r="J8" s="5">
        <v>30</v>
      </c>
      <c r="K8" s="5">
        <v>50</v>
      </c>
      <c r="U8" s="5">
        <v>0.7</v>
      </c>
      <c r="V8" s="5">
        <v>0</v>
      </c>
      <c r="W8" s="4">
        <f>标准模型!$C$77*标准模型!H84</f>
        <v>0.275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L8" s="5">
        <v>1</v>
      </c>
      <c r="AM8" s="5"/>
    </row>
    <row r="9" spans="1:42">
      <c r="N9" s="32">
        <f>标准模型!$J$65</f>
        <v>3.6</v>
      </c>
      <c r="S9" s="32">
        <f>标准模型!$I$65</f>
        <v>3.6</v>
      </c>
      <c r="U9" s="4">
        <f>标准模型!$C$76</f>
        <v>1</v>
      </c>
      <c r="V9" s="4">
        <f>标准模型!$C$78</f>
        <v>0.4</v>
      </c>
      <c r="W9" s="4">
        <f>标准模型!$C$77</f>
        <v>0.55</v>
      </c>
      <c r="X9" s="5">
        <v>1</v>
      </c>
      <c r="Y9" s="4">
        <v>1</v>
      </c>
      <c r="Z9" s="4">
        <v>1</v>
      </c>
      <c r="AA9" s="4">
        <v>1</v>
      </c>
      <c r="AB9" s="4">
        <v>1</v>
      </c>
      <c r="AD9" s="32">
        <f>标准模型!$D$110-1</f>
        <v>0</v>
      </c>
      <c r="AE9" s="32">
        <f>标准模型!$H$103</f>
        <v>0.307692307692308</v>
      </c>
      <c r="AF9" s="4">
        <f>标准模型!$E$110-1</f>
        <v>0.545299145299145</v>
      </c>
      <c r="AG9" s="4">
        <f>标准模型!$G$65</f>
        <v>0.7</v>
      </c>
      <c r="AH9" s="4">
        <f>标准模型!$H$65</f>
        <v>1.95</v>
      </c>
      <c r="AI9" s="4">
        <f>标准模型!$C$105</f>
        <v>1.6</v>
      </c>
    </row>
    <row r="10" spans="1:42">
      <c r="H10" s="4">
        <f>'参考-养成属性规划（从养成属性复制）'!$V$39</f>
        <v>0.0588235294117647</v>
      </c>
      <c r="I10" s="4">
        <f>'参考-养成属性规划（从养成属性复制）'!$V$41</f>
        <v>0.0294117647058824</v>
      </c>
      <c r="J10" s="4">
        <f>'参考-养成属性规划（从养成属性复制）'!$V$43</f>
        <v>0.676470588235294</v>
      </c>
      <c r="K10" s="4">
        <f>'参考-养成属性规划（从养成属性复制）'!$V$42</f>
        <v>0.205882352941176</v>
      </c>
      <c r="L10" s="1" t="s">
        <v>408</v>
      </c>
      <c r="M10" s="1" t="s">
        <v>309</v>
      </c>
      <c r="N10" s="1" t="s">
        <v>409</v>
      </c>
      <c r="O10" s="10" t="s">
        <v>410</v>
      </c>
      <c r="P10" s="1"/>
      <c r="Q10" s="1" t="s">
        <v>408</v>
      </c>
      <c r="R10" s="1" t="s">
        <v>309</v>
      </c>
      <c r="S10" s="1" t="s">
        <v>409</v>
      </c>
      <c r="T10" s="10" t="s">
        <v>410</v>
      </c>
      <c r="X10" s="4" t="s">
        <v>590</v>
      </c>
      <c r="AC10" s="33"/>
      <c r="AJ10" s="33"/>
    </row>
    <row r="11" spans="1:42">
      <c r="A11" s="3" t="s">
        <v>591</v>
      </c>
      <c r="B11" s="3" t="s">
        <v>592</v>
      </c>
      <c r="C11" s="3" t="s">
        <v>593</v>
      </c>
      <c r="D11" s="3" t="s">
        <v>594</v>
      </c>
      <c r="E11" s="3" t="s">
        <v>573</v>
      </c>
      <c r="F11" s="3" t="s">
        <v>595</v>
      </c>
      <c r="G11" s="3" t="s">
        <v>574</v>
      </c>
      <c r="H11" s="3" t="s">
        <v>575</v>
      </c>
      <c r="I11" s="3" t="s">
        <v>576</v>
      </c>
      <c r="J11" s="3" t="s">
        <v>577</v>
      </c>
      <c r="K11" s="3" t="s">
        <v>578</v>
      </c>
      <c r="L11" s="3" t="s">
        <v>286</v>
      </c>
      <c r="M11" s="3" t="s">
        <v>286</v>
      </c>
      <c r="N11" s="3" t="s">
        <v>596</v>
      </c>
      <c r="O11" s="3" t="s">
        <v>286</v>
      </c>
      <c r="P11" s="3" t="s">
        <v>304</v>
      </c>
      <c r="Q11" s="3" t="s">
        <v>12</v>
      </c>
      <c r="R11" s="3" t="s">
        <v>12</v>
      </c>
      <c r="S11" s="3" t="s">
        <v>108</v>
      </c>
      <c r="T11" s="3" t="s">
        <v>12</v>
      </c>
      <c r="U11" s="3" t="s">
        <v>385</v>
      </c>
      <c r="V11" s="3" t="s">
        <v>386</v>
      </c>
      <c r="W11" s="3" t="s">
        <v>387</v>
      </c>
      <c r="X11" s="3" t="s">
        <v>597</v>
      </c>
      <c r="Y11" s="3" t="s">
        <v>598</v>
      </c>
      <c r="Z11" s="3" t="s">
        <v>599</v>
      </c>
      <c r="AA11" s="3" t="s">
        <v>600</v>
      </c>
      <c r="AB11" s="3" t="s">
        <v>601</v>
      </c>
      <c r="AC11" s="3" t="s">
        <v>602</v>
      </c>
      <c r="AD11" s="3" t="s">
        <v>603</v>
      </c>
      <c r="AE11" s="3" t="s">
        <v>604</v>
      </c>
      <c r="AF11" s="3" t="s">
        <v>605</v>
      </c>
      <c r="AG11" s="3" t="s">
        <v>30</v>
      </c>
      <c r="AH11" s="3" t="s">
        <v>32</v>
      </c>
      <c r="AI11" s="3" t="s">
        <v>606</v>
      </c>
      <c r="AJ11" s="3" t="s">
        <v>607</v>
      </c>
      <c r="AK11" s="3" t="s">
        <v>608</v>
      </c>
      <c r="AL11" s="3" t="s">
        <v>579</v>
      </c>
      <c r="AM11" s="3"/>
      <c r="AN11" s="3" t="s">
        <v>609</v>
      </c>
      <c r="AO11" s="3" t="s">
        <v>610</v>
      </c>
    </row>
    <row r="12" spans="1:42">
      <c r="A12" s="4">
        <f t="array" ref="A12">_xlfn.IFNA(_xlfn.XLOOKUP(C12&amp;D12,'玩家等级对应关卡（从新手节奏复制）'!$C:$C&amp;'玩家等级对应关卡（从新手节奏复制）'!$D:$D,'玩家等级对应关卡（从新手节奏复制）'!$E:$E),A11)</f>
        <v>1</v>
      </c>
      <c r="B12" s="4">
        <f t="array" ref="B12:B116">_xlfn.SEQUENCE(C5,1,1,1)</f>
        <v>1</v>
      </c>
      <c r="C12" s="4">
        <v>0</v>
      </c>
      <c r="D12" s="4">
        <v>1</v>
      </c>
      <c r="E12" s="4">
        <f t="shared" ref="E12:E75" si="0">IF($B12&lt;E$8,0,E$3+(E$4-E$3)*(POWER(E$5,$B12-E$8)-1)/(POWER(E$5,$C$5-E$8)-1))</f>
        <v>1</v>
      </c>
      <c r="F12" s="4">
        <v>1</v>
      </c>
      <c r="G12" s="34">
        <f t="shared" ref="G12:G75" si="1">IF($B12&lt;G$8,0,G$3+(G$4-G$3)*(POWER(G$5,$B12-G$8)-1)/(POWER(G$5,$C$5-G$8)-1))</f>
        <v>0</v>
      </c>
      <c r="H12" s="34">
        <f t="shared" ref="H12:H75" si="2">IF($B12&lt;H$8,0,H$3+(H$4-H$3)*(POWER(H$5,$B12-H$8)-1)/(POWER(H$5,$C$5-H$8)-1))</f>
        <v>0</v>
      </c>
      <c r="I12" s="34">
        <f t="shared" ref="I12:I75" si="3">IF($B12&lt;I$8,0,I$3+(I$4-I$3)*(POWER(I$5,$B12-I$8)-1)/(POWER(I$5,$C$5-I$8)-1))</f>
        <v>0</v>
      </c>
      <c r="J12" s="34">
        <f t="shared" ref="J12:J75" si="4">IF($B12&lt;J$8,0,J$3+(J$4-J$3)*(POWER(J$5,$B12-J$8)-1)/(POWER(J$5,$C$5-J$8)-1))</f>
        <v>0</v>
      </c>
      <c r="K12" s="34">
        <f t="shared" ref="K12:K75" si="5">IF($B12&lt;K$8,0,K$3+(K$4-K$3)*(POWER(K$5,$B12-K$8)-1)/(POWER(K$5,$C$5-K$8)-1))</f>
        <v>0</v>
      </c>
      <c r="L12" s="8">
        <f>E12*'参考-养成属性规划（从养成属性复制）'!$F$36+G12*'参考-养成属性规划（从养成属性复制）'!$F$37+'参考-养成属性规划（从养成属性复制）'!$F$39*H12</f>
        <v>1000</v>
      </c>
      <c r="M12" s="8">
        <f>I12*'参考-养成属性规划（从养成属性复制）'!$F$41+J12*'参考-养成属性规划（从养成属性复制）'!$F$42+K12*'参考-养成属性规划（从养成属性复制）'!$F$43</f>
        <v>0</v>
      </c>
      <c r="N12" s="8">
        <f t="shared" ref="N12:N75" si="6">1+N$9*($H$10*$H12+$I$10*$I12+$J$10*$J12)</f>
        <v>1</v>
      </c>
      <c r="O12" s="35">
        <f t="shared" ref="O12:O75" si="7">L12*N12+M12</f>
        <v>1000</v>
      </c>
      <c r="P12" s="1">
        <f>O12/(O12+战斗公式!$M$27)</f>
        <v>0.04</v>
      </c>
      <c r="Q12" s="8">
        <f>E12*'参考-养成属性规划（从养成属性复制）'!$E$36+G12*'参考-养成属性规划（从养成属性复制）'!$E$37+'参考-养成属性规划（从养成属性复制）'!$E$39*H131</f>
        <v>1500</v>
      </c>
      <c r="R12" s="8">
        <f>I12*'参考-养成属性规划（从养成属性复制）'!$E$41+J12*'参考-养成属性规划（从养成属性复制）'!$E$42+K12*'参考-养成属性规划（从养成属性复制）'!$E$43</f>
        <v>0</v>
      </c>
      <c r="S12" s="8">
        <f t="shared" ref="S12:S75" si="8">1+S$9*($H$10*$H12+$I$10*$I12+$J$10*$J12)</f>
        <v>1</v>
      </c>
      <c r="T12" s="35">
        <f t="shared" ref="T12:T75" si="9">Q12*S12+R12</f>
        <v>1500</v>
      </c>
      <c r="U12" s="8">
        <f t="shared" ref="U12:U75" si="10">U$8+(U$9-U$8)*$H12</f>
        <v>0.7</v>
      </c>
      <c r="V12" s="8">
        <f t="shared" ref="V12:V75" si="11">IF(B12&lt;$H$8,0,V$8+(V$9-V$8)*$H12)</f>
        <v>0</v>
      </c>
      <c r="W12" s="8">
        <f t="shared" ref="W12:W75" si="12">W$8+(W$9-W$8)*$H12</f>
        <v>0.275</v>
      </c>
      <c r="X12" s="8">
        <f t="shared" ref="X12:X75" si="13">X$8+(X$9-X$8)*K12</f>
        <v>1</v>
      </c>
      <c r="Y12" s="8">
        <f t="shared" ref="Y12:Y75" si="14">Y$8+(Y$9-Y$8)*$H12</f>
        <v>1</v>
      </c>
      <c r="Z12" s="8">
        <f t="shared" ref="Z12:Z75" si="15">Z$8+(Z$9-Z$8)*$I12</f>
        <v>1</v>
      </c>
      <c r="AA12" s="8">
        <f t="shared" ref="AA12:AA75" si="16">AA$8+(AA$9-AA$8)*$J12</f>
        <v>1</v>
      </c>
      <c r="AB12" s="8">
        <f t="shared" ref="AB12:AB75" si="17">AB$8+(AB$9-AB$8)*$K12</f>
        <v>1</v>
      </c>
      <c r="AC12" s="4">
        <f t="shared" ref="AC12:AC75" si="18">SUM(U12:W12)*PRODUCT(X12:AB12)</f>
        <v>0.975</v>
      </c>
      <c r="AD12" s="8">
        <f t="shared" ref="AD12:AD75" si="19">1+AD$9*($H$10*$H12+$I$10*$I12+$J$10*$J12)</f>
        <v>1</v>
      </c>
      <c r="AE12" s="8">
        <f t="shared" ref="AE12:AE75" si="20">1+AE$9*($H$10*$H12+$I$10*$I12+$J$10*$J12+$K$10*$K12)</f>
        <v>1</v>
      </c>
      <c r="AF12" s="8">
        <f t="shared" ref="AF12:AF75" si="21">1+AF$9*($H$10*$H12+$I$10*$I12+$J$10*$J12)</f>
        <v>1</v>
      </c>
      <c r="AG12" s="8">
        <f>战斗属性!$F$11+AG$9*($H$10*$H12+$I$10*$I12+$J$10*$J12+$K12*$K$10)</f>
        <v>0.05</v>
      </c>
      <c r="AH12" s="8">
        <f>战斗属性!$F$12+AH$9*($H$10*$H12+$I$10*$I12+$J$10*$J12+$K$10*$K12)</f>
        <v>2</v>
      </c>
      <c r="AI12" s="8">
        <f t="shared" ref="AI12:AI75" si="22">1+AI$9*($H$10*$H12+$I$10*$I12+$J$10*$J12+$K12*$K$10)</f>
        <v>1</v>
      </c>
      <c r="AJ12" s="4">
        <f t="shared" ref="AJ12:AJ75" si="23">(1+AG12*(AH12-1))*AD12*AF12*AI12</f>
        <v>1.05</v>
      </c>
      <c r="AK12" s="4">
        <f t="shared" ref="AK12:AK75" si="24">AJ12*AC12*T12*F12*(1-P12)</f>
        <v>1474.2</v>
      </c>
      <c r="AL12" s="36">
        <f t="shared" ref="AL12:AL75" si="25">IF($B12&lt;AL$8,0,AL$3+(AL$4-AL$3)*(POWER(AL$5,$B12-AL$8)-1)/(POWER(AL$5,$C$5-AL$8)-1))</f>
        <v>35</v>
      </c>
      <c r="AM12" s="36"/>
      <c r="AN12" s="4">
        <f t="shared" ref="AN12:AN75" si="26">AL12*AK12</f>
        <v>51597</v>
      </c>
      <c r="AO12" s="4">
        <f t="array" ref="AO12">INDEX(_xlfn.ANCHORARRAY(怪物标准模型!$B$12),MATCH(AN12,怪物标准模型!$AY$12:$AY$511))</f>
        <v>5</v>
      </c>
      <c r="AP12" s="4">
        <v>5</v>
      </c>
    </row>
    <row r="13" spans="1:42">
      <c r="A13" s="4">
        <f t="array" ref="A13">_xlfn.IFNA(_xlfn.XLOOKUP(C13&amp;D13,'玩家等级对应关卡（从新手节奏复制）'!$C:$C&amp;'玩家等级对应关卡（从新手节奏复制）'!$D:$D,'玩家等级对应关卡（从新手节奏复制）'!$E:$E),A12)</f>
        <v>2</v>
      </c>
      <c r="B13" s="4">
        <v>2</v>
      </c>
      <c r="C13" s="4">
        <v>0</v>
      </c>
      <c r="D13" s="4">
        <v>2</v>
      </c>
      <c r="E13" s="4">
        <f t="shared" si="0"/>
        <v>1</v>
      </c>
      <c r="F13" s="4">
        <v>1</v>
      </c>
      <c r="G13" s="34">
        <f t="shared" si="1"/>
        <v>0.0250547522901687</v>
      </c>
      <c r="H13" s="34">
        <f t="shared" si="2"/>
        <v>0</v>
      </c>
      <c r="I13" s="34">
        <f t="shared" si="3"/>
        <v>0</v>
      </c>
      <c r="J13" s="34">
        <f t="shared" si="4"/>
        <v>0</v>
      </c>
      <c r="K13" s="34">
        <f t="shared" si="5"/>
        <v>0</v>
      </c>
      <c r="L13" s="8">
        <f>E13*'参考-养成属性规划（从养成属性复制）'!$F$36+G13*'参考-养成属性规划（从养成属性复制）'!$F$37+'参考-养成属性规划（从养成属性复制）'!$F$39*H13</f>
        <v>1120.26281099281</v>
      </c>
      <c r="M13" s="8">
        <f>I13*'参考-养成属性规划（从养成属性复制）'!$F$41+J13*'参考-养成属性规划（从养成属性复制）'!$F$42+K13*'参考-养成属性规划（从养成属性复制）'!$F$43</f>
        <v>0</v>
      </c>
      <c r="N13" s="8">
        <f t="shared" si="6"/>
        <v>1</v>
      </c>
      <c r="O13" s="35">
        <f t="shared" si="7"/>
        <v>1120.26281099281</v>
      </c>
      <c r="P13" s="1">
        <f>O13/(O13+战斗公式!$M$27)</f>
        <v>0.0445959829091667</v>
      </c>
      <c r="Q13" s="8">
        <f>E13*'参考-养成属性规划（从养成属性复制）'!$E$36+G13*'参考-养成属性规划（从养成属性复制）'!$E$37+'参考-养成属性规划（从养成属性复制）'!$E$39*H132</f>
        <v>1680.39421648921</v>
      </c>
      <c r="R13" s="8">
        <f>I13*'参考-养成属性规划（从养成属性复制）'!$E$41+J13*'参考-养成属性规划（从养成属性复制）'!$E$42+K13*'参考-养成属性规划（从养成属性复制）'!$E$43</f>
        <v>0</v>
      </c>
      <c r="S13" s="8">
        <f t="shared" si="8"/>
        <v>1</v>
      </c>
      <c r="T13" s="35">
        <f t="shared" si="9"/>
        <v>1680.39421648921</v>
      </c>
      <c r="U13" s="8">
        <f t="shared" si="10"/>
        <v>0.7</v>
      </c>
      <c r="V13" s="8">
        <f t="shared" si="11"/>
        <v>0</v>
      </c>
      <c r="W13" s="8">
        <f t="shared" si="12"/>
        <v>0.275</v>
      </c>
      <c r="X13" s="8">
        <f t="shared" si="13"/>
        <v>1</v>
      </c>
      <c r="Y13" s="8">
        <f t="shared" si="14"/>
        <v>1</v>
      </c>
      <c r="Z13" s="8">
        <f t="shared" si="15"/>
        <v>1</v>
      </c>
      <c r="AA13" s="8">
        <f t="shared" si="16"/>
        <v>1</v>
      </c>
      <c r="AB13" s="8">
        <f t="shared" si="17"/>
        <v>1</v>
      </c>
      <c r="AC13" s="4">
        <f t="shared" si="18"/>
        <v>0.975</v>
      </c>
      <c r="AD13" s="8">
        <f t="shared" si="19"/>
        <v>1</v>
      </c>
      <c r="AE13" s="8">
        <f t="shared" si="20"/>
        <v>1</v>
      </c>
      <c r="AF13" s="8">
        <f t="shared" si="21"/>
        <v>1</v>
      </c>
      <c r="AG13" s="8">
        <f>战斗属性!$F$11+AG$9*($H$10*$H13+$I$10*$I13+$J$10*$J13+$K13*$K$10)</f>
        <v>0.05</v>
      </c>
      <c r="AH13" s="8">
        <f>战斗属性!$F$12+AH$9*($H$10*$H13+$I$10*$I13+$J$10*$J13+$K$10*$K13)</f>
        <v>2</v>
      </c>
      <c r="AI13" s="8">
        <f t="shared" si="22"/>
        <v>1</v>
      </c>
      <c r="AJ13" s="4">
        <f t="shared" si="23"/>
        <v>1.05</v>
      </c>
      <c r="AK13" s="4">
        <f t="shared" si="24"/>
        <v>1643.58495011733</v>
      </c>
      <c r="AL13" s="36">
        <f t="shared" si="25"/>
        <v>35.1102146911139</v>
      </c>
      <c r="AM13" s="36"/>
      <c r="AN13" s="4">
        <f t="shared" si="26"/>
        <v>57706.6204617033</v>
      </c>
      <c r="AO13" s="4">
        <f t="array" ref="AO13">INDEX(_xlfn.ANCHORARRAY(怪物标准模型!$B$12),MATCH(AN13,怪物标准模型!$AY$12:$AY$511))</f>
        <v>6</v>
      </c>
      <c r="AP13" s="4">
        <v>6</v>
      </c>
    </row>
    <row r="14" spans="1:42">
      <c r="A14" s="4">
        <f t="array" ref="A14">_xlfn.IFNA(_xlfn.XLOOKUP(C14&amp;D14,'玩家等级对应关卡（从新手节奏复制）'!$C:$C&amp;'玩家等级对应关卡（从新手节奏复制）'!$D:$D,'玩家等级对应关卡（从新手节奏复制）'!$E:$E),A13)</f>
        <v>3</v>
      </c>
      <c r="B14" s="4">
        <v>3</v>
      </c>
      <c r="C14" s="4">
        <v>0</v>
      </c>
      <c r="D14" s="4">
        <v>3</v>
      </c>
      <c r="E14" s="4">
        <f t="shared" si="0"/>
        <v>1</v>
      </c>
      <c r="F14" s="4">
        <v>1</v>
      </c>
      <c r="G14" s="34">
        <f t="shared" si="1"/>
        <v>0.0493578620116324</v>
      </c>
      <c r="H14" s="34">
        <f t="shared" si="2"/>
        <v>0</v>
      </c>
      <c r="I14" s="34">
        <f t="shared" si="3"/>
        <v>0</v>
      </c>
      <c r="J14" s="34">
        <f t="shared" si="4"/>
        <v>0</v>
      </c>
      <c r="K14" s="34">
        <f t="shared" si="5"/>
        <v>0</v>
      </c>
      <c r="L14" s="8">
        <f>E14*'参考-养成属性规划（从养成属性复制）'!$F$36+G14*'参考-养成属性规划（从养成属性复制）'!$F$37+'参考-养成属性规划（从养成属性复制）'!$F$39*H14</f>
        <v>1236.91773765584</v>
      </c>
      <c r="M14" s="8">
        <f>I14*'参考-养成属性规划（从养成属性复制）'!$F$41+J14*'参考-养成属性规划（从养成属性复制）'!$F$42+K14*'参考-养成属性规划（从养成属性复制）'!$F$43</f>
        <v>0</v>
      </c>
      <c r="N14" s="8">
        <f t="shared" si="6"/>
        <v>1</v>
      </c>
      <c r="O14" s="35">
        <f t="shared" si="7"/>
        <v>1236.91773765584</v>
      </c>
      <c r="P14" s="1">
        <f>O14/(O14+战斗公式!$M$27)</f>
        <v>0.0490122347948315</v>
      </c>
      <c r="Q14" s="8">
        <f>E14*'参考-养成属性规划（从养成属性复制）'!$E$36+G14*'参考-养成属性规划（从养成属性复制）'!$E$37+'参考-养成属性规划（从养成属性复制）'!$E$39*H133</f>
        <v>1855.37660648375</v>
      </c>
      <c r="R14" s="8">
        <f>I14*'参考-养成属性规划（从养成属性复制）'!$E$41+J14*'参考-养成属性规划（从养成属性复制）'!$E$42+K14*'参考-养成属性规划（从养成属性复制）'!$E$43</f>
        <v>0</v>
      </c>
      <c r="S14" s="8">
        <f t="shared" si="8"/>
        <v>1</v>
      </c>
      <c r="T14" s="35">
        <f t="shared" si="9"/>
        <v>1855.37660648375</v>
      </c>
      <c r="U14" s="8">
        <f t="shared" si="10"/>
        <v>0.7</v>
      </c>
      <c r="V14" s="8">
        <f t="shared" si="11"/>
        <v>0</v>
      </c>
      <c r="W14" s="8">
        <f t="shared" si="12"/>
        <v>0.275</v>
      </c>
      <c r="X14" s="8">
        <f t="shared" si="13"/>
        <v>1</v>
      </c>
      <c r="Y14" s="8">
        <f t="shared" si="14"/>
        <v>1</v>
      </c>
      <c r="Z14" s="8">
        <f t="shared" si="15"/>
        <v>1</v>
      </c>
      <c r="AA14" s="8">
        <f t="shared" si="16"/>
        <v>1</v>
      </c>
      <c r="AB14" s="8">
        <f t="shared" si="17"/>
        <v>1</v>
      </c>
      <c r="AC14" s="4">
        <f t="shared" si="18"/>
        <v>0.975</v>
      </c>
      <c r="AD14" s="8">
        <f t="shared" si="19"/>
        <v>1</v>
      </c>
      <c r="AE14" s="8">
        <f t="shared" si="20"/>
        <v>1</v>
      </c>
      <c r="AF14" s="8">
        <f t="shared" si="21"/>
        <v>1</v>
      </c>
      <c r="AG14" s="8">
        <f>战斗属性!$F$11+AG$9*($H$10*$H14+$I$10*$I14+$J$10*$J14+$K14*$K$10)</f>
        <v>0.05</v>
      </c>
      <c r="AH14" s="8">
        <f>战斗属性!$F$12+AH$9*($H$10*$H14+$I$10*$I14+$J$10*$J14+$K$10*$K14)</f>
        <v>2</v>
      </c>
      <c r="AI14" s="8">
        <f t="shared" si="22"/>
        <v>1</v>
      </c>
      <c r="AJ14" s="4">
        <f t="shared" si="23"/>
        <v>1.05</v>
      </c>
      <c r="AK14" s="4">
        <f t="shared" si="24"/>
        <v>1806.34591336351</v>
      </c>
      <c r="AL14" s="36">
        <f t="shared" si="25"/>
        <v>35.2215315291389</v>
      </c>
      <c r="AM14" s="36"/>
      <c r="AN14" s="4">
        <f t="shared" si="26"/>
        <v>63622.2695400641</v>
      </c>
      <c r="AO14" s="4">
        <f t="array" ref="AO14">INDEX(_xlfn.ANCHORARRAY(怪物标准模型!$B$12),MATCH(AN14,怪物标准模型!$AY$12:$AY$511))</f>
        <v>6</v>
      </c>
      <c r="AP14" s="4">
        <v>6</v>
      </c>
    </row>
    <row r="15" spans="1:42">
      <c r="A15" s="4">
        <f t="array" ref="A15">_xlfn.IFNA(_xlfn.XLOOKUP(C15&amp;D15,'玩家等级对应关卡（从新手节奏复制）'!$C:$C&amp;'玩家等级对应关卡（从新手节奏复制）'!$D:$D,'玩家等级对应关卡（从新手节奏复制）'!$E:$E),A14)</f>
        <v>4</v>
      </c>
      <c r="B15" s="4">
        <v>4</v>
      </c>
      <c r="C15" s="4">
        <v>0</v>
      </c>
      <c r="D15" s="4">
        <v>4</v>
      </c>
      <c r="E15" s="4">
        <f t="shared" si="0"/>
        <v>1</v>
      </c>
      <c r="F15" s="4">
        <v>1.4</v>
      </c>
      <c r="G15" s="34">
        <f t="shared" si="1"/>
        <v>0.0729318784414521</v>
      </c>
      <c r="H15" s="34">
        <f t="shared" si="2"/>
        <v>0</v>
      </c>
      <c r="I15" s="34">
        <f t="shared" si="3"/>
        <v>0</v>
      </c>
      <c r="J15" s="34">
        <f t="shared" si="4"/>
        <v>0</v>
      </c>
      <c r="K15" s="34">
        <f t="shared" si="5"/>
        <v>0</v>
      </c>
      <c r="L15" s="8">
        <f>E15*'参考-养成属性规划（从养成属性复制）'!$F$36+G15*'参考-养成属性规划（从养成属性复制）'!$F$37+'参考-养成属性规划（从养成属性复制）'!$F$39*H15</f>
        <v>1350.07301651897</v>
      </c>
      <c r="M15" s="8">
        <f>I15*'参考-养成属性规划（从养成属性复制）'!$F$41+J15*'参考-养成属性规划（从养成属性复制）'!$F$42+K15*'参考-养成属性规划（从养成属性复制）'!$F$43</f>
        <v>0</v>
      </c>
      <c r="N15" s="8">
        <f t="shared" si="6"/>
        <v>1</v>
      </c>
      <c r="O15" s="35">
        <f t="shared" si="7"/>
        <v>1350.07301651897</v>
      </c>
      <c r="P15" s="1">
        <f>O15/(O15+战斗公式!$M$27)</f>
        <v>0.0532571648073446</v>
      </c>
      <c r="Q15" s="8">
        <f>E15*'参考-养成属性规划（从养成属性复制）'!$E$36+G15*'参考-养成属性规划（从养成属性复制）'!$E$37+'参考-养成属性规划（从养成属性复制）'!$E$39*H134</f>
        <v>2025.10952477845</v>
      </c>
      <c r="R15" s="8">
        <f>I15*'参考-养成属性规划（从养成属性复制）'!$E$41+J15*'参考-养成属性规划（从养成属性复制）'!$E$42+K15*'参考-养成属性规划（从养成属性复制）'!$E$43</f>
        <v>0</v>
      </c>
      <c r="S15" s="8">
        <f t="shared" si="8"/>
        <v>1</v>
      </c>
      <c r="T15" s="35">
        <f t="shared" si="9"/>
        <v>2025.10952477845</v>
      </c>
      <c r="U15" s="8">
        <f t="shared" si="10"/>
        <v>0.7</v>
      </c>
      <c r="V15" s="8">
        <f t="shared" si="11"/>
        <v>0</v>
      </c>
      <c r="W15" s="8">
        <f t="shared" si="12"/>
        <v>0.275</v>
      </c>
      <c r="X15" s="8">
        <f t="shared" si="13"/>
        <v>1</v>
      </c>
      <c r="Y15" s="8">
        <f t="shared" si="14"/>
        <v>1</v>
      </c>
      <c r="Z15" s="8">
        <f t="shared" si="15"/>
        <v>1</v>
      </c>
      <c r="AA15" s="8">
        <f t="shared" si="16"/>
        <v>1</v>
      </c>
      <c r="AB15" s="8">
        <f t="shared" si="17"/>
        <v>1</v>
      </c>
      <c r="AC15" s="4">
        <f t="shared" si="18"/>
        <v>0.975</v>
      </c>
      <c r="AD15" s="8">
        <f t="shared" si="19"/>
        <v>1</v>
      </c>
      <c r="AE15" s="8">
        <f t="shared" si="20"/>
        <v>1</v>
      </c>
      <c r="AF15" s="8">
        <f t="shared" si="21"/>
        <v>1</v>
      </c>
      <c r="AG15" s="8">
        <f>战斗属性!$F$11+AG$9*($H$10*$H15+$I$10*$I15+$J$10*$J15+$K15*$K$10)</f>
        <v>0.05</v>
      </c>
      <c r="AH15" s="8">
        <f>战斗属性!$F$12+AH$9*($H$10*$H15+$I$10*$I15+$J$10*$J15+$K$10*$K15)</f>
        <v>2</v>
      </c>
      <c r="AI15" s="8">
        <f t="shared" si="22"/>
        <v>1</v>
      </c>
      <c r="AJ15" s="4">
        <f t="shared" si="23"/>
        <v>1.05</v>
      </c>
      <c r="AK15" s="4">
        <f t="shared" si="24"/>
        <v>2747.90993256455</v>
      </c>
      <c r="AL15" s="36">
        <f t="shared" si="25"/>
        <v>35.3339615355442</v>
      </c>
      <c r="AM15" s="36"/>
      <c r="AN15" s="4">
        <f t="shared" si="26"/>
        <v>97094.5438603757</v>
      </c>
      <c r="AO15" s="4">
        <f t="array" ref="AO15">INDEX(_xlfn.ANCHORARRAY(怪物标准模型!$B$12),MATCH(AN15,怪物标准模型!$AY$12:$AY$511))</f>
        <v>10</v>
      </c>
      <c r="AP15" s="4">
        <v>10</v>
      </c>
    </row>
    <row r="16" spans="1:42">
      <c r="A16" s="4">
        <f t="array" ref="A16">_xlfn.IFNA(_xlfn.XLOOKUP(C16&amp;D16,'玩家等级对应关卡（从新手节奏复制）'!$C:$C&amp;'玩家等级对应关卡（从新手节奏复制）'!$D:$D,'玩家等级对应关卡（从新手节奏复制）'!$E:$E),A15)</f>
        <v>5</v>
      </c>
      <c r="B16" s="4">
        <v>5</v>
      </c>
      <c r="C16" s="4">
        <v>0</v>
      </c>
      <c r="D16" s="4">
        <v>5</v>
      </c>
      <c r="E16" s="4">
        <f t="shared" si="0"/>
        <v>1</v>
      </c>
      <c r="F16" s="4">
        <v>1.6</v>
      </c>
      <c r="G16" s="34">
        <f t="shared" si="1"/>
        <v>0.0957986743783772</v>
      </c>
      <c r="H16" s="34">
        <f t="shared" si="2"/>
        <v>0</v>
      </c>
      <c r="I16" s="34">
        <f t="shared" si="3"/>
        <v>0</v>
      </c>
      <c r="J16" s="34">
        <f t="shared" si="4"/>
        <v>0</v>
      </c>
      <c r="K16" s="34">
        <f t="shared" si="5"/>
        <v>0</v>
      </c>
      <c r="L16" s="8">
        <f>E16*'参考-养成属性规划（从养成属性复制）'!$F$36+G16*'参考-养成属性规划（从养成属性复制）'!$F$37+'参考-养成属性规划（从养成属性复制）'!$F$39*H16</f>
        <v>1459.83363701621</v>
      </c>
      <c r="M16" s="8">
        <f>I16*'参考-养成属性规划（从养成属性复制）'!$F$41+J16*'参考-养成属性规划（从养成属性复制）'!$F$42+K16*'参考-养成属性规划（从养成属性复制）'!$F$43</f>
        <v>0</v>
      </c>
      <c r="N16" s="8">
        <f t="shared" si="6"/>
        <v>1</v>
      </c>
      <c r="O16" s="35">
        <f t="shared" si="7"/>
        <v>1459.83363701621</v>
      </c>
      <c r="P16" s="1">
        <f>O16/(O16+战斗公式!$M$27)</f>
        <v>0.0573386950531267</v>
      </c>
      <c r="Q16" s="8">
        <f>E16*'参考-养成属性规划（从养成属性复制）'!$E$36+G16*'参考-养成属性规划（从养成属性复制）'!$E$37+'参考-养成属性规划（从养成属性复制）'!$E$39*H135</f>
        <v>2189.75045552432</v>
      </c>
      <c r="R16" s="8">
        <f>I16*'参考-养成属性规划（从养成属性复制）'!$E$41+J16*'参考-养成属性规划（从养成属性复制）'!$E$42+K16*'参考-养成属性规划（从养成属性复制）'!$E$43</f>
        <v>0</v>
      </c>
      <c r="S16" s="8">
        <f t="shared" si="8"/>
        <v>1</v>
      </c>
      <c r="T16" s="35">
        <f t="shared" si="9"/>
        <v>2189.75045552432</v>
      </c>
      <c r="U16" s="8">
        <f t="shared" si="10"/>
        <v>0.7</v>
      </c>
      <c r="V16" s="8">
        <f t="shared" si="11"/>
        <v>0</v>
      </c>
      <c r="W16" s="8">
        <f t="shared" si="12"/>
        <v>0.275</v>
      </c>
      <c r="X16" s="8">
        <f t="shared" si="13"/>
        <v>1</v>
      </c>
      <c r="Y16" s="8">
        <f t="shared" si="14"/>
        <v>1</v>
      </c>
      <c r="Z16" s="8">
        <f t="shared" si="15"/>
        <v>1</v>
      </c>
      <c r="AA16" s="8">
        <f t="shared" si="16"/>
        <v>1</v>
      </c>
      <c r="AB16" s="8">
        <f t="shared" si="17"/>
        <v>1</v>
      </c>
      <c r="AC16" s="4">
        <f t="shared" si="18"/>
        <v>0.975</v>
      </c>
      <c r="AD16" s="8">
        <f t="shared" si="19"/>
        <v>1</v>
      </c>
      <c r="AE16" s="8">
        <f t="shared" si="20"/>
        <v>1</v>
      </c>
      <c r="AF16" s="8">
        <f t="shared" si="21"/>
        <v>1</v>
      </c>
      <c r="AG16" s="8">
        <f>战斗属性!$F$11+AG$9*($H$10*$H16+$I$10*$I16+$J$10*$J16+$K16*$K$10)</f>
        <v>0.05</v>
      </c>
      <c r="AH16" s="8">
        <f>战斗属性!$F$12+AH$9*($H$10*$H16+$I$10*$I16+$J$10*$J16+$K$10*$K16)</f>
        <v>2</v>
      </c>
      <c r="AI16" s="8">
        <f t="shared" si="22"/>
        <v>1</v>
      </c>
      <c r="AJ16" s="4">
        <f t="shared" si="23"/>
        <v>1.05</v>
      </c>
      <c r="AK16" s="4">
        <f t="shared" si="24"/>
        <v>3381.14816989278</v>
      </c>
      <c r="AL16" s="36">
        <f t="shared" si="25"/>
        <v>35.4475158420135</v>
      </c>
      <c r="AM16" s="36"/>
      <c r="AN16" s="4">
        <f t="shared" si="26"/>
        <v>119853.303316469</v>
      </c>
      <c r="AO16" s="4">
        <f t="array" ref="AO16">INDEX(_xlfn.ANCHORARRAY(怪物标准模型!$B$12),MATCH(AN16,怪物标准模型!$AY$12:$AY$511))</f>
        <v>12</v>
      </c>
      <c r="AP16" s="4">
        <v>12</v>
      </c>
    </row>
    <row r="17" spans="1:42">
      <c r="A17" s="4">
        <f t="array" ref="A17">_xlfn.IFNA(_xlfn.XLOOKUP(C17&amp;D17,'玩家等级对应关卡（从新手节奏复制）'!$C:$C&amp;'玩家等级对应关卡（从新手节奏复制）'!$D:$D,'玩家等级对应关卡（从新手节奏复制）'!$E:$E),A16)</f>
        <v>6</v>
      </c>
      <c r="B17" s="4">
        <v>6</v>
      </c>
      <c r="C17" s="4">
        <v>1</v>
      </c>
      <c r="D17" s="4">
        <v>1</v>
      </c>
      <c r="E17" s="4">
        <f t="shared" si="0"/>
        <v>1</v>
      </c>
      <c r="F17" s="4">
        <v>1.7</v>
      </c>
      <c r="G17" s="34">
        <f t="shared" si="1"/>
        <v>0.117979466437195</v>
      </c>
      <c r="H17" s="34">
        <f t="shared" si="2"/>
        <v>0</v>
      </c>
      <c r="I17" s="34">
        <f t="shared" si="3"/>
        <v>0</v>
      </c>
      <c r="J17" s="34">
        <f t="shared" si="4"/>
        <v>0</v>
      </c>
      <c r="K17" s="34">
        <f t="shared" si="5"/>
        <v>0</v>
      </c>
      <c r="L17" s="8">
        <f>E17*'参考-养成属性规划（从养成属性复制）'!$F$36+G17*'参考-养成属性规划（从养成属性复制）'!$F$37+'参考-养成属性规划（从养成属性复制）'!$F$39*H17</f>
        <v>1566.30143889853</v>
      </c>
      <c r="M17" s="8">
        <f>I17*'参考-养成属性规划（从养成属性复制）'!$F$41+J17*'参考-养成属性规划（从养成属性复制）'!$F$42+K17*'参考-养成属性规划（从养成属性复制）'!$F$43</f>
        <v>0</v>
      </c>
      <c r="N17" s="8">
        <f t="shared" si="6"/>
        <v>1</v>
      </c>
      <c r="O17" s="35">
        <f t="shared" si="7"/>
        <v>1566.30143889853</v>
      </c>
      <c r="P17" s="1">
        <f>O17/(O17+战斗公式!$M$27)</f>
        <v>0.0612642952146157</v>
      </c>
      <c r="Q17" s="8">
        <f>E17*'参考-养成属性规划（从养成属性复制）'!$E$36+G17*'参考-养成属性规划（从养成属性复制）'!$E$37+'参考-养成属性规划（从养成属性复制）'!$E$39*H136</f>
        <v>2349.4521583478</v>
      </c>
      <c r="R17" s="8">
        <f>I17*'参考-养成属性规划（从养成属性复制）'!$E$41+J17*'参考-养成属性规划（从养成属性复制）'!$E$42+K17*'参考-养成属性规划（从养成属性复制）'!$E$43</f>
        <v>0</v>
      </c>
      <c r="S17" s="8">
        <f t="shared" si="8"/>
        <v>1</v>
      </c>
      <c r="T17" s="35">
        <f t="shared" si="9"/>
        <v>2349.4521583478</v>
      </c>
      <c r="U17" s="8">
        <f t="shared" si="10"/>
        <v>0.7</v>
      </c>
      <c r="V17" s="8">
        <f t="shared" si="11"/>
        <v>0</v>
      </c>
      <c r="W17" s="8">
        <f t="shared" si="12"/>
        <v>0.275</v>
      </c>
      <c r="X17" s="8">
        <f t="shared" si="13"/>
        <v>1</v>
      </c>
      <c r="Y17" s="8">
        <f t="shared" si="14"/>
        <v>1</v>
      </c>
      <c r="Z17" s="8">
        <f t="shared" si="15"/>
        <v>1</v>
      </c>
      <c r="AA17" s="8">
        <f t="shared" si="16"/>
        <v>1</v>
      </c>
      <c r="AB17" s="8">
        <f t="shared" si="17"/>
        <v>1</v>
      </c>
      <c r="AC17" s="4">
        <f t="shared" si="18"/>
        <v>0.975</v>
      </c>
      <c r="AD17" s="8">
        <f t="shared" si="19"/>
        <v>1</v>
      </c>
      <c r="AE17" s="8">
        <f t="shared" si="20"/>
        <v>1</v>
      </c>
      <c r="AF17" s="8">
        <f t="shared" si="21"/>
        <v>1</v>
      </c>
      <c r="AG17" s="8">
        <f>战斗属性!$F$11+AG$9*($H$10*$H17+$I$10*$I17+$J$10*$J17+$K17*$K$10)</f>
        <v>0.05</v>
      </c>
      <c r="AH17" s="8">
        <f>战斗属性!$F$12+AH$9*($H$10*$H17+$I$10*$I17+$J$10*$J17+$K$10*$K17)</f>
        <v>2</v>
      </c>
      <c r="AI17" s="8">
        <f t="shared" si="22"/>
        <v>1</v>
      </c>
      <c r="AJ17" s="4">
        <f t="shared" si="23"/>
        <v>1.05</v>
      </c>
      <c r="AK17" s="4">
        <f t="shared" si="24"/>
        <v>3838.42252022892</v>
      </c>
      <c r="AL17" s="36">
        <f t="shared" si="25"/>
        <v>35.5622056915475</v>
      </c>
      <c r="AM17" s="36"/>
      <c r="AN17" s="4">
        <f t="shared" si="26"/>
        <v>136502.771195449</v>
      </c>
      <c r="AO17" s="4">
        <f t="array" ref="AO17">INDEX(_xlfn.ANCHORARRAY(怪物标准模型!$B$12),MATCH(AN17,怪物标准模型!$AY$12:$AY$511))</f>
        <v>13</v>
      </c>
      <c r="AP17" s="4">
        <v>13</v>
      </c>
    </row>
    <row r="18" spans="1:42">
      <c r="A18" s="4">
        <f t="array" ref="A18">_xlfn.IFNA(_xlfn.XLOOKUP(C18&amp;D18,'玩家等级对应关卡（从新手节奏复制）'!$C:$C&amp;'玩家等级对应关卡（从新手节奏复制）'!$D:$D,'玩家等级对应关卡（从新手节奏复制）'!$E:$E),A17)</f>
        <v>6</v>
      </c>
      <c r="B18" s="4">
        <v>7</v>
      </c>
      <c r="C18" s="4">
        <v>1</v>
      </c>
      <c r="D18" s="4">
        <v>2</v>
      </c>
      <c r="E18" s="4">
        <f t="shared" si="0"/>
        <v>1</v>
      </c>
      <c r="F18" s="4">
        <v>2.1</v>
      </c>
      <c r="G18" s="34">
        <f t="shared" si="1"/>
        <v>0.139494834734248</v>
      </c>
      <c r="H18" s="34">
        <f t="shared" si="2"/>
        <v>0</v>
      </c>
      <c r="I18" s="34">
        <f t="shared" si="3"/>
        <v>0</v>
      </c>
      <c r="J18" s="34">
        <f t="shared" si="4"/>
        <v>0</v>
      </c>
      <c r="K18" s="34">
        <f t="shared" si="5"/>
        <v>0</v>
      </c>
      <c r="L18" s="8">
        <f>E18*'参考-养成属性规划（从养成属性复制）'!$F$36+G18*'参考-养成属性规划（从养成属性复制）'!$F$37+'参考-养成属性规划（从养成属性复制）'!$F$39*H18</f>
        <v>1669.57520672439</v>
      </c>
      <c r="M18" s="8">
        <f>I18*'参考-养成属性规划（从养成属性复制）'!$F$41+J18*'参考-养成属性规划（从养成属性复制）'!$F$42+K18*'参考-养成属性规划（从养成属性复制）'!$F$43</f>
        <v>0</v>
      </c>
      <c r="N18" s="8">
        <f t="shared" si="6"/>
        <v>1</v>
      </c>
      <c r="O18" s="35">
        <f t="shared" si="7"/>
        <v>1669.57520672439</v>
      </c>
      <c r="P18" s="1">
        <f>O18/(O18+战斗公式!$M$27)</f>
        <v>0.0650410142465866</v>
      </c>
      <c r="Q18" s="8">
        <f>E18*'参考-养成属性规划（从养成属性复制）'!$E$36+G18*'参考-养成属性规划（从养成属性复制）'!$E$37+'参考-养成属性规划（从养成属性复制）'!$E$39*H137</f>
        <v>2504.36281008658</v>
      </c>
      <c r="R18" s="8">
        <f>I18*'参考-养成属性规划（从养成属性复制）'!$E$41+J18*'参考-养成属性规划（从养成属性复制）'!$E$42+K18*'参考-养成属性规划（从养成属性复制）'!$E$43</f>
        <v>0</v>
      </c>
      <c r="S18" s="8">
        <f t="shared" si="8"/>
        <v>1</v>
      </c>
      <c r="T18" s="35">
        <f t="shared" si="9"/>
        <v>2504.36281008658</v>
      </c>
      <c r="U18" s="8">
        <f t="shared" si="10"/>
        <v>0.7</v>
      </c>
      <c r="V18" s="8">
        <f t="shared" si="11"/>
        <v>0</v>
      </c>
      <c r="W18" s="8">
        <f t="shared" si="12"/>
        <v>0.275</v>
      </c>
      <c r="X18" s="8">
        <f t="shared" si="13"/>
        <v>1</v>
      </c>
      <c r="Y18" s="8">
        <f t="shared" si="14"/>
        <v>1</v>
      </c>
      <c r="Z18" s="8">
        <f t="shared" si="15"/>
        <v>1</v>
      </c>
      <c r="AA18" s="8">
        <f t="shared" si="16"/>
        <v>1</v>
      </c>
      <c r="AB18" s="8">
        <f t="shared" si="17"/>
        <v>1</v>
      </c>
      <c r="AC18" s="4">
        <f t="shared" si="18"/>
        <v>0.975</v>
      </c>
      <c r="AD18" s="8">
        <f t="shared" si="19"/>
        <v>1</v>
      </c>
      <c r="AE18" s="8">
        <f t="shared" si="20"/>
        <v>1</v>
      </c>
      <c r="AF18" s="8">
        <f t="shared" si="21"/>
        <v>1</v>
      </c>
      <c r="AG18" s="8">
        <f>战斗属性!$F$11+AG$9*($H$10*$H18+$I$10*$I18+$J$10*$J18+$K18*$K$10)</f>
        <v>0.05</v>
      </c>
      <c r="AH18" s="8">
        <f>战斗属性!$F$12+AH$9*($H$10*$H18+$I$10*$I18+$J$10*$J18+$K$10*$K18)</f>
        <v>2</v>
      </c>
      <c r="AI18" s="8">
        <f t="shared" si="22"/>
        <v>1</v>
      </c>
      <c r="AJ18" s="4">
        <f t="shared" si="23"/>
        <v>1.05</v>
      </c>
      <c r="AK18" s="4">
        <f t="shared" si="24"/>
        <v>5033.88181812169</v>
      </c>
      <c r="AL18" s="36">
        <f t="shared" si="25"/>
        <v>35.6780424395769</v>
      </c>
      <c r="AM18" s="36"/>
      <c r="AN18" s="4">
        <f t="shared" si="26"/>
        <v>179599.04914276</v>
      </c>
      <c r="AO18" s="4">
        <f t="array" ref="AO18">INDEX(_xlfn.ANCHORARRAY(怪物标准模型!$B$12),MATCH(AN18,怪物标准模型!$AY$12:$AY$511))</f>
        <v>17</v>
      </c>
      <c r="AP18" s="4">
        <v>17</v>
      </c>
    </row>
    <row r="19" spans="1:42">
      <c r="A19" s="4">
        <f t="array" ref="A19">_xlfn.IFNA(_xlfn.XLOOKUP(C19&amp;D19,'玩家等级对应关卡（从新手节奏复制）'!$C:$C&amp;'玩家等级对应关卡（从新手节奏复制）'!$D:$D,'玩家等级对应关卡（从新手节奏复制）'!$E:$E),A18)</f>
        <v>7</v>
      </c>
      <c r="B19" s="4">
        <v>8</v>
      </c>
      <c r="C19" s="4">
        <v>1</v>
      </c>
      <c r="D19" s="4">
        <v>3</v>
      </c>
      <c r="E19" s="4">
        <f t="shared" si="0"/>
        <v>1</v>
      </c>
      <c r="F19" s="4">
        <v>2.3</v>
      </c>
      <c r="G19" s="34">
        <f t="shared" si="1"/>
        <v>0.160364741982389</v>
      </c>
      <c r="H19" s="34">
        <f t="shared" si="2"/>
        <v>0</v>
      </c>
      <c r="I19" s="34">
        <f t="shared" si="3"/>
        <v>0</v>
      </c>
      <c r="J19" s="34">
        <f t="shared" si="4"/>
        <v>0</v>
      </c>
      <c r="K19" s="34">
        <f t="shared" si="5"/>
        <v>0</v>
      </c>
      <c r="L19" s="8">
        <f>E19*'参考-养成属性规划（从养成属性复制）'!$F$36+G19*'参考-养成属性规划（从养成属性复制）'!$F$37+'参考-养成属性规划（从养成属性复制）'!$F$39*H19</f>
        <v>1769.75076151547</v>
      </c>
      <c r="M19" s="8">
        <f>I19*'参考-养成属性规划（从养成属性复制）'!$F$41+J19*'参考-养成属性规划（从养成属性复制）'!$F$42+K19*'参考-养成属性规划（从养成属性复制）'!$F$43</f>
        <v>0</v>
      </c>
      <c r="N19" s="8">
        <f t="shared" si="6"/>
        <v>1</v>
      </c>
      <c r="O19" s="35">
        <f t="shared" si="7"/>
        <v>1769.75076151547</v>
      </c>
      <c r="P19" s="1">
        <f>O19/(O19+战斗公式!$M$27)</f>
        <v>0.0686755094332698</v>
      </c>
      <c r="Q19" s="8">
        <f>E19*'参考-养成属性规划（从养成属性复制）'!$E$36+G19*'参考-养成属性规划（从养成属性复制）'!$E$37+'参考-养成属性规划（从养成属性复制）'!$E$39*H138</f>
        <v>2654.6261422732</v>
      </c>
      <c r="R19" s="8">
        <f>I19*'参考-养成属性规划（从养成属性复制）'!$E$41+J19*'参考-养成属性规划（从养成属性复制）'!$E$42+K19*'参考-养成属性规划（从养成属性复制）'!$E$43</f>
        <v>0</v>
      </c>
      <c r="S19" s="8">
        <f t="shared" si="8"/>
        <v>1</v>
      </c>
      <c r="T19" s="35">
        <f t="shared" si="9"/>
        <v>2654.6261422732</v>
      </c>
      <c r="U19" s="8">
        <f t="shared" si="10"/>
        <v>0.7</v>
      </c>
      <c r="V19" s="8">
        <f t="shared" si="11"/>
        <v>0</v>
      </c>
      <c r="W19" s="8">
        <f t="shared" si="12"/>
        <v>0.275</v>
      </c>
      <c r="X19" s="8">
        <f t="shared" si="13"/>
        <v>1</v>
      </c>
      <c r="Y19" s="8">
        <f t="shared" si="14"/>
        <v>1</v>
      </c>
      <c r="Z19" s="8">
        <f t="shared" si="15"/>
        <v>1</v>
      </c>
      <c r="AA19" s="8">
        <f t="shared" si="16"/>
        <v>1</v>
      </c>
      <c r="AB19" s="8">
        <f t="shared" si="17"/>
        <v>1</v>
      </c>
      <c r="AC19" s="4">
        <f t="shared" si="18"/>
        <v>0.975</v>
      </c>
      <c r="AD19" s="8">
        <f t="shared" si="19"/>
        <v>1</v>
      </c>
      <c r="AE19" s="8">
        <f t="shared" si="20"/>
        <v>1</v>
      </c>
      <c r="AF19" s="8">
        <f t="shared" si="21"/>
        <v>1</v>
      </c>
      <c r="AG19" s="8">
        <f>战斗属性!$F$11+AG$9*($H$10*$H19+$I$10*$I19+$J$10*$J19+$K19*$K$10)</f>
        <v>0.05</v>
      </c>
      <c r="AH19" s="8">
        <f>战斗属性!$F$12+AH$9*($H$10*$H19+$I$10*$I19+$J$10*$J19+$K$10*$K19)</f>
        <v>2</v>
      </c>
      <c r="AI19" s="8">
        <f t="shared" si="22"/>
        <v>1</v>
      </c>
      <c r="AJ19" s="4">
        <f t="shared" si="23"/>
        <v>1.05</v>
      </c>
      <c r="AK19" s="4">
        <f t="shared" si="24"/>
        <v>5821.38257037526</v>
      </c>
      <c r="AL19" s="36">
        <f t="shared" si="25"/>
        <v>35.7950375550865</v>
      </c>
      <c r="AM19" s="36"/>
      <c r="AN19" s="4">
        <f t="shared" si="26"/>
        <v>208376.607729108</v>
      </c>
      <c r="AO19" s="4">
        <f t="array" ref="AO19">INDEX(_xlfn.ANCHORARRAY(怪物标准模型!$B$12),MATCH(AN19,怪物标准模型!$AY$12:$AY$511))</f>
        <v>19</v>
      </c>
      <c r="AP19" s="4">
        <v>19</v>
      </c>
    </row>
    <row r="20" spans="1:42">
      <c r="A20" s="4">
        <f t="array" ref="A20">_xlfn.IFNA(_xlfn.XLOOKUP(C20&amp;D20,'玩家等级对应关卡（从新手节奏复制）'!$C:$C&amp;'玩家等级对应关卡（从新手节奏复制）'!$D:$D,'玩家等级对应关卡（从新手节奏复制）'!$E:$E),A19)</f>
        <v>8</v>
      </c>
      <c r="B20" s="4">
        <v>9</v>
      </c>
      <c r="C20" s="4">
        <v>1</v>
      </c>
      <c r="D20" s="4">
        <v>4</v>
      </c>
      <c r="E20" s="4">
        <f t="shared" si="0"/>
        <v>1</v>
      </c>
      <c r="F20" s="4">
        <v>2.4</v>
      </c>
      <c r="G20" s="34">
        <f t="shared" si="1"/>
        <v>0.180608552013086</v>
      </c>
      <c r="H20" s="34">
        <f t="shared" si="2"/>
        <v>0</v>
      </c>
      <c r="I20" s="34">
        <f t="shared" si="3"/>
        <v>0</v>
      </c>
      <c r="J20" s="34">
        <f t="shared" si="4"/>
        <v>0</v>
      </c>
      <c r="K20" s="34">
        <f t="shared" si="5"/>
        <v>0</v>
      </c>
      <c r="L20" s="8">
        <f>E20*'参考-养成属性规划（从养成属性复制）'!$F$36+G20*'参考-养成属性规划（从养成属性复制）'!$F$37+'参考-养成属性规划（从养成属性复制）'!$F$39*H20</f>
        <v>1866.92104966281</v>
      </c>
      <c r="M20" s="8">
        <f>I20*'参考-养成属性规划（从养成属性复制）'!$F$41+J20*'参考-养成属性规划（从养成属性复制）'!$F$42+K20*'参考-养成属性规划（从养成属性复制）'!$F$43</f>
        <v>0</v>
      </c>
      <c r="N20" s="8">
        <f t="shared" si="6"/>
        <v>1</v>
      </c>
      <c r="O20" s="35">
        <f t="shared" si="7"/>
        <v>1866.92104966281</v>
      </c>
      <c r="P20" s="1">
        <f>O20/(O20+战斗公式!$M$27)</f>
        <v>0.072174073059505</v>
      </c>
      <c r="Q20" s="8">
        <f>E20*'参考-养成属性规划（从养成属性复制）'!$E$36+G20*'参考-养成属性规划（从养成属性复制）'!$E$37+'参考-养成属性规划（从养成属性复制）'!$E$39*H139</f>
        <v>2800.38157449422</v>
      </c>
      <c r="R20" s="8">
        <f>I20*'参考-养成属性规划（从养成属性复制）'!$E$41+J20*'参考-养成属性规划（从养成属性复制）'!$E$42+K20*'参考-养成属性规划（从养成属性复制）'!$E$43</f>
        <v>0</v>
      </c>
      <c r="S20" s="8">
        <f t="shared" si="8"/>
        <v>1</v>
      </c>
      <c r="T20" s="35">
        <f t="shared" si="9"/>
        <v>2800.38157449422</v>
      </c>
      <c r="U20" s="8">
        <f t="shared" si="10"/>
        <v>0.7</v>
      </c>
      <c r="V20" s="8">
        <f t="shared" si="11"/>
        <v>0</v>
      </c>
      <c r="W20" s="8">
        <f t="shared" si="12"/>
        <v>0.275</v>
      </c>
      <c r="X20" s="8">
        <f t="shared" si="13"/>
        <v>1</v>
      </c>
      <c r="Y20" s="8">
        <f t="shared" si="14"/>
        <v>1</v>
      </c>
      <c r="Z20" s="8">
        <f t="shared" si="15"/>
        <v>1</v>
      </c>
      <c r="AA20" s="8">
        <f t="shared" si="16"/>
        <v>1</v>
      </c>
      <c r="AB20" s="8">
        <f t="shared" si="17"/>
        <v>1</v>
      </c>
      <c r="AC20" s="4">
        <f t="shared" si="18"/>
        <v>0.975</v>
      </c>
      <c r="AD20" s="8">
        <f t="shared" si="19"/>
        <v>1</v>
      </c>
      <c r="AE20" s="8">
        <f t="shared" si="20"/>
        <v>1</v>
      </c>
      <c r="AF20" s="8">
        <f t="shared" si="21"/>
        <v>1</v>
      </c>
      <c r="AG20" s="8">
        <f>战斗属性!$F$11+AG$9*($H$10*$H20+$I$10*$I20+$J$10*$J20+$K20*$K$10)</f>
        <v>0.05</v>
      </c>
      <c r="AH20" s="8">
        <f>战斗属性!$F$12+AH$9*($H$10*$H20+$I$10*$I20+$J$10*$J20+$K$10*$K20)</f>
        <v>2</v>
      </c>
      <c r="AI20" s="8">
        <f t="shared" si="22"/>
        <v>1</v>
      </c>
      <c r="AJ20" s="4">
        <f t="shared" si="23"/>
        <v>1.05</v>
      </c>
      <c r="AK20" s="4">
        <f t="shared" si="24"/>
        <v>6383.94111025934</v>
      </c>
      <c r="AL20" s="36">
        <f t="shared" si="25"/>
        <v>35.9132026217513</v>
      </c>
      <c r="AM20" s="36"/>
      <c r="AN20" s="4">
        <f t="shared" si="26"/>
        <v>229267.770618072</v>
      </c>
      <c r="AO20" s="4">
        <f t="array" ref="AO20">INDEX(_xlfn.ANCHORARRAY(怪物标准模型!$B$12),MATCH(AN20,怪物标准模型!$AY$12:$AY$511))</f>
        <v>21</v>
      </c>
      <c r="AP20" s="4">
        <v>21</v>
      </c>
    </row>
    <row r="21" spans="1:42">
      <c r="A21" s="4">
        <f t="array" ref="A21">_xlfn.IFNA(_xlfn.XLOOKUP(C21&amp;D21,'玩家等级对应关卡（从新手节奏复制）'!$C:$C&amp;'玩家等级对应关卡（从新手节奏复制）'!$D:$D,'玩家等级对应关卡（从新手节奏复制）'!$E:$E),A20)</f>
        <v>9</v>
      </c>
      <c r="B21" s="4">
        <v>10</v>
      </c>
      <c r="C21" s="4">
        <v>1</v>
      </c>
      <c r="D21" s="4">
        <v>5</v>
      </c>
      <c r="E21" s="4">
        <f t="shared" si="0"/>
        <v>1</v>
      </c>
      <c r="F21" s="4">
        <v>2.7</v>
      </c>
      <c r="G21" s="34">
        <f t="shared" si="1"/>
        <v>0.200245047742862</v>
      </c>
      <c r="H21" s="34">
        <f t="shared" si="2"/>
        <v>0</v>
      </c>
      <c r="I21" s="34">
        <f t="shared" si="3"/>
        <v>0</v>
      </c>
      <c r="J21" s="34">
        <f t="shared" si="4"/>
        <v>0</v>
      </c>
      <c r="K21" s="34">
        <f t="shared" si="5"/>
        <v>0</v>
      </c>
      <c r="L21" s="8">
        <f>E21*'参考-养成属性规划（从养成属性复制）'!$F$36+G21*'参考-养成属性规划（从养成属性复制）'!$F$37+'参考-养成属性规划（从养成属性复制）'!$F$39*H21</f>
        <v>1961.17622916574</v>
      </c>
      <c r="M21" s="8">
        <f>I21*'参考-养成属性规划（从养成属性复制）'!$F$41+J21*'参考-养成属性规划（从养成属性复制）'!$F$42+K21*'参考-养成属性规划（从养成属性复制）'!$F$43</f>
        <v>0</v>
      </c>
      <c r="N21" s="8">
        <f t="shared" si="6"/>
        <v>1</v>
      </c>
      <c r="O21" s="35">
        <f t="shared" si="7"/>
        <v>1961.17622916574</v>
      </c>
      <c r="P21" s="1">
        <f>O21/(O21+战斗公式!$M$27)</f>
        <v>0.07554265692178</v>
      </c>
      <c r="Q21" s="8">
        <f>E21*'参考-养成属性规划（从养成属性复制）'!$E$36+G21*'参考-养成属性规划（从养成属性复制）'!$E$37+'参考-养成属性规划（从养成属性复制）'!$E$39*H140</f>
        <v>2941.76434374861</v>
      </c>
      <c r="R21" s="8">
        <f>I21*'参考-养成属性规划（从养成属性复制）'!$E$41+J21*'参考-养成属性规划（从养成属性复制）'!$E$42+K21*'参考-养成属性规划（从养成属性复制）'!$E$43</f>
        <v>0</v>
      </c>
      <c r="S21" s="8">
        <f t="shared" si="8"/>
        <v>1</v>
      </c>
      <c r="T21" s="35">
        <f t="shared" si="9"/>
        <v>2941.76434374861</v>
      </c>
      <c r="U21" s="8">
        <f t="shared" si="10"/>
        <v>0.7</v>
      </c>
      <c r="V21" s="8">
        <f t="shared" si="11"/>
        <v>0</v>
      </c>
      <c r="W21" s="8">
        <f t="shared" si="12"/>
        <v>0.275</v>
      </c>
      <c r="X21" s="8">
        <f t="shared" si="13"/>
        <v>1</v>
      </c>
      <c r="Y21" s="8">
        <f t="shared" si="14"/>
        <v>1</v>
      </c>
      <c r="Z21" s="8">
        <f t="shared" si="15"/>
        <v>1</v>
      </c>
      <c r="AA21" s="8">
        <f t="shared" si="16"/>
        <v>1</v>
      </c>
      <c r="AB21" s="8">
        <f t="shared" si="17"/>
        <v>1</v>
      </c>
      <c r="AC21" s="4">
        <f t="shared" si="18"/>
        <v>0.975</v>
      </c>
      <c r="AD21" s="8">
        <f t="shared" si="19"/>
        <v>1</v>
      </c>
      <c r="AE21" s="8">
        <f t="shared" si="20"/>
        <v>1</v>
      </c>
      <c r="AF21" s="8">
        <f t="shared" si="21"/>
        <v>1</v>
      </c>
      <c r="AG21" s="8">
        <f>战斗属性!$F$11+AG$9*($H$10*$H21+$I$10*$I21+$J$10*$J21+$K21*$K$10)</f>
        <v>0.05</v>
      </c>
      <c r="AH21" s="8">
        <f>战斗属性!$F$12+AH$9*($H$10*$H21+$I$10*$I21+$J$10*$J21+$K$10*$K21)</f>
        <v>2</v>
      </c>
      <c r="AI21" s="8">
        <f t="shared" si="22"/>
        <v>1</v>
      </c>
      <c r="AJ21" s="4">
        <f t="shared" si="23"/>
        <v>1.05</v>
      </c>
      <c r="AK21" s="4">
        <f t="shared" si="24"/>
        <v>7517.13647630096</v>
      </c>
      <c r="AL21" s="36">
        <f t="shared" si="25"/>
        <v>36.0325493390827</v>
      </c>
      <c r="AM21" s="36"/>
      <c r="AN21" s="4">
        <f t="shared" si="26"/>
        <v>270861.590970932</v>
      </c>
      <c r="AO21" s="4">
        <f t="array" ref="AO21">INDEX(_xlfn.ANCHORARRAY(怪物标准模型!$B$12),MATCH(AN21,怪物标准模型!$AY$12:$AY$511))</f>
        <v>24</v>
      </c>
      <c r="AP21" s="4">
        <v>24</v>
      </c>
    </row>
    <row r="22" spans="1:42">
      <c r="A22" s="4">
        <f t="array" ref="A22">_xlfn.IFNA(_xlfn.XLOOKUP(C22&amp;D22,'玩家等级对应关卡（从新手节奏复制）'!$C:$C&amp;'玩家等级对应关卡（从新手节奏复制）'!$D:$D,'玩家等级对应关卡（从新手节奏复制）'!$E:$E),A21)</f>
        <v>10</v>
      </c>
      <c r="B22" s="4">
        <v>11</v>
      </c>
      <c r="C22" s="4">
        <v>1</v>
      </c>
      <c r="D22" s="4">
        <v>6</v>
      </c>
      <c r="E22" s="4">
        <f t="shared" si="0"/>
        <v>1</v>
      </c>
      <c r="F22" s="4">
        <v>2.8</v>
      </c>
      <c r="G22" s="34">
        <f t="shared" si="1"/>
        <v>0.219292448600745</v>
      </c>
      <c r="H22" s="34">
        <f t="shared" si="2"/>
        <v>0</v>
      </c>
      <c r="I22" s="34">
        <f t="shared" si="3"/>
        <v>0</v>
      </c>
      <c r="J22" s="34">
        <f t="shared" si="4"/>
        <v>0</v>
      </c>
      <c r="K22" s="34">
        <f t="shared" si="5"/>
        <v>0</v>
      </c>
      <c r="L22" s="8">
        <f>E22*'参考-养成属性规划（从养成属性复制）'!$F$36+G22*'参考-养成属性规划（从养成属性复制）'!$F$37+'参考-养成属性规划（从养成属性复制）'!$F$39*H22</f>
        <v>2052.60375328358</v>
      </c>
      <c r="M22" s="8">
        <f>I22*'参考-养成属性规划（从养成属性复制）'!$F$41+J22*'参考-养成属性规划（从养成属性复制）'!$F$42+K22*'参考-养成属性规划（从养成属性复制）'!$F$43</f>
        <v>0</v>
      </c>
      <c r="N22" s="8">
        <f t="shared" si="6"/>
        <v>1</v>
      </c>
      <c r="O22" s="35">
        <f t="shared" si="7"/>
        <v>2052.60375328358</v>
      </c>
      <c r="P22" s="1">
        <f>O22/(O22+战斗公式!$M$27)</f>
        <v>0.0787868948808954</v>
      </c>
      <c r="Q22" s="8">
        <f>E22*'参考-养成属性规划（从养成属性复制）'!$E$36+G22*'参考-养成属性规划（从养成属性复制）'!$E$37+'参考-养成属性规划（从养成属性复制）'!$E$39*H141</f>
        <v>3078.90562992536</v>
      </c>
      <c r="R22" s="8">
        <f>I22*'参考-养成属性规划（从养成属性复制）'!$E$41+J22*'参考-养成属性规划（从养成属性复制）'!$E$42+K22*'参考-养成属性规划（从养成属性复制）'!$E$43</f>
        <v>0</v>
      </c>
      <c r="S22" s="8">
        <f t="shared" si="8"/>
        <v>1</v>
      </c>
      <c r="T22" s="35">
        <f t="shared" si="9"/>
        <v>3078.90562992536</v>
      </c>
      <c r="U22" s="8">
        <f t="shared" si="10"/>
        <v>0.7</v>
      </c>
      <c r="V22" s="8">
        <f t="shared" si="11"/>
        <v>0</v>
      </c>
      <c r="W22" s="8">
        <f t="shared" si="12"/>
        <v>0.275</v>
      </c>
      <c r="X22" s="8">
        <f t="shared" si="13"/>
        <v>1</v>
      </c>
      <c r="Y22" s="8">
        <f t="shared" si="14"/>
        <v>1</v>
      </c>
      <c r="Z22" s="8">
        <f t="shared" si="15"/>
        <v>1</v>
      </c>
      <c r="AA22" s="8">
        <f t="shared" si="16"/>
        <v>1</v>
      </c>
      <c r="AB22" s="8">
        <f t="shared" si="17"/>
        <v>1</v>
      </c>
      <c r="AC22" s="4">
        <f t="shared" si="18"/>
        <v>0.975</v>
      </c>
      <c r="AD22" s="8">
        <f t="shared" si="19"/>
        <v>1</v>
      </c>
      <c r="AE22" s="8">
        <f t="shared" si="20"/>
        <v>1</v>
      </c>
      <c r="AF22" s="8">
        <f t="shared" si="21"/>
        <v>1</v>
      </c>
      <c r="AG22" s="8">
        <f>战斗属性!$F$11+AG$9*($H$10*$H22+$I$10*$I22+$J$10*$J22+$K22*$K$10)</f>
        <v>0.05</v>
      </c>
      <c r="AH22" s="8">
        <f>战斗属性!$F$12+AH$9*($H$10*$H22+$I$10*$I22+$J$10*$J22+$K$10*$K22)</f>
        <v>2</v>
      </c>
      <c r="AI22" s="8">
        <f t="shared" si="22"/>
        <v>1</v>
      </c>
      <c r="AJ22" s="4">
        <f t="shared" si="23"/>
        <v>1.05</v>
      </c>
      <c r="AK22" s="4">
        <f t="shared" si="24"/>
        <v>8130.33483033912</v>
      </c>
      <c r="AL22" s="36">
        <f t="shared" si="25"/>
        <v>36.1530895235874</v>
      </c>
      <c r="AM22" s="36"/>
      <c r="AN22" s="4">
        <f t="shared" si="26"/>
        <v>293936.722977991</v>
      </c>
      <c r="AO22" s="4">
        <f t="array" ref="AO22">INDEX(_xlfn.ANCHORARRAY(怪物标准模型!$B$12),MATCH(AN22,怪物标准模型!$AY$12:$AY$511))</f>
        <v>26</v>
      </c>
      <c r="AP22" s="4">
        <v>26</v>
      </c>
    </row>
    <row r="23" spans="1:42">
      <c r="A23" s="4">
        <f t="array" ref="A23">_xlfn.IFNA(_xlfn.XLOOKUP(C23&amp;D23,'玩家等级对应关卡（从新手节奏复制）'!$C:$C&amp;'玩家等级对应关卡（从新手节奏复制）'!$D:$D,'玩家等级对应关卡（从新手节奏复制）'!$E:$E),A22)</f>
        <v>10</v>
      </c>
      <c r="B23" s="4">
        <v>12</v>
      </c>
      <c r="C23" s="4">
        <v>1</v>
      </c>
      <c r="D23" s="4">
        <v>7</v>
      </c>
      <c r="E23" s="4">
        <f t="shared" si="0"/>
        <v>1</v>
      </c>
      <c r="F23" s="4">
        <v>2.9</v>
      </c>
      <c r="G23" s="34">
        <f t="shared" si="1"/>
        <v>0.237768427432891</v>
      </c>
      <c r="H23" s="34">
        <f t="shared" si="2"/>
        <v>0</v>
      </c>
      <c r="I23" s="34">
        <f t="shared" si="3"/>
        <v>0</v>
      </c>
      <c r="J23" s="34">
        <f t="shared" si="4"/>
        <v>0</v>
      </c>
      <c r="K23" s="34">
        <f t="shared" si="5"/>
        <v>0</v>
      </c>
      <c r="L23" s="8">
        <f>E23*'参考-养成属性规划（从养成属性复制）'!$F$36+G23*'参考-养成属性规划（从养成属性复制）'!$F$37+'参考-养成属性规划（从养成属性复制）'!$F$39*H23</f>
        <v>2141.28845167788</v>
      </c>
      <c r="M23" s="8">
        <f>I23*'参考-养成属性规划（从养成属性复制）'!$F$41+J23*'参考-养成属性规划（从养成属性复制）'!$F$42+K23*'参考-养成属性规划（从养成属性复制）'!$F$43</f>
        <v>0</v>
      </c>
      <c r="N23" s="8">
        <f t="shared" si="6"/>
        <v>1</v>
      </c>
      <c r="O23" s="35">
        <f t="shared" si="7"/>
        <v>2141.28845167788</v>
      </c>
      <c r="P23" s="1">
        <f>O23/(O23+战斗公式!$M$27)</f>
        <v>0.0819121236367536</v>
      </c>
      <c r="Q23" s="8">
        <f>E23*'参考-养成属性规划（从养成属性复制）'!$E$36+G23*'参考-养成属性规划（从养成属性复制）'!$E$37+'参考-养成属性规划（从养成属性复制）'!$E$39*H142</f>
        <v>3211.93267751682</v>
      </c>
      <c r="R23" s="8">
        <f>I23*'参考-养成属性规划（从养成属性复制）'!$E$41+J23*'参考-养成属性规划（从养成属性复制）'!$E$42+K23*'参考-养成属性规划（从养成属性复制）'!$E$43</f>
        <v>0</v>
      </c>
      <c r="S23" s="8">
        <f t="shared" si="8"/>
        <v>1</v>
      </c>
      <c r="T23" s="35">
        <f t="shared" si="9"/>
        <v>3211.93267751682</v>
      </c>
      <c r="U23" s="8">
        <f t="shared" si="10"/>
        <v>0.7</v>
      </c>
      <c r="V23" s="8">
        <f t="shared" si="11"/>
        <v>0</v>
      </c>
      <c r="W23" s="8">
        <f t="shared" si="12"/>
        <v>0.275</v>
      </c>
      <c r="X23" s="8">
        <f t="shared" si="13"/>
        <v>1</v>
      </c>
      <c r="Y23" s="8">
        <f t="shared" si="14"/>
        <v>1</v>
      </c>
      <c r="Z23" s="8">
        <f t="shared" si="15"/>
        <v>1</v>
      </c>
      <c r="AA23" s="8">
        <f t="shared" si="16"/>
        <v>1</v>
      </c>
      <c r="AB23" s="8">
        <f t="shared" si="17"/>
        <v>1</v>
      </c>
      <c r="AC23" s="4">
        <f t="shared" si="18"/>
        <v>0.975</v>
      </c>
      <c r="AD23" s="8">
        <f t="shared" si="19"/>
        <v>1</v>
      </c>
      <c r="AE23" s="8">
        <f t="shared" si="20"/>
        <v>1</v>
      </c>
      <c r="AF23" s="8">
        <f t="shared" si="21"/>
        <v>1</v>
      </c>
      <c r="AG23" s="8">
        <f>战斗属性!$F$11+AG$9*($H$10*$H23+$I$10*$I23+$J$10*$J23+$K23*$K$10)</f>
        <v>0.05</v>
      </c>
      <c r="AH23" s="8">
        <f>战斗属性!$F$12+AH$9*($H$10*$H23+$I$10*$I23+$J$10*$J23+$K$10*$K23)</f>
        <v>2</v>
      </c>
      <c r="AI23" s="8">
        <f t="shared" si="22"/>
        <v>1</v>
      </c>
      <c r="AJ23" s="4">
        <f t="shared" si="23"/>
        <v>1.05</v>
      </c>
      <c r="AK23" s="4">
        <f t="shared" si="24"/>
        <v>8754.72681823442</v>
      </c>
      <c r="AL23" s="36">
        <f t="shared" si="25"/>
        <v>36.2748351099371</v>
      </c>
      <c r="AM23" s="36"/>
      <c r="AN23" s="4">
        <f t="shared" si="26"/>
        <v>317576.271763998</v>
      </c>
      <c r="AO23" s="4">
        <f t="array" ref="AO23">INDEX(_xlfn.ANCHORARRAY(怪物标准模型!$B$12),MATCH(AN23,怪物标准模型!$AY$12:$AY$511))</f>
        <v>27</v>
      </c>
      <c r="AP23" s="4">
        <v>27</v>
      </c>
    </row>
    <row r="24" spans="1:42">
      <c r="A24" s="4">
        <f t="array" ref="A24">_xlfn.IFNA(_xlfn.XLOOKUP(C24&amp;D24,'玩家等级对应关卡（从新手节奏复制）'!$C:$C&amp;'玩家等级对应关卡（从新手节奏复制）'!$D:$D,'玩家等级对应关卡（从新手节奏复制）'!$E:$E),A23)</f>
        <v>11</v>
      </c>
      <c r="B24" s="4">
        <v>13</v>
      </c>
      <c r="C24" s="4">
        <v>1</v>
      </c>
      <c r="D24" s="4">
        <v>8</v>
      </c>
      <c r="E24" s="4">
        <f t="shared" si="0"/>
        <v>1</v>
      </c>
      <c r="F24" s="4">
        <v>3</v>
      </c>
      <c r="G24" s="34">
        <f t="shared" si="1"/>
        <v>0.255690126900073</v>
      </c>
      <c r="H24" s="34">
        <f t="shared" si="2"/>
        <v>0</v>
      </c>
      <c r="I24" s="34">
        <f t="shared" si="3"/>
        <v>0</v>
      </c>
      <c r="J24" s="34">
        <f t="shared" si="4"/>
        <v>0</v>
      </c>
      <c r="K24" s="34">
        <f t="shared" si="5"/>
        <v>0</v>
      </c>
      <c r="L24" s="8">
        <f>E24*'参考-养成属性规划（从养成属性复制）'!$F$36+G24*'参考-养成属性规划（从养成属性复制）'!$F$37+'参考-养成属性规划（从养成属性复制）'!$F$39*H24</f>
        <v>2227.31260912035</v>
      </c>
      <c r="M24" s="8">
        <f>I24*'参考-养成属性规划（从养成属性复制）'!$F$41+J24*'参考-养成属性规划（从养成属性复制）'!$F$42+K24*'参考-养成属性规划（从养成属性复制）'!$F$43</f>
        <v>0</v>
      </c>
      <c r="N24" s="8">
        <f t="shared" si="6"/>
        <v>1</v>
      </c>
      <c r="O24" s="35">
        <f t="shared" si="7"/>
        <v>2227.31260912035</v>
      </c>
      <c r="P24" s="1">
        <f>O24/(O24+战斗公式!$M$27)</f>
        <v>0.0849234018870016</v>
      </c>
      <c r="Q24" s="8">
        <f>E24*'参考-养成属性规划（从养成属性复制）'!$E$36+G24*'参考-养成属性规划（从养成属性复制）'!$E$37+'参考-养成属性规划（从养成属性复制）'!$E$39*H143</f>
        <v>3340.96891368053</v>
      </c>
      <c r="R24" s="8">
        <f>I24*'参考-养成属性规划（从养成属性复制）'!$E$41+J24*'参考-养成属性规划（从养成属性复制）'!$E$42+K24*'参考-养成属性规划（从养成属性复制）'!$E$43</f>
        <v>0</v>
      </c>
      <c r="S24" s="8">
        <f t="shared" si="8"/>
        <v>1</v>
      </c>
      <c r="T24" s="35">
        <f t="shared" si="9"/>
        <v>3340.96891368053</v>
      </c>
      <c r="U24" s="8">
        <f t="shared" si="10"/>
        <v>0.7</v>
      </c>
      <c r="V24" s="8">
        <f t="shared" si="11"/>
        <v>0</v>
      </c>
      <c r="W24" s="8">
        <f t="shared" si="12"/>
        <v>0.275</v>
      </c>
      <c r="X24" s="8">
        <f t="shared" si="13"/>
        <v>1</v>
      </c>
      <c r="Y24" s="8">
        <f t="shared" si="14"/>
        <v>1</v>
      </c>
      <c r="Z24" s="8">
        <f t="shared" si="15"/>
        <v>1</v>
      </c>
      <c r="AA24" s="8">
        <f t="shared" si="16"/>
        <v>1</v>
      </c>
      <c r="AB24" s="8">
        <f t="shared" si="17"/>
        <v>1</v>
      </c>
      <c r="AC24" s="4">
        <f t="shared" si="18"/>
        <v>0.975</v>
      </c>
      <c r="AD24" s="8">
        <f t="shared" si="19"/>
        <v>1</v>
      </c>
      <c r="AE24" s="8">
        <f t="shared" si="20"/>
        <v>1</v>
      </c>
      <c r="AF24" s="8">
        <f t="shared" si="21"/>
        <v>1</v>
      </c>
      <c r="AG24" s="8">
        <f>战斗属性!$F$11+AG$9*($H$10*$H24+$I$10*$I24+$J$10*$J24+$K24*$K$10)</f>
        <v>0.05</v>
      </c>
      <c r="AH24" s="8">
        <f>战斗属性!$F$12+AH$9*($H$10*$H24+$I$10*$I24+$J$10*$J24+$K$10*$K24)</f>
        <v>2</v>
      </c>
      <c r="AI24" s="8">
        <f t="shared" si="22"/>
        <v>1</v>
      </c>
      <c r="AJ24" s="4">
        <f t="shared" si="23"/>
        <v>1.05</v>
      </c>
      <c r="AK24" s="4">
        <f t="shared" si="24"/>
        <v>9389.55592963634</v>
      </c>
      <c r="AL24" s="36">
        <f t="shared" si="25"/>
        <v>36.3977981521504</v>
      </c>
      <c r="AM24" s="36"/>
      <c r="AN24" s="4">
        <f t="shared" si="26"/>
        <v>341759.16146523</v>
      </c>
      <c r="AO24" s="4">
        <f t="array" ref="AO24">INDEX(_xlfn.ANCHORARRAY(怪物标准模型!$B$12),MATCH(AN24,怪物标准模型!$AY$12:$AY$511))</f>
        <v>29</v>
      </c>
      <c r="AP24" s="4">
        <v>29</v>
      </c>
    </row>
    <row r="25" spans="1:42">
      <c r="A25" s="4">
        <f t="array" ref="A25">_xlfn.IFNA(_xlfn.XLOOKUP(C25&amp;D25,'玩家等级对应关卡（从新手节奏复制）'!$C:$C&amp;'玩家等级对应关卡（从新手节奏复制）'!$D:$D,'玩家等级对应关卡（从新手节奏复制）'!$E:$E),A24)</f>
        <v>12</v>
      </c>
      <c r="B25" s="4">
        <v>14</v>
      </c>
      <c r="C25" s="4">
        <v>1</v>
      </c>
      <c r="D25" s="4">
        <v>9</v>
      </c>
      <c r="E25" s="4">
        <f t="shared" si="0"/>
        <v>1</v>
      </c>
      <c r="F25" s="4">
        <v>3.1</v>
      </c>
      <c r="G25" s="34">
        <f t="shared" si="1"/>
        <v>0.27307417538324</v>
      </c>
      <c r="H25" s="34">
        <f t="shared" si="2"/>
        <v>0</v>
      </c>
      <c r="I25" s="34">
        <f t="shared" si="3"/>
        <v>0</v>
      </c>
      <c r="J25" s="34">
        <f t="shared" si="4"/>
        <v>0</v>
      </c>
      <c r="K25" s="34">
        <f t="shared" si="5"/>
        <v>0</v>
      </c>
      <c r="L25" s="8">
        <f>E25*'参考-养成属性规划（从养成属性复制）'!$F$36+G25*'参考-养成属性规划（从养成属性复制）'!$F$37+'参考-养成属性规划（从养成属性复制）'!$F$39*H25</f>
        <v>2310.75604183955</v>
      </c>
      <c r="M25" s="8">
        <f>I25*'参考-养成属性规划（从养成属性复制）'!$F$41+J25*'参考-养成属性规划（从养成属性复制）'!$F$42+K25*'参考-养成属性规划（从养成属性复制）'!$F$43</f>
        <v>0</v>
      </c>
      <c r="N25" s="8">
        <f t="shared" si="6"/>
        <v>1</v>
      </c>
      <c r="O25" s="35">
        <f t="shared" si="7"/>
        <v>2310.75604183955</v>
      </c>
      <c r="P25" s="1">
        <f>O25/(O25+战斗公式!$M$27)</f>
        <v>0.0878255280146633</v>
      </c>
      <c r="Q25" s="8">
        <f>E25*'参考-养成属性规划（从养成属性复制）'!$E$36+G25*'参考-养成属性规划（从养成属性复制）'!$E$37+'参考-养成属性规划（从养成属性复制）'!$E$39*H144</f>
        <v>3466.13406275933</v>
      </c>
      <c r="R25" s="8">
        <f>I25*'参考-养成属性规划（从养成属性复制）'!$E$41+J25*'参考-养成属性规划（从养成属性复制）'!$E$42+K25*'参考-养成属性规划（从养成属性复制）'!$E$43</f>
        <v>0</v>
      </c>
      <c r="S25" s="8">
        <f t="shared" si="8"/>
        <v>1</v>
      </c>
      <c r="T25" s="35">
        <f t="shared" si="9"/>
        <v>3466.13406275933</v>
      </c>
      <c r="U25" s="8">
        <f t="shared" si="10"/>
        <v>0.7</v>
      </c>
      <c r="V25" s="8">
        <f t="shared" si="11"/>
        <v>0</v>
      </c>
      <c r="W25" s="8">
        <f t="shared" si="12"/>
        <v>0.275</v>
      </c>
      <c r="X25" s="8">
        <f t="shared" si="13"/>
        <v>1</v>
      </c>
      <c r="Y25" s="8">
        <f t="shared" si="14"/>
        <v>1</v>
      </c>
      <c r="Z25" s="8">
        <f t="shared" si="15"/>
        <v>1</v>
      </c>
      <c r="AA25" s="8">
        <f t="shared" si="16"/>
        <v>1</v>
      </c>
      <c r="AB25" s="8">
        <f t="shared" si="17"/>
        <v>1</v>
      </c>
      <c r="AC25" s="4">
        <f t="shared" si="18"/>
        <v>0.975</v>
      </c>
      <c r="AD25" s="8">
        <f t="shared" si="19"/>
        <v>1</v>
      </c>
      <c r="AE25" s="8">
        <f t="shared" si="20"/>
        <v>1</v>
      </c>
      <c r="AF25" s="8">
        <f t="shared" si="21"/>
        <v>1</v>
      </c>
      <c r="AG25" s="8">
        <f>战斗属性!$F$11+AG$9*($H$10*$H25+$I$10*$I25+$J$10*$J25+$K25*$K$10)</f>
        <v>0.05</v>
      </c>
      <c r="AH25" s="8">
        <f>战斗属性!$F$12+AH$9*($H$10*$H25+$I$10*$I25+$J$10*$J25+$K$10*$K25)</f>
        <v>2</v>
      </c>
      <c r="AI25" s="8">
        <f t="shared" si="22"/>
        <v>1</v>
      </c>
      <c r="AJ25" s="4">
        <f t="shared" si="23"/>
        <v>1.05</v>
      </c>
      <c r="AK25" s="4">
        <f t="shared" si="24"/>
        <v>10034.1104884393</v>
      </c>
      <c r="AL25" s="36">
        <f t="shared" si="25"/>
        <v>36.5219908247858</v>
      </c>
      <c r="AM25" s="36"/>
      <c r="AN25" s="4">
        <f t="shared" si="26"/>
        <v>366465.691193667</v>
      </c>
      <c r="AO25" s="4">
        <f t="array" ref="AO25">INDEX(_xlfn.ANCHORARRAY(怪物标准模型!$B$12),MATCH(AN25,怪物标准模型!$AY$12:$AY$511))</f>
        <v>30</v>
      </c>
      <c r="AP25" s="4">
        <v>30</v>
      </c>
    </row>
    <row r="26" spans="1:42">
      <c r="A26" s="4">
        <f t="array" ref="A26">_xlfn.IFNA(_xlfn.XLOOKUP(C26&amp;D26,'玩家等级对应关卡（从新手节奏复制）'!$C:$C&amp;'玩家等级对应关卡（从新手节奏复制）'!$D:$D,'玩家等级对应关卡（从新手节奏复制）'!$E:$E),A25)</f>
        <v>13</v>
      </c>
      <c r="B26" s="4">
        <v>15</v>
      </c>
      <c r="C26" s="4">
        <v>1</v>
      </c>
      <c r="D26" s="4">
        <v>10</v>
      </c>
      <c r="E26" s="4">
        <f t="shared" si="0"/>
        <v>1</v>
      </c>
      <c r="F26" s="4">
        <v>3.2</v>
      </c>
      <c r="G26" s="34">
        <f t="shared" si="1"/>
        <v>0.289936702411911</v>
      </c>
      <c r="H26" s="34">
        <f t="shared" si="2"/>
        <v>0.0224011964656602</v>
      </c>
      <c r="I26" s="34">
        <f t="shared" si="3"/>
        <v>0</v>
      </c>
      <c r="J26" s="34">
        <f t="shared" si="4"/>
        <v>0</v>
      </c>
      <c r="K26" s="34">
        <f t="shared" si="5"/>
        <v>0</v>
      </c>
      <c r="L26" s="8">
        <f>E26*'参考-养成属性规划（从养成属性复制）'!$F$36+G26*'参考-养成属性规划（从养成属性复制）'!$F$37+'参考-养成属性规划（从养成属性复制）'!$F$39*H26</f>
        <v>2443.21892344819</v>
      </c>
      <c r="M26" s="8">
        <f>I26*'参考-养成属性规划（从养成属性复制）'!$F$41+J26*'参考-养成属性规划（从养成属性复制）'!$F$42+K26*'参考-养成属性规划（从养成属性复制）'!$F$43</f>
        <v>0</v>
      </c>
      <c r="N26" s="8">
        <f t="shared" si="6"/>
        <v>1.00474378278096</v>
      </c>
      <c r="O26" s="35">
        <f t="shared" si="7"/>
        <v>2454.80902330737</v>
      </c>
      <c r="P26" s="1">
        <f>O26/(O26+战斗公式!$M$27)</f>
        <v>0.0927925437354176</v>
      </c>
      <c r="Q26" s="8">
        <f>E26*'参考-养成属性规划（从养成属性复制）'!$E$36+G26*'参考-养成属性规划（从养成属性复制）'!$E$37+'参考-养成属性规划（从养成属性复制）'!$E$39*H145</f>
        <v>3587.54425736576</v>
      </c>
      <c r="R26" s="8">
        <f>I26*'参考-养成属性规划（从养成属性复制）'!$E$41+J26*'参考-养成属性规划（从养成属性复制）'!$E$42+K26*'参考-养成属性规划（从养成属性复制）'!$E$43</f>
        <v>0</v>
      </c>
      <c r="S26" s="8">
        <f t="shared" si="8"/>
        <v>1.00474378278096</v>
      </c>
      <c r="T26" s="35">
        <f t="shared" si="9"/>
        <v>3604.5627880398</v>
      </c>
      <c r="U26" s="8">
        <f t="shared" si="10"/>
        <v>0.706720358939698</v>
      </c>
      <c r="V26" s="8">
        <f t="shared" si="11"/>
        <v>0.00896047858626408</v>
      </c>
      <c r="W26" s="8">
        <f t="shared" si="12"/>
        <v>0.281160329028057</v>
      </c>
      <c r="X26" s="8">
        <f t="shared" si="13"/>
        <v>1</v>
      </c>
      <c r="Y26" s="8">
        <f t="shared" si="14"/>
        <v>1</v>
      </c>
      <c r="Z26" s="8">
        <f t="shared" si="15"/>
        <v>1</v>
      </c>
      <c r="AA26" s="8">
        <f t="shared" si="16"/>
        <v>1</v>
      </c>
      <c r="AB26" s="8">
        <f t="shared" si="17"/>
        <v>1</v>
      </c>
      <c r="AC26" s="4">
        <f t="shared" si="18"/>
        <v>0.996841166554019</v>
      </c>
      <c r="AD26" s="8">
        <f t="shared" si="19"/>
        <v>1</v>
      </c>
      <c r="AE26" s="8">
        <f t="shared" si="20"/>
        <v>1.00040545151974</v>
      </c>
      <c r="AF26" s="8">
        <f t="shared" si="21"/>
        <v>1.00071855019332</v>
      </c>
      <c r="AG26" s="8">
        <f>战斗属性!$F$11+AG$9*($H$10*$H26+$I$10*$I26+$J$10*$J26+$K26*$K$10)</f>
        <v>0.0509224022074095</v>
      </c>
      <c r="AH26" s="8">
        <f>战斗属性!$F$12+AH$9*($H$10*$H26+$I$10*$I26+$J$10*$J26+$K$10*$K26)</f>
        <v>2.00256954900636</v>
      </c>
      <c r="AI26" s="8">
        <f t="shared" si="22"/>
        <v>1.00210834790265</v>
      </c>
      <c r="AJ26" s="4">
        <f t="shared" si="23"/>
        <v>1.05402606254317</v>
      </c>
      <c r="AK26" s="4">
        <f t="shared" si="24"/>
        <v>10994.7788575242</v>
      </c>
      <c r="AL26" s="36">
        <f t="shared" si="25"/>
        <v>36.6474254241475</v>
      </c>
      <c r="AM26" s="36"/>
      <c r="AN26" s="4">
        <f t="shared" si="26"/>
        <v>402930.338236112</v>
      </c>
      <c r="AO26" s="4">
        <f t="array" ref="AO26">INDEX(_xlfn.ANCHORARRAY(怪物标准模型!$B$12),MATCH(AN26,怪物标准模型!$AY$12:$AY$511))</f>
        <v>32</v>
      </c>
      <c r="AP26" s="4">
        <v>32</v>
      </c>
    </row>
    <row r="27" spans="1:42">
      <c r="A27" s="4">
        <f t="array" ref="A27">_xlfn.IFNA(_xlfn.XLOOKUP(C27&amp;D27,'玩家等级对应关卡（从新手节奏复制）'!$C:$C&amp;'玩家等级对应关卡（从新手节奏复制）'!$D:$D,'玩家等级对应关卡（从新手节奏复制）'!$E:$E),A26)</f>
        <v>13</v>
      </c>
      <c r="B27" s="4">
        <v>16</v>
      </c>
      <c r="C27" s="4">
        <v>2</v>
      </c>
      <c r="D27" s="4">
        <v>1</v>
      </c>
      <c r="E27" s="4">
        <f t="shared" si="0"/>
        <v>1</v>
      </c>
      <c r="F27" s="4">
        <v>3.3</v>
      </c>
      <c r="G27" s="34">
        <f t="shared" si="1"/>
        <v>0.306293353629723</v>
      </c>
      <c r="H27" s="34">
        <f t="shared" si="2"/>
        <v>0.0441303570373506</v>
      </c>
      <c r="I27" s="34">
        <f t="shared" si="3"/>
        <v>0</v>
      </c>
      <c r="J27" s="34">
        <f t="shared" si="4"/>
        <v>0</v>
      </c>
      <c r="K27" s="34">
        <f t="shared" si="5"/>
        <v>0</v>
      </c>
      <c r="L27" s="8">
        <f>E27*'参考-养成属性规划（从养成属性复制）'!$F$36+G27*'参考-养成属性规划（从养成属性复制）'!$F$37+'参考-养成属性规划（从养成属性复制）'!$F$39*H27</f>
        <v>2571.70791860857</v>
      </c>
      <c r="M27" s="8">
        <f>I27*'参考-养成属性规划（从养成属性复制）'!$F$41+J27*'参考-养成属性规划（从养成属性复制）'!$F$42+K27*'参考-养成属性规划（从养成属性复制）'!$F$43</f>
        <v>0</v>
      </c>
      <c r="N27" s="8">
        <f t="shared" si="6"/>
        <v>1.0093452520785</v>
      </c>
      <c r="O27" s="35">
        <f t="shared" si="7"/>
        <v>2595.74117738024</v>
      </c>
      <c r="P27" s="1">
        <f>O27/(O27+战斗公式!$M$27)</f>
        <v>0.0975998811263785</v>
      </c>
      <c r="Q27" s="8">
        <f>E27*'参考-养成属性规划（从养成属性复制）'!$E$36+G27*'参考-养成属性规划（从养成属性复制）'!$E$37+'参考-养成属性规划（从养成属性复制）'!$E$39*H146</f>
        <v>3705.312146134</v>
      </c>
      <c r="R27" s="8">
        <f>I27*'参考-养成属性规划（从养成属性复制）'!$E$41+J27*'参考-养成属性规划（从养成属性复制）'!$E$42+K27*'参考-养成属性规划（从养成属性复制）'!$E$43</f>
        <v>0</v>
      </c>
      <c r="S27" s="8">
        <f t="shared" si="8"/>
        <v>1.0093452520785</v>
      </c>
      <c r="T27" s="35">
        <f t="shared" si="9"/>
        <v>3739.93922216914</v>
      </c>
      <c r="U27" s="8">
        <f t="shared" si="10"/>
        <v>0.713239107111205</v>
      </c>
      <c r="V27" s="8">
        <f t="shared" si="11"/>
        <v>0.0176521428149402</v>
      </c>
      <c r="W27" s="8">
        <f t="shared" si="12"/>
        <v>0.287135848185271</v>
      </c>
      <c r="X27" s="8">
        <f t="shared" si="13"/>
        <v>1</v>
      </c>
      <c r="Y27" s="8">
        <f t="shared" si="14"/>
        <v>1</v>
      </c>
      <c r="Z27" s="8">
        <f t="shared" si="15"/>
        <v>1</v>
      </c>
      <c r="AA27" s="8">
        <f t="shared" si="16"/>
        <v>1</v>
      </c>
      <c r="AB27" s="8">
        <f t="shared" si="17"/>
        <v>1</v>
      </c>
      <c r="AC27" s="4">
        <f t="shared" si="18"/>
        <v>1.01802709811142</v>
      </c>
      <c r="AD27" s="8">
        <f t="shared" si="19"/>
        <v>1</v>
      </c>
      <c r="AE27" s="8">
        <f t="shared" si="20"/>
        <v>1.00079873949389</v>
      </c>
      <c r="AF27" s="8">
        <f t="shared" si="21"/>
        <v>1.00141554388084</v>
      </c>
      <c r="AG27" s="8">
        <f>战斗属性!$F$11+AG$9*($H$10*$H27+$I$10*$I27+$J$10*$J27+$K27*$K$10)</f>
        <v>0.0518171323485968</v>
      </c>
      <c r="AH27" s="8">
        <f>战斗属性!$F$12+AH$9*($H$10*$H27+$I$10*$I27+$J$10*$J27+$K$10*$K27)</f>
        <v>2.00506201154252</v>
      </c>
      <c r="AI27" s="8">
        <f t="shared" si="22"/>
        <v>1.00415344536822</v>
      </c>
      <c r="AJ27" s="4">
        <f t="shared" si="23"/>
        <v>1.0579446358917</v>
      </c>
      <c r="AK27" s="4">
        <f t="shared" si="24"/>
        <v>11994.9904759316</v>
      </c>
      <c r="AL27" s="36">
        <f t="shared" si="25"/>
        <v>36.7741143695029</v>
      </c>
      <c r="AM27" s="36"/>
      <c r="AN27" s="4">
        <f t="shared" si="26"/>
        <v>441105.151623006</v>
      </c>
      <c r="AO27" s="4">
        <f t="array" ref="AO27">INDEX(_xlfn.ANCHORARRAY(怪物标准模型!$B$12),MATCH(AN27,怪物标准模型!$AY$12:$AY$511))</f>
        <v>35</v>
      </c>
      <c r="AP27" s="4">
        <v>35</v>
      </c>
    </row>
    <row r="28" spans="1:42">
      <c r="A28" s="4">
        <f t="array" ref="A28">_xlfn.IFNA(_xlfn.XLOOKUP(C28&amp;D28,'玩家等级对应关卡（从新手节奏复制）'!$C:$C&amp;'玩家等级对应关卡（从新手节奏复制）'!$D:$D,'玩家等级对应关卡（从新手节奏复制）'!$E:$E),A27)</f>
        <v>13</v>
      </c>
      <c r="B28" s="4">
        <v>17</v>
      </c>
      <c r="C28" s="4">
        <v>2</v>
      </c>
      <c r="D28" s="4">
        <v>2</v>
      </c>
      <c r="E28" s="4">
        <f t="shared" si="0"/>
        <v>1</v>
      </c>
      <c r="F28" s="4">
        <v>3.4</v>
      </c>
      <c r="G28" s="34">
        <f t="shared" si="1"/>
        <v>0.322159305311</v>
      </c>
      <c r="H28" s="34">
        <f t="shared" si="2"/>
        <v>0.0652076427918903</v>
      </c>
      <c r="I28" s="34">
        <f t="shared" si="3"/>
        <v>0</v>
      </c>
      <c r="J28" s="34">
        <f t="shared" si="4"/>
        <v>0</v>
      </c>
      <c r="K28" s="34">
        <f t="shared" si="5"/>
        <v>0</v>
      </c>
      <c r="L28" s="8">
        <f>E28*'参考-养成属性规划（从养成属性复制）'!$F$36+G28*'参考-养成属性规划（从养成属性复制）'!$F$37+'参考-养成属性规划（从养成属性复制）'!$F$39*H28</f>
        <v>2696.34224391415</v>
      </c>
      <c r="M28" s="8">
        <f>I28*'参考-养成属性规划（从养成属性复制）'!$F$41+J28*'参考-养成属性规划（从养成属性复制）'!$F$42+K28*'参考-养成属性规划（从养成属性复制）'!$F$43</f>
        <v>0</v>
      </c>
      <c r="N28" s="8">
        <f t="shared" si="6"/>
        <v>1.01380867729711</v>
      </c>
      <c r="O28" s="35">
        <f t="shared" si="7"/>
        <v>2733.57516384291</v>
      </c>
      <c r="P28" s="1">
        <f>O28/(O28+战斗公式!$M$27)</f>
        <v>0.102252510077293</v>
      </c>
      <c r="Q28" s="8">
        <f>E28*'参考-养成属性规划（从养成属性复制）'!$E$36+G28*'参考-养成属性规划（从养成属性复制）'!$E$37+'参考-养成属性规划（从养成属性复制）'!$E$39*H147</f>
        <v>3819.5469982392</v>
      </c>
      <c r="R28" s="8">
        <f>I28*'参考-养成属性规划（从养成属性复制）'!$E$41+J28*'参考-养成属性规划（从养成属性复制）'!$E$42+K28*'参考-养成属性规划（从养成属性复制）'!$E$43</f>
        <v>0</v>
      </c>
      <c r="S28" s="8">
        <f t="shared" si="8"/>
        <v>1.01380867729711</v>
      </c>
      <c r="T28" s="35">
        <f t="shared" si="9"/>
        <v>3872.28989015901</v>
      </c>
      <c r="U28" s="8">
        <f t="shared" si="10"/>
        <v>0.719562292837567</v>
      </c>
      <c r="V28" s="8">
        <f t="shared" si="11"/>
        <v>0.0260830571167561</v>
      </c>
      <c r="W28" s="8">
        <f t="shared" si="12"/>
        <v>0.29293210176777</v>
      </c>
      <c r="X28" s="8">
        <f t="shared" si="13"/>
        <v>1</v>
      </c>
      <c r="Y28" s="8">
        <f t="shared" si="14"/>
        <v>1</v>
      </c>
      <c r="Z28" s="8">
        <f t="shared" si="15"/>
        <v>1</v>
      </c>
      <c r="AA28" s="8">
        <f t="shared" si="16"/>
        <v>1</v>
      </c>
      <c r="AB28" s="8">
        <f t="shared" si="17"/>
        <v>1</v>
      </c>
      <c r="AC28" s="4">
        <f t="shared" si="18"/>
        <v>1.03857745172209</v>
      </c>
      <c r="AD28" s="8">
        <f t="shared" si="19"/>
        <v>1</v>
      </c>
      <c r="AE28" s="8">
        <f t="shared" si="20"/>
        <v>1.00118022882881</v>
      </c>
      <c r="AF28" s="8">
        <f t="shared" si="21"/>
        <v>1.00209162775773</v>
      </c>
      <c r="AG28" s="8">
        <f>战斗属性!$F$11+AG$9*($H$10*$H28+$I$10*$I28+$J$10*$J28+$K28*$K$10)</f>
        <v>0.0526850205855484</v>
      </c>
      <c r="AH28" s="8">
        <f>战斗属性!$F$12+AH$9*($H$10*$H28+$I$10*$I28+$J$10*$J28+$K$10*$K28)</f>
        <v>2.0074797002026</v>
      </c>
      <c r="AI28" s="8">
        <f t="shared" si="22"/>
        <v>1.00613718990983</v>
      </c>
      <c r="AJ28" s="4">
        <f t="shared" si="23"/>
        <v>1.06175820263349</v>
      </c>
      <c r="AK28" s="4">
        <f t="shared" si="24"/>
        <v>13033.6331566688</v>
      </c>
      <c r="AL28" s="36">
        <f t="shared" si="25"/>
        <v>36.9020702043118</v>
      </c>
      <c r="AM28" s="36"/>
      <c r="AN28" s="4">
        <f t="shared" si="26"/>
        <v>480968.045764639</v>
      </c>
      <c r="AO28" s="4">
        <f t="array" ref="AO28">INDEX(_xlfn.ANCHORARRAY(怪物标准模型!$B$12),MATCH(AN28,怪物标准模型!$AY$12:$AY$511))</f>
        <v>37</v>
      </c>
      <c r="AP28" s="4">
        <v>37</v>
      </c>
    </row>
    <row r="29" spans="1:42">
      <c r="A29" s="4">
        <f t="array" ref="A29">_xlfn.IFNA(_xlfn.XLOOKUP(C29&amp;D29,'玩家等级对应关卡（从新手节奏复制）'!$C:$C&amp;'玩家等级对应关卡（从新手节奏复制）'!$D:$D,'玩家等级对应关卡（从新手节奏复制）'!$E:$E),A28)</f>
        <v>14</v>
      </c>
      <c r="B29" s="4">
        <v>18</v>
      </c>
      <c r="C29" s="4">
        <v>2</v>
      </c>
      <c r="D29" s="4">
        <v>3</v>
      </c>
      <c r="E29" s="4">
        <f t="shared" si="0"/>
        <v>1</v>
      </c>
      <c r="F29" s="4">
        <v>3.5</v>
      </c>
      <c r="G29" s="34">
        <f t="shared" si="1"/>
        <v>0.337549278441838</v>
      </c>
      <c r="H29" s="34">
        <f t="shared" si="2"/>
        <v>0.0856526099737937</v>
      </c>
      <c r="I29" s="34">
        <f t="shared" si="3"/>
        <v>0</v>
      </c>
      <c r="J29" s="34">
        <f t="shared" si="4"/>
        <v>0</v>
      </c>
      <c r="K29" s="34">
        <f t="shared" si="5"/>
        <v>0</v>
      </c>
      <c r="L29" s="8">
        <f>E29*'参考-养成属性规划（从养成属性复制）'!$F$36+G29*'参考-养成属性规划（从养成属性复制）'!$F$37+'参考-养成属性规划（从养成属性复制）'!$F$39*H29</f>
        <v>2817.23753946055</v>
      </c>
      <c r="M29" s="8">
        <f>I29*'参考-养成属性规划（从养成属性复制）'!$F$41+J29*'参考-养成属性规划（从养成属性复制）'!$F$42+K29*'参考-养成属性规划（从养成属性复制）'!$F$43</f>
        <v>0</v>
      </c>
      <c r="N29" s="8">
        <f t="shared" si="6"/>
        <v>1.01813819975916</v>
      </c>
      <c r="O29" s="35">
        <f t="shared" si="7"/>
        <v>2868.33715672028</v>
      </c>
      <c r="P29" s="1">
        <f>O29/(O29+战斗公式!$M$27)</f>
        <v>0.106755291181198</v>
      </c>
      <c r="Q29" s="8">
        <f>E29*'参考-养成属性规划（从养成属性复制）'!$E$36+G29*'参考-养成属性规划（从养成属性复制）'!$E$37+'参考-养成属性规划（从养成属性复制）'!$E$39*H148</f>
        <v>3930.35480478124</v>
      </c>
      <c r="R29" s="8">
        <f>I29*'参考-养成属性规划（从养成属性复制）'!$E$41+J29*'参考-养成属性规划（从养成属性复制）'!$E$42+K29*'参考-养成属性规划（从养成属性复制）'!$E$43</f>
        <v>0</v>
      </c>
      <c r="S29" s="8">
        <f t="shared" si="8"/>
        <v>1.01813819975916</v>
      </c>
      <c r="T29" s="35">
        <f t="shared" si="9"/>
        <v>4001.64436535472</v>
      </c>
      <c r="U29" s="8">
        <f t="shared" si="10"/>
        <v>0.725695782992138</v>
      </c>
      <c r="V29" s="8">
        <f t="shared" si="11"/>
        <v>0.0342610439895175</v>
      </c>
      <c r="W29" s="8">
        <f t="shared" si="12"/>
        <v>0.298554467742793</v>
      </c>
      <c r="X29" s="8">
        <f t="shared" si="13"/>
        <v>1</v>
      </c>
      <c r="Y29" s="8">
        <f t="shared" si="14"/>
        <v>1</v>
      </c>
      <c r="Z29" s="8">
        <f t="shared" si="15"/>
        <v>1</v>
      </c>
      <c r="AA29" s="8">
        <f t="shared" si="16"/>
        <v>1</v>
      </c>
      <c r="AB29" s="8">
        <f t="shared" si="17"/>
        <v>1</v>
      </c>
      <c r="AC29" s="4">
        <f t="shared" si="18"/>
        <v>1.05851129472445</v>
      </c>
      <c r="AD29" s="8">
        <f t="shared" si="19"/>
        <v>1</v>
      </c>
      <c r="AE29" s="8">
        <f t="shared" si="20"/>
        <v>1.00155027348369</v>
      </c>
      <c r="AF29" s="8">
        <f t="shared" si="21"/>
        <v>1.00274742911831</v>
      </c>
      <c r="AG29" s="8">
        <f>战斗属性!$F$11+AG$9*($H$10*$H29+$I$10*$I29+$J$10*$J29+$K29*$K$10)</f>
        <v>0.0535268721753915</v>
      </c>
      <c r="AH29" s="8">
        <f>战斗属性!$F$12+AH$9*($H$10*$H29+$I$10*$I29+$J$10*$J29+$K$10*$K29)</f>
        <v>2.00982485820288</v>
      </c>
      <c r="AI29" s="8">
        <f t="shared" si="22"/>
        <v>1.00806142211518</v>
      </c>
      <c r="AJ29" s="4">
        <f t="shared" si="23"/>
        <v>1.0654692110022</v>
      </c>
      <c r="AK29" s="4">
        <f t="shared" si="24"/>
        <v>14109.5572758655</v>
      </c>
      <c r="AL29" s="36">
        <f t="shared" si="25"/>
        <v>37.0313055974688</v>
      </c>
      <c r="AM29" s="36"/>
      <c r="AN29" s="4">
        <f t="shared" si="26"/>
        <v>522495.327327566</v>
      </c>
      <c r="AO29" s="4">
        <f t="array" ref="AO29">INDEX(_xlfn.ANCHORARRAY(怪物标准模型!$B$12),MATCH(AN29,怪物标准模型!$AY$12:$AY$511))</f>
        <v>39</v>
      </c>
      <c r="AP29" s="4">
        <v>39</v>
      </c>
    </row>
    <row r="30" spans="1:42">
      <c r="A30" s="4">
        <f t="array" ref="A30">_xlfn.IFNA(_xlfn.XLOOKUP(C30&amp;D30,'玩家等级对应关卡（从新手节奏复制）'!$C:$C&amp;'玩家等级对应关卡（从新手节奏复制）'!$D:$D,'玩家等级对应关卡（从新手节奏复制）'!$E:$E),A29)</f>
        <v>14</v>
      </c>
      <c r="B30" s="4">
        <v>19</v>
      </c>
      <c r="C30" s="4">
        <v>2</v>
      </c>
      <c r="D30" s="4">
        <v>4</v>
      </c>
      <c r="E30" s="4">
        <f t="shared" si="0"/>
        <v>1</v>
      </c>
      <c r="F30" s="4">
        <v>3.6</v>
      </c>
      <c r="G30" s="34">
        <f t="shared" si="1"/>
        <v>0.352477552378752</v>
      </c>
      <c r="H30" s="34">
        <f t="shared" si="2"/>
        <v>0.10548422814024</v>
      </c>
      <c r="I30" s="34">
        <f t="shared" si="3"/>
        <v>0</v>
      </c>
      <c r="J30" s="34">
        <f t="shared" si="4"/>
        <v>0</v>
      </c>
      <c r="K30" s="34">
        <f t="shared" si="5"/>
        <v>0</v>
      </c>
      <c r="L30" s="8">
        <f>E30*'参考-养成属性规划（从养成属性复制）'!$F$36+G30*'参考-养成属性规划（从养成属性复制）'!$F$37+'参考-养成属性规划（从养成属性复制）'!$F$39*H30</f>
        <v>2934.50597614056</v>
      </c>
      <c r="M30" s="8">
        <f>I30*'参考-养成属性规划（从养成属性复制）'!$F$41+J30*'参考-养成属性规划（从养成属性复制）'!$F$42+K30*'参考-养成属性规划（从养成属性复制）'!$F$43</f>
        <v>0</v>
      </c>
      <c r="N30" s="8">
        <f t="shared" si="6"/>
        <v>1.02233783654735</v>
      </c>
      <c r="O30" s="35">
        <f t="shared" si="7"/>
        <v>3000.0564909828</v>
      </c>
      <c r="P30" s="1">
        <f>O30/(O30+战斗公式!$M$27)</f>
        <v>0.111112970892662</v>
      </c>
      <c r="Q30" s="8">
        <f>E30*'参考-养成属性规划（从养成属性复制）'!$E$36+G30*'参考-养成属性规划（从养成属性复制）'!$E$37+'参考-养成属性规划（从养成属性复制）'!$E$39*H149</f>
        <v>4037.83837712701</v>
      </c>
      <c r="R30" s="8">
        <f>I30*'参考-养成属性规划（从养成属性复制）'!$E$41+J30*'参考-养成属性规划（从养成属性复制）'!$E$42+K30*'参考-养成属性规划（从养成属性复制）'!$E$43</f>
        <v>0</v>
      </c>
      <c r="S30" s="8">
        <f t="shared" si="8"/>
        <v>1.02233783654735</v>
      </c>
      <c r="T30" s="35">
        <f t="shared" si="9"/>
        <v>4128.03495079987</v>
      </c>
      <c r="U30" s="8">
        <f t="shared" si="10"/>
        <v>0.731645268442072</v>
      </c>
      <c r="V30" s="8">
        <f t="shared" si="11"/>
        <v>0.0421936912560961</v>
      </c>
      <c r="W30" s="8">
        <f t="shared" si="12"/>
        <v>0.304008162738566</v>
      </c>
      <c r="X30" s="8">
        <f t="shared" si="13"/>
        <v>1</v>
      </c>
      <c r="Y30" s="8">
        <f t="shared" si="14"/>
        <v>1</v>
      </c>
      <c r="Z30" s="8">
        <f t="shared" si="15"/>
        <v>1</v>
      </c>
      <c r="AA30" s="8">
        <f t="shared" si="16"/>
        <v>1</v>
      </c>
      <c r="AB30" s="8">
        <f t="shared" si="17"/>
        <v>1</v>
      </c>
      <c r="AC30" s="4">
        <f t="shared" si="18"/>
        <v>1.07784712243673</v>
      </c>
      <c r="AD30" s="8">
        <f t="shared" si="19"/>
        <v>1</v>
      </c>
      <c r="AE30" s="8">
        <f t="shared" si="20"/>
        <v>1.00190921679892</v>
      </c>
      <c r="AF30" s="8">
        <f t="shared" si="21"/>
        <v>1.00338355643808</v>
      </c>
      <c r="AG30" s="8">
        <f>战斗属性!$F$11+AG$9*($H$10*$H30+$I$10*$I30+$J$10*$J30+$K30*$K$10)</f>
        <v>0.0543434682175393</v>
      </c>
      <c r="AH30" s="8">
        <f>战斗属性!$F$12+AH$9*($H$10*$H30+$I$10*$I30+$J$10*$J30+$K$10*$K30)</f>
        <v>2.01209966146315</v>
      </c>
      <c r="AI30" s="8">
        <f t="shared" si="22"/>
        <v>1.00992792735438</v>
      </c>
      <c r="AJ30" s="4">
        <f t="shared" si="23"/>
        <v>1.06908007385519</v>
      </c>
      <c r="AK30" s="4">
        <f t="shared" si="24"/>
        <v>15221.5835887203</v>
      </c>
      <c r="AL30" s="36">
        <f t="shared" si="25"/>
        <v>37.1618333445573</v>
      </c>
      <c r="AM30" s="36"/>
      <c r="AN30" s="4">
        <f t="shared" si="26"/>
        <v>565661.952564271</v>
      </c>
      <c r="AO30" s="4">
        <f t="array" ref="AO30">INDEX(_xlfn.ANCHORARRAY(怪物标准模型!$B$12),MATCH(AN30,怪物标准模型!$AY$12:$AY$511))</f>
        <v>41</v>
      </c>
      <c r="AP30" s="4">
        <v>41</v>
      </c>
    </row>
    <row r="31" spans="1:42">
      <c r="A31" s="4">
        <f t="array" ref="A31">_xlfn.IFNA(_xlfn.XLOOKUP(C31&amp;D31,'玩家等级对应关卡（从新手节奏复制）'!$C:$C&amp;'玩家等级对应关卡（从新手节奏复制）'!$D:$D,'玩家等级对应关卡（从新手节奏复制）'!$E:$E),A30)</f>
        <v>15</v>
      </c>
      <c r="B31" s="4">
        <v>20</v>
      </c>
      <c r="C31" s="4">
        <v>2</v>
      </c>
      <c r="D31" s="4">
        <v>5</v>
      </c>
      <c r="E31" s="4">
        <f t="shared" si="0"/>
        <v>1</v>
      </c>
      <c r="F31" s="4">
        <v>3.7</v>
      </c>
      <c r="G31" s="34">
        <f t="shared" si="1"/>
        <v>0.366957978097558</v>
      </c>
      <c r="H31" s="34">
        <f t="shared" si="2"/>
        <v>0.124720897761693</v>
      </c>
      <c r="I31" s="34">
        <f t="shared" si="3"/>
        <v>0</v>
      </c>
      <c r="J31" s="34">
        <f t="shared" si="4"/>
        <v>0</v>
      </c>
      <c r="K31" s="34">
        <f t="shared" si="5"/>
        <v>0</v>
      </c>
      <c r="L31" s="8">
        <f>E31*'参考-养成属性规划（从养成属性复制）'!$F$36+G31*'参考-养成属性规划（从养成属性复制）'!$F$37+'参考-养成属性规划（从养成属性复制）'!$F$39*H31</f>
        <v>3048.25635972017</v>
      </c>
      <c r="M31" s="8">
        <f>I31*'参考-养成属性规划（从养成属性复制）'!$F$41+J31*'参考-养成属性规划（从养成属性复制）'!$F$42+K31*'参考-养成属性规划（从养成属性复制）'!$F$43</f>
        <v>0</v>
      </c>
      <c r="N31" s="8">
        <f t="shared" si="6"/>
        <v>1.02641148423189</v>
      </c>
      <c r="O31" s="35">
        <f t="shared" si="7"/>
        <v>3128.76533449967</v>
      </c>
      <c r="P31" s="1">
        <f>O31/(O31+战斗公式!$M$27)</f>
        <v>0.115330177983471</v>
      </c>
      <c r="Q31" s="8">
        <f>E31*'参考-养成属性规划（从养成属性复制）'!$E$36+G31*'参考-养成属性规划（从养成属性复制）'!$E$37+'参考-养成属性规划（从养成属性复制）'!$E$39*H150</f>
        <v>4142.09744230242</v>
      </c>
      <c r="R31" s="8">
        <f>I31*'参考-养成属性规划（从养成属性复制）'!$E$41+J31*'参考-养成属性规划（从养成属性复制）'!$E$42+K31*'参考-养成属性规划（从养成属性复制）'!$E$43</f>
        <v>0</v>
      </c>
      <c r="S31" s="8">
        <f t="shared" si="8"/>
        <v>1.02641148423189</v>
      </c>
      <c r="T31" s="35">
        <f t="shared" si="9"/>
        <v>4251.49638358673</v>
      </c>
      <c r="U31" s="8">
        <f t="shared" si="10"/>
        <v>0.737416269328508</v>
      </c>
      <c r="V31" s="8">
        <f t="shared" si="11"/>
        <v>0.0498883591046773</v>
      </c>
      <c r="W31" s="8">
        <f t="shared" si="12"/>
        <v>0.309298246884466</v>
      </c>
      <c r="X31" s="8">
        <f t="shared" si="13"/>
        <v>1</v>
      </c>
      <c r="Y31" s="8">
        <f t="shared" si="14"/>
        <v>1</v>
      </c>
      <c r="Z31" s="8">
        <f t="shared" si="15"/>
        <v>1</v>
      </c>
      <c r="AA31" s="8">
        <f t="shared" si="16"/>
        <v>1</v>
      </c>
      <c r="AB31" s="8">
        <f t="shared" si="17"/>
        <v>1</v>
      </c>
      <c r="AC31" s="4">
        <f t="shared" si="18"/>
        <v>1.09660287531765</v>
      </c>
      <c r="AD31" s="8">
        <f t="shared" si="19"/>
        <v>1</v>
      </c>
      <c r="AE31" s="8">
        <f t="shared" si="20"/>
        <v>1.00225739181469</v>
      </c>
      <c r="AF31" s="8">
        <f t="shared" si="21"/>
        <v>1.00400059993826</v>
      </c>
      <c r="AG31" s="8">
        <f>战斗属性!$F$11+AG$9*($H$10*$H31+$I$10*$I31+$J$10*$J31+$K31*$K$10)</f>
        <v>0.0551355663784227</v>
      </c>
      <c r="AH31" s="8">
        <f>战斗属性!$F$12+AH$9*($H$10*$H31+$I$10*$I31+$J$10*$J31+$K$10*$K31)</f>
        <v>2.01430622062561</v>
      </c>
      <c r="AI31" s="8">
        <f t="shared" si="22"/>
        <v>1.01173843743639</v>
      </c>
      <c r="AJ31" s="4">
        <f t="shared" si="23"/>
        <v>1.07259316777638</v>
      </c>
      <c r="AK31" s="4">
        <f t="shared" si="24"/>
        <v>16368.5103522499</v>
      </c>
      <c r="AL31" s="36">
        <f t="shared" si="25"/>
        <v>37.2936663691168</v>
      </c>
      <c r="AM31" s="36"/>
      <c r="AN31" s="4">
        <f t="shared" si="26"/>
        <v>610441.764036242</v>
      </c>
      <c r="AO31" s="4">
        <f t="array" ref="AO31">INDEX(_xlfn.ANCHORARRAY(怪物标准模型!$B$12),MATCH(AN31,怪物标准模型!$AY$12:$AY$511))</f>
        <v>43</v>
      </c>
      <c r="AP31" s="4">
        <v>43</v>
      </c>
    </row>
    <row r="32" spans="1:42">
      <c r="A32" s="4">
        <f t="array" ref="A32">_xlfn.IFNA(_xlfn.XLOOKUP(C32&amp;D32,'玩家等级对应关卡（从新手节奏复制）'!$C:$C&amp;'玩家等级对应关卡（从新手节奏复制）'!$D:$D,'玩家等级对应关卡（从新手节奏复制）'!$E:$E),A31)</f>
        <v>15</v>
      </c>
      <c r="B32" s="4">
        <v>21</v>
      </c>
      <c r="C32" s="4">
        <v>2</v>
      </c>
      <c r="D32" s="4">
        <v>6</v>
      </c>
      <c r="E32" s="4">
        <f t="shared" si="0"/>
        <v>1</v>
      </c>
      <c r="F32" s="4">
        <v>4</v>
      </c>
      <c r="G32" s="34">
        <f t="shared" si="1"/>
        <v>0.3810039910448</v>
      </c>
      <c r="H32" s="34">
        <f t="shared" si="2"/>
        <v>0.143380467294503</v>
      </c>
      <c r="I32" s="34">
        <f t="shared" si="3"/>
        <v>0</v>
      </c>
      <c r="J32" s="34">
        <f t="shared" si="4"/>
        <v>0</v>
      </c>
      <c r="K32" s="34">
        <f t="shared" si="5"/>
        <v>0</v>
      </c>
      <c r="L32" s="8">
        <f>E32*'参考-养成属性规划（从养成属性复制）'!$F$36+G32*'参考-养成属性规划（从养成属性复制）'!$F$37+'参考-养成属性规划（从养成属性复制）'!$F$39*H32</f>
        <v>3158.5942317924</v>
      </c>
      <c r="M32" s="8">
        <f>I32*'参考-养成属性规划（从养成属性复制）'!$F$41+J32*'参考-养成属性规划（从养成属性复制）'!$F$42+K32*'参考-养成属性规划（从养成属性复制）'!$F$43</f>
        <v>0</v>
      </c>
      <c r="N32" s="8">
        <f t="shared" si="6"/>
        <v>1.03036292248589</v>
      </c>
      <c r="O32" s="35">
        <f t="shared" si="7"/>
        <v>3254.4983836167</v>
      </c>
      <c r="P32" s="1">
        <f>O32/(O32+战斗公式!$M$27)</f>
        <v>0.11941142110959</v>
      </c>
      <c r="Q32" s="8">
        <f>E32*'参考-养成属性规划（从养成属性复制）'!$E$36+G32*'参考-养成属性规划（从养成属性复制）'!$E$37+'参考-养成属性规划（从养成属性复制）'!$E$39*H151</f>
        <v>4243.22873552256</v>
      </c>
      <c r="R32" s="8">
        <f>I32*'参考-养成属性规划（从养成属性复制）'!$E$41+J32*'参考-养成属性规划（从养成属性复制）'!$E$42+K32*'参考-养成属性规划（从养成属性复制）'!$E$43</f>
        <v>0</v>
      </c>
      <c r="S32" s="8">
        <f t="shared" si="8"/>
        <v>1.03036292248589</v>
      </c>
      <c r="T32" s="35">
        <f t="shared" si="9"/>
        <v>4372.06556070915</v>
      </c>
      <c r="U32" s="8">
        <f t="shared" si="10"/>
        <v>0.743014140188351</v>
      </c>
      <c r="V32" s="8">
        <f t="shared" si="11"/>
        <v>0.057352186917801</v>
      </c>
      <c r="W32" s="8">
        <f t="shared" si="12"/>
        <v>0.314429628505988</v>
      </c>
      <c r="X32" s="8">
        <f t="shared" si="13"/>
        <v>1</v>
      </c>
      <c r="Y32" s="8">
        <f t="shared" si="14"/>
        <v>1</v>
      </c>
      <c r="Z32" s="8">
        <f t="shared" si="15"/>
        <v>1</v>
      </c>
      <c r="AA32" s="8">
        <f t="shared" si="16"/>
        <v>1</v>
      </c>
      <c r="AB32" s="8">
        <f t="shared" si="17"/>
        <v>1</v>
      </c>
      <c r="AC32" s="4">
        <f t="shared" si="18"/>
        <v>1.11479595561214</v>
      </c>
      <c r="AD32" s="8">
        <f t="shared" si="19"/>
        <v>1</v>
      </c>
      <c r="AE32" s="8">
        <f t="shared" si="20"/>
        <v>1.00259512157999</v>
      </c>
      <c r="AF32" s="8">
        <f t="shared" si="21"/>
        <v>1.00459913213343</v>
      </c>
      <c r="AG32" s="8">
        <f>战斗属性!$F$11+AG$9*($H$10*$H32+$I$10*$I32+$J$10*$J32+$K32*$K$10)</f>
        <v>0.0559039015944795</v>
      </c>
      <c r="AH32" s="8">
        <f>战斗属性!$F$12+AH$9*($H$10*$H32+$I$10*$I32+$J$10*$J32+$K$10*$K32)</f>
        <v>2.01644658301319</v>
      </c>
      <c r="AI32" s="8">
        <f t="shared" si="22"/>
        <v>1.01349463221595</v>
      </c>
      <c r="AJ32" s="4">
        <f t="shared" si="23"/>
        <v>1.07601083229716</v>
      </c>
      <c r="AK32" s="4">
        <f t="shared" si="24"/>
        <v>18472.7576818617</v>
      </c>
      <c r="AL32" s="36">
        <f t="shared" si="25"/>
        <v>37.4268177239218</v>
      </c>
      <c r="AM32" s="36"/>
      <c r="AN32" s="4">
        <f t="shared" si="26"/>
        <v>691376.534617213</v>
      </c>
      <c r="AO32" s="4">
        <f t="array" ref="AO32">INDEX(_xlfn.ANCHORARRAY(怪物标准模型!$B$12),MATCH(AN32,怪物标准模型!$AY$12:$AY$511))</f>
        <v>47</v>
      </c>
      <c r="AP32" s="4">
        <v>47</v>
      </c>
    </row>
    <row r="33" spans="1:42">
      <c r="A33" s="4">
        <f t="array" ref="A33">_xlfn.IFNA(_xlfn.XLOOKUP(C33&amp;D33,'玩家等级对应关卡（从新手节奏复制）'!$C:$C&amp;'玩家等级对应关卡（从新手节奏复制）'!$D:$D,'玩家等级对应关卡（从新手节奏复制）'!$E:$E),A32)</f>
        <v>15</v>
      </c>
      <c r="B33" s="4">
        <v>22</v>
      </c>
      <c r="C33" s="4">
        <v>2</v>
      </c>
      <c r="D33" s="4">
        <v>7</v>
      </c>
      <c r="E33" s="4">
        <f t="shared" si="0"/>
        <v>1</v>
      </c>
      <c r="F33" s="4">
        <v>4.05</v>
      </c>
      <c r="G33" s="34">
        <f t="shared" si="1"/>
        <v>0.394628623603625</v>
      </c>
      <c r="H33" s="34">
        <f t="shared" si="2"/>
        <v>0.161480249741328</v>
      </c>
      <c r="I33" s="34">
        <f t="shared" si="3"/>
        <v>0</v>
      </c>
      <c r="J33" s="34">
        <f t="shared" si="4"/>
        <v>0</v>
      </c>
      <c r="K33" s="34">
        <f t="shared" si="5"/>
        <v>0</v>
      </c>
      <c r="L33" s="8">
        <f>E33*'参考-养成属性规划（从养成属性复制）'!$F$36+G33*'参考-养成属性规划（从养成属性复制）'!$F$37+'参考-养成属性规划（从养成属性复制）'!$F$39*H33</f>
        <v>3265.62196770245</v>
      </c>
      <c r="M33" s="8">
        <f>I33*'参考-养成属性规划（从养成属性复制）'!$F$41+J33*'参考-养成属性规划（从养成属性复制）'!$F$42+K33*'参考-养成属性规划（从养成属性复制）'!$F$43</f>
        <v>0</v>
      </c>
      <c r="N33" s="8">
        <f t="shared" si="6"/>
        <v>1.03419581759228</v>
      </c>
      <c r="O33" s="35">
        <f t="shared" si="7"/>
        <v>3377.29258083535</v>
      </c>
      <c r="P33" s="1">
        <f>O33/(O33+战斗公式!$M$27)</f>
        <v>0.123361087326784</v>
      </c>
      <c r="Q33" s="8">
        <f>E33*'参考-养成属性规划（从养成属性复制）'!$E$36+G33*'参考-养成属性规划（从养成属性复制）'!$E$37+'参考-养成属性规划（从养成属性复制）'!$E$39*H152</f>
        <v>4341.3260899461</v>
      </c>
      <c r="R33" s="8">
        <f>I33*'参考-养成属性规划（从养成属性复制）'!$E$41+J33*'参考-养成属性规划（从养成属性复制）'!$E$42+K33*'参考-养成属性规划（从养成属性复制）'!$E$43</f>
        <v>0</v>
      </c>
      <c r="S33" s="8">
        <f t="shared" si="8"/>
        <v>1.03419581759228</v>
      </c>
      <c r="T33" s="35">
        <f t="shared" si="9"/>
        <v>4489.7812850265</v>
      </c>
      <c r="U33" s="8">
        <f t="shared" si="10"/>
        <v>0.748444074922398</v>
      </c>
      <c r="V33" s="8">
        <f t="shared" si="11"/>
        <v>0.0645920998965311</v>
      </c>
      <c r="W33" s="8">
        <f t="shared" si="12"/>
        <v>0.319407068678865</v>
      </c>
      <c r="X33" s="8">
        <f t="shared" si="13"/>
        <v>1</v>
      </c>
      <c r="Y33" s="8">
        <f t="shared" si="14"/>
        <v>1</v>
      </c>
      <c r="Z33" s="8">
        <f t="shared" si="15"/>
        <v>1</v>
      </c>
      <c r="AA33" s="8">
        <f t="shared" si="16"/>
        <v>1</v>
      </c>
      <c r="AB33" s="8">
        <f t="shared" si="17"/>
        <v>1</v>
      </c>
      <c r="AC33" s="4">
        <f t="shared" si="18"/>
        <v>1.13244324349779</v>
      </c>
      <c r="AD33" s="8">
        <f t="shared" si="19"/>
        <v>1</v>
      </c>
      <c r="AE33" s="8">
        <f t="shared" si="20"/>
        <v>1.00292271945233</v>
      </c>
      <c r="AF33" s="8">
        <f t="shared" si="21"/>
        <v>1.00517970836274</v>
      </c>
      <c r="AG33" s="8">
        <f>战斗属性!$F$11+AG$9*($H$10*$H33+$I$10*$I33+$J$10*$J33+$K33*$K$10)</f>
        <v>0.0566491867540547</v>
      </c>
      <c r="AH33" s="8">
        <f>战斗属性!$F$12+AH$9*($H$10*$H33+$I$10*$I33+$J$10*$J33+$K$10*$K33)</f>
        <v>2.01852273452915</v>
      </c>
      <c r="AI33" s="8">
        <f t="shared" si="22"/>
        <v>1.01519814115212</v>
      </c>
      <c r="AJ33" s="4">
        <f t="shared" si="23"/>
        <v>1.0793353692283</v>
      </c>
      <c r="AK33" s="4">
        <f t="shared" si="24"/>
        <v>19483.8064562485</v>
      </c>
      <c r="AL33" s="36">
        <f t="shared" si="25"/>
        <v>37.5613005922749</v>
      </c>
      <c r="AM33" s="36"/>
      <c r="AN33" s="4">
        <f t="shared" si="26"/>
        <v>731837.110984857</v>
      </c>
      <c r="AO33" s="4">
        <f t="array" ref="AO33">INDEX(_xlfn.ANCHORARRAY(怪物标准模型!$B$12),MATCH(AN33,怪物标准模型!$AY$12:$AY$511))</f>
        <v>49</v>
      </c>
      <c r="AP33" s="4">
        <v>49</v>
      </c>
    </row>
    <row r="34" spans="1:42">
      <c r="A34" s="4">
        <f t="array" ref="A34">_xlfn.IFNA(_xlfn.XLOOKUP(C34&amp;D34,'玩家等级对应关卡（从新手节奏复制）'!$C:$C&amp;'玩家等级对应关卡（从新手节奏复制）'!$D:$D,'玩家等级对应关卡（从新手节奏复制）'!$E:$E),A33)</f>
        <v>16</v>
      </c>
      <c r="B34" s="4">
        <v>23</v>
      </c>
      <c r="C34" s="4">
        <v>2</v>
      </c>
      <c r="D34" s="4">
        <v>8</v>
      </c>
      <c r="E34" s="4">
        <f t="shared" si="0"/>
        <v>1</v>
      </c>
      <c r="F34" s="4">
        <v>4.1</v>
      </c>
      <c r="G34" s="34">
        <f t="shared" si="1"/>
        <v>0.407844517185685</v>
      </c>
      <c r="H34" s="34">
        <f t="shared" si="2"/>
        <v>0.179037038714748</v>
      </c>
      <c r="I34" s="34">
        <f t="shared" si="3"/>
        <v>0</v>
      </c>
      <c r="J34" s="34">
        <f t="shared" si="4"/>
        <v>0</v>
      </c>
      <c r="K34" s="34">
        <f t="shared" si="5"/>
        <v>0</v>
      </c>
      <c r="L34" s="8">
        <f>E34*'参考-养成属性规划（从养成属性复制）'!$F$36+G34*'参考-养成属性规划（从养成属性复制）'!$F$37+'参考-养成属性规划（从养成属性复制）'!$F$39*H34</f>
        <v>3369.43887153521</v>
      </c>
      <c r="M34" s="8">
        <f>I34*'参考-养成属性规划（从养成属性复制）'!$F$41+J34*'参考-养成属性规划（从养成属性复制）'!$F$42+K34*'参考-养成属性规划（从养成属性复制）'!$F$43</f>
        <v>0</v>
      </c>
      <c r="N34" s="8">
        <f t="shared" si="6"/>
        <v>1.03791372584548</v>
      </c>
      <c r="O34" s="35">
        <f t="shared" si="7"/>
        <v>3497.18685316368</v>
      </c>
      <c r="P34" s="1">
        <f>O34/(O34+战斗公式!$M$27)</f>
        <v>0.127183441413074</v>
      </c>
      <c r="Q34" s="8">
        <f>E34*'参考-养成属性规划（从养成属性复制）'!$E$36+G34*'参考-养成属性规划（从养成属性复制）'!$E$37+'参考-养成属性规划（从养成属性复制）'!$E$39*H153</f>
        <v>4436.48052373693</v>
      </c>
      <c r="R34" s="8">
        <f>I34*'参考-养成属性规划（从养成属性复制）'!$E$41+J34*'参考-养成属性规划（从养成属性复制）'!$E$42+K34*'参考-养成属性规划（从养成属性复制）'!$E$43</f>
        <v>0</v>
      </c>
      <c r="S34" s="8">
        <f t="shared" si="8"/>
        <v>1.03791372584548</v>
      </c>
      <c r="T34" s="35">
        <f t="shared" si="9"/>
        <v>4604.68403003268</v>
      </c>
      <c r="U34" s="8">
        <f t="shared" si="10"/>
        <v>0.753711111614424</v>
      </c>
      <c r="V34" s="8">
        <f t="shared" si="11"/>
        <v>0.0716148154858992</v>
      </c>
      <c r="W34" s="8">
        <f t="shared" si="12"/>
        <v>0.324235185646556</v>
      </c>
      <c r="X34" s="8">
        <f t="shared" si="13"/>
        <v>1</v>
      </c>
      <c r="Y34" s="8">
        <f t="shared" si="14"/>
        <v>1</v>
      </c>
      <c r="Z34" s="8">
        <f t="shared" si="15"/>
        <v>1</v>
      </c>
      <c r="AA34" s="8">
        <f t="shared" si="16"/>
        <v>1</v>
      </c>
      <c r="AB34" s="8">
        <f t="shared" si="17"/>
        <v>1</v>
      </c>
      <c r="AC34" s="4">
        <f t="shared" si="18"/>
        <v>1.14956111274688</v>
      </c>
      <c r="AD34" s="8">
        <f t="shared" si="19"/>
        <v>1</v>
      </c>
      <c r="AE34" s="8">
        <f t="shared" si="20"/>
        <v>1.0032404893885</v>
      </c>
      <c r="AF34" s="8">
        <f t="shared" si="21"/>
        <v>1.00574286730518</v>
      </c>
      <c r="AG34" s="8">
        <f>战斗属性!$F$11+AG$9*($H$10*$H34+$I$10*$I34+$J$10*$J34+$K34*$K$10)</f>
        <v>0.0573721133588426</v>
      </c>
      <c r="AH34" s="8">
        <f>战斗属性!$F$12+AH$9*($H$10*$H34+$I$10*$I34+$J$10*$J34+$K$10*$K34)</f>
        <v>2.02053660149963</v>
      </c>
      <c r="AI34" s="8">
        <f t="shared" si="22"/>
        <v>1.01685054482021</v>
      </c>
      <c r="AJ34" s="4">
        <f t="shared" si="23"/>
        <v>1.08256904209647</v>
      </c>
      <c r="AK34" s="4">
        <f t="shared" si="24"/>
        <v>20506.6319013095</v>
      </c>
      <c r="AL34" s="36">
        <f t="shared" si="25"/>
        <v>37.6971282893116</v>
      </c>
      <c r="AM34" s="36"/>
      <c r="AN34" s="4">
        <f t="shared" si="26"/>
        <v>773041.133565355</v>
      </c>
      <c r="AO34" s="4">
        <f t="array" ref="AO34">INDEX(_xlfn.ANCHORARRAY(怪物标准模型!$B$12),MATCH(AN34,怪物标准模型!$AY$12:$AY$511))</f>
        <v>50</v>
      </c>
      <c r="AP34" s="4">
        <v>50</v>
      </c>
    </row>
    <row r="35" spans="1:42">
      <c r="A35" s="4">
        <f t="array" ref="A35">_xlfn.IFNA(_xlfn.XLOOKUP(C35&amp;D35,'玩家等级对应关卡（从新手节奏复制）'!$C:$C&amp;'玩家等级对应关卡（从新手节奏复制）'!$D:$D,'玩家等级对应关卡（从新手节奏复制）'!$E:$E),A34)</f>
        <v>16</v>
      </c>
      <c r="B35" s="4">
        <v>24</v>
      </c>
      <c r="C35" s="4">
        <v>2</v>
      </c>
      <c r="D35" s="4">
        <v>9</v>
      </c>
      <c r="E35" s="4">
        <f t="shared" si="0"/>
        <v>1</v>
      </c>
      <c r="F35" s="4">
        <v>4.15</v>
      </c>
      <c r="G35" s="34">
        <f t="shared" si="1"/>
        <v>0.420663933960283</v>
      </c>
      <c r="H35" s="34">
        <f t="shared" si="2"/>
        <v>0.196067124018966</v>
      </c>
      <c r="I35" s="34">
        <f t="shared" si="3"/>
        <v>0</v>
      </c>
      <c r="J35" s="34">
        <f t="shared" si="4"/>
        <v>0</v>
      </c>
      <c r="K35" s="34">
        <f t="shared" si="5"/>
        <v>0</v>
      </c>
      <c r="L35" s="8">
        <f>E35*'参考-养成属性规划（从养成属性复制）'!$F$36+G35*'参考-养成属性规划（从养成属性复制）'!$F$37+'参考-养成属性规划（从养成属性复制）'!$F$39*H35</f>
        <v>3470.14126825298</v>
      </c>
      <c r="M35" s="8">
        <f>I35*'参考-养成属性规划（从养成属性复制）'!$F$41+J35*'参考-养成属性规划（从养成属性复制）'!$F$42+K35*'参考-养成属性规划（从养成属性复制）'!$F$43</f>
        <v>0</v>
      </c>
      <c r="N35" s="8">
        <f t="shared" si="6"/>
        <v>1.04152009685108</v>
      </c>
      <c r="O35" s="35">
        <f t="shared" si="7"/>
        <v>3614.22186979776</v>
      </c>
      <c r="P35" s="1">
        <f>O35/(O35+战斗公式!$M$27)</f>
        <v>0.130882625874412</v>
      </c>
      <c r="Q35" s="8">
        <f>E35*'参考-养成属性规划（从养成属性复制）'!$E$36+G35*'参考-养成属性规划（从养成属性复制）'!$E$37+'参考-养成属性规划（从养成属性复制）'!$E$39*H154</f>
        <v>4528.78032451404</v>
      </c>
      <c r="R35" s="8">
        <f>I35*'参考-养成属性规划（从养成属性复制）'!$E$41+J35*'参考-养成属性规划（从养成属性复制）'!$E$42+K35*'参考-养成属性规划（从养成属性复制）'!$E$43</f>
        <v>0</v>
      </c>
      <c r="S35" s="8">
        <f t="shared" si="8"/>
        <v>1.04152009685108</v>
      </c>
      <c r="T35" s="35">
        <f t="shared" si="9"/>
        <v>4716.8157222051</v>
      </c>
      <c r="U35" s="8">
        <f t="shared" si="10"/>
        <v>0.75882013720569</v>
      </c>
      <c r="V35" s="8">
        <f t="shared" si="11"/>
        <v>0.0784268496075863</v>
      </c>
      <c r="W35" s="8">
        <f t="shared" si="12"/>
        <v>0.328918459105216</v>
      </c>
      <c r="X35" s="8">
        <f t="shared" si="13"/>
        <v>1</v>
      </c>
      <c r="Y35" s="8">
        <f t="shared" si="14"/>
        <v>1</v>
      </c>
      <c r="Z35" s="8">
        <f t="shared" si="15"/>
        <v>1</v>
      </c>
      <c r="AA35" s="8">
        <f t="shared" si="16"/>
        <v>1</v>
      </c>
      <c r="AB35" s="8">
        <f t="shared" si="17"/>
        <v>1</v>
      </c>
      <c r="AC35" s="4">
        <f t="shared" si="18"/>
        <v>1.16616544591849</v>
      </c>
      <c r="AD35" s="8">
        <f t="shared" si="19"/>
        <v>1</v>
      </c>
      <c r="AE35" s="8">
        <f t="shared" si="20"/>
        <v>1.00354872622659</v>
      </c>
      <c r="AF35" s="8">
        <f t="shared" si="21"/>
        <v>1.00628913147934</v>
      </c>
      <c r="AG35" s="8">
        <f>战斗属性!$F$11+AG$9*($H$10*$H35+$I$10*$I35+$J$10*$J35+$K35*$K$10)</f>
        <v>0.0580733521654868</v>
      </c>
      <c r="AH35" s="8">
        <f>战斗属性!$F$12+AH$9*($H$10*$H35+$I$10*$I35+$J$10*$J35+$K$10*$K35)</f>
        <v>2.022490052461</v>
      </c>
      <c r="AI35" s="8">
        <f t="shared" si="22"/>
        <v>1.01845337637826</v>
      </c>
      <c r="AJ35" s="4">
        <f t="shared" si="23"/>
        <v>1.08571407567871</v>
      </c>
      <c r="AK35" s="4">
        <f t="shared" si="24"/>
        <v>21540.2666460048</v>
      </c>
      <c r="AL35" s="36">
        <f t="shared" si="25"/>
        <v>37.8343142633186</v>
      </c>
      <c r="AM35" s="36"/>
      <c r="AN35" s="4">
        <f t="shared" si="26"/>
        <v>814961.217600625</v>
      </c>
      <c r="AO35" s="4">
        <f t="array" ref="AO35">INDEX(_xlfn.ANCHORARRAY(怪物标准模型!$B$12),MATCH(AN35,怪物标准模型!$AY$12:$AY$511))</f>
        <v>52</v>
      </c>
      <c r="AP35" s="4">
        <v>52</v>
      </c>
    </row>
    <row r="36" spans="1:42">
      <c r="A36" s="4">
        <f t="array" ref="A36">_xlfn.IFNA(_xlfn.XLOOKUP(C36&amp;D36,'玩家等级对应关卡（从新手节奏复制）'!$C:$C&amp;'玩家等级对应关卡（从新手节奏复制）'!$D:$D,'玩家等级对应关卡（从新手节奏复制）'!$E:$E),A35)</f>
        <v>17</v>
      </c>
      <c r="B36" s="4">
        <v>25</v>
      </c>
      <c r="C36" s="4">
        <v>2</v>
      </c>
      <c r="D36" s="4">
        <v>10</v>
      </c>
      <c r="E36" s="4">
        <f t="shared" si="0"/>
        <v>1</v>
      </c>
      <c r="F36" s="4">
        <v>4.2</v>
      </c>
      <c r="G36" s="34">
        <f t="shared" si="1"/>
        <v>0.433098768231643</v>
      </c>
      <c r="H36" s="34">
        <f t="shared" si="2"/>
        <v>0.212586306764057</v>
      </c>
      <c r="I36" s="34">
        <f t="shared" si="3"/>
        <v>0</v>
      </c>
      <c r="J36" s="34">
        <f t="shared" si="4"/>
        <v>0</v>
      </c>
      <c r="K36" s="34">
        <f t="shared" si="5"/>
        <v>0</v>
      </c>
      <c r="L36" s="8">
        <f>E36*'参考-养成属性规划（从养成属性复制）'!$F$36+G36*'参考-养成属性规划（从养成属性复制）'!$F$37+'参考-养成属性规划（从养成属性复制）'!$F$39*H36</f>
        <v>3567.82259306922</v>
      </c>
      <c r="M36" s="8">
        <f>I36*'参考-养成属性规划（从养成属性复制）'!$F$41+J36*'参考-养成属性规划（从养成属性复制）'!$F$42+K36*'参考-养成属性规划（从养成属性复制）'!$F$43</f>
        <v>0</v>
      </c>
      <c r="N36" s="8">
        <f t="shared" si="6"/>
        <v>1.04501827672651</v>
      </c>
      <c r="O36" s="35">
        <f t="shared" si="7"/>
        <v>3728.43981787509</v>
      </c>
      <c r="P36" s="1">
        <f>O36/(O36+战斗公式!$M$27)</f>
        <v>0.134462661526003</v>
      </c>
      <c r="Q36" s="8">
        <f>E36*'参考-养成属性规划（从养成属性复制）'!$E$36+G36*'参考-养成属性规划（从养成属性复制）'!$E$37+'参考-养成属性规划（从养成属性复制）'!$E$39*H155</f>
        <v>4618.31113126783</v>
      </c>
      <c r="R36" s="8">
        <f>I36*'参考-养成属性规划（从养成属性复制）'!$E$41+J36*'参考-养成属性规划（从养成属性复制）'!$E$42+K36*'参考-养成属性规划（从养成属性复制）'!$E$43</f>
        <v>0</v>
      </c>
      <c r="S36" s="8">
        <f t="shared" si="8"/>
        <v>1.04501827672651</v>
      </c>
      <c r="T36" s="35">
        <f t="shared" si="9"/>
        <v>4826.21953978435</v>
      </c>
      <c r="U36" s="8">
        <f t="shared" si="10"/>
        <v>0.763775892029217</v>
      </c>
      <c r="V36" s="8">
        <f t="shared" si="11"/>
        <v>0.0850345227056228</v>
      </c>
      <c r="W36" s="8">
        <f t="shared" si="12"/>
        <v>0.333461234360116</v>
      </c>
      <c r="X36" s="8">
        <f t="shared" si="13"/>
        <v>1</v>
      </c>
      <c r="Y36" s="8">
        <f t="shared" si="14"/>
        <v>1</v>
      </c>
      <c r="Z36" s="8">
        <f t="shared" si="15"/>
        <v>1</v>
      </c>
      <c r="AA36" s="8">
        <f t="shared" si="16"/>
        <v>1</v>
      </c>
      <c r="AB36" s="8">
        <f t="shared" si="17"/>
        <v>1</v>
      </c>
      <c r="AC36" s="4">
        <f t="shared" si="18"/>
        <v>1.18227164909496</v>
      </c>
      <c r="AD36" s="8">
        <f t="shared" si="19"/>
        <v>1</v>
      </c>
      <c r="AE36" s="8">
        <f t="shared" si="20"/>
        <v>1.00384771595953</v>
      </c>
      <c r="AF36" s="8">
        <f t="shared" si="21"/>
        <v>1.00681900772828</v>
      </c>
      <c r="AG36" s="8">
        <f>战斗属性!$F$11+AG$9*($H$10*$H36+$I$10*$I36+$J$10*$J36+$K36*$K$10)</f>
        <v>0.0587535538079318</v>
      </c>
      <c r="AH36" s="8">
        <f>战斗属性!$F$12+AH$9*($H$10*$H36+$I$10*$I36+$J$10*$J36+$K$10*$K36)</f>
        <v>2.02438489989352</v>
      </c>
      <c r="AI36" s="8">
        <f t="shared" si="22"/>
        <v>1.02000812298956</v>
      </c>
      <c r="AJ36" s="4">
        <f t="shared" si="23"/>
        <v>1.08877265562901</v>
      </c>
      <c r="AK36" s="4">
        <f t="shared" si="24"/>
        <v>22583.780916943</v>
      </c>
      <c r="AL36" s="36">
        <f t="shared" si="25"/>
        <v>37.9728720970656</v>
      </c>
      <c r="AM36" s="36"/>
      <c r="AN36" s="4">
        <f t="shared" si="26"/>
        <v>857571.024227229</v>
      </c>
      <c r="AO36" s="4">
        <f t="array" ref="AO36">INDEX(_xlfn.ANCHORARRAY(怪物标准模型!$B$12),MATCH(AN36,怪物标准模型!$AY$12:$AY$511))</f>
        <v>54</v>
      </c>
      <c r="AP36" s="4">
        <v>54</v>
      </c>
    </row>
    <row r="37" spans="1:42">
      <c r="A37" s="4">
        <f t="array" ref="A37">_xlfn.IFNA(_xlfn.XLOOKUP(C37&amp;D37,'玩家等级对应关卡（从新手节奏复制）'!$C:$C&amp;'玩家等级对应关卡（从新手节奏复制）'!$D:$D,'玩家等级对应关卡（从新手节奏复制）'!$E:$E),A36)</f>
        <v>17</v>
      </c>
      <c r="B37" s="4">
        <v>26</v>
      </c>
      <c r="C37" s="4">
        <v>2</v>
      </c>
      <c r="D37" s="4">
        <v>11</v>
      </c>
      <c r="E37" s="4">
        <f t="shared" si="0"/>
        <v>1</v>
      </c>
      <c r="F37" s="4">
        <v>4.25</v>
      </c>
      <c r="G37" s="34">
        <f t="shared" si="1"/>
        <v>0.445160557474862</v>
      </c>
      <c r="H37" s="34">
        <f t="shared" si="2"/>
        <v>0.228609914026796</v>
      </c>
      <c r="I37" s="34">
        <f t="shared" si="3"/>
        <v>0</v>
      </c>
      <c r="J37" s="34">
        <f t="shared" si="4"/>
        <v>0</v>
      </c>
      <c r="K37" s="34">
        <f t="shared" si="5"/>
        <v>0</v>
      </c>
      <c r="L37" s="8">
        <f>E37*'参考-养成属性规划（从养成属性复制）'!$F$36+G37*'参考-养成属性规划（从养成属性复制）'!$F$37+'参考-养成属性规划（从养成属性复制）'!$F$39*H37</f>
        <v>3662.57347814097</v>
      </c>
      <c r="M37" s="8">
        <f>I37*'参考-养成属性规划（从养成属性复制）'!$F$41+J37*'参考-养成属性规划（从养成属性复制）'!$F$42+K37*'参考-养成属性规划（从养成属性复制）'!$F$43</f>
        <v>0</v>
      </c>
      <c r="N37" s="8">
        <f t="shared" si="6"/>
        <v>1.04841151120567</v>
      </c>
      <c r="O37" s="35">
        <f t="shared" si="7"/>
        <v>3839.8841951196</v>
      </c>
      <c r="P37" s="1">
        <f>O37/(O37+战斗公式!$M$27)</f>
        <v>0.137927448555721</v>
      </c>
      <c r="Q37" s="8">
        <f>E37*'参考-养成属性规划（从养成属性复制）'!$E$36+G37*'参考-养成属性规划（从养成属性复制）'!$E$37+'参考-养成属性规划（从养成属性复制）'!$E$39*H156</f>
        <v>4705.15601381901</v>
      </c>
      <c r="R37" s="8">
        <f>I37*'参考-养成属性规划（从养成属性复制）'!$E$41+J37*'参考-养成属性规划（从养成属性复制）'!$E$42+K37*'参考-养成属性规划（从养成属性复制）'!$E$43</f>
        <v>0</v>
      </c>
      <c r="S37" s="8">
        <f t="shared" si="8"/>
        <v>1.04841151120567</v>
      </c>
      <c r="T37" s="35">
        <f t="shared" si="9"/>
        <v>4932.93972690645</v>
      </c>
      <c r="U37" s="8">
        <f t="shared" si="10"/>
        <v>0.768582974208039</v>
      </c>
      <c r="V37" s="8">
        <f t="shared" si="11"/>
        <v>0.0914439656107182</v>
      </c>
      <c r="W37" s="8">
        <f t="shared" si="12"/>
        <v>0.337867726357369</v>
      </c>
      <c r="X37" s="8">
        <f t="shared" si="13"/>
        <v>1</v>
      </c>
      <c r="Y37" s="8">
        <f t="shared" si="14"/>
        <v>1</v>
      </c>
      <c r="Z37" s="8">
        <f t="shared" si="15"/>
        <v>1</v>
      </c>
      <c r="AA37" s="8">
        <f t="shared" si="16"/>
        <v>1</v>
      </c>
      <c r="AB37" s="8">
        <f t="shared" si="17"/>
        <v>1</v>
      </c>
      <c r="AC37" s="4">
        <f t="shared" si="18"/>
        <v>1.19789466617613</v>
      </c>
      <c r="AD37" s="8">
        <f t="shared" si="19"/>
        <v>1</v>
      </c>
      <c r="AE37" s="8">
        <f t="shared" si="20"/>
        <v>1.00413773600049</v>
      </c>
      <c r="AF37" s="8">
        <f t="shared" si="21"/>
        <v>1.00733298768975</v>
      </c>
      <c r="AG37" s="8">
        <f>战斗属性!$F$11+AG$9*($H$10*$H37+$I$10*$I37+$J$10*$J37+$K37*$K$10)</f>
        <v>0.0594133494011033</v>
      </c>
      <c r="AH37" s="8">
        <f>战斗属性!$F$12+AH$9*($H$10*$H37+$I$10*$I37+$J$10*$J37+$K$10*$K37)</f>
        <v>2.02622290190307</v>
      </c>
      <c r="AI37" s="8">
        <f t="shared" si="22"/>
        <v>1.02151622720252</v>
      </c>
      <c r="AJ37" s="4">
        <f t="shared" si="23"/>
        <v>1.09174692819083</v>
      </c>
      <c r="AK37" s="4">
        <f t="shared" si="24"/>
        <v>23636.2821837816</v>
      </c>
      <c r="AL37" s="36">
        <f t="shared" si="25"/>
        <v>38.1128155091502</v>
      </c>
      <c r="AM37" s="36"/>
      <c r="AN37" s="4">
        <f t="shared" si="26"/>
        <v>900845.262192681</v>
      </c>
      <c r="AO37" s="4">
        <f t="array" ref="AO37">INDEX(_xlfn.ANCHORARRAY(怪物标准模型!$B$12),MATCH(AN37,怪物标准模型!$AY$12:$AY$511))</f>
        <v>55</v>
      </c>
      <c r="AP37" s="4">
        <v>55</v>
      </c>
    </row>
    <row r="38" spans="1:42">
      <c r="A38" s="4">
        <f t="array" ref="A38">_xlfn.IFNA(_xlfn.XLOOKUP(C38&amp;D38,'玩家等级对应关卡（从新手节奏复制）'!$C:$C&amp;'玩家等级对应关卡（从新手节奏复制）'!$D:$D,'玩家等级对应关卡（从新手节奏复制）'!$E:$E),A37)</f>
        <v>17</v>
      </c>
      <c r="B38" s="4">
        <v>27</v>
      </c>
      <c r="C38" s="4">
        <v>2</v>
      </c>
      <c r="D38" s="4">
        <v>12</v>
      </c>
      <c r="E38" s="4">
        <f t="shared" si="0"/>
        <v>1</v>
      </c>
      <c r="F38" s="4">
        <v>4.3</v>
      </c>
      <c r="G38" s="34">
        <f t="shared" si="1"/>
        <v>0.456860493040785</v>
      </c>
      <c r="H38" s="34">
        <f t="shared" si="2"/>
        <v>0.244152813071652</v>
      </c>
      <c r="I38" s="34">
        <f t="shared" si="3"/>
        <v>0</v>
      </c>
      <c r="J38" s="34">
        <f t="shared" si="4"/>
        <v>0</v>
      </c>
      <c r="K38" s="34">
        <f t="shared" si="5"/>
        <v>0</v>
      </c>
      <c r="L38" s="8">
        <f>E38*'参考-养成属性规划（从养成属性复制）'!$F$36+G38*'参考-养成属性规划（从养成属性复制）'!$F$37+'参考-养成属性规划（从养成属性复制）'!$F$39*H38</f>
        <v>3754.48183666057</v>
      </c>
      <c r="M38" s="8">
        <f>I38*'参考-养成属性规划（从养成属性复制）'!$F$41+J38*'参考-养成属性规划（从养成属性复制）'!$F$42+K38*'参考-养成属性规划（从养成属性复制）'!$F$43</f>
        <v>0</v>
      </c>
      <c r="N38" s="8">
        <f t="shared" si="6"/>
        <v>1.05170294865047</v>
      </c>
      <c r="O38" s="35">
        <f t="shared" si="7"/>
        <v>3948.59961827054</v>
      </c>
      <c r="P38" s="1">
        <f>O38/(O38+战斗公式!$M$27)</f>
        <v>0.141280767988435</v>
      </c>
      <c r="Q38" s="8">
        <f>E38*'参考-养成属性规划（从养成属性复制）'!$E$36+G38*'参考-养成属性规划（从养成属性复制）'!$E$37+'参考-养成属性规划（从养成属性复制）'!$E$39*H157</f>
        <v>4789.39554989365</v>
      </c>
      <c r="R38" s="8">
        <f>I38*'参考-养成属性规划（从养成属性复制）'!$E$41+J38*'参考-养成属性规划（从养成属性复制）'!$E$42+K38*'参考-养成属性规划（从养成属性复制）'!$E$43</f>
        <v>0</v>
      </c>
      <c r="S38" s="8">
        <f t="shared" si="8"/>
        <v>1.05170294865047</v>
      </c>
      <c r="T38" s="35">
        <f t="shared" si="9"/>
        <v>5037.02142207658</v>
      </c>
      <c r="U38" s="8">
        <f t="shared" si="10"/>
        <v>0.773245843921496</v>
      </c>
      <c r="V38" s="8">
        <f t="shared" si="11"/>
        <v>0.0976611252286607</v>
      </c>
      <c r="W38" s="8">
        <f t="shared" si="12"/>
        <v>0.342142023594704</v>
      </c>
      <c r="X38" s="8">
        <f t="shared" si="13"/>
        <v>1</v>
      </c>
      <c r="Y38" s="8">
        <f t="shared" si="14"/>
        <v>1</v>
      </c>
      <c r="Z38" s="8">
        <f t="shared" si="15"/>
        <v>1</v>
      </c>
      <c r="AA38" s="8">
        <f t="shared" si="16"/>
        <v>1</v>
      </c>
      <c r="AB38" s="8">
        <f t="shared" si="17"/>
        <v>1</v>
      </c>
      <c r="AC38" s="4">
        <f t="shared" si="18"/>
        <v>1.21304899274486</v>
      </c>
      <c r="AD38" s="8">
        <f t="shared" si="19"/>
        <v>1</v>
      </c>
      <c r="AE38" s="8">
        <f t="shared" si="20"/>
        <v>1.00441905544021</v>
      </c>
      <c r="AF38" s="8">
        <f t="shared" si="21"/>
        <v>1.00783154825237</v>
      </c>
      <c r="AG38" s="8">
        <f>战斗属性!$F$11+AG$9*($H$10*$H38+$I$10*$I38+$J$10*$J38+$K38*$K$10)</f>
        <v>0.0600533511264798</v>
      </c>
      <c r="AH38" s="8">
        <f>战斗属性!$F$12+AH$9*($H$10*$H38+$I$10*$I38+$J$10*$J38+$K$10*$K38)</f>
        <v>2.02800576385234</v>
      </c>
      <c r="AI38" s="8">
        <f t="shared" si="22"/>
        <v>1.0229790882891</v>
      </c>
      <c r="AJ38" s="4">
        <f t="shared" si="23"/>
        <v>1.09463899999008</v>
      </c>
      <c r="AK38" s="4">
        <f t="shared" si="24"/>
        <v>24696.9147004359</v>
      </c>
      <c r="AL38" s="36">
        <f t="shared" si="25"/>
        <v>38.2541583553555</v>
      </c>
      <c r="AM38" s="36"/>
      <c r="AN38" s="4">
        <f t="shared" si="26"/>
        <v>944759.685839184</v>
      </c>
      <c r="AO38" s="4">
        <f t="array" ref="AO38">INDEX(_xlfn.ANCHORARRAY(怪物标准模型!$B$12),MATCH(AN38,怪物标准模型!$AY$12:$AY$511))</f>
        <v>57</v>
      </c>
      <c r="AP38" s="4">
        <v>57</v>
      </c>
    </row>
    <row r="39" spans="1:42">
      <c r="A39" s="4">
        <f t="array" ref="A39">_xlfn.IFNA(_xlfn.XLOOKUP(C39&amp;D39,'玩家等级对应关卡（从新手节奏复制）'!$C:$C&amp;'玩家等级对应关卡（从新手节奏复制）'!$D:$D,'玩家等级对应关卡（从新手节奏复制）'!$E:$E),A38)</f>
        <v>18</v>
      </c>
      <c r="B39" s="4">
        <v>28</v>
      </c>
      <c r="C39" s="4">
        <v>2</v>
      </c>
      <c r="D39" s="4">
        <v>13</v>
      </c>
      <c r="E39" s="4">
        <f t="shared" si="0"/>
        <v>1</v>
      </c>
      <c r="F39" s="4">
        <v>4.35</v>
      </c>
      <c r="G39" s="34">
        <f t="shared" si="1"/>
        <v>0.46820943053973</v>
      </c>
      <c r="H39" s="34">
        <f t="shared" si="2"/>
        <v>0.259229425145162</v>
      </c>
      <c r="I39" s="34">
        <f t="shared" si="3"/>
        <v>0</v>
      </c>
      <c r="J39" s="34">
        <f t="shared" si="4"/>
        <v>0</v>
      </c>
      <c r="K39" s="34">
        <f t="shared" si="5"/>
        <v>0</v>
      </c>
      <c r="L39" s="8">
        <f>E39*'参考-养成属性规划（从养成属性复制）'!$F$36+G39*'参考-养成属性规划（从养成属性复制）'!$F$37+'参考-养成属性规划（从养成属性复制）'!$F$39*H39</f>
        <v>3843.63294442458</v>
      </c>
      <c r="M39" s="8">
        <f>I39*'参考-养成属性规划（从养成属性复制）'!$F$41+J39*'参考-养成属性规划（从养成属性复制）'!$F$42+K39*'参考-养成属性规划（从养成属性复制）'!$F$43</f>
        <v>0</v>
      </c>
      <c r="N39" s="8">
        <f t="shared" si="6"/>
        <v>1.05489564297192</v>
      </c>
      <c r="O39" s="35">
        <f t="shared" si="7"/>
        <v>4054.63164625681</v>
      </c>
      <c r="P39" s="1">
        <f>O39/(O39+战斗公式!$M$27)</f>
        <v>0.144526283480817</v>
      </c>
      <c r="Q39" s="8">
        <f>E39*'参考-养成属性规划（从养成属性复制）'!$E$36+G39*'参考-养成属性规划（从养成属性复制）'!$E$37+'参考-养成属性规划（从养成属性复制）'!$E$39*H158</f>
        <v>4871.10789988606</v>
      </c>
      <c r="R39" s="8">
        <f>I39*'参考-养成属性规划（从养成属性复制）'!$E$41+J39*'参考-养成属性规划（从养成属性复制）'!$E$42+K39*'参考-养成属性规划（从养成属性复制）'!$E$43</f>
        <v>0</v>
      </c>
      <c r="S39" s="8">
        <f t="shared" si="8"/>
        <v>1.05489564297192</v>
      </c>
      <c r="T39" s="35">
        <f t="shared" si="9"/>
        <v>5138.51050003589</v>
      </c>
      <c r="U39" s="8">
        <f t="shared" si="10"/>
        <v>0.777768827543549</v>
      </c>
      <c r="V39" s="8">
        <f t="shared" si="11"/>
        <v>0.103691770058065</v>
      </c>
      <c r="W39" s="8">
        <f t="shared" si="12"/>
        <v>0.34628809191492</v>
      </c>
      <c r="X39" s="8">
        <f t="shared" si="13"/>
        <v>1</v>
      </c>
      <c r="Y39" s="8">
        <f t="shared" si="14"/>
        <v>1</v>
      </c>
      <c r="Z39" s="8">
        <f t="shared" si="15"/>
        <v>1</v>
      </c>
      <c r="AA39" s="8">
        <f t="shared" si="16"/>
        <v>1</v>
      </c>
      <c r="AB39" s="8">
        <f t="shared" si="17"/>
        <v>1</v>
      </c>
      <c r="AC39" s="4">
        <f t="shared" si="18"/>
        <v>1.22774868951653</v>
      </c>
      <c r="AD39" s="8">
        <f t="shared" si="19"/>
        <v>1</v>
      </c>
      <c r="AE39" s="8">
        <f t="shared" si="20"/>
        <v>1.00469193529674</v>
      </c>
      <c r="AF39" s="8">
        <f t="shared" si="21"/>
        <v>1.00831515199812</v>
      </c>
      <c r="AG39" s="8">
        <f>战斗属性!$F$11+AG$9*($H$10*$H39+$I$10*$I39+$J$10*$J39+$K39*$K$10)</f>
        <v>0.0606741528000949</v>
      </c>
      <c r="AH39" s="8">
        <f>战斗属性!$F$12+AH$9*($H$10*$H39+$I$10*$I39+$J$10*$J39+$K$10*$K39)</f>
        <v>2.02973513994312</v>
      </c>
      <c r="AI39" s="8">
        <f t="shared" si="22"/>
        <v>1.02439806354307</v>
      </c>
      <c r="AJ39" s="4">
        <f t="shared" si="23"/>
        <v>1.09745093790297</v>
      </c>
      <c r="AK39" s="4">
        <f t="shared" si="24"/>
        <v>25764.8589563556</v>
      </c>
      <c r="AL39" s="36">
        <f t="shared" si="25"/>
        <v>38.396914630023</v>
      </c>
      <c r="AM39" s="36"/>
      <c r="AN39" s="4">
        <f t="shared" si="26"/>
        <v>989291.089801769</v>
      </c>
      <c r="AO39" s="4">
        <f t="array" ref="AO39">INDEX(_xlfn.ANCHORARRAY(怪物标准模型!$B$12),MATCH(AN39,怪物标准模型!$AY$12:$AY$511))</f>
        <v>58</v>
      </c>
      <c r="AP39" s="4">
        <v>58</v>
      </c>
    </row>
    <row r="40" spans="1:42">
      <c r="A40" s="4">
        <f t="array" ref="A40">_xlfn.IFNA(_xlfn.XLOOKUP(C40&amp;D40,'玩家等级对应关卡（从新手节奏复制）'!$C:$C&amp;'玩家等级对应关卡（从新手节奏复制）'!$D:$D,'玩家等级对应关卡（从新手节奏复制）'!$E:$E),A39)</f>
        <v>18</v>
      </c>
      <c r="B40" s="4">
        <v>29</v>
      </c>
      <c r="C40" s="4">
        <v>2</v>
      </c>
      <c r="D40" s="4">
        <v>14</v>
      </c>
      <c r="E40" s="4">
        <f t="shared" si="0"/>
        <v>1</v>
      </c>
      <c r="F40" s="4">
        <v>4.4</v>
      </c>
      <c r="G40" s="34">
        <f t="shared" si="1"/>
        <v>0.479217899913707</v>
      </c>
      <c r="H40" s="34">
        <f t="shared" si="2"/>
        <v>0.273853738856468</v>
      </c>
      <c r="I40" s="34">
        <f t="shared" si="3"/>
        <v>0</v>
      </c>
      <c r="J40" s="34">
        <f t="shared" si="4"/>
        <v>0</v>
      </c>
      <c r="K40" s="34">
        <f t="shared" si="5"/>
        <v>0</v>
      </c>
      <c r="L40" s="8">
        <f>E40*'参考-养成属性规划（从养成属性复制）'!$F$36+G40*'参考-养成属性规划（从养成属性复制）'!$F$37+'参考-养成属性规划（从养成属性复制）'!$F$39*H40</f>
        <v>3930.10951895567</v>
      </c>
      <c r="M40" s="8">
        <f>I40*'参考-养成属性规划（从养成属性复制）'!$F$41+J40*'参考-养成属性规划（从养成属性复制）'!$F$42+K40*'参考-养成属性规划（从养成属性复制）'!$F$43</f>
        <v>0</v>
      </c>
      <c r="N40" s="8">
        <f t="shared" si="6"/>
        <v>1.05799255646372</v>
      </c>
      <c r="O40" s="35">
        <f t="shared" si="7"/>
        <v>4158.02661714232</v>
      </c>
      <c r="P40" s="1">
        <f>O40/(O40+战斗公式!$M$27)</f>
        <v>0.147667543385692</v>
      </c>
      <c r="Q40" s="8">
        <f>E40*'参考-养成属性规划（从养成属性复制）'!$E$36+G40*'参考-养成属性规划（从养成属性复制）'!$E$37+'参考-养成属性规划（从养成属性复制）'!$E$39*H159</f>
        <v>4950.36887937869</v>
      </c>
      <c r="R40" s="8">
        <f>I40*'参考-养成属性规划（从养成属性复制）'!$E$41+J40*'参考-养成属性规划（从养成属性复制）'!$E$42+K40*'参考-养成属性规划（从养成属性复制）'!$E$43</f>
        <v>0</v>
      </c>
      <c r="S40" s="8">
        <f t="shared" si="8"/>
        <v>1.05799255646372</v>
      </c>
      <c r="T40" s="35">
        <f t="shared" si="9"/>
        <v>5237.45342613232</v>
      </c>
      <c r="U40" s="8">
        <f t="shared" si="10"/>
        <v>0.78215612165694</v>
      </c>
      <c r="V40" s="8">
        <f t="shared" si="11"/>
        <v>0.109541495542587</v>
      </c>
      <c r="W40" s="8">
        <f t="shared" si="12"/>
        <v>0.350309778185529</v>
      </c>
      <c r="X40" s="8">
        <f t="shared" si="13"/>
        <v>1</v>
      </c>
      <c r="Y40" s="8">
        <f t="shared" si="14"/>
        <v>1</v>
      </c>
      <c r="Z40" s="8">
        <f t="shared" si="15"/>
        <v>1</v>
      </c>
      <c r="AA40" s="8">
        <f t="shared" si="16"/>
        <v>1</v>
      </c>
      <c r="AB40" s="8">
        <f t="shared" si="17"/>
        <v>1</v>
      </c>
      <c r="AC40" s="4">
        <f t="shared" si="18"/>
        <v>1.24200739538506</v>
      </c>
      <c r="AD40" s="8">
        <f t="shared" si="19"/>
        <v>1</v>
      </c>
      <c r="AE40" s="8">
        <f t="shared" si="20"/>
        <v>1.00495662875758</v>
      </c>
      <c r="AF40" s="8">
        <f t="shared" si="21"/>
        <v>1.00878424763149</v>
      </c>
      <c r="AG40" s="8">
        <f>战斗属性!$F$11+AG$9*($H$10*$H40+$I$10*$I40+$J$10*$J40+$K40*$K$10)</f>
        <v>0.0612763304235016</v>
      </c>
      <c r="AH40" s="8">
        <f>战斗属性!$F$12+AH$9*($H$10*$H40+$I$10*$I40+$J$10*$J40+$K$10*$K40)</f>
        <v>2.03141263475118</v>
      </c>
      <c r="AI40" s="8">
        <f t="shared" si="22"/>
        <v>1.02577446953943</v>
      </c>
      <c r="AJ40" s="4">
        <f t="shared" si="23"/>
        <v>1.10018476899383</v>
      </c>
      <c r="AK40" s="4">
        <f t="shared" si="24"/>
        <v>26839.3310507316</v>
      </c>
      <c r="AL40" s="36">
        <f t="shared" si="25"/>
        <v>38.5410984674371</v>
      </c>
      <c r="AM40" s="36"/>
      <c r="AN40" s="4">
        <f t="shared" si="26"/>
        <v>1034417.30082639</v>
      </c>
      <c r="AO40" s="4">
        <f t="array" ref="AO40">INDEX(_xlfn.ANCHORARRAY(怪物标准模型!$B$12),MATCH(AN40,怪物标准模型!$AY$12:$AY$511))</f>
        <v>60</v>
      </c>
      <c r="AP40" s="4">
        <v>60</v>
      </c>
    </row>
    <row r="41" spans="1:42">
      <c r="A41" s="4">
        <f t="array" ref="A41">_xlfn.IFNA(_xlfn.XLOOKUP(C41&amp;D41,'玩家等级对应关卡（从新手节奏复制）'!$C:$C&amp;'玩家等级对应关卡（从新手节奏复制）'!$D:$D,'玩家等级对应关卡（从新手节奏复制）'!$E:$E),A40)</f>
        <v>19</v>
      </c>
      <c r="B41" s="4">
        <v>30</v>
      </c>
      <c r="C41" s="4">
        <v>2</v>
      </c>
      <c r="D41" s="4">
        <v>15</v>
      </c>
      <c r="E41" s="4">
        <f t="shared" si="0"/>
        <v>1</v>
      </c>
      <c r="F41" s="4">
        <v>4.45</v>
      </c>
      <c r="G41" s="34">
        <f t="shared" si="1"/>
        <v>0.489896115206465</v>
      </c>
      <c r="H41" s="34">
        <f t="shared" si="2"/>
        <v>0.288039323156434</v>
      </c>
      <c r="I41" s="34">
        <f t="shared" si="3"/>
        <v>0</v>
      </c>
      <c r="J41" s="34">
        <f t="shared" si="4"/>
        <v>0</v>
      </c>
      <c r="K41" s="34">
        <f t="shared" si="5"/>
        <v>0</v>
      </c>
      <c r="L41" s="8">
        <f>E41*'参考-养成属性规划（从养成属性复制）'!$F$36+G41*'参考-养成属性规划（从养成属性复制）'!$F$37+'参考-养成属性规划（从养成属性复制）'!$F$39*H41</f>
        <v>4013.99179625083</v>
      </c>
      <c r="M41" s="8">
        <f>I41*'参考-养成属性规划（从养成属性复制）'!$F$41+J41*'参考-养成属性规划（从养成属性复制）'!$F$42+K41*'参考-养成属性规划（从养成属性复制）'!$F$43</f>
        <v>0</v>
      </c>
      <c r="N41" s="8">
        <f t="shared" si="6"/>
        <v>1.06099656255077</v>
      </c>
      <c r="O41" s="35">
        <f t="shared" si="7"/>
        <v>4258.83149792914</v>
      </c>
      <c r="P41" s="1">
        <f>O41/(O41+战斗公式!$M$27)</f>
        <v>0.150707983033242</v>
      </c>
      <c r="Q41" s="8">
        <f>E41*'参考-养成属性规划（从养成属性复制）'!$E$36+G41*'参考-养成属性规划（从养成属性复制）'!$E$37+'参考-养成属性规划（从养成属性复制）'!$E$39*H160</f>
        <v>5027.25202948655</v>
      </c>
      <c r="R41" s="8">
        <f>I41*'参考-养成属性规划（从养成属性复制）'!$E$41+J41*'参考-养成属性规划（从养成属性复制）'!$E$42+K41*'参考-养成属性规划（从养成属性复制）'!$E$43</f>
        <v>0</v>
      </c>
      <c r="S41" s="8">
        <f t="shared" si="8"/>
        <v>1.06099656255077</v>
      </c>
      <c r="T41" s="35">
        <f t="shared" si="9"/>
        <v>5333.89712236163</v>
      </c>
      <c r="U41" s="8">
        <f t="shared" si="10"/>
        <v>0.78641179694693</v>
      </c>
      <c r="V41" s="8">
        <f t="shared" si="11"/>
        <v>0.115215729262574</v>
      </c>
      <c r="W41" s="8">
        <f t="shared" si="12"/>
        <v>0.354210813868019</v>
      </c>
      <c r="X41" s="8">
        <f t="shared" si="13"/>
        <v>1</v>
      </c>
      <c r="Y41" s="8">
        <f t="shared" si="14"/>
        <v>1</v>
      </c>
      <c r="Z41" s="8">
        <f t="shared" si="15"/>
        <v>1</v>
      </c>
      <c r="AA41" s="8">
        <f t="shared" si="16"/>
        <v>1</v>
      </c>
      <c r="AB41" s="8">
        <f t="shared" si="17"/>
        <v>1</v>
      </c>
      <c r="AC41" s="4">
        <f t="shared" si="18"/>
        <v>1.25583834007752</v>
      </c>
      <c r="AD41" s="8">
        <f t="shared" si="19"/>
        <v>1</v>
      </c>
      <c r="AE41" s="8">
        <f t="shared" si="20"/>
        <v>1.0052133814146</v>
      </c>
      <c r="AF41" s="8">
        <f t="shared" si="21"/>
        <v>1.00923927039587</v>
      </c>
      <c r="AG41" s="8">
        <f>战斗属性!$F$11+AG$9*($H$10*$H41+$I$10*$I41+$J$10*$J41+$K41*$K$10)</f>
        <v>0.0618604427182061</v>
      </c>
      <c r="AH41" s="8">
        <f>战斗属性!$F$12+AH$9*($H$10*$H41+$I$10*$I41+$J$10*$J41+$K$10*$K41)</f>
        <v>2.033039804715</v>
      </c>
      <c r="AI41" s="8">
        <f t="shared" si="22"/>
        <v>1.0271095833559</v>
      </c>
      <c r="AJ41" s="4">
        <f t="shared" si="23"/>
        <v>1.10284248051756</v>
      </c>
      <c r="AK41" s="4">
        <f t="shared" si="24"/>
        <v>27919.5820012171</v>
      </c>
      <c r="AL41" s="36">
        <f t="shared" si="25"/>
        <v>38.6867241432253</v>
      </c>
      <c r="AM41" s="36"/>
      <c r="AN41" s="4">
        <f t="shared" si="26"/>
        <v>1080117.16707525</v>
      </c>
      <c r="AO41" s="4">
        <f t="array" ref="AO41">INDEX(_xlfn.ANCHORARRAY(怪物标准模型!$B$12),MATCH(AN41,怪物标准模型!$AY$12:$AY$511))</f>
        <v>61</v>
      </c>
      <c r="AP41" s="4">
        <v>61</v>
      </c>
    </row>
    <row r="42" spans="1:42">
      <c r="A42" s="4">
        <f t="array" ref="A42">_xlfn.IFNA(_xlfn.XLOOKUP(C42&amp;D42,'玩家等级对应关卡（从新手节奏复制）'!$C:$C&amp;'玩家等级对应关卡（从新手节奏复制）'!$D:$D,'玩家等级对应关卡（从新手节奏复制）'!$E:$E),A41)</f>
        <v>19</v>
      </c>
      <c r="B42" s="4">
        <v>31</v>
      </c>
      <c r="C42" s="4">
        <f t="shared" ref="C42:C105" si="27">C27+1</f>
        <v>3</v>
      </c>
      <c r="D42" s="4">
        <f t="shared" ref="D42:D105" si="28">D27</f>
        <v>1</v>
      </c>
      <c r="E42" s="4">
        <f t="shared" si="0"/>
        <v>1</v>
      </c>
      <c r="F42" s="4">
        <v>4.6</v>
      </c>
      <c r="G42" s="34">
        <f t="shared" si="1"/>
        <v>0.500253984040439</v>
      </c>
      <c r="H42" s="34">
        <f t="shared" si="2"/>
        <v>0.301799339927401</v>
      </c>
      <c r="I42" s="34">
        <f t="shared" si="3"/>
        <v>0</v>
      </c>
      <c r="J42" s="34">
        <f t="shared" si="4"/>
        <v>0.0167006434648036</v>
      </c>
      <c r="K42" s="34">
        <f t="shared" si="5"/>
        <v>0</v>
      </c>
      <c r="L42" s="8">
        <f>E42*'参考-养成属性规划（从养成属性复制）'!$F$36+G42*'参考-养成属性规划（从养成属性复制）'!$F$37+'参考-养成属性规划（从养成属性复制）'!$F$39*H42</f>
        <v>4095.35760522713</v>
      </c>
      <c r="M42" s="8">
        <f>I42*'参考-养成属性规划（从养成属性复制）'!$F$41+J42*'参考-养成属性规划（从养成属性复制）'!$F$42+K42*'参考-养成属性规划（从养成属性复制）'!$F$43</f>
        <v>100.203860788822</v>
      </c>
      <c r="N42" s="8">
        <f t="shared" si="6"/>
        <v>1.10458142724597</v>
      </c>
      <c r="O42" s="35">
        <f t="shared" si="7"/>
        <v>4623.85980945325</v>
      </c>
      <c r="P42" s="1">
        <f>O42/(O42+战斗公式!$M$27)</f>
        <v>0.161538654822722</v>
      </c>
      <c r="Q42" s="8">
        <f>E42*'参考-养成属性规划（从养成属性复制）'!$E$36+G42*'参考-养成属性规划（从养成属性复制）'!$E$37+'参考-养成属性规划（从养成属性复制）'!$E$39*H161</f>
        <v>5101.82868509116</v>
      </c>
      <c r="R42" s="8">
        <f>I42*'参考-养成属性规划（从养成属性复制）'!$E$41+J42*'参考-养成属性规划（从养成属性复制）'!$E$42+K42*'参考-养成属性规划（从养成属性复制）'!$E$43</f>
        <v>150.305791183233</v>
      </c>
      <c r="S42" s="8">
        <f t="shared" si="8"/>
        <v>1.10458142724597</v>
      </c>
      <c r="T42" s="35">
        <f t="shared" si="9"/>
        <v>5785.69100172567</v>
      </c>
      <c r="U42" s="8">
        <f t="shared" si="10"/>
        <v>0.79053980197822</v>
      </c>
      <c r="V42" s="8">
        <f t="shared" si="11"/>
        <v>0.12071973597096</v>
      </c>
      <c r="W42" s="8">
        <f t="shared" si="12"/>
        <v>0.357994818480035</v>
      </c>
      <c r="X42" s="8">
        <f t="shared" si="13"/>
        <v>1</v>
      </c>
      <c r="Y42" s="8">
        <f t="shared" si="14"/>
        <v>1</v>
      </c>
      <c r="Z42" s="8">
        <f t="shared" si="15"/>
        <v>1</v>
      </c>
      <c r="AA42" s="8">
        <f t="shared" si="16"/>
        <v>1</v>
      </c>
      <c r="AB42" s="8">
        <f t="shared" si="17"/>
        <v>1</v>
      </c>
      <c r="AC42" s="4">
        <f t="shared" si="18"/>
        <v>1.26925435642922</v>
      </c>
      <c r="AD42" s="8">
        <f t="shared" si="19"/>
        <v>1</v>
      </c>
      <c r="AE42" s="8">
        <f t="shared" si="20"/>
        <v>1.0089385835253</v>
      </c>
      <c r="AF42" s="8">
        <f t="shared" si="21"/>
        <v>1.01584115635872</v>
      </c>
      <c r="AG42" s="8">
        <f>战斗属性!$F$11+AG$9*($H$10*$H42+$I$10*$I42+$J$10*$J42+$K42*$K$10)</f>
        <v>0.07033527752005</v>
      </c>
      <c r="AH42" s="8">
        <f>战斗属性!$F$12+AH$9*($H$10*$H42+$I$10*$I42+$J$10*$J42+$K$10*$K42)</f>
        <v>2.05664827309157</v>
      </c>
      <c r="AI42" s="8">
        <f t="shared" si="22"/>
        <v>1.04648063433154</v>
      </c>
      <c r="AJ42" s="4">
        <f t="shared" si="23"/>
        <v>1.14206420293535</v>
      </c>
      <c r="AK42" s="4">
        <f t="shared" si="24"/>
        <v>32347.0957786721</v>
      </c>
      <c r="AL42" s="36">
        <f t="shared" si="25"/>
        <v>38.8338060757715</v>
      </c>
      <c r="AM42" s="36"/>
      <c r="AN42" s="4">
        <f t="shared" si="26"/>
        <v>1256160.84458336</v>
      </c>
      <c r="AO42" s="11">
        <f t="array" ref="AO42">INDEX(_xlfn.ANCHORARRAY(怪物标准模型!$B$12),MATCH(AN42,怪物标准模型!$AY$12:$AY$511))</f>
        <v>67</v>
      </c>
      <c r="AP42" s="4">
        <v>65</v>
      </c>
    </row>
    <row r="43" spans="1:42">
      <c r="A43" s="4">
        <f t="array" ref="A43">_xlfn.IFNA(_xlfn.XLOOKUP(C43&amp;D43,'玩家等级对应关卡（从新手节奏复制）'!$C:$C&amp;'玩家等级对应关卡（从新手节奏复制）'!$D:$D,'玩家等级对应关卡（从新手节奏复制）'!$E:$E),A42)</f>
        <v>19</v>
      </c>
      <c r="B43" s="4">
        <v>32</v>
      </c>
      <c r="C43" s="4">
        <f t="shared" si="27"/>
        <v>3</v>
      </c>
      <c r="D43" s="4">
        <f t="shared" si="28"/>
        <v>2</v>
      </c>
      <c r="E43" s="4">
        <f t="shared" si="0"/>
        <v>1</v>
      </c>
      <c r="F43" s="4">
        <v>4.65</v>
      </c>
      <c r="G43" s="34">
        <f t="shared" si="1"/>
        <v>0.510301116809395</v>
      </c>
      <c r="H43" s="34">
        <f t="shared" si="2"/>
        <v>0.315146556195239</v>
      </c>
      <c r="I43" s="34">
        <f t="shared" si="3"/>
        <v>0</v>
      </c>
      <c r="J43" s="34">
        <f t="shared" si="4"/>
        <v>0.0329002676256632</v>
      </c>
      <c r="K43" s="34">
        <f t="shared" si="5"/>
        <v>0</v>
      </c>
      <c r="L43" s="8">
        <f>E43*'参考-养成属性规划（从养成属性复制）'!$F$36+G43*'参考-养成属性规划（从养成属性复制）'!$F$37+'参考-养成属性规划（从养成属性复制）'!$F$39*H43</f>
        <v>4174.28243993415</v>
      </c>
      <c r="M43" s="8">
        <f>I43*'参考-养成属性规划（从养成属性复制）'!$F$41+J43*'参考-养成属性规划（从养成属性复制）'!$F$42+K43*'参考-养成属性规划（从养成属性复制）'!$F$43</f>
        <v>197.401605753979</v>
      </c>
      <c r="N43" s="8">
        <f t="shared" si="6"/>
        <v>1.14685874600031</v>
      </c>
      <c r="O43" s="35">
        <f t="shared" si="7"/>
        <v>4984.71393026798</v>
      </c>
      <c r="P43" s="1">
        <f>O43/(O43+战斗公式!$M$27)</f>
        <v>0.171977337511776</v>
      </c>
      <c r="Q43" s="8">
        <f>E43*'参考-养成属性规划（从养成属性复制）'!$E$36+G43*'参考-养成属性规划（从养成属性复制）'!$E$37+'参考-养成属性规划（从养成属性复制）'!$E$39*H162</f>
        <v>5174.16804102764</v>
      </c>
      <c r="R43" s="8">
        <f>I43*'参考-养成属性规划（从养成属性复制）'!$E$41+J43*'参考-养成属性规划（从养成属性复制）'!$E$42+K43*'参考-养成属性规划（从养成属性复制）'!$E$43</f>
        <v>296.102408630969</v>
      </c>
      <c r="S43" s="8">
        <f t="shared" si="8"/>
        <v>1.14685874600031</v>
      </c>
      <c r="T43" s="35">
        <f t="shared" si="9"/>
        <v>6230.14227975883</v>
      </c>
      <c r="U43" s="8">
        <f t="shared" si="10"/>
        <v>0.794543966858572</v>
      </c>
      <c r="V43" s="8">
        <f t="shared" si="11"/>
        <v>0.126058622478096</v>
      </c>
      <c r="W43" s="8">
        <f t="shared" si="12"/>
        <v>0.361665302953691</v>
      </c>
      <c r="X43" s="8">
        <f t="shared" si="13"/>
        <v>1</v>
      </c>
      <c r="Y43" s="8">
        <f t="shared" si="14"/>
        <v>1</v>
      </c>
      <c r="Z43" s="8">
        <f t="shared" si="15"/>
        <v>1</v>
      </c>
      <c r="AA43" s="8">
        <f t="shared" si="16"/>
        <v>1</v>
      </c>
      <c r="AB43" s="8">
        <f t="shared" si="17"/>
        <v>1</v>
      </c>
      <c r="AC43" s="4">
        <f t="shared" si="18"/>
        <v>1.28226789229036</v>
      </c>
      <c r="AD43" s="8">
        <f t="shared" si="19"/>
        <v>1</v>
      </c>
      <c r="AE43" s="8">
        <f t="shared" si="20"/>
        <v>1.01255202957268</v>
      </c>
      <c r="AF43" s="8">
        <f t="shared" si="21"/>
        <v>1.02224498574269</v>
      </c>
      <c r="AG43" s="8">
        <f>战斗属性!$F$11+AG$9*($H$10*$H43+$I$10*$I43+$J$10*$J43+$K43*$K$10)</f>
        <v>0.0785558672778386</v>
      </c>
      <c r="AH43" s="8">
        <f>战斗属性!$F$12+AH$9*($H$10*$H43+$I$10*$I43+$J$10*$J43+$K$10*$K43)</f>
        <v>2.07954848741684</v>
      </c>
      <c r="AI43" s="8">
        <f t="shared" si="22"/>
        <v>1.06527055377792</v>
      </c>
      <c r="AJ43" s="4">
        <f t="shared" si="23"/>
        <v>1.1813172253017</v>
      </c>
      <c r="AK43" s="4">
        <f t="shared" si="24"/>
        <v>36336.1111639453</v>
      </c>
      <c r="AL43" s="36">
        <f t="shared" si="25"/>
        <v>38.9823588276431</v>
      </c>
      <c r="AM43" s="36"/>
      <c r="AN43" s="4">
        <f t="shared" si="26"/>
        <v>1416467.32379404</v>
      </c>
      <c r="AO43" s="11">
        <f t="array" ref="AO43">INDEX(_xlfn.ANCHORARRAY(怪物标准模型!$B$12),MATCH(AN43,怪物标准模型!$AY$12:$AY$511))</f>
        <v>71</v>
      </c>
      <c r="AP43" s="4">
        <v>68</v>
      </c>
    </row>
    <row r="44" spans="1:42">
      <c r="A44" s="4">
        <f t="array" ref="A44">_xlfn.IFNA(_xlfn.XLOOKUP(C44&amp;D44,'玩家等级对应关卡（从新手节奏复制）'!$C:$C&amp;'玩家等级对应关卡（从新手节奏复制）'!$D:$D,'玩家等级对应关卡（从新手节奏复制）'!$E:$E),A43)</f>
        <v>20</v>
      </c>
      <c r="B44" s="4">
        <v>33</v>
      </c>
      <c r="C44" s="4">
        <f t="shared" si="27"/>
        <v>3</v>
      </c>
      <c r="D44" s="4">
        <f t="shared" si="28"/>
        <v>3</v>
      </c>
      <c r="E44" s="4">
        <f t="shared" si="0"/>
        <v>1</v>
      </c>
      <c r="F44" s="4">
        <v>4.7</v>
      </c>
      <c r="G44" s="34">
        <f t="shared" si="1"/>
        <v>0.520046835595282</v>
      </c>
      <c r="H44" s="34">
        <f t="shared" si="2"/>
        <v>0.328093355975042</v>
      </c>
      <c r="I44" s="34">
        <f t="shared" si="3"/>
        <v>0</v>
      </c>
      <c r="J44" s="34">
        <f t="shared" si="4"/>
        <v>0.0486139030616969</v>
      </c>
      <c r="K44" s="34">
        <f t="shared" si="5"/>
        <v>0</v>
      </c>
      <c r="L44" s="8">
        <f>E44*'参考-养成属性规划（从养成属性复制）'!$F$36+G44*'参考-养成属性规划（从养成属性复制）'!$F$37+'参考-养成属性规划（从养成属性复制）'!$F$39*H44</f>
        <v>4250.83952959995</v>
      </c>
      <c r="M44" s="8">
        <f>I44*'参考-养成属性规划（从养成属性复制）'!$F$41+J44*'参考-养成属性规划（从养成属性复制）'!$F$42+K44*'参考-养成属性规划（从养成属性复制）'!$F$43</f>
        <v>291.683418370181</v>
      </c>
      <c r="N44" s="8">
        <f t="shared" si="6"/>
        <v>1.18786774519202</v>
      </c>
      <c r="O44" s="35">
        <f t="shared" si="7"/>
        <v>5341.1185855692</v>
      </c>
      <c r="P44" s="1">
        <f>O44/(O44+战斗公式!$M$27)</f>
        <v>0.182035274830869</v>
      </c>
      <c r="Q44" s="8">
        <f>E44*'参考-养成属性规划（从养成属性复制）'!$E$36+G44*'参考-养成属性规划（从养成属性复制）'!$E$37+'参考-养成属性规划（从养成属性复制）'!$E$39*H163</f>
        <v>5244.33721628603</v>
      </c>
      <c r="R44" s="8">
        <f>I44*'参考-养成属性规划（从养成属性复制）'!$E$41+J44*'参考-养成属性规划（从养成属性复制）'!$E$42+K44*'参考-养成属性规划（从养成属性复制）'!$E$43</f>
        <v>437.525127555272</v>
      </c>
      <c r="S44" s="8">
        <f t="shared" si="8"/>
        <v>1.18786774519202</v>
      </c>
      <c r="T44" s="35">
        <f t="shared" si="9"/>
        <v>6667.10415169157</v>
      </c>
      <c r="U44" s="8">
        <f t="shared" si="10"/>
        <v>0.798428006792513</v>
      </c>
      <c r="V44" s="8">
        <f t="shared" si="11"/>
        <v>0.131237342390017</v>
      </c>
      <c r="W44" s="8">
        <f t="shared" si="12"/>
        <v>0.365225672893137</v>
      </c>
      <c r="X44" s="8">
        <f t="shared" si="13"/>
        <v>1</v>
      </c>
      <c r="Y44" s="8">
        <f t="shared" si="14"/>
        <v>1</v>
      </c>
      <c r="Z44" s="8">
        <f t="shared" si="15"/>
        <v>1</v>
      </c>
      <c r="AA44" s="8">
        <f t="shared" si="16"/>
        <v>1</v>
      </c>
      <c r="AB44" s="8">
        <f t="shared" si="17"/>
        <v>1</v>
      </c>
      <c r="AC44" s="4">
        <f t="shared" si="18"/>
        <v>1.29489102207567</v>
      </c>
      <c r="AD44" s="8">
        <f t="shared" si="19"/>
        <v>1</v>
      </c>
      <c r="AE44" s="8">
        <f t="shared" si="20"/>
        <v>1.01605707223863</v>
      </c>
      <c r="AF44" s="8">
        <f t="shared" si="21"/>
        <v>1.02845670024514</v>
      </c>
      <c r="AG44" s="8">
        <f>战斗属性!$F$11+AG$9*($H$10*$H44+$I$10*$I44+$J$10*$J44+$K44*$K$10)</f>
        <v>0.0865298393428935</v>
      </c>
      <c r="AH44" s="8">
        <f>战斗属性!$F$12+AH$9*($H$10*$H44+$I$10*$I44+$J$10*$J44+$K$10*$K44)</f>
        <v>2.10176169531235</v>
      </c>
      <c r="AI44" s="8">
        <f t="shared" si="22"/>
        <v>1.0834967756409</v>
      </c>
      <c r="AJ44" s="4">
        <f t="shared" si="23"/>
        <v>1.22056441575763</v>
      </c>
      <c r="AK44" s="4">
        <f t="shared" si="24"/>
        <v>40510.1262624062</v>
      </c>
      <c r="AL44" s="36">
        <f t="shared" si="25"/>
        <v>39.1323971070334</v>
      </c>
      <c r="AM44" s="36"/>
      <c r="AN44" s="4">
        <f t="shared" si="26"/>
        <v>1585258.34775654</v>
      </c>
      <c r="AO44" s="11">
        <f t="array" ref="AO44">INDEX(_xlfn.ANCHORARRAY(怪物标准模型!$B$12),MATCH(AN44,怪物标准模型!$AY$12:$AY$511))</f>
        <v>75</v>
      </c>
      <c r="AP44" s="4">
        <v>71</v>
      </c>
    </row>
    <row r="45" spans="1:42">
      <c r="A45" s="4">
        <f t="array" ref="A45">_xlfn.IFNA(_xlfn.XLOOKUP(C45&amp;D45,'玩家等级对应关卡（从新手节奏复制）'!$C:$C&amp;'玩家等级对应关卡（从新手节奏复制）'!$D:$D,'玩家等级对应关卡（从新手节奏复制）'!$E:$E),A44)</f>
        <v>20</v>
      </c>
      <c r="B45" s="4">
        <v>34</v>
      </c>
      <c r="C45" s="4">
        <f t="shared" si="27"/>
        <v>3</v>
      </c>
      <c r="D45" s="4">
        <f t="shared" si="28"/>
        <v>4</v>
      </c>
      <c r="E45" s="4">
        <f t="shared" si="0"/>
        <v>1</v>
      </c>
      <c r="F45" s="4">
        <v>4.75</v>
      </c>
      <c r="G45" s="34">
        <f t="shared" si="1"/>
        <v>0.529500182817592</v>
      </c>
      <c r="H45" s="34">
        <f t="shared" si="2"/>
        <v>0.340651751761451</v>
      </c>
      <c r="I45" s="34">
        <f t="shared" si="3"/>
        <v>0</v>
      </c>
      <c r="J45" s="34">
        <f t="shared" si="4"/>
        <v>0.0638561294346496</v>
      </c>
      <c r="K45" s="34">
        <f t="shared" si="5"/>
        <v>0</v>
      </c>
      <c r="L45" s="8">
        <f>E45*'参考-养成属性规划（从养成属性复制）'!$F$36+G45*'参考-养成属性规划（从养成属性复制）'!$F$37+'参考-养成属性规划（从养成属性复制）'!$F$39*H45</f>
        <v>4325.09990657578</v>
      </c>
      <c r="M45" s="8">
        <f>I45*'参考-养成属性规划（从养成属性复制）'!$F$41+J45*'参考-养成属性规划（从养成属性复制）'!$F$42+K45*'参考-养成属性规划（从养成属性复制）'!$F$43</f>
        <v>383.136776607898</v>
      </c>
      <c r="N45" s="8">
        <f t="shared" si="6"/>
        <v>1.22764647440798</v>
      </c>
      <c r="O45" s="35">
        <f t="shared" si="7"/>
        <v>5692.83042837795</v>
      </c>
      <c r="P45" s="1">
        <f>O45/(O45+战斗公式!$M$27)</f>
        <v>0.191724074338741</v>
      </c>
      <c r="Q45" s="8">
        <f>E45*'参考-养成属性规划（从养成属性复制）'!$E$36+G45*'参考-养成属性规划（从养成属性复制）'!$E$37+'参考-养成属性规划（从养成属性复制）'!$E$39*H164</f>
        <v>5312.40131628666</v>
      </c>
      <c r="R45" s="8">
        <f>I45*'参考-养成属性规划（从养成属性复制）'!$E$41+J45*'参考-养成属性规划（从养成属性复制）'!$E$42+K45*'参考-养成属性规划（从养成属性复制）'!$E$43</f>
        <v>574.705164911847</v>
      </c>
      <c r="S45" s="8">
        <f t="shared" si="8"/>
        <v>1.22764647440798</v>
      </c>
      <c r="T45" s="35">
        <f t="shared" si="9"/>
        <v>7096.4559114915</v>
      </c>
      <c r="U45" s="8">
        <f t="shared" si="10"/>
        <v>0.802195525528435</v>
      </c>
      <c r="V45" s="8">
        <f t="shared" si="11"/>
        <v>0.13626070070458</v>
      </c>
      <c r="W45" s="8">
        <f t="shared" si="12"/>
        <v>0.368679231734399</v>
      </c>
      <c r="X45" s="8">
        <f t="shared" si="13"/>
        <v>1</v>
      </c>
      <c r="Y45" s="8">
        <f t="shared" si="14"/>
        <v>1</v>
      </c>
      <c r="Z45" s="8">
        <f t="shared" si="15"/>
        <v>1</v>
      </c>
      <c r="AA45" s="8">
        <f t="shared" si="16"/>
        <v>1</v>
      </c>
      <c r="AB45" s="8">
        <f t="shared" si="17"/>
        <v>1</v>
      </c>
      <c r="AC45" s="4">
        <f t="shared" si="18"/>
        <v>1.30713545796741</v>
      </c>
      <c r="AD45" s="8">
        <f t="shared" si="19"/>
        <v>1</v>
      </c>
      <c r="AE45" s="8">
        <f t="shared" si="20"/>
        <v>1.01945696362461</v>
      </c>
      <c r="AF45" s="8">
        <f t="shared" si="21"/>
        <v>1.03448206331251</v>
      </c>
      <c r="AG45" s="8">
        <f>战斗属性!$F$11+AG$9*($H$10*$H45+$I$10*$I45+$J$10*$J45+$K45*$K$10)</f>
        <v>0.0942645922459968</v>
      </c>
      <c r="AH45" s="8">
        <f>战斗属性!$F$12+AH$9*($H$10*$H45+$I$10*$I45+$J$10*$J45+$K$10*$K45)</f>
        <v>2.12330850697099</v>
      </c>
      <c r="AI45" s="8">
        <f t="shared" si="22"/>
        <v>1.10117621084799</v>
      </c>
      <c r="AJ45" s="4">
        <f t="shared" si="23"/>
        <v>1.25976928906169</v>
      </c>
      <c r="AK45" s="4">
        <f t="shared" si="24"/>
        <v>44864.8659725076</v>
      </c>
      <c r="AL45" s="36">
        <f t="shared" si="25"/>
        <v>39.2839357692176</v>
      </c>
      <c r="AM45" s="36"/>
      <c r="AN45" s="4">
        <f t="shared" si="26"/>
        <v>1762468.51315855</v>
      </c>
      <c r="AO45" s="11">
        <f t="array" ref="AO45">INDEX(_xlfn.ANCHORARRAY(怪物标准模型!$B$12),MATCH(AN45,怪物标准模型!$AY$12:$AY$511))</f>
        <v>79</v>
      </c>
      <c r="AP45" s="4">
        <v>74</v>
      </c>
    </row>
    <row r="46" spans="1:42">
      <c r="A46" s="4">
        <f t="array" ref="A46">_xlfn.IFNA(_xlfn.XLOOKUP(C46&amp;D46,'玩家等级对应关卡（从新手节奏复制）'!$C:$C&amp;'玩家等级对应关卡（从新手节奏复制）'!$D:$D,'玩家等级对应关卡（从新手节奏复制）'!$E:$E),A45)</f>
        <v>20</v>
      </c>
      <c r="B46" s="4">
        <v>35</v>
      </c>
      <c r="C46" s="4">
        <f t="shared" si="27"/>
        <v>3</v>
      </c>
      <c r="D46" s="4">
        <f t="shared" si="28"/>
        <v>5</v>
      </c>
      <c r="E46" s="4">
        <f t="shared" si="0"/>
        <v>1</v>
      </c>
      <c r="F46" s="4">
        <v>4.8</v>
      </c>
      <c r="G46" s="34">
        <f t="shared" si="1"/>
        <v>0.538669929623233</v>
      </c>
      <c r="H46" s="34">
        <f t="shared" si="2"/>
        <v>0.352833395674268</v>
      </c>
      <c r="I46" s="34">
        <f t="shared" si="3"/>
        <v>0</v>
      </c>
      <c r="J46" s="34">
        <f t="shared" si="4"/>
        <v>0.0786410890164138</v>
      </c>
      <c r="K46" s="34">
        <f t="shared" si="5"/>
        <v>0</v>
      </c>
      <c r="L46" s="8">
        <f>E46*'参考-养成属性规划（从养成属性复制）'!$F$36+G46*'参考-养成属性规划（从养成属性复制）'!$F$37+'参考-养成属性规划（从养成属性复制）'!$F$39*H46</f>
        <v>4397.13247224233</v>
      </c>
      <c r="M46" s="8">
        <f>I46*'参考-养成属性规划（从养成属性复制）'!$F$41+J46*'参考-养成属性规划（从养成属性复制）'!$F$42+K46*'参考-养成属性规划（从养成属性复制）'!$F$43</f>
        <v>471.846534098483</v>
      </c>
      <c r="N46" s="8">
        <f t="shared" si="6"/>
        <v>1.26623184174746</v>
      </c>
      <c r="O46" s="35">
        <f t="shared" si="7"/>
        <v>6039.63568283348</v>
      </c>
      <c r="P46" s="1">
        <f>O46/(O46+战斗公式!$M$27)</f>
        <v>0.201055556951541</v>
      </c>
      <c r="Q46" s="8">
        <f>E46*'参考-养成属性规划（从养成属性复制）'!$E$36+G46*'参考-养成属性规划（从养成属性复制）'!$E$37+'参考-养成属性规划（从养成属性复制）'!$E$39*H165</f>
        <v>5378.42349328728</v>
      </c>
      <c r="R46" s="8">
        <f>I46*'参考-养成属性规划（从养成属性复制）'!$E$41+J46*'参考-养成属性规划（从养成属性复制）'!$E$42+K46*'参考-养成属性规划（从养成属性复制）'!$E$43</f>
        <v>707.769801147724</v>
      </c>
      <c r="S46" s="8">
        <f t="shared" si="8"/>
        <v>1.26623184174746</v>
      </c>
      <c r="T46" s="35">
        <f t="shared" si="9"/>
        <v>7518.1008867507</v>
      </c>
      <c r="U46" s="8">
        <f t="shared" si="10"/>
        <v>0.80585001870228</v>
      </c>
      <c r="V46" s="8">
        <f t="shared" si="11"/>
        <v>0.141133358269707</v>
      </c>
      <c r="W46" s="8">
        <f t="shared" si="12"/>
        <v>0.372029183810424</v>
      </c>
      <c r="X46" s="8">
        <f t="shared" si="13"/>
        <v>1</v>
      </c>
      <c r="Y46" s="8">
        <f t="shared" si="14"/>
        <v>1</v>
      </c>
      <c r="Z46" s="8">
        <f t="shared" si="15"/>
        <v>1</v>
      </c>
      <c r="AA46" s="8">
        <f t="shared" si="16"/>
        <v>1</v>
      </c>
      <c r="AB46" s="8">
        <f t="shared" si="17"/>
        <v>1</v>
      </c>
      <c r="AC46" s="4">
        <f t="shared" si="18"/>
        <v>1.31901256078241</v>
      </c>
      <c r="AD46" s="8">
        <f t="shared" si="19"/>
        <v>1</v>
      </c>
      <c r="AE46" s="8">
        <f t="shared" si="20"/>
        <v>1.02275485826901</v>
      </c>
      <c r="AF46" s="8">
        <f t="shared" si="21"/>
        <v>1.04032666548786</v>
      </c>
      <c r="AG46" s="8">
        <f>战斗属性!$F$11+AG$9*($H$10*$H46+$I$10*$I46+$J$10*$J46+$K46*$K$10)</f>
        <v>0.101767302562007</v>
      </c>
      <c r="AH46" s="8">
        <f>战斗属性!$F$12+AH$9*($H$10*$H46+$I$10*$I46+$J$10*$J46+$K$10*$K46)</f>
        <v>2.14420891427988</v>
      </c>
      <c r="AI46" s="8">
        <f t="shared" si="22"/>
        <v>1.11832526299887</v>
      </c>
      <c r="AJ46" s="4">
        <f t="shared" si="23"/>
        <v>1.29889618880982</v>
      </c>
      <c r="AK46" s="4">
        <f t="shared" si="24"/>
        <v>49395.7223576716</v>
      </c>
      <c r="AL46" s="36">
        <f t="shared" si="25"/>
        <v>39.4369898180237</v>
      </c>
      <c r="AM46" s="36"/>
      <c r="AN46" s="4">
        <f t="shared" si="26"/>
        <v>1948018.59967342</v>
      </c>
      <c r="AO46" s="11">
        <f t="array" ref="AO46">INDEX(_xlfn.ANCHORARRAY(怪物标准模型!$B$12),MATCH(AN46,怪物标准模型!$AY$12:$AY$511))</f>
        <v>83</v>
      </c>
      <c r="AP46" s="4">
        <v>77</v>
      </c>
    </row>
    <row r="47" spans="1:42">
      <c r="A47" s="4">
        <f t="array" ref="A47">_xlfn.IFNA(_xlfn.XLOOKUP(C47&amp;D47,'玩家等级对应关卡（从新手节奏复制）'!$C:$C&amp;'玩家等级对应关卡（从新手节奏复制）'!$D:$D,'玩家等级对应关卡（从新手节奏复制）'!$E:$E),A46)</f>
        <v>21</v>
      </c>
      <c r="B47" s="4">
        <v>36</v>
      </c>
      <c r="C47" s="4">
        <f t="shared" si="27"/>
        <v>3</v>
      </c>
      <c r="D47" s="4">
        <f t="shared" si="28"/>
        <v>6</v>
      </c>
      <c r="E47" s="4">
        <f t="shared" si="0"/>
        <v>1</v>
      </c>
      <c r="F47" s="4">
        <v>4.85</v>
      </c>
      <c r="G47" s="34">
        <f t="shared" si="1"/>
        <v>0.547564584024705</v>
      </c>
      <c r="H47" s="34">
        <f t="shared" si="2"/>
        <v>0.3646495902697</v>
      </c>
      <c r="I47" s="34">
        <f t="shared" si="3"/>
        <v>0</v>
      </c>
      <c r="J47" s="34">
        <f t="shared" si="4"/>
        <v>0.0929824998107251</v>
      </c>
      <c r="K47" s="34">
        <f t="shared" si="5"/>
        <v>0</v>
      </c>
      <c r="L47" s="8">
        <f>E47*'参考-养成属性规划（从养成属性复制）'!$F$36+G47*'参考-养成属性规划（从养成属性复制）'!$F$37+'参考-养成属性规划（从养成属性复制）'!$F$39*H47</f>
        <v>4467.00406093889</v>
      </c>
      <c r="M47" s="8">
        <f>I47*'参考-养成属性规划（从养成属性复制）'!$F$41+J47*'参考-养成属性规划（从养成属性复制）'!$F$42+K47*'参考-养成属性规划（从养成属性复制）'!$F$43</f>
        <v>557.89499886435</v>
      </c>
      <c r="N47" s="8">
        <f t="shared" si="6"/>
        <v>1.30365964806676</v>
      </c>
      <c r="O47" s="35">
        <f t="shared" si="7"/>
        <v>6381.34794086074</v>
      </c>
      <c r="P47" s="1">
        <f>O47/(O47+战斗公式!$M$27)</f>
        <v>0.210041633217935</v>
      </c>
      <c r="Q47" s="8">
        <f>E47*'参考-养成属性规划（从养成属性复制）'!$E$36+G47*'参考-养成属性规划（从养成属性复制）'!$E$37+'参考-养成属性规划（从养成属性复制）'!$E$39*H166</f>
        <v>5442.46500497787</v>
      </c>
      <c r="R47" s="8">
        <f>I47*'参考-养成属性规划（从养成属性复制）'!$E$41+J47*'参考-养成属性规划（从养成属性复制）'!$E$42+K47*'参考-养成属性规划（从养成属性复制）'!$E$43</f>
        <v>836.842498296526</v>
      </c>
      <c r="S47" s="8">
        <f t="shared" si="8"/>
        <v>1.30365964806676</v>
      </c>
      <c r="T47" s="35">
        <f t="shared" si="9"/>
        <v>7931.96451130164</v>
      </c>
      <c r="U47" s="8">
        <f t="shared" si="10"/>
        <v>0.80939487708091</v>
      </c>
      <c r="V47" s="8">
        <f t="shared" si="11"/>
        <v>0.14585983610788</v>
      </c>
      <c r="W47" s="8">
        <f t="shared" si="12"/>
        <v>0.375278637324168</v>
      </c>
      <c r="X47" s="8">
        <f t="shared" si="13"/>
        <v>1</v>
      </c>
      <c r="Y47" s="8">
        <f t="shared" si="14"/>
        <v>1</v>
      </c>
      <c r="Z47" s="8">
        <f t="shared" si="15"/>
        <v>1</v>
      </c>
      <c r="AA47" s="8">
        <f t="shared" si="16"/>
        <v>1</v>
      </c>
      <c r="AB47" s="8">
        <f t="shared" si="17"/>
        <v>1</v>
      </c>
      <c r="AC47" s="4">
        <f t="shared" si="18"/>
        <v>1.33053335051296</v>
      </c>
      <c r="AD47" s="8">
        <f t="shared" si="19"/>
        <v>1</v>
      </c>
      <c r="AE47" s="8">
        <f t="shared" si="20"/>
        <v>1.02595381607408</v>
      </c>
      <c r="AF47" s="8">
        <f t="shared" si="21"/>
        <v>1.04599592959796</v>
      </c>
      <c r="AG47" s="8">
        <f>战斗属性!$F$11+AG$9*($H$10*$H47+$I$10*$I47+$J$10*$J47+$K47*$K$10)</f>
        <v>0.109044931568537</v>
      </c>
      <c r="AH47" s="8">
        <f>战斗属性!$F$12+AH$9*($H$10*$H47+$I$10*$I47+$J$10*$J47+$K$10*$K47)</f>
        <v>2.1644823093695</v>
      </c>
      <c r="AI47" s="8">
        <f t="shared" si="22"/>
        <v>1.13495984358523</v>
      </c>
      <c r="AJ47" s="4">
        <f t="shared" si="23"/>
        <v>1.33791044322694</v>
      </c>
      <c r="AK47" s="4">
        <f t="shared" si="24"/>
        <v>54097.7886463472</v>
      </c>
      <c r="AL47" s="36">
        <f t="shared" si="25"/>
        <v>39.5915744073178</v>
      </c>
      <c r="AM47" s="36"/>
      <c r="AN47" s="4">
        <f t="shared" si="26"/>
        <v>2141816.62446321</v>
      </c>
      <c r="AO47" s="11">
        <f t="array" ref="AO47">INDEX(_xlfn.ANCHORARRAY(怪物标准模型!$B$12),MATCH(AN47,怪物标准模型!$AY$12:$AY$511))</f>
        <v>87</v>
      </c>
      <c r="AP47" s="4">
        <v>80</v>
      </c>
    </row>
    <row r="48" spans="1:42">
      <c r="A48" s="4">
        <f t="array" ref="A48">_xlfn.IFNA(_xlfn.XLOOKUP(C48&amp;D48,'玩家等级对应关卡（从新手节奏复制）'!$C:$C&amp;'玩家等级对应关卡（从新手节奏复制）'!$D:$D,'玩家等级对应关卡（从新手节奏复制）'!$E:$E),A47)</f>
        <v>21</v>
      </c>
      <c r="B48" s="4">
        <v>37</v>
      </c>
      <c r="C48" s="4">
        <f t="shared" si="27"/>
        <v>3</v>
      </c>
      <c r="D48" s="4">
        <f t="shared" si="28"/>
        <v>7</v>
      </c>
      <c r="E48" s="4">
        <f t="shared" si="0"/>
        <v>1</v>
      </c>
      <c r="F48" s="4">
        <v>4.9</v>
      </c>
      <c r="G48" s="34">
        <f t="shared" si="1"/>
        <v>0.556192398794132</v>
      </c>
      <c r="H48" s="34">
        <f t="shared" si="2"/>
        <v>0.376111299027269</v>
      </c>
      <c r="I48" s="34">
        <f t="shared" si="3"/>
        <v>0</v>
      </c>
      <c r="J48" s="34">
        <f t="shared" si="4"/>
        <v>0.106893668281207</v>
      </c>
      <c r="K48" s="34">
        <f t="shared" si="5"/>
        <v>0</v>
      </c>
      <c r="L48" s="8">
        <f>E48*'参考-养成属性规划（从养成属性复制）'!$F$36+G48*'参考-养成属性规划（从养成属性复制）'!$F$37+'参考-养成属性规划（从养成属性复制）'!$F$39*H48</f>
        <v>4534.77950197455</v>
      </c>
      <c r="M48" s="8">
        <f>I48*'参考-养成属性规划（从养成属性复制）'!$F$41+J48*'参考-养成属性规划（从养成属性复制）'!$F$42+K48*'参考-养成属性规划（从养成属性复制）'!$F$43</f>
        <v>641.362009687242</v>
      </c>
      <c r="N48" s="8">
        <f t="shared" si="6"/>
        <v>1.33996462019648</v>
      </c>
      <c r="O48" s="35">
        <f t="shared" si="7"/>
        <v>6717.80610272535</v>
      </c>
      <c r="P48" s="1">
        <f>O48/(O48+战斗公式!$M$27)</f>
        <v>0.218694202322259</v>
      </c>
      <c r="Q48" s="8">
        <f>E48*'参考-养成属性规划（从养成属性复制）'!$E$36+G48*'参考-养成属性规划（从养成属性复制）'!$E$37+'参考-养成属性规划（从养成属性复制）'!$E$39*H167</f>
        <v>5504.58527131775</v>
      </c>
      <c r="R48" s="8">
        <f>I48*'参考-养成属性规划（从养成属性复制）'!$E$41+J48*'参考-养成属性规划（从养成属性复制）'!$E$42+K48*'参考-养成属性规划（从养成属性复制）'!$E$43</f>
        <v>962.043014530863</v>
      </c>
      <c r="S48" s="8">
        <f t="shared" si="8"/>
        <v>1.33996462019648</v>
      </c>
      <c r="T48" s="35">
        <f t="shared" si="9"/>
        <v>8337.99252695128</v>
      </c>
      <c r="U48" s="8">
        <f t="shared" si="10"/>
        <v>0.812833389708181</v>
      </c>
      <c r="V48" s="8">
        <f t="shared" si="11"/>
        <v>0.150444519610908</v>
      </c>
      <c r="W48" s="8">
        <f t="shared" si="12"/>
        <v>0.378430607232499</v>
      </c>
      <c r="X48" s="8">
        <f t="shared" si="13"/>
        <v>1</v>
      </c>
      <c r="Y48" s="8">
        <f t="shared" si="14"/>
        <v>1</v>
      </c>
      <c r="Z48" s="8">
        <f t="shared" si="15"/>
        <v>1</v>
      </c>
      <c r="AA48" s="8">
        <f t="shared" si="16"/>
        <v>1</v>
      </c>
      <c r="AB48" s="8">
        <f t="shared" si="17"/>
        <v>1</v>
      </c>
      <c r="AC48" s="4">
        <f t="shared" si="18"/>
        <v>1.34170851655159</v>
      </c>
      <c r="AD48" s="8">
        <f t="shared" si="19"/>
        <v>1</v>
      </c>
      <c r="AE48" s="8">
        <f t="shared" si="20"/>
        <v>1.029056805145</v>
      </c>
      <c r="AF48" s="8">
        <f t="shared" si="21"/>
        <v>1.05149511578475</v>
      </c>
      <c r="AG48" s="8">
        <f>战斗属性!$F$11+AG$9*($H$10*$H48+$I$10*$I48+$J$10*$J48+$K48*$K$10)</f>
        <v>0.116104231704871</v>
      </c>
      <c r="AH48" s="8">
        <f>战斗属性!$F$12+AH$9*($H$10*$H48+$I$10*$I48+$J$10*$J48+$K$10*$K48)</f>
        <v>2.18414750260643</v>
      </c>
      <c r="AI48" s="8">
        <f t="shared" si="22"/>
        <v>1.15109538675399</v>
      </c>
      <c r="AJ48" s="4">
        <f t="shared" si="23"/>
        <v>1.37677849664684</v>
      </c>
      <c r="AK48" s="4">
        <f t="shared" si="24"/>
        <v>58965.8929095138</v>
      </c>
      <c r="AL48" s="36">
        <f t="shared" si="25"/>
        <v>39.7477048425048</v>
      </c>
      <c r="AM48" s="36"/>
      <c r="AN48" s="4">
        <f t="shared" si="26"/>
        <v>2343758.9071421</v>
      </c>
      <c r="AO48" s="11">
        <f t="array" ref="AO48">INDEX(_xlfn.ANCHORARRAY(怪物标准模型!$B$12),MATCH(AN48,怪物标准模型!$AY$12:$AY$511))</f>
        <v>91</v>
      </c>
      <c r="AP48" s="4">
        <v>83</v>
      </c>
    </row>
    <row r="49" spans="1:42">
      <c r="A49" s="4">
        <f t="array" ref="A49">_xlfn.IFNA(_xlfn.XLOOKUP(C49&amp;D49,'玩家等级对应关卡（从新手节奏复制）'!$C:$C&amp;'玩家等级对应关卡（从新手节奏复制）'!$D:$D,'玩家等级对应关卡（从新手节奏复制）'!$E:$E),A48)</f>
        <v>21</v>
      </c>
      <c r="B49" s="4">
        <v>38</v>
      </c>
      <c r="C49" s="4">
        <f t="shared" si="27"/>
        <v>3</v>
      </c>
      <c r="D49" s="4">
        <f t="shared" si="28"/>
        <v>8</v>
      </c>
      <c r="E49" s="4">
        <f t="shared" si="0"/>
        <v>1</v>
      </c>
      <c r="F49" s="4">
        <v>4.95</v>
      </c>
      <c r="G49" s="34">
        <f t="shared" si="1"/>
        <v>0.564561379120477</v>
      </c>
      <c r="H49" s="34">
        <f t="shared" si="2"/>
        <v>0.387229156522111</v>
      </c>
      <c r="I49" s="34">
        <f t="shared" si="3"/>
        <v>0</v>
      </c>
      <c r="J49" s="34">
        <f t="shared" si="4"/>
        <v>0.120387501697574</v>
      </c>
      <c r="K49" s="34">
        <f t="shared" si="5"/>
        <v>0</v>
      </c>
      <c r="L49" s="8">
        <f>E49*'参考-养成属性规划（从养成属性复制）'!$F$36+G49*'参考-养成属性规划（从养成属性复制）'!$F$37+'参考-养成属性规划（从养成属性复制）'!$F$39*H49</f>
        <v>4600.52167977915</v>
      </c>
      <c r="M49" s="8">
        <f>I49*'参考-养成属性规划（从养成属性复制）'!$F$41+J49*'参考-养成属性规划（从养成属性复制）'!$F$42+K49*'参考-养成属性规划（从养成属性复制）'!$F$43</f>
        <v>722.325010185446</v>
      </c>
      <c r="N49" s="8">
        <f t="shared" si="6"/>
        <v>1.3751804431623</v>
      </c>
      <c r="O49" s="35">
        <f t="shared" si="7"/>
        <v>7048.87245256192</v>
      </c>
      <c r="P49" s="1">
        <f>O49/(O49+战斗公式!$M$27)</f>
        <v>0.227025070341332</v>
      </c>
      <c r="Q49" s="8">
        <f>E49*'参考-养成属性规划（从养成属性复制）'!$E$36+G49*'参考-养成属性规划（从养成属性复制）'!$E$37+'参考-养成属性规划（从养成属性复制）'!$E$39*H168</f>
        <v>5564.84192966743</v>
      </c>
      <c r="R49" s="8">
        <f>I49*'参考-养成属性规划（从养成属性复制）'!$E$41+J49*'参考-养成属性规划（从养成属性复制）'!$E$42+K49*'参考-养成属性规划（从养成属性复制）'!$E$43</f>
        <v>1083.48751527817</v>
      </c>
      <c r="S49" s="8">
        <f t="shared" si="8"/>
        <v>1.3751804431623</v>
      </c>
      <c r="T49" s="35">
        <f t="shared" si="9"/>
        <v>8736.14930624641</v>
      </c>
      <c r="U49" s="8">
        <f t="shared" si="10"/>
        <v>0.816168746956633</v>
      </c>
      <c r="V49" s="8">
        <f t="shared" si="11"/>
        <v>0.154891662608845</v>
      </c>
      <c r="W49" s="8">
        <f t="shared" si="12"/>
        <v>0.381488018043581</v>
      </c>
      <c r="X49" s="8">
        <f t="shared" si="13"/>
        <v>1</v>
      </c>
      <c r="Y49" s="8">
        <f t="shared" si="14"/>
        <v>1</v>
      </c>
      <c r="Z49" s="8">
        <f t="shared" si="15"/>
        <v>1</v>
      </c>
      <c r="AA49" s="8">
        <f t="shared" si="16"/>
        <v>1</v>
      </c>
      <c r="AB49" s="8">
        <f t="shared" si="17"/>
        <v>1</v>
      </c>
      <c r="AC49" s="4">
        <f t="shared" si="18"/>
        <v>1.35254842760906</v>
      </c>
      <c r="AD49" s="8">
        <f t="shared" si="19"/>
        <v>1</v>
      </c>
      <c r="AE49" s="8">
        <f t="shared" si="20"/>
        <v>1.03206670454379</v>
      </c>
      <c r="AF49" s="8">
        <f t="shared" si="21"/>
        <v>1.05682932638593</v>
      </c>
      <c r="AG49" s="8">
        <f>战斗属性!$F$11+AG$9*($H$10*$H49+$I$10*$I49+$J$10*$J49+$K49*$K$10)</f>
        <v>0.122951752837115</v>
      </c>
      <c r="AH49" s="8">
        <f>战斗属性!$F$12+AH$9*($H$10*$H49+$I$10*$I49+$J$10*$J49+$K$10*$K49)</f>
        <v>2.20322274004625</v>
      </c>
      <c r="AI49" s="8">
        <f t="shared" si="22"/>
        <v>1.16674686362769</v>
      </c>
      <c r="AJ49" s="4">
        <f t="shared" si="23"/>
        <v>1.41546801872824</v>
      </c>
      <c r="AK49" s="4">
        <f t="shared" si="24"/>
        <v>63994.6311586234</v>
      </c>
      <c r="AL49" s="36">
        <f t="shared" si="25"/>
        <v>39.9053965820438</v>
      </c>
      <c r="AM49" s="36"/>
      <c r="AN49" s="4">
        <f t="shared" si="26"/>
        <v>2553731.13550649</v>
      </c>
      <c r="AO49" s="11">
        <f t="array" ref="AO49">INDEX(_xlfn.ANCHORARRAY(怪物标准模型!$B$12),MATCH(AN49,怪物标准模型!$AY$12:$AY$511))</f>
        <v>95</v>
      </c>
      <c r="AP49" s="4">
        <v>86</v>
      </c>
    </row>
    <row r="50" spans="1:42">
      <c r="A50" s="4">
        <f t="array" ref="A50">_xlfn.IFNA(_xlfn.XLOOKUP(C50&amp;D50,'玩家等级对应关卡（从新手节奏复制）'!$C:$C&amp;'玩家等级对应关卡（从新手节奏复制）'!$D:$D,'玩家等级对应关卡（从新手节奏复制）'!$E:$E),A49)</f>
        <v>22</v>
      </c>
      <c r="B50" s="4">
        <v>39</v>
      </c>
      <c r="C50" s="4">
        <f t="shared" si="27"/>
        <v>3</v>
      </c>
      <c r="D50" s="4">
        <f t="shared" si="28"/>
        <v>9</v>
      </c>
      <c r="E50" s="4">
        <f t="shared" si="0"/>
        <v>1</v>
      </c>
      <c r="F50" s="4">
        <v>5.00000000000001</v>
      </c>
      <c r="G50" s="34">
        <f t="shared" si="1"/>
        <v>0.572679290037031</v>
      </c>
      <c r="H50" s="34">
        <f t="shared" si="2"/>
        <v>0.398013478292108</v>
      </c>
      <c r="I50" s="34">
        <f t="shared" si="3"/>
        <v>0</v>
      </c>
      <c r="J50" s="34">
        <f t="shared" si="4"/>
        <v>0.133476520111451</v>
      </c>
      <c r="K50" s="34">
        <f t="shared" si="5"/>
        <v>0</v>
      </c>
      <c r="L50" s="8">
        <f>E50*'参考-养成属性规划（从养成属性复制）'!$F$36+G50*'参考-养成属性规划（从养成属性复制）'!$F$37+'参考-养成属性规划（从养成属性复制）'!$F$39*H50</f>
        <v>4664.2915922496</v>
      </c>
      <c r="M50" s="8">
        <f>I50*'参考-养成属性规划（从养成属性复制）'!$F$41+J50*'参考-养成属性规划（从养成属性复制）'!$F$42+K50*'参考-养成属性规划（从养成属性复制）'!$F$43</f>
        <v>800.859120668704</v>
      </c>
      <c r="N50" s="8">
        <f t="shared" si="6"/>
        <v>1.40933979143916</v>
      </c>
      <c r="O50" s="35">
        <f t="shared" si="7"/>
        <v>7374.43086050116</v>
      </c>
      <c r="P50" s="1">
        <f>O50/(O50+战斗公式!$M$27)</f>
        <v>0.235045884761696</v>
      </c>
      <c r="Q50" s="8">
        <f>E50*'参考-养成属性规划（从养成属性复制）'!$E$36+G50*'参考-养成属性规划（从养成属性复制）'!$E$37+'参考-养成属性规划（从养成属性复制）'!$E$39*H169</f>
        <v>5623.29088826663</v>
      </c>
      <c r="R50" s="8">
        <f>I50*'参考-养成属性规划（从养成属性复制）'!$E$41+J50*'参考-养成属性规划（从养成属性复制）'!$E$42+K50*'参考-养成属性规划（从养成属性复制）'!$E$43</f>
        <v>1201.28868100306</v>
      </c>
      <c r="S50" s="8">
        <f t="shared" si="8"/>
        <v>1.40933979143916</v>
      </c>
      <c r="T50" s="35">
        <f t="shared" si="9"/>
        <v>9126.41628867445</v>
      </c>
      <c r="U50" s="8">
        <f t="shared" si="10"/>
        <v>0.819404043487632</v>
      </c>
      <c r="V50" s="8">
        <f t="shared" si="11"/>
        <v>0.159205391316843</v>
      </c>
      <c r="W50" s="8">
        <f t="shared" si="12"/>
        <v>0.38445370653033</v>
      </c>
      <c r="X50" s="8">
        <f t="shared" si="13"/>
        <v>1</v>
      </c>
      <c r="Y50" s="8">
        <f t="shared" si="14"/>
        <v>1</v>
      </c>
      <c r="Z50" s="8">
        <f t="shared" si="15"/>
        <v>1</v>
      </c>
      <c r="AA50" s="8">
        <f t="shared" si="16"/>
        <v>1</v>
      </c>
      <c r="AB50" s="8">
        <f t="shared" si="17"/>
        <v>1</v>
      </c>
      <c r="AC50" s="4">
        <f t="shared" si="18"/>
        <v>1.36306314133481</v>
      </c>
      <c r="AD50" s="8">
        <f t="shared" si="19"/>
        <v>1</v>
      </c>
      <c r="AE50" s="8">
        <f t="shared" si="20"/>
        <v>1.03498630696061</v>
      </c>
      <c r="AF50" s="8">
        <f t="shared" si="21"/>
        <v>1.06200351066908</v>
      </c>
      <c r="AG50" s="8">
        <f>战斗属性!$F$11+AG$9*($H$10*$H50+$I$10*$I50+$J$10*$J50+$K50*$K$10)</f>
        <v>0.129593848335391</v>
      </c>
      <c r="AH50" s="8">
        <f>战斗属性!$F$12+AH$9*($H$10*$H50+$I$10*$I50+$J$10*$J50+$K$10*$K50)</f>
        <v>2.22172572036288</v>
      </c>
      <c r="AI50" s="8">
        <f t="shared" si="22"/>
        <v>1.18192879619518</v>
      </c>
      <c r="AJ50" s="4">
        <f t="shared" si="23"/>
        <v>1.45394799337371</v>
      </c>
      <c r="AK50" s="4">
        <f t="shared" si="24"/>
        <v>69178.3996388961</v>
      </c>
      <c r="AL50" s="36">
        <f t="shared" si="25"/>
        <v>40.0646652389781</v>
      </c>
      <c r="AM50" s="36"/>
      <c r="AN50" s="4">
        <f t="shared" si="26"/>
        <v>2771609.42330061</v>
      </c>
      <c r="AO50" s="11">
        <f t="array" ref="AO50">INDEX(_xlfn.ANCHORARRAY(怪物标准模型!$B$12),MATCH(AN50,怪物标准模型!$AY$12:$AY$511))</f>
        <v>99</v>
      </c>
      <c r="AP50" s="4">
        <v>88</v>
      </c>
    </row>
    <row r="51" spans="1:42">
      <c r="A51" s="4">
        <f t="array" ref="A51">_xlfn.IFNA(_xlfn.XLOOKUP(C51&amp;D51,'玩家等级对应关卡（从新手节奏复制）'!$C:$C&amp;'玩家等级对应关卡（从新手节奏复制）'!$D:$D,'玩家等级对应关卡（从新手节奏复制）'!$E:$E),A50)</f>
        <v>22</v>
      </c>
      <c r="B51" s="4">
        <v>40</v>
      </c>
      <c r="C51" s="4">
        <f t="shared" si="27"/>
        <v>3</v>
      </c>
      <c r="D51" s="4">
        <f t="shared" si="28"/>
        <v>10</v>
      </c>
      <c r="E51" s="4">
        <f t="shared" si="0"/>
        <v>1</v>
      </c>
      <c r="F51" s="4">
        <v>5</v>
      </c>
      <c r="G51" s="34">
        <f t="shared" si="1"/>
        <v>0.580553663626089</v>
      </c>
      <c r="H51" s="34">
        <f t="shared" si="2"/>
        <v>0.408474270409005</v>
      </c>
      <c r="I51" s="34">
        <f t="shared" si="3"/>
        <v>0</v>
      </c>
      <c r="J51" s="34">
        <f t="shared" si="4"/>
        <v>0.146172867972911</v>
      </c>
      <c r="K51" s="34">
        <f t="shared" si="5"/>
        <v>0</v>
      </c>
      <c r="L51" s="8">
        <f>E51*'参考-养成属性规划（从养成属性复制）'!$F$36+G51*'参考-养成属性规划（从养成属性复制）'!$F$37+'参考-养成属性规划（从养成属性复制）'!$F$39*H51</f>
        <v>4726.14840734594</v>
      </c>
      <c r="M51" s="8">
        <f>I51*'参考-养成属性规划（从养成属性复制）'!$F$41+J51*'参考-养成属性规划（从养成属性复制）'!$F$42+K51*'参考-养成属性规划（从养成属性复制）'!$F$43</f>
        <v>877.037207837465</v>
      </c>
      <c r="N51" s="8">
        <f t="shared" si="6"/>
        <v>1.4424743592677</v>
      </c>
      <c r="O51" s="35">
        <f t="shared" si="7"/>
        <v>7694.38510352787</v>
      </c>
      <c r="P51" s="1">
        <f>O51/(O51+战斗公式!$M$27)</f>
        <v>0.242768082687031</v>
      </c>
      <c r="Q51" s="8">
        <f>E51*'参考-养成属性规划（从养成属性复制）'!$E$36+G51*'参考-养成属性规划（从养成属性复制）'!$E$37+'参考-养成属性规划（从养成属性复制）'!$E$39*H170</f>
        <v>5679.98637810784</v>
      </c>
      <c r="R51" s="8">
        <f>I51*'参考-养成属性规划（从养成属性复制）'!$E$41+J51*'参考-养成属性规划（从养成属性复制）'!$E$42+K51*'参考-养成属性规划（从养成属性复制）'!$E$43</f>
        <v>1315.5558117562</v>
      </c>
      <c r="S51" s="8">
        <f t="shared" si="8"/>
        <v>1.4424743592677</v>
      </c>
      <c r="T51" s="35">
        <f t="shared" si="9"/>
        <v>9508.79052316658</v>
      </c>
      <c r="U51" s="8">
        <f t="shared" si="10"/>
        <v>0.822542281122702</v>
      </c>
      <c r="V51" s="8">
        <f t="shared" si="11"/>
        <v>0.163389708163602</v>
      </c>
      <c r="W51" s="8">
        <f t="shared" si="12"/>
        <v>0.387330424362476</v>
      </c>
      <c r="X51" s="8">
        <f t="shared" si="13"/>
        <v>1</v>
      </c>
      <c r="Y51" s="8">
        <f t="shared" si="14"/>
        <v>1</v>
      </c>
      <c r="Z51" s="8">
        <f t="shared" si="15"/>
        <v>1</v>
      </c>
      <c r="AA51" s="8">
        <f t="shared" si="16"/>
        <v>1</v>
      </c>
      <c r="AB51" s="8">
        <f t="shared" si="17"/>
        <v>1</v>
      </c>
      <c r="AC51" s="4">
        <f t="shared" si="18"/>
        <v>1.37326241364878</v>
      </c>
      <c r="AD51" s="8">
        <f t="shared" si="19"/>
        <v>1</v>
      </c>
      <c r="AE51" s="8">
        <f t="shared" si="20"/>
        <v>1.03781832130493</v>
      </c>
      <c r="AF51" s="8">
        <f t="shared" si="21"/>
        <v>1.06702246942374</v>
      </c>
      <c r="AG51" s="8">
        <f>战斗属性!$F$11+AG$9*($H$10*$H51+$I$10*$I51+$J$10*$J51+$K51*$K$10)</f>
        <v>0.13603668096872</v>
      </c>
      <c r="AH51" s="8">
        <f>战斗属性!$F$12+AH$9*($H$10*$H51+$I$10*$I51+$J$10*$J51+$K$10*$K51)</f>
        <v>2.23967361127</v>
      </c>
      <c r="AI51" s="8">
        <f t="shared" si="22"/>
        <v>1.19665527078565</v>
      </c>
      <c r="AJ51" s="4">
        <f t="shared" si="23"/>
        <v>1.49218878922672</v>
      </c>
      <c r="AK51" s="4">
        <f t="shared" si="24"/>
        <v>73773.6892324548</v>
      </c>
      <c r="AL51" s="36">
        <f t="shared" si="25"/>
        <v>40.2255265824818</v>
      </c>
      <c r="AM51" s="36"/>
      <c r="AN51" s="4">
        <f t="shared" si="26"/>
        <v>2967585.49730786</v>
      </c>
      <c r="AO51" s="11">
        <f t="array" ref="AO51">INDEX(_xlfn.ANCHORARRAY(怪物标准模型!$B$12),MATCH(AN51,怪物标准模型!$AY$12:$AY$511))</f>
        <v>102</v>
      </c>
      <c r="AP51" s="4">
        <v>91</v>
      </c>
    </row>
    <row r="52" spans="1:42">
      <c r="A52" s="4">
        <f t="array" ref="A52">_xlfn.IFNA(_xlfn.XLOOKUP(C52&amp;D52,'玩家等级对应关卡（从新手节奏复制）'!$C:$C&amp;'玩家等级对应关卡（从新手节奏复制）'!$D:$D,'玩家等级对应关卡（从新手节奏复制）'!$E:$E),A51)</f>
        <v>22</v>
      </c>
      <c r="B52" s="4">
        <v>41</v>
      </c>
      <c r="C52" s="4">
        <f t="shared" si="27"/>
        <v>3</v>
      </c>
      <c r="D52" s="4">
        <f t="shared" si="28"/>
        <v>11</v>
      </c>
      <c r="E52" s="4">
        <f t="shared" si="0"/>
        <v>1</v>
      </c>
      <c r="F52" s="4">
        <v>5</v>
      </c>
      <c r="G52" s="34">
        <f t="shared" si="1"/>
        <v>0.588191806007475</v>
      </c>
      <c r="H52" s="34">
        <f t="shared" si="2"/>
        <v>0.418621238762395</v>
      </c>
      <c r="I52" s="34">
        <f t="shared" si="3"/>
        <v>0.0208838548164364</v>
      </c>
      <c r="J52" s="34">
        <f t="shared" si="4"/>
        <v>0.158488325398527</v>
      </c>
      <c r="K52" s="34">
        <f t="shared" si="5"/>
        <v>0</v>
      </c>
      <c r="L52" s="8">
        <f>E52*'参考-养成属性规划（从养成属性复制）'!$F$36+G52*'参考-养成属性规划（从养成属性复制）'!$F$37+'参考-养成属性规划（从养成属性复制）'!$F$39*H52</f>
        <v>4786.14951798939</v>
      </c>
      <c r="M52" s="8">
        <f>I52*'参考-养成属性规划（从养成属性复制）'!$F$41+J52*'参考-养成属性规划（从养成属性复制）'!$F$42+K52*'参考-养成属性规划（从养成属性复制）'!$F$43</f>
        <v>1034.46537165691</v>
      </c>
      <c r="N52" s="8">
        <f t="shared" si="6"/>
        <v>1.47682612174784</v>
      </c>
      <c r="O52" s="35">
        <f t="shared" si="7"/>
        <v>8102.77600241446</v>
      </c>
      <c r="P52" s="1">
        <f>O52/(O52+战斗公式!$M$27)</f>
        <v>0.252401100820846</v>
      </c>
      <c r="Q52" s="8">
        <f>E52*'参考-养成属性规划（从养成属性复制）'!$E$36+G52*'参考-养成属性规划（从养成属性复制）'!$E$37+'参考-养成属性规划（从养成属性复制）'!$E$39*H171</f>
        <v>5734.98100325382</v>
      </c>
      <c r="R52" s="8">
        <f>I52*'参考-养成属性规划（从养成属性复制）'!$E$41+J52*'参考-养成属性规划（从养成属性复制）'!$E$42+K52*'参考-养成属性规划（从养成属性复制）'!$E$43</f>
        <v>1551.69805748536</v>
      </c>
      <c r="S52" s="8">
        <f t="shared" si="8"/>
        <v>1.47682612174784</v>
      </c>
      <c r="T52" s="35">
        <f t="shared" si="9"/>
        <v>10021.2678108182</v>
      </c>
      <c r="U52" s="8">
        <f t="shared" si="10"/>
        <v>0.825586371628719</v>
      </c>
      <c r="V52" s="8">
        <f t="shared" si="11"/>
        <v>0.167448495504958</v>
      </c>
      <c r="W52" s="8">
        <f t="shared" si="12"/>
        <v>0.390120840659659</v>
      </c>
      <c r="X52" s="8">
        <f t="shared" si="13"/>
        <v>1</v>
      </c>
      <c r="Y52" s="8">
        <f t="shared" si="14"/>
        <v>1</v>
      </c>
      <c r="Z52" s="8">
        <f t="shared" si="15"/>
        <v>1</v>
      </c>
      <c r="AA52" s="8">
        <f t="shared" si="16"/>
        <v>1</v>
      </c>
      <c r="AB52" s="8">
        <f t="shared" si="17"/>
        <v>1</v>
      </c>
      <c r="AC52" s="4">
        <f t="shared" si="18"/>
        <v>1.38315570779334</v>
      </c>
      <c r="AD52" s="8">
        <f t="shared" si="19"/>
        <v>1</v>
      </c>
      <c r="AE52" s="8">
        <f t="shared" si="20"/>
        <v>1.04075436938016</v>
      </c>
      <c r="AF52" s="8">
        <f t="shared" si="21"/>
        <v>1.07222579906817</v>
      </c>
      <c r="AG52" s="8">
        <f>战斗属性!$F$11+AG$9*($H$10*$H52+$I$10*$I52+$J$10*$J52+$K52*$K$10)</f>
        <v>0.142716190339857</v>
      </c>
      <c r="AH52" s="8">
        <f>战斗属性!$F$12+AH$9*($H$10*$H52+$I$10*$I52+$J$10*$J52+$K$10*$K52)</f>
        <v>2.25828081594675</v>
      </c>
      <c r="AI52" s="8">
        <f t="shared" si="22"/>
        <v>1.21192272077682</v>
      </c>
      <c r="AJ52" s="4">
        <f t="shared" si="23"/>
        <v>1.53280706142934</v>
      </c>
      <c r="AK52" s="4">
        <f t="shared" si="24"/>
        <v>79418.1729612201</v>
      </c>
      <c r="AL52" s="36">
        <f t="shared" si="25"/>
        <v>40.3879965394205</v>
      </c>
      <c r="AM52" s="36"/>
      <c r="AN52" s="4">
        <f t="shared" si="26"/>
        <v>3207540.89472486</v>
      </c>
      <c r="AO52" s="11">
        <f t="array" ref="AO52">INDEX(_xlfn.ANCHORARRAY(怪物标准模型!$B$12),MATCH(AN52,怪物标准模型!$AY$12:$AY$511))</f>
        <v>106</v>
      </c>
      <c r="AP52" s="4">
        <v>93</v>
      </c>
    </row>
    <row r="53" spans="1:42">
      <c r="A53" s="4">
        <f t="array" ref="A53">_xlfn.IFNA(_xlfn.XLOOKUP(C53&amp;D53,'玩家等级对应关卡（从新手节奏复制）'!$C:$C&amp;'玩家等级对应关卡（从新手节奏复制）'!$D:$D,'玩家等级对应关卡（从新手节奏复制）'!$E:$E),A52)</f>
        <v>23</v>
      </c>
      <c r="B53" s="4">
        <v>42</v>
      </c>
      <c r="C53" s="4">
        <f t="shared" si="27"/>
        <v>3</v>
      </c>
      <c r="D53" s="4">
        <f t="shared" si="28"/>
        <v>12</v>
      </c>
      <c r="E53" s="4">
        <f t="shared" si="0"/>
        <v>1</v>
      </c>
      <c r="F53" s="4">
        <v>5</v>
      </c>
      <c r="G53" s="34">
        <f t="shared" si="1"/>
        <v>0.59560080411742</v>
      </c>
      <c r="H53" s="34">
        <f t="shared" si="2"/>
        <v>0.428463798065184</v>
      </c>
      <c r="I53" s="34">
        <f t="shared" si="3"/>
        <v>0.0411411939883796</v>
      </c>
      <c r="J53" s="34">
        <f t="shared" si="4"/>
        <v>0.170434319101375</v>
      </c>
      <c r="K53" s="34">
        <f t="shared" si="5"/>
        <v>0</v>
      </c>
      <c r="L53" s="8">
        <f>E53*'参考-养成属性规划（从养成属性复制）'!$F$36+G53*'参考-养成属性规划（从养成属性复制）'!$F$37+'参考-养成属性规划（从养成属性复制）'!$F$39*H53</f>
        <v>4844.35059531354</v>
      </c>
      <c r="M53" s="8">
        <f>I53*'参考-养成属性规划（从养成属性复制）'!$F$41+J53*'参考-养成属性规划（从养成属性复制）'!$F$42+K53*'参考-养成属性规划（从养成属性复制）'!$F$43</f>
        <v>1187.17069056177</v>
      </c>
      <c r="N53" s="8">
        <f t="shared" si="6"/>
        <v>1.51014733135357</v>
      </c>
      <c r="O53" s="35">
        <f t="shared" si="7"/>
        <v>8502.85381421558</v>
      </c>
      <c r="P53" s="1">
        <f>O53/(O53+战斗公式!$M$27)</f>
        <v>0.261603299907676</v>
      </c>
      <c r="Q53" s="8">
        <f>E53*'参考-养成属性规划（从养成属性复制）'!$E$36+G53*'参考-养成属性规划（从养成属性复制）'!$E$37+'参考-养成属性规划（从养成属性复制）'!$E$39*H172</f>
        <v>5788.32578964542</v>
      </c>
      <c r="R53" s="8">
        <f>I53*'参考-养成属性规划（从养成属性复制）'!$E$41+J53*'参考-养成属性规划（从养成属性复制）'!$E$42+K53*'参考-养成属性规划（从养成属性复制）'!$E$43</f>
        <v>1780.75603584265</v>
      </c>
      <c r="S53" s="8">
        <f t="shared" si="8"/>
        <v>1.51014733135357</v>
      </c>
      <c r="T53" s="35">
        <f t="shared" si="9"/>
        <v>10521.9807800807</v>
      </c>
      <c r="U53" s="8">
        <f t="shared" si="10"/>
        <v>0.828539139419555</v>
      </c>
      <c r="V53" s="8">
        <f t="shared" si="11"/>
        <v>0.171385519226073</v>
      </c>
      <c r="W53" s="8">
        <f t="shared" si="12"/>
        <v>0.392827544467926</v>
      </c>
      <c r="X53" s="8">
        <f t="shared" si="13"/>
        <v>1</v>
      </c>
      <c r="Y53" s="8">
        <f t="shared" si="14"/>
        <v>1</v>
      </c>
      <c r="Z53" s="8">
        <f t="shared" si="15"/>
        <v>1</v>
      </c>
      <c r="AA53" s="8">
        <f t="shared" si="16"/>
        <v>1</v>
      </c>
      <c r="AB53" s="8">
        <f t="shared" si="17"/>
        <v>1</v>
      </c>
      <c r="AC53" s="4">
        <f t="shared" si="18"/>
        <v>1.39275220311355</v>
      </c>
      <c r="AD53" s="8">
        <f t="shared" si="19"/>
        <v>1</v>
      </c>
      <c r="AE53" s="8">
        <f t="shared" si="20"/>
        <v>1.04360233601313</v>
      </c>
      <c r="AF53" s="8">
        <f t="shared" si="21"/>
        <v>1.07727302882326</v>
      </c>
      <c r="AG53" s="8">
        <f>战斗属性!$F$11+AG$9*($H$10*$H53+$I$10*$I53+$J$10*$J53+$K53*$K$10)</f>
        <v>0.149195314429861</v>
      </c>
      <c r="AH53" s="8">
        <f>战斗属性!$F$12+AH$9*($H$10*$H53+$I$10*$I53+$J$10*$J53+$K$10*$K53)</f>
        <v>2.27632980448318</v>
      </c>
      <c r="AI53" s="8">
        <f t="shared" si="22"/>
        <v>1.22673214726825</v>
      </c>
      <c r="AJ53" s="4">
        <f t="shared" si="23"/>
        <v>1.57317353982039</v>
      </c>
      <c r="AK53" s="4">
        <f t="shared" si="24"/>
        <v>85115.3213005461</v>
      </c>
      <c r="AL53" s="36">
        <f t="shared" si="25"/>
        <v>40.5520911959285</v>
      </c>
      <c r="AM53" s="36"/>
      <c r="AN53" s="4">
        <f t="shared" si="26"/>
        <v>3451604.2715505</v>
      </c>
      <c r="AO53" s="11">
        <f t="array" ref="AO53">INDEX(_xlfn.ANCHORARRAY(怪物标准模型!$B$12),MATCH(AN53,怪物标准模型!$AY$12:$AY$511))</f>
        <v>110</v>
      </c>
      <c r="AP53" s="4">
        <v>95</v>
      </c>
    </row>
    <row r="54" spans="1:42">
      <c r="A54" s="4">
        <f t="array" ref="A54">_xlfn.IFNA(_xlfn.XLOOKUP(C54&amp;D54,'玩家等级对应关卡（从新手节奏复制）'!$C:$C&amp;'玩家等级对应关卡（从新手节奏复制）'!$D:$D,'玩家等级对应关卡（从新手节奏复制）'!$E:$E),A53)</f>
        <v>23</v>
      </c>
      <c r="B54" s="4">
        <v>43</v>
      </c>
      <c r="C54" s="4">
        <f t="shared" si="27"/>
        <v>3</v>
      </c>
      <c r="D54" s="4">
        <f t="shared" si="28"/>
        <v>13</v>
      </c>
      <c r="E54" s="4">
        <f t="shared" si="0"/>
        <v>1</v>
      </c>
      <c r="F54" s="4">
        <v>5</v>
      </c>
      <c r="G54" s="34">
        <f t="shared" si="1"/>
        <v>0.602787532284066</v>
      </c>
      <c r="H54" s="34">
        <f t="shared" si="2"/>
        <v>0.438011080588888</v>
      </c>
      <c r="I54" s="34">
        <f t="shared" si="3"/>
        <v>0.0607908129851646</v>
      </c>
      <c r="J54" s="34">
        <f t="shared" si="4"/>
        <v>0.182021932993137</v>
      </c>
      <c r="K54" s="34">
        <f t="shared" si="5"/>
        <v>0</v>
      </c>
      <c r="L54" s="8">
        <f>E54*'参考-养成属性规划（从养成属性复制）'!$F$36+G54*'参考-养成属性规划（从养成属性复制）'!$F$37+'参考-养成属性规划（从养成属性复制）'!$F$39*H54</f>
        <v>4900.80564031796</v>
      </c>
      <c r="M54" s="8">
        <f>I54*'参考-养成属性规划（从养成属性复制）'!$F$41+J54*'参考-养成属性规划（从养成属性复制）'!$F$42+K54*'参考-养成属性规划（从养成属性复制）'!$F$43</f>
        <v>1335.29484989948</v>
      </c>
      <c r="N54" s="8">
        <f t="shared" si="6"/>
        <v>1.54246890467113</v>
      </c>
      <c r="O54" s="35">
        <f t="shared" si="7"/>
        <v>8894.63515792681</v>
      </c>
      <c r="P54" s="1">
        <f>O54/(O54+战斗公式!$M$27)</f>
        <v>0.27039774465422</v>
      </c>
      <c r="Q54" s="8">
        <f>E54*'参考-养成属性规划（从养成属性复制）'!$E$36+G54*'参考-养成属性规划（从养成属性复制）'!$E$37+'参考-养成属性规划（从养成属性复制）'!$E$39*H173</f>
        <v>5840.07023244527</v>
      </c>
      <c r="R54" s="8">
        <f>I54*'参考-养成属性规划（从养成属性复制）'!$E$41+J54*'参考-养成属性规划（从养成属性复制）'!$E$42+K54*'参考-养成属性规划（从养成属性复制）'!$E$43</f>
        <v>2002.94227484922</v>
      </c>
      <c r="S54" s="8">
        <f t="shared" si="8"/>
        <v>1.54246890467113</v>
      </c>
      <c r="T54" s="35">
        <f t="shared" si="9"/>
        <v>11011.0690094915</v>
      </c>
      <c r="U54" s="8">
        <f t="shared" si="10"/>
        <v>0.831403324176666</v>
      </c>
      <c r="V54" s="8">
        <f t="shared" si="11"/>
        <v>0.175204432235555</v>
      </c>
      <c r="W54" s="8">
        <f t="shared" si="12"/>
        <v>0.395453047161944</v>
      </c>
      <c r="X54" s="8">
        <f t="shared" si="13"/>
        <v>1</v>
      </c>
      <c r="Y54" s="8">
        <f t="shared" si="14"/>
        <v>1</v>
      </c>
      <c r="Z54" s="8">
        <f t="shared" si="15"/>
        <v>1</v>
      </c>
      <c r="AA54" s="8">
        <f t="shared" si="16"/>
        <v>1</v>
      </c>
      <c r="AB54" s="8">
        <f t="shared" si="17"/>
        <v>1</v>
      </c>
      <c r="AC54" s="4">
        <f t="shared" si="18"/>
        <v>1.40206080357417</v>
      </c>
      <c r="AD54" s="8">
        <f t="shared" si="19"/>
        <v>1</v>
      </c>
      <c r="AE54" s="8">
        <f t="shared" si="20"/>
        <v>1.0463648636471</v>
      </c>
      <c r="AF54" s="8">
        <f t="shared" si="21"/>
        <v>1.0821688416857</v>
      </c>
      <c r="AG54" s="8">
        <f>战斗属性!$F$11+AG$9*($H$10*$H54+$I$10*$I54+$J$10*$J54+$K54*$K$10)</f>
        <v>0.155480064797164</v>
      </c>
      <c r="AH54" s="8">
        <f>战斗属性!$F$12+AH$9*($H$10*$H54+$I$10*$I54+$J$10*$J54+$K$10*$K54)</f>
        <v>2.29383732336353</v>
      </c>
      <c r="AI54" s="8">
        <f t="shared" si="22"/>
        <v>1.24109729096495</v>
      </c>
      <c r="AJ54" s="4">
        <f t="shared" si="23"/>
        <v>1.61325808920523</v>
      </c>
      <c r="AK54" s="4">
        <f t="shared" si="24"/>
        <v>90856.5739529777</v>
      </c>
      <c r="AL54" s="36">
        <f t="shared" si="25"/>
        <v>40.7178267990017</v>
      </c>
      <c r="AM54" s="36"/>
      <c r="AN54" s="4">
        <f t="shared" si="26"/>
        <v>3699482.24176804</v>
      </c>
      <c r="AO54" s="11">
        <f t="array" ref="AO54">INDEX(_xlfn.ANCHORARRAY(怪物标准模型!$B$12),MATCH(AN54,怪物标准模型!$AY$12:$AY$511))</f>
        <v>113</v>
      </c>
      <c r="AP54" s="4">
        <v>97</v>
      </c>
    </row>
    <row r="55" spans="1:42">
      <c r="A55" s="4">
        <f t="array" ref="A55">_xlfn.IFNA(_xlfn.XLOOKUP(C55&amp;D55,'玩家等级对应关卡（从新手节奏复制）'!$C:$C&amp;'玩家等级对应关卡（从新手节奏复制）'!$D:$D,'玩家等级对应关卡（从新手节奏复制）'!$E:$E),A54)</f>
        <v>23</v>
      </c>
      <c r="B55" s="4">
        <v>44</v>
      </c>
      <c r="C55" s="4">
        <f t="shared" si="27"/>
        <v>3</v>
      </c>
      <c r="D55" s="4">
        <f t="shared" si="28"/>
        <v>14</v>
      </c>
      <c r="E55" s="4">
        <f t="shared" si="0"/>
        <v>1</v>
      </c>
      <c r="F55" s="4">
        <v>5</v>
      </c>
      <c r="G55" s="34">
        <f t="shared" si="1"/>
        <v>0.609758658605712</v>
      </c>
      <c r="H55" s="34">
        <f t="shared" si="2"/>
        <v>0.447271944636882</v>
      </c>
      <c r="I55" s="34">
        <f t="shared" si="3"/>
        <v>0.079850943412046</v>
      </c>
      <c r="J55" s="34">
        <f t="shared" si="4"/>
        <v>0.193261918468147</v>
      </c>
      <c r="K55" s="34">
        <f t="shared" si="5"/>
        <v>0</v>
      </c>
      <c r="L55" s="8">
        <f>E55*'参考-养成属性规划（从养成属性复制）'!$F$36+G55*'参考-养成属性规划（从养成属性复制）'!$F$37+'参考-养成属性规划（从养成属性复制）'!$F$39*H55</f>
        <v>4955.56703397225</v>
      </c>
      <c r="M55" s="8">
        <f>I55*'参考-养成属性规划（从养成属性复制）'!$F$41+J55*'参考-养成属性规划（从养成属性复制）'!$F$42+K55*'参考-养成属性规划（从养成属性复制）'!$F$43</f>
        <v>1478.97528445707</v>
      </c>
      <c r="N55" s="8">
        <f t="shared" si="6"/>
        <v>1.57382083078916</v>
      </c>
      <c r="O55" s="35">
        <f t="shared" si="7"/>
        <v>9278.14991089465</v>
      </c>
      <c r="P55" s="1">
        <f>O55/(O55+战斗公式!$M$27)</f>
        <v>0.278806061506958</v>
      </c>
      <c r="Q55" s="8">
        <f>E55*'参考-养成属性规划（从养成属性复制）'!$E$36+G55*'参考-养成属性规划（从养成属性复制）'!$E$37+'参考-养成属性规划（从养成属性复制）'!$E$39*H174</f>
        <v>5890.26234196113</v>
      </c>
      <c r="R55" s="8">
        <f>I55*'参考-养成属性规划（从养成属性复制）'!$E$41+J55*'参考-养成属性规划（从养成属性复制）'!$E$42+K55*'参考-养成属性规划（从养成属性复制）'!$E$43</f>
        <v>2218.4629266856</v>
      </c>
      <c r="S55" s="8">
        <f t="shared" si="8"/>
        <v>1.57382083078916</v>
      </c>
      <c r="T55" s="35">
        <f t="shared" si="9"/>
        <v>11488.680499277</v>
      </c>
      <c r="U55" s="8">
        <f t="shared" si="10"/>
        <v>0.834181583391065</v>
      </c>
      <c r="V55" s="8">
        <f t="shared" si="11"/>
        <v>0.178908777854753</v>
      </c>
      <c r="W55" s="8">
        <f t="shared" si="12"/>
        <v>0.397999784775143</v>
      </c>
      <c r="X55" s="8">
        <f t="shared" si="13"/>
        <v>1</v>
      </c>
      <c r="Y55" s="8">
        <f t="shared" si="14"/>
        <v>1</v>
      </c>
      <c r="Z55" s="8">
        <f t="shared" si="15"/>
        <v>1</v>
      </c>
      <c r="AA55" s="8">
        <f t="shared" si="16"/>
        <v>1</v>
      </c>
      <c r="AB55" s="8">
        <f t="shared" si="17"/>
        <v>1</v>
      </c>
      <c r="AC55" s="4">
        <f t="shared" si="18"/>
        <v>1.41109014602096</v>
      </c>
      <c r="AD55" s="8">
        <f t="shared" si="19"/>
        <v>1</v>
      </c>
      <c r="AE55" s="8">
        <f t="shared" si="20"/>
        <v>1.04904451545207</v>
      </c>
      <c r="AF55" s="8">
        <f t="shared" si="21"/>
        <v>1.08691778016227</v>
      </c>
      <c r="AG55" s="8">
        <f>战斗属性!$F$11+AG$9*($H$10*$H55+$I$10*$I55+$J$10*$J55+$K55*$K$10)</f>
        <v>0.161576272653448</v>
      </c>
      <c r="AH55" s="8">
        <f>战斗属性!$F$12+AH$9*($H$10*$H55+$I$10*$I55+$J$10*$J55+$K$10*$K55)</f>
        <v>2.31081961667746</v>
      </c>
      <c r="AI55" s="8">
        <f t="shared" si="22"/>
        <v>1.25503148035074</v>
      </c>
      <c r="AJ55" s="4">
        <f t="shared" si="23"/>
        <v>1.65303218801898</v>
      </c>
      <c r="AK55" s="4">
        <f t="shared" si="24"/>
        <v>96633.6298966465</v>
      </c>
      <c r="AL55" s="36">
        <f t="shared" si="25"/>
        <v>40.8852197581056</v>
      </c>
      <c r="AM55" s="36"/>
      <c r="AN55" s="4">
        <f t="shared" si="26"/>
        <v>3950887.19434784</v>
      </c>
      <c r="AO55" s="11">
        <f t="array" ref="AO55">INDEX(_xlfn.ANCHORARRAY(怪物标准模型!$B$12),MATCH(AN55,怪物标准模型!$AY$12:$AY$511))</f>
        <v>116</v>
      </c>
      <c r="AP55" s="4">
        <v>99</v>
      </c>
    </row>
    <row r="56" spans="1:42">
      <c r="A56" s="4">
        <f t="array" ref="A56">_xlfn.IFNA(_xlfn.XLOOKUP(C56&amp;D56,'玩家等级对应关卡（从新手节奏复制）'!$C:$C&amp;'玩家等级对应关卡（从新手节奏复制）'!$D:$D,'玩家等级对应关卡（从新手节奏复制）'!$E:$E),A55)</f>
        <v>24</v>
      </c>
      <c r="B56" s="4">
        <v>45</v>
      </c>
      <c r="C56" s="4">
        <f t="shared" si="27"/>
        <v>3</v>
      </c>
      <c r="D56" s="4">
        <f t="shared" si="28"/>
        <v>15</v>
      </c>
      <c r="E56" s="4">
        <f t="shared" si="0"/>
        <v>1</v>
      </c>
      <c r="F56" s="4">
        <v>5</v>
      </c>
      <c r="G56" s="34">
        <f t="shared" si="1"/>
        <v>0.61652065113771</v>
      </c>
      <c r="H56" s="34">
        <f t="shared" si="2"/>
        <v>0.456254982763435</v>
      </c>
      <c r="I56" s="34">
        <f t="shared" si="3"/>
        <v>0.098339269926121</v>
      </c>
      <c r="J56" s="34">
        <f t="shared" si="4"/>
        <v>0.204164704378906</v>
      </c>
      <c r="K56" s="34">
        <f t="shared" si="5"/>
        <v>0</v>
      </c>
      <c r="L56" s="8">
        <f>E56*'参考-养成属性规划（从养成属性复制）'!$F$36+G56*'参考-养成属性规划（从养成属性复制）'!$F$37+'参考-养成属性规划（从养成属性复制）'!$F$39*H56</f>
        <v>5008.68558581691</v>
      </c>
      <c r="M56" s="8">
        <f>I56*'参考-养成属性规划（从养成属性复制）'!$F$41+J56*'参考-养成属性规划（从养成属性复制）'!$F$42+K56*'参考-养成属性规划（从养成属性复制）'!$F$43</f>
        <v>1618.34530597792</v>
      </c>
      <c r="N56" s="8">
        <f t="shared" si="6"/>
        <v>1.60423219912365</v>
      </c>
      <c r="O56" s="35">
        <f t="shared" si="7"/>
        <v>9653.43999803192</v>
      </c>
      <c r="P56" s="1">
        <f>O56/(O56+战斗公式!$M$27)</f>
        <v>0.286848536096056</v>
      </c>
      <c r="Q56" s="8">
        <f>E56*'参考-养成属性规划（从养成属性复制）'!$E$36+G56*'参考-养成属性规划（从养成属性复制）'!$E$37+'参考-养成属性规划（从养成属性复制）'!$E$39*H175</f>
        <v>5938.94868819151</v>
      </c>
      <c r="R56" s="8">
        <f>I56*'参考-养成属性规划（从养成属性复制）'!$E$41+J56*'参考-养成属性规划（从养成属性复制）'!$E$42+K56*'参考-养成属性规划（从养成属性复制）'!$E$43</f>
        <v>2427.51795896688</v>
      </c>
      <c r="S56" s="8">
        <f t="shared" si="8"/>
        <v>1.60423219912365</v>
      </c>
      <c r="T56" s="35">
        <f t="shared" si="9"/>
        <v>11954.9706735069</v>
      </c>
      <c r="U56" s="8">
        <f t="shared" si="10"/>
        <v>0.836876494829031</v>
      </c>
      <c r="V56" s="8">
        <f t="shared" si="11"/>
        <v>0.182501993105374</v>
      </c>
      <c r="W56" s="8">
        <f t="shared" si="12"/>
        <v>0.400470120259945</v>
      </c>
      <c r="X56" s="8">
        <f t="shared" si="13"/>
        <v>1</v>
      </c>
      <c r="Y56" s="8">
        <f t="shared" si="14"/>
        <v>1</v>
      </c>
      <c r="Z56" s="8">
        <f t="shared" si="15"/>
        <v>1</v>
      </c>
      <c r="AA56" s="8">
        <f t="shared" si="16"/>
        <v>1</v>
      </c>
      <c r="AB56" s="8">
        <f t="shared" si="17"/>
        <v>1</v>
      </c>
      <c r="AC56" s="4">
        <f t="shared" si="18"/>
        <v>1.41984860819435</v>
      </c>
      <c r="AD56" s="8">
        <f t="shared" si="19"/>
        <v>1</v>
      </c>
      <c r="AE56" s="8">
        <f t="shared" si="20"/>
        <v>1.05164377770288</v>
      </c>
      <c r="AF56" s="8">
        <f t="shared" si="21"/>
        <v>1.09152425048454</v>
      </c>
      <c r="AG56" s="8">
        <f>战斗属性!$F$11+AG$9*($H$10*$H56+$I$10*$I56+$J$10*$J56+$K56*$K$10)</f>
        <v>0.167489594274044</v>
      </c>
      <c r="AH56" s="8">
        <f>战斗属性!$F$12+AH$9*($H$10*$H56+$I$10*$I56+$J$10*$J56+$K$10*$K56)</f>
        <v>2.32729244119198</v>
      </c>
      <c r="AI56" s="8">
        <f t="shared" si="22"/>
        <v>1.26854764405496</v>
      </c>
      <c r="AJ56" s="4">
        <f t="shared" si="23"/>
        <v>1.6924689498458</v>
      </c>
      <c r="AK56" s="4">
        <f t="shared" si="24"/>
        <v>102438.461520036</v>
      </c>
      <c r="AL56" s="36">
        <f t="shared" si="25"/>
        <v>41.0542866468005</v>
      </c>
      <c r="AM56" s="36"/>
      <c r="AN56" s="4">
        <f t="shared" si="26"/>
        <v>4205537.96290081</v>
      </c>
      <c r="AO56" s="11">
        <f t="array" ref="AO56">INDEX(_xlfn.ANCHORARRAY(怪物标准模型!$B$12),MATCH(AN56,怪物标准模型!$AY$12:$AY$511))</f>
        <v>120</v>
      </c>
      <c r="AP56" s="4">
        <v>101</v>
      </c>
    </row>
    <row r="57" spans="1:42">
      <c r="A57" s="4">
        <f t="array" ref="A57">_xlfn.IFNA(_xlfn.XLOOKUP(C57&amp;D57,'玩家等级对应关卡（从新手节奏复制）'!$C:$C&amp;'玩家等级对应关卡（从新手节奏复制）'!$D:$D,'玩家等级对应关卡（从新手节奏复制）'!$E:$E),A56)</f>
        <v>24</v>
      </c>
      <c r="B57" s="4">
        <v>46</v>
      </c>
      <c r="C57" s="4">
        <f t="shared" si="27"/>
        <v>4</v>
      </c>
      <c r="D57" s="4">
        <f t="shared" si="28"/>
        <v>1</v>
      </c>
      <c r="E57" s="4">
        <f t="shared" si="0"/>
        <v>1</v>
      </c>
      <c r="F57" s="4">
        <v>5</v>
      </c>
      <c r="G57" s="34">
        <f t="shared" si="1"/>
        <v>0.623079783893747</v>
      </c>
      <c r="H57" s="34">
        <f t="shared" si="2"/>
        <v>0.464968529746193</v>
      </c>
      <c r="I57" s="34">
        <f t="shared" si="3"/>
        <v>0.116272946644774</v>
      </c>
      <c r="J57" s="34">
        <f t="shared" si="4"/>
        <v>0.214740406712343</v>
      </c>
      <c r="K57" s="34">
        <f t="shared" si="5"/>
        <v>0</v>
      </c>
      <c r="L57" s="8">
        <f>E57*'参考-养成属性规划（从养成属性复制）'!$F$36+G57*'参考-养成属性规划（从养成属性复制）'!$F$37+'参考-养成属性规划（从养成属性复制）'!$F$39*H57</f>
        <v>5060.21058110623</v>
      </c>
      <c r="M57" s="8">
        <f>I57*'参考-养成属性规划（从养成属性复制）'!$F$41+J57*'参考-养成属性规划（从养成属性复制）'!$F$42+K57*'参考-养成属性规划（从养成属性复制）'!$F$43</f>
        <v>1753.53422685315</v>
      </c>
      <c r="N57" s="8">
        <f t="shared" si="6"/>
        <v>1.63373122640811</v>
      </c>
      <c r="O57" s="35">
        <f t="shared" si="7"/>
        <v>10020.5582654071</v>
      </c>
      <c r="P57" s="1">
        <f>O57/(O57+战斗公式!$M$27)</f>
        <v>0.294544204337654</v>
      </c>
      <c r="Q57" s="8">
        <f>E57*'参考-养成属性规划（从养成属性复制）'!$E$36+G57*'参考-养成属性规划（从养成属性复制）'!$E$37+'参考-养成属性规划（从养成属性复制）'!$E$39*H176</f>
        <v>5986.17444403498</v>
      </c>
      <c r="R57" s="8">
        <f>I57*'参考-养成属性规划（从养成属性复制）'!$E$41+J57*'参考-养成属性规划（从养成属性复制）'!$E$42+K57*'参考-养成属性规划（从养成属性复制）'!$E$43</f>
        <v>2630.30134027973</v>
      </c>
      <c r="S57" s="8">
        <f t="shared" si="8"/>
        <v>1.63373122640811</v>
      </c>
      <c r="T57" s="35">
        <f t="shared" si="9"/>
        <v>12410.1014562259</v>
      </c>
      <c r="U57" s="8">
        <f t="shared" si="10"/>
        <v>0.839490558923858</v>
      </c>
      <c r="V57" s="8">
        <f t="shared" si="11"/>
        <v>0.185987411898477</v>
      </c>
      <c r="W57" s="8">
        <f t="shared" si="12"/>
        <v>0.402866345680203</v>
      </c>
      <c r="X57" s="8">
        <f t="shared" si="13"/>
        <v>1</v>
      </c>
      <c r="Y57" s="8">
        <f t="shared" si="14"/>
        <v>1</v>
      </c>
      <c r="Z57" s="8">
        <f t="shared" si="15"/>
        <v>1</v>
      </c>
      <c r="AA57" s="8">
        <f t="shared" si="16"/>
        <v>1</v>
      </c>
      <c r="AB57" s="8">
        <f t="shared" si="17"/>
        <v>1</v>
      </c>
      <c r="AC57" s="4">
        <f t="shared" si="18"/>
        <v>1.42834431650254</v>
      </c>
      <c r="AD57" s="8">
        <f t="shared" si="19"/>
        <v>1</v>
      </c>
      <c r="AE57" s="8">
        <f t="shared" si="20"/>
        <v>1.05416506208616</v>
      </c>
      <c r="AF57" s="8">
        <f t="shared" si="21"/>
        <v>1.09599252669715</v>
      </c>
      <c r="AG57" s="8">
        <f>战斗属性!$F$11+AG$9*($H$10*$H57+$I$10*$I57+$J$10*$J57+$K57*$K$10)</f>
        <v>0.173225516246021</v>
      </c>
      <c r="AH57" s="8">
        <f>战斗属性!$F$12+AH$9*($H$10*$H57+$I$10*$I57+$J$10*$J57+$K$10*$K57)</f>
        <v>2.34327108097106</v>
      </c>
      <c r="AI57" s="8">
        <f t="shared" si="22"/>
        <v>1.28165832284805</v>
      </c>
      <c r="AJ57" s="4">
        <f t="shared" si="23"/>
        <v>1.73154313276365</v>
      </c>
      <c r="AK57" s="4">
        <f t="shared" si="24"/>
        <v>108263.326582401</v>
      </c>
      <c r="AL57" s="36">
        <f t="shared" si="25"/>
        <v>41.2250442043824</v>
      </c>
      <c r="AM57" s="36"/>
      <c r="AN57" s="4">
        <f t="shared" si="26"/>
        <v>4463160.42407295</v>
      </c>
      <c r="AO57" s="11">
        <f t="array" ref="AO57">INDEX(_xlfn.ANCHORARRAY(怪物标准模型!$B$12),MATCH(AN57,怪物标准模型!$AY$12:$AY$511))</f>
        <v>123</v>
      </c>
      <c r="AP57" s="4">
        <v>103</v>
      </c>
    </row>
    <row r="58" spans="1:42">
      <c r="A58" s="4">
        <f t="array" ref="A58">_xlfn.IFNA(_xlfn.XLOOKUP(C58&amp;D58,'玩家等级对应关卡（从新手节奏复制）'!$C:$C&amp;'玩家等级对应关卡（从新手节奏复制）'!$D:$D,'玩家等级对应关卡（从新手节奏复制）'!$E:$E),A57)</f>
        <v>24</v>
      </c>
      <c r="B58" s="4">
        <v>47</v>
      </c>
      <c r="C58" s="4">
        <f t="shared" si="27"/>
        <v>4</v>
      </c>
      <c r="D58" s="4">
        <f t="shared" si="28"/>
        <v>2</v>
      </c>
      <c r="E58" s="4">
        <f t="shared" si="0"/>
        <v>1</v>
      </c>
      <c r="F58" s="4">
        <v>5</v>
      </c>
      <c r="G58" s="34">
        <f t="shared" si="1"/>
        <v>0.629442142667103</v>
      </c>
      <c r="H58" s="34">
        <f t="shared" si="2"/>
        <v>0.473420670319467</v>
      </c>
      <c r="I58" s="34">
        <f t="shared" si="3"/>
        <v>0.133668613061867</v>
      </c>
      <c r="J58" s="34">
        <f t="shared" si="4"/>
        <v>0.224998837975776</v>
      </c>
      <c r="K58" s="34">
        <f t="shared" si="5"/>
        <v>0</v>
      </c>
      <c r="L58" s="8">
        <f>E58*'参考-养成属性规划（从养成属性复制）'!$F$36+G58*'参考-养成属性规划（从养成属性复制）'!$F$37+'参考-养成属性规划（从养成属性复制）'!$F$39*H58</f>
        <v>5110.18982653687</v>
      </c>
      <c r="M58" s="8">
        <f>I58*'参考-养成属性规划（从养成属性复制）'!$F$41+J58*'参考-养成属性规划（从养成属性复制）'!$F$42+K58*'参考-养成属性规划（从养成属性复制）'!$F$43</f>
        <v>1884.66748010212</v>
      </c>
      <c r="N58" s="8">
        <f t="shared" si="6"/>
        <v>1.66234528287403</v>
      </c>
      <c r="O58" s="35">
        <f t="shared" si="7"/>
        <v>10379.5674328366</v>
      </c>
      <c r="P58" s="1">
        <f>O58/(O58+战斗公式!$M$27)</f>
        <v>0.301910937451844</v>
      </c>
      <c r="Q58" s="8">
        <f>E58*'参考-养成属性规划（从养成属性复制）'!$E$36+G58*'参考-养成属性规划（从养成属性复制）'!$E$37+'参考-养成属性规划（从养成属性复制）'!$E$39*H177</f>
        <v>6031.98342720314</v>
      </c>
      <c r="R58" s="8">
        <f>I58*'参考-养成属性规划（从养成属性复制）'!$E$41+J58*'参考-养成属性规划（从养成属性复制）'!$E$42+K58*'参考-养成属性规划（从养成属性复制）'!$E$43</f>
        <v>2827.00122015318</v>
      </c>
      <c r="S58" s="8">
        <f t="shared" si="8"/>
        <v>1.66234528287403</v>
      </c>
      <c r="T58" s="35">
        <f t="shared" si="9"/>
        <v>12854.2404167387</v>
      </c>
      <c r="U58" s="8">
        <f t="shared" si="10"/>
        <v>0.84202620109584</v>
      </c>
      <c r="V58" s="8">
        <f t="shared" si="11"/>
        <v>0.189368268127787</v>
      </c>
      <c r="W58" s="8">
        <f t="shared" si="12"/>
        <v>0.405190684337853</v>
      </c>
      <c r="X58" s="8">
        <f t="shared" si="13"/>
        <v>1</v>
      </c>
      <c r="Y58" s="8">
        <f t="shared" si="14"/>
        <v>1</v>
      </c>
      <c r="Z58" s="8">
        <f t="shared" si="15"/>
        <v>1</v>
      </c>
      <c r="AA58" s="8">
        <f t="shared" si="16"/>
        <v>1</v>
      </c>
      <c r="AB58" s="8">
        <f t="shared" si="17"/>
        <v>1</v>
      </c>
      <c r="AC58" s="4">
        <f t="shared" si="18"/>
        <v>1.43658515356148</v>
      </c>
      <c r="AD58" s="8">
        <f t="shared" si="19"/>
        <v>1</v>
      </c>
      <c r="AE58" s="8">
        <f t="shared" si="20"/>
        <v>1.05661070793795</v>
      </c>
      <c r="AF58" s="8">
        <f t="shared" si="21"/>
        <v>1.10032675462337</v>
      </c>
      <c r="AG58" s="8">
        <f>战斗属性!$F$11+AG$9*($H$10*$H58+$I$10*$I58+$J$10*$J58+$K58*$K$10)</f>
        <v>0.17878936055884</v>
      </c>
      <c r="AH58" s="8">
        <f>战斗属性!$F$12+AH$9*($H$10*$H58+$I$10*$I58+$J$10*$J58+$K$10*$K58)</f>
        <v>2.35877036155677</v>
      </c>
      <c r="AI58" s="8">
        <f t="shared" si="22"/>
        <v>1.29437568127735</v>
      </c>
      <c r="AJ58" s="4">
        <f t="shared" si="23"/>
        <v>1.77023113793511</v>
      </c>
      <c r="AK58" s="4">
        <f t="shared" si="24"/>
        <v>114100.778056033</v>
      </c>
      <c r="AL58" s="36">
        <f t="shared" si="25"/>
        <v>41.3975093375401</v>
      </c>
      <c r="AM58" s="36"/>
      <c r="AN58" s="4">
        <f t="shared" si="26"/>
        <v>4723488.02499521</v>
      </c>
      <c r="AO58" s="11">
        <f t="array" ref="AO58">INDEX(_xlfn.ANCHORARRAY(怪物标准模型!$B$12),MATCH(AN58,怪物标准模型!$AY$12:$AY$511))</f>
        <v>126</v>
      </c>
      <c r="AP58" s="4">
        <v>105</v>
      </c>
    </row>
    <row r="59" spans="1:42">
      <c r="A59" s="4">
        <f t="array" ref="A59">_xlfn.IFNA(_xlfn.XLOOKUP(C59&amp;D59,'玩家等级对应关卡（从新手节奏复制）'!$C:$C&amp;'玩家等级对应关卡（从新手节奏复制）'!$D:$D,'玩家等级对应关卡（从新手节奏复制）'!$E:$E),A58)</f>
        <v>25</v>
      </c>
      <c r="B59" s="4">
        <v>48</v>
      </c>
      <c r="C59" s="4">
        <f t="shared" si="27"/>
        <v>4</v>
      </c>
      <c r="D59" s="4">
        <f t="shared" si="28"/>
        <v>3</v>
      </c>
      <c r="E59" s="4">
        <f t="shared" si="0"/>
        <v>1</v>
      </c>
      <c r="F59" s="4">
        <v>5</v>
      </c>
      <c r="G59" s="34">
        <f t="shared" si="1"/>
        <v>0.635613630677259</v>
      </c>
      <c r="H59" s="34">
        <f t="shared" si="2"/>
        <v>0.481619246675543</v>
      </c>
      <c r="I59" s="34">
        <f t="shared" si="3"/>
        <v>0.150542409486447</v>
      </c>
      <c r="J59" s="34">
        <f t="shared" si="4"/>
        <v>0.234949516301306</v>
      </c>
      <c r="K59" s="34">
        <f t="shared" si="5"/>
        <v>0</v>
      </c>
      <c r="L59" s="8">
        <f>E59*'参考-养成属性规划（从养成属性复制）'!$F$36+G59*'参考-养成属性规划（从养成属性复制）'!$F$37+'参考-养成属性规划（从养成属性复制）'!$F$39*H59</f>
        <v>5158.66969460459</v>
      </c>
      <c r="M59" s="8">
        <f>I59*'参考-养成属性规划（从养成属性复制）'!$F$41+J59*'参考-养成属性规划（从养成属性复制）'!$F$42+K59*'参考-养成属性规划（从养成属性复制）'!$F$43</f>
        <v>2011.86673575363</v>
      </c>
      <c r="N59" s="8">
        <f t="shared" si="6"/>
        <v>1.69010091764598</v>
      </c>
      <c r="O59" s="35">
        <f t="shared" si="7"/>
        <v>10730.5391204374</v>
      </c>
      <c r="P59" s="1">
        <f>O59/(O59+战斗公式!$M$27)</f>
        <v>0.308965521186595</v>
      </c>
      <c r="Q59" s="8">
        <f>E59*'参考-养成属性规划（从养成属性复制）'!$E$36+G59*'参考-养成属性规划（从养成属性复制）'!$E$37+'参考-养成属性规划（从养成属性复制）'!$E$39*H178</f>
        <v>6076.41814087627</v>
      </c>
      <c r="R59" s="8">
        <f>I59*'参考-养成属性规划（从养成属性复制）'!$E$41+J59*'参考-养成属性规划（从养成属性复制）'!$E$42+K59*'参考-养成属性规划（从养成属性复制）'!$E$43</f>
        <v>3017.80010363044</v>
      </c>
      <c r="S59" s="8">
        <f t="shared" si="8"/>
        <v>1.69010091764598</v>
      </c>
      <c r="T59" s="35">
        <f t="shared" si="9"/>
        <v>13287.5599795261</v>
      </c>
      <c r="U59" s="8">
        <f t="shared" si="10"/>
        <v>0.844485774002663</v>
      </c>
      <c r="V59" s="8">
        <f t="shared" si="11"/>
        <v>0.192647698670217</v>
      </c>
      <c r="W59" s="8">
        <f t="shared" si="12"/>
        <v>0.407445292835774</v>
      </c>
      <c r="X59" s="8">
        <f t="shared" si="13"/>
        <v>1</v>
      </c>
      <c r="Y59" s="8">
        <f t="shared" si="14"/>
        <v>1</v>
      </c>
      <c r="Z59" s="8">
        <f t="shared" si="15"/>
        <v>1</v>
      </c>
      <c r="AA59" s="8">
        <f t="shared" si="16"/>
        <v>1</v>
      </c>
      <c r="AB59" s="8">
        <f t="shared" si="17"/>
        <v>1</v>
      </c>
      <c r="AC59" s="4">
        <f t="shared" si="18"/>
        <v>1.44457876550865</v>
      </c>
      <c r="AD59" s="8">
        <f t="shared" si="19"/>
        <v>1</v>
      </c>
      <c r="AE59" s="8">
        <f t="shared" si="20"/>
        <v>1.05898298441419</v>
      </c>
      <c r="AF59" s="8">
        <f t="shared" si="21"/>
        <v>1.10453095571181</v>
      </c>
      <c r="AG59" s="8">
        <f>战斗属性!$F$11+AG$9*($H$10*$H59+$I$10*$I59+$J$10*$J59+$K59*$K$10)</f>
        <v>0.184186289542274</v>
      </c>
      <c r="AH59" s="8">
        <f>战斗属性!$F$12+AH$9*($H$10*$H59+$I$10*$I59+$J$10*$J59+$K$10*$K59)</f>
        <v>2.3738046637249</v>
      </c>
      <c r="AI59" s="8">
        <f t="shared" si="22"/>
        <v>1.30671151895377</v>
      </c>
      <c r="AJ59" s="4">
        <f t="shared" si="23"/>
        <v>1.80851099875799</v>
      </c>
      <c r="AK59" s="4">
        <f t="shared" si="24"/>
        <v>119943.671929984</v>
      </c>
      <c r="AL59" s="36">
        <f t="shared" si="25"/>
        <v>41.5716991220294</v>
      </c>
      <c r="AM59" s="36"/>
      <c r="AN59" s="4">
        <f t="shared" si="26"/>
        <v>4986262.2410647</v>
      </c>
      <c r="AO59" s="11">
        <f t="array" ref="AO59">INDEX(_xlfn.ANCHORARRAY(怪物标准模型!$B$12),MATCH(AN59,怪物标准模型!$AY$12:$AY$511))</f>
        <v>129</v>
      </c>
      <c r="AP59" s="4">
        <v>107</v>
      </c>
    </row>
    <row r="60" spans="1:42">
      <c r="A60" s="4">
        <f t="array" ref="A60">_xlfn.IFNA(_xlfn.XLOOKUP(C60&amp;D60,'玩家等级对应关卡（从新手节奏复制）'!$C:$C&amp;'玩家等级对应关卡（从新手节奏复制）'!$D:$D,'玩家等级对应关卡（从新手节奏复制）'!$E:$E),A59)</f>
        <v>25</v>
      </c>
      <c r="B60" s="4">
        <v>49</v>
      </c>
      <c r="C60" s="4">
        <f t="shared" si="27"/>
        <v>4</v>
      </c>
      <c r="D60" s="4">
        <f t="shared" si="28"/>
        <v>4</v>
      </c>
      <c r="E60" s="4">
        <f t="shared" si="0"/>
        <v>1</v>
      </c>
      <c r="F60" s="4">
        <v>5</v>
      </c>
      <c r="G60" s="34">
        <f t="shared" si="1"/>
        <v>0.64159997404711</v>
      </c>
      <c r="H60" s="34">
        <f t="shared" si="2"/>
        <v>0.489571865740937</v>
      </c>
      <c r="I60" s="34">
        <f t="shared" si="3"/>
        <v>0.16690999201829</v>
      </c>
      <c r="J60" s="34">
        <f t="shared" si="4"/>
        <v>0.244601674277071</v>
      </c>
      <c r="K60" s="34">
        <f t="shared" si="5"/>
        <v>0</v>
      </c>
      <c r="L60" s="8">
        <f>E60*'参考-养成属性规划（从养成属性复制）'!$F$36+G60*'参考-养成属性规划（从养成属性复制）'!$F$37+'参考-养成属性规划（从养成属性复制）'!$F$39*H60</f>
        <v>5205.69516663028</v>
      </c>
      <c r="M60" s="8">
        <f>I60*'参考-养成属性规划（从养成属性复制）'!$F$41+J60*'参考-养成属性规划（从养成属性复制）'!$F$42+K60*'参考-养成属性规划（从养成属性复制）'!$F$43</f>
        <v>2135.25001373558</v>
      </c>
      <c r="N60" s="8">
        <f t="shared" si="6"/>
        <v>1.71702388337477</v>
      </c>
      <c r="O60" s="35">
        <f t="shared" si="7"/>
        <v>11073.5529444084</v>
      </c>
      <c r="P60" s="1">
        <f>O60/(O60+战斗公式!$M$27)</f>
        <v>0.315723729556568</v>
      </c>
      <c r="Q60" s="8">
        <f>E60*'参考-养成属性规划（从养成属性复制）'!$E$36+G60*'参考-养成属性规划（从养成属性复制）'!$E$37+'参考-养成属性规划（从养成属性复制）'!$E$39*H179</f>
        <v>6119.51981313919</v>
      </c>
      <c r="R60" s="8">
        <f>I60*'参考-养成属性规划（从养成属性复制）'!$E$41+J60*'参考-养成属性规划（从养成属性复制）'!$E$42+K60*'参考-养成属性规划（从养成属性复制）'!$E$43</f>
        <v>3202.87502060338</v>
      </c>
      <c r="S60" s="8">
        <f t="shared" si="8"/>
        <v>1.71702388337477</v>
      </c>
      <c r="T60" s="35">
        <f t="shared" si="9"/>
        <v>13710.2366945485</v>
      </c>
      <c r="U60" s="8">
        <f t="shared" si="10"/>
        <v>0.846871559722281</v>
      </c>
      <c r="V60" s="8">
        <f t="shared" si="11"/>
        <v>0.195828746296375</v>
      </c>
      <c r="W60" s="8">
        <f t="shared" si="12"/>
        <v>0.409632263078758</v>
      </c>
      <c r="X60" s="8">
        <f t="shared" si="13"/>
        <v>1</v>
      </c>
      <c r="Y60" s="8">
        <f t="shared" si="14"/>
        <v>1</v>
      </c>
      <c r="Z60" s="8">
        <f t="shared" si="15"/>
        <v>1</v>
      </c>
      <c r="AA60" s="8">
        <f t="shared" si="16"/>
        <v>1</v>
      </c>
      <c r="AB60" s="8">
        <f t="shared" si="17"/>
        <v>1</v>
      </c>
      <c r="AC60" s="4">
        <f t="shared" si="18"/>
        <v>1.45233256909741</v>
      </c>
      <c r="AD60" s="8">
        <f t="shared" si="19"/>
        <v>1</v>
      </c>
      <c r="AE60" s="8">
        <f t="shared" si="20"/>
        <v>1.06128409259613</v>
      </c>
      <c r="AF60" s="8">
        <f t="shared" si="21"/>
        <v>1.10860903076759</v>
      </c>
      <c r="AG60" s="8">
        <f>战斗属性!$F$11+AG$9*($H$10*$H60+$I$10*$I60+$J$10*$J60+$K60*$K$10)</f>
        <v>0.189421310656204</v>
      </c>
      <c r="AH60" s="8">
        <f>战斗属性!$F$12+AH$9*($H$10*$H60+$I$10*$I60+$J$10*$J60+$K$10*$K60)</f>
        <v>2.388387936828</v>
      </c>
      <c r="AI60" s="8">
        <f t="shared" si="22"/>
        <v>1.3186772814999</v>
      </c>
      <c r="AJ60" s="4">
        <f t="shared" si="23"/>
        <v>1.84636236178691</v>
      </c>
      <c r="AK60" s="4">
        <f t="shared" si="24"/>
        <v>125785.173072723</v>
      </c>
      <c r="AL60" s="36">
        <f t="shared" si="25"/>
        <v>41.7476308043636</v>
      </c>
      <c r="AM60" s="36"/>
      <c r="AN60" s="4">
        <f t="shared" si="26"/>
        <v>5251232.966103</v>
      </c>
      <c r="AO60" s="11">
        <f t="array" ref="AO60">INDEX(_xlfn.ANCHORARRAY(怪物标准模型!$B$12),MATCH(AN60,怪物标准模型!$AY$12:$AY$511))</f>
        <v>132</v>
      </c>
      <c r="AP60" s="4">
        <v>109</v>
      </c>
    </row>
    <row r="61" spans="1:42">
      <c r="A61" s="4">
        <f t="array" ref="A61">_xlfn.IFNA(_xlfn.XLOOKUP(C61&amp;D61,'玩家等级对应关卡（从新手节奏复制）'!$C:$C&amp;'玩家等级对应关卡（从新手节奏复制）'!$D:$D,'玩家等级对应关卡（从新手节奏复制）'!$E:$E),A60)</f>
        <v>25</v>
      </c>
      <c r="B61" s="4">
        <v>50</v>
      </c>
      <c r="C61" s="4">
        <f t="shared" si="27"/>
        <v>4</v>
      </c>
      <c r="D61" s="4">
        <f t="shared" si="28"/>
        <v>5</v>
      </c>
      <c r="E61" s="4">
        <f t="shared" si="0"/>
        <v>1</v>
      </c>
      <c r="F61" s="4">
        <v>5</v>
      </c>
      <c r="G61" s="34">
        <f t="shared" si="1"/>
        <v>0.647406727115865</v>
      </c>
      <c r="H61" s="34">
        <f t="shared" si="2"/>
        <v>0.497285906234369</v>
      </c>
      <c r="I61" s="34">
        <f t="shared" si="3"/>
        <v>0.182786547074178</v>
      </c>
      <c r="J61" s="34">
        <f t="shared" si="4"/>
        <v>0.253964267513562</v>
      </c>
      <c r="K61" s="34">
        <f t="shared" si="5"/>
        <v>0</v>
      </c>
      <c r="L61" s="8">
        <f>E61*'参考-养成属性规划（从养成属性复制）'!$F$36+G61*'参考-养成属性规划（从养成属性复制）'!$F$37+'参考-养成属性规划（从养成属性复制）'!$F$39*H61</f>
        <v>5251.3098744952</v>
      </c>
      <c r="M61" s="8">
        <f>I61*'参考-养成属性规划（从养成属性复制）'!$F$41+J61*'参考-养成属性规划（从养成属性复制）'!$F$42+K61*'参考-养成属性规划（从养成属性复制）'!$F$43</f>
        <v>2254.93179337808</v>
      </c>
      <c r="N61" s="8">
        <f t="shared" si="6"/>
        <v>1.74313916013169</v>
      </c>
      <c r="O61" s="35">
        <f t="shared" si="7"/>
        <v>11408.6956775969</v>
      </c>
      <c r="P61" s="1">
        <f>O61/(O61+战斗公式!$M$27)</f>
        <v>0.32220039341396</v>
      </c>
      <c r="Q61" s="8">
        <f>E61*'参考-养成属性规划（从养成属性复制）'!$E$36+G61*'参考-养成属性规划（从养成属性复制）'!$E$37+'参考-养成属性规划（从养成属性复制）'!$E$39*H180</f>
        <v>6161.32843523423</v>
      </c>
      <c r="R61" s="8">
        <f>I61*'参考-养成属性规划（从养成属性复制）'!$E$41+J61*'参考-养成属性规划（从养成属性复制）'!$E$42+K61*'参考-养成属性规划（从养成属性复制）'!$E$43</f>
        <v>3382.39769006713</v>
      </c>
      <c r="S61" s="8">
        <f t="shared" si="8"/>
        <v>1.74313916013169</v>
      </c>
      <c r="T61" s="35">
        <f t="shared" si="9"/>
        <v>14122.4505639568</v>
      </c>
      <c r="U61" s="8">
        <f t="shared" si="10"/>
        <v>0.849185771870311</v>
      </c>
      <c r="V61" s="8">
        <f t="shared" si="11"/>
        <v>0.198914362493748</v>
      </c>
      <c r="W61" s="8">
        <f t="shared" si="12"/>
        <v>0.411753624214451</v>
      </c>
      <c r="X61" s="8">
        <f t="shared" si="13"/>
        <v>1</v>
      </c>
      <c r="Y61" s="8">
        <f t="shared" si="14"/>
        <v>1</v>
      </c>
      <c r="Z61" s="8">
        <f t="shared" si="15"/>
        <v>1</v>
      </c>
      <c r="AA61" s="8">
        <f t="shared" si="16"/>
        <v>1</v>
      </c>
      <c r="AB61" s="8">
        <f t="shared" si="17"/>
        <v>1</v>
      </c>
      <c r="AC61" s="4">
        <f t="shared" si="18"/>
        <v>1.45985375857851</v>
      </c>
      <c r="AD61" s="8">
        <f t="shared" si="19"/>
        <v>1</v>
      </c>
      <c r="AE61" s="8">
        <f t="shared" si="20"/>
        <v>1.06351616753262</v>
      </c>
      <c r="AF61" s="8">
        <f t="shared" si="21"/>
        <v>1.1125647635717</v>
      </c>
      <c r="AG61" s="8">
        <f>战斗属性!$F$11+AG$9*($H$10*$H61+$I$10*$I61+$J$10*$J61+$K61*$K$10)</f>
        <v>0.194499281136717</v>
      </c>
      <c r="AH61" s="8">
        <f>战斗属性!$F$12+AH$9*($H$10*$H61+$I$10*$I61+$J$10*$J61+$K$10*$K61)</f>
        <v>2.402533711738</v>
      </c>
      <c r="AI61" s="8">
        <f t="shared" si="22"/>
        <v>1.33028407116964</v>
      </c>
      <c r="AJ61" s="4">
        <f t="shared" si="23"/>
        <v>1.88376646053788</v>
      </c>
      <c r="AK61" s="4">
        <f t="shared" si="24"/>
        <v>131618.759264338</v>
      </c>
      <c r="AL61" s="36">
        <f t="shared" si="25"/>
        <v>41.9253218035211</v>
      </c>
      <c r="AM61" s="36"/>
      <c r="AN61" s="4">
        <f t="shared" si="26"/>
        <v>5518158.83753756</v>
      </c>
      <c r="AO61" s="11">
        <f t="array" ref="AO61">INDEX(_xlfn.ANCHORARRAY(怪物标准模型!$B$12),MATCH(AN61,怪物标准模型!$AY$12:$AY$511))</f>
        <v>135</v>
      </c>
      <c r="AP61" s="4">
        <v>111</v>
      </c>
    </row>
    <row r="62" spans="1:42">
      <c r="A62" s="4">
        <f t="array" ref="A62">_xlfn.IFNA(_xlfn.XLOOKUP(C62&amp;D62,'玩家等级对应关卡（从新手节奏复制）'!$C:$C&amp;'玩家等级对应关卡（从新手节奏复制）'!$D:$D,'玩家等级对应关卡（从新手节奏复制）'!$E:$E),A61)</f>
        <v>26</v>
      </c>
      <c r="B62" s="4">
        <v>51</v>
      </c>
      <c r="C62" s="4">
        <f t="shared" si="27"/>
        <v>4</v>
      </c>
      <c r="D62" s="4">
        <f t="shared" si="28"/>
        <v>6</v>
      </c>
      <c r="E62" s="4">
        <f t="shared" si="0"/>
        <v>1</v>
      </c>
      <c r="F62" s="4">
        <v>5</v>
      </c>
      <c r="G62" s="34">
        <f t="shared" si="1"/>
        <v>0.653039277592558</v>
      </c>
      <c r="H62" s="34">
        <f t="shared" si="2"/>
        <v>0.504768525512998</v>
      </c>
      <c r="I62" s="34">
        <f t="shared" si="3"/>
        <v>0.198186805478389</v>
      </c>
      <c r="J62" s="34">
        <f t="shared" si="4"/>
        <v>0.263045982952959</v>
      </c>
      <c r="K62" s="34">
        <f t="shared" si="5"/>
        <v>0.0129192632780041</v>
      </c>
      <c r="L62" s="8">
        <f>E62*'参考-养成属性规划（从养成属性复制）'!$F$36+G62*'参考-养成属性规划（从养成属性复制）'!$F$37+'参考-养成属性规划（从养成属性复制）'!$F$39*H62</f>
        <v>5295.55614112417</v>
      </c>
      <c r="M62" s="8">
        <f>I62*'参考-养成属性规划（从养成属性复制）'!$F$41+J62*'参考-养成属性规划（从养成属性复制）'!$F$42+K62*'参考-养成属性规划（从养成属性复制）'!$F$43</f>
        <v>2500.21575241135</v>
      </c>
      <c r="N62" s="8">
        <f t="shared" si="6"/>
        <v>1.76847097858591</v>
      </c>
      <c r="O62" s="35">
        <f t="shared" si="7"/>
        <v>11865.2531034618</v>
      </c>
      <c r="P62" s="1">
        <f>O62/(O62+战斗公式!$M$27)</f>
        <v>0.330828645464558</v>
      </c>
      <c r="Q62" s="8">
        <f>E62*'参考-养成属性规划（从养成属性复制）'!$E$36+G62*'参考-养成属性规划（从养成属性复制）'!$E$37+'参考-养成属性规划（从养成属性复制）'!$E$39*H181</f>
        <v>6201.88279866642</v>
      </c>
      <c r="R62" s="8">
        <f>I62*'参考-养成属性规划（从养成属性复制）'!$E$41+J62*'参考-养成属性规划（从养成属性复制）'!$E$42+K62*'参考-养成属性规划（从养成属性复制）'!$E$43</f>
        <v>3750.32362861703</v>
      </c>
      <c r="S62" s="8">
        <f t="shared" si="8"/>
        <v>1.76847097858591</v>
      </c>
      <c r="T62" s="35">
        <f t="shared" si="9"/>
        <v>14718.1733706497</v>
      </c>
      <c r="U62" s="8">
        <f t="shared" si="10"/>
        <v>0.851430557653899</v>
      </c>
      <c r="V62" s="8">
        <f t="shared" si="11"/>
        <v>0.201907410205199</v>
      </c>
      <c r="W62" s="8">
        <f t="shared" si="12"/>
        <v>0.413811344516075</v>
      </c>
      <c r="X62" s="8">
        <f t="shared" si="13"/>
        <v>1</v>
      </c>
      <c r="Y62" s="8">
        <f t="shared" si="14"/>
        <v>1</v>
      </c>
      <c r="Z62" s="8">
        <f t="shared" si="15"/>
        <v>1</v>
      </c>
      <c r="AA62" s="8">
        <f t="shared" si="16"/>
        <v>1</v>
      </c>
      <c r="AB62" s="8">
        <f t="shared" si="17"/>
        <v>1</v>
      </c>
      <c r="AC62" s="4">
        <f t="shared" si="18"/>
        <v>1.46714931237517</v>
      </c>
      <c r="AD62" s="8">
        <f t="shared" si="19"/>
        <v>1</v>
      </c>
      <c r="AE62" s="8">
        <f t="shared" si="20"/>
        <v>1.06649969508931</v>
      </c>
      <c r="AF62" s="8">
        <f t="shared" si="21"/>
        <v>1.11640182439169</v>
      </c>
      <c r="AG62" s="8">
        <f>战斗属性!$F$11+AG$9*($H$10*$H62+$I$10*$I62+$J$10*$J62+$K62*$K$10)</f>
        <v>0.201286806328174</v>
      </c>
      <c r="AH62" s="8">
        <f>战斗属性!$F$12+AH$9*($H$10*$H62+$I$10*$I62+$J$10*$J62+$K$10*$K62)</f>
        <v>2.42144181762849</v>
      </c>
      <c r="AI62" s="8">
        <f t="shared" si="22"/>
        <v>1.3457984144644</v>
      </c>
      <c r="AJ62" s="4">
        <f t="shared" si="23"/>
        <v>1.9323295352757</v>
      </c>
      <c r="AK62" s="4">
        <f t="shared" si="24"/>
        <v>139610.077057067</v>
      </c>
      <c r="AL62" s="36">
        <f t="shared" si="25"/>
        <v>42.1047897126702</v>
      </c>
      <c r="AM62" s="36"/>
      <c r="AN62" s="4">
        <f t="shared" si="26"/>
        <v>5878252.93625749</v>
      </c>
      <c r="AO62" s="11">
        <f t="array" ref="AO62">INDEX(_xlfn.ANCHORARRAY(怪物标准模型!$B$12),MATCH(AN62,怪物标准模型!$AY$12:$AY$511))</f>
        <v>139</v>
      </c>
      <c r="AP62" s="4">
        <v>113</v>
      </c>
    </row>
    <row r="63" spans="1:42">
      <c r="A63" s="4">
        <f t="array" ref="A63">_xlfn.IFNA(_xlfn.XLOOKUP(C63&amp;D63,'玩家等级对应关卡（从新手节奏复制）'!$C:$C&amp;'玩家等级对应关卡（从新手节奏复制）'!$D:$D,'玩家等级对应关卡（从新手节奏复制）'!$E:$E),A62)</f>
        <v>26</v>
      </c>
      <c r="B63" s="4">
        <v>52</v>
      </c>
      <c r="C63" s="4">
        <f t="shared" si="27"/>
        <v>4</v>
      </c>
      <c r="D63" s="4">
        <f t="shared" si="28"/>
        <v>7</v>
      </c>
      <c r="E63" s="4">
        <f t="shared" si="0"/>
        <v>1</v>
      </c>
      <c r="F63" s="4">
        <v>5</v>
      </c>
      <c r="G63" s="34">
        <f t="shared" si="1"/>
        <v>0.65850285155495</v>
      </c>
      <c r="H63" s="34">
        <f t="shared" si="2"/>
        <v>0.512026666213268</v>
      </c>
      <c r="I63" s="34">
        <f t="shared" si="3"/>
        <v>0.213125056130474</v>
      </c>
      <c r="J63" s="34">
        <f t="shared" si="4"/>
        <v>0.271855246929174</v>
      </c>
      <c r="K63" s="34">
        <f t="shared" si="5"/>
        <v>0.025450948657668</v>
      </c>
      <c r="L63" s="8">
        <f>E63*'参考-养成属性规划（从养成属性复制）'!$F$36+G63*'参考-养成属性规划（从养成属性复制）'!$F$37+'参考-养成属性规划（从养成属性复制）'!$F$39*H63</f>
        <v>5338.47501975428</v>
      </c>
      <c r="M63" s="8">
        <f>I63*'参考-养成属性规划（从养成属性复制）'!$F$41+J63*'参考-养成属性规划（从养成属性复制）'!$F$42+K63*'参考-养成属性规划（从养成属性复制）'!$F$43</f>
        <v>2738.14119267362</v>
      </c>
      <c r="N63" s="8">
        <f t="shared" si="6"/>
        <v>1.7930428424865</v>
      </c>
      <c r="O63" s="35">
        <f t="shared" si="7"/>
        <v>12310.255616637</v>
      </c>
      <c r="P63" s="1">
        <f>O63/(O63+战斗公式!$M$27)</f>
        <v>0.339029715092299</v>
      </c>
      <c r="Q63" s="8">
        <f>E63*'参考-养成属性规划（从养成属性复制）'!$E$36+G63*'参考-养成属性规划（从养成属性复制）'!$E$37+'参考-养成属性规划（从养成属性复制）'!$E$39*H182</f>
        <v>6241.22053119564</v>
      </c>
      <c r="R63" s="8">
        <f>I63*'参考-养成属性规划（从养成属性复制）'!$E$41+J63*'参考-养成属性规划（从养成属性复制）'!$E$42+K63*'参考-养成属性规划（从养成属性复制）'!$E$43</f>
        <v>4107.21178901043</v>
      </c>
      <c r="S63" s="8">
        <f t="shared" si="8"/>
        <v>1.7930428424865</v>
      </c>
      <c r="T63" s="35">
        <f t="shared" si="9"/>
        <v>15297.9875908505</v>
      </c>
      <c r="U63" s="8">
        <f t="shared" si="10"/>
        <v>0.853607999863981</v>
      </c>
      <c r="V63" s="8">
        <f t="shared" si="11"/>
        <v>0.204810666485307</v>
      </c>
      <c r="W63" s="8">
        <f t="shared" si="12"/>
        <v>0.415807333208649</v>
      </c>
      <c r="X63" s="8">
        <f t="shared" si="13"/>
        <v>1</v>
      </c>
      <c r="Y63" s="8">
        <f t="shared" si="14"/>
        <v>1</v>
      </c>
      <c r="Z63" s="8">
        <f t="shared" si="15"/>
        <v>1</v>
      </c>
      <c r="AA63" s="8">
        <f t="shared" si="16"/>
        <v>1</v>
      </c>
      <c r="AB63" s="8">
        <f t="shared" si="17"/>
        <v>1</v>
      </c>
      <c r="AC63" s="4">
        <f t="shared" si="18"/>
        <v>1.47422599955794</v>
      </c>
      <c r="AD63" s="8">
        <f t="shared" si="19"/>
        <v>1</v>
      </c>
      <c r="AE63" s="8">
        <f t="shared" si="20"/>
        <v>1.06939371681929</v>
      </c>
      <c r="AF63" s="8">
        <f t="shared" si="21"/>
        <v>1.12012377338708</v>
      </c>
      <c r="AG63" s="8">
        <f>战斗属性!$F$11+AG$9*($H$10*$H63+$I$10*$I63+$J$10*$J63+$K63*$K$10)</f>
        <v>0.207870705763888</v>
      </c>
      <c r="AH63" s="8">
        <f>战斗属性!$F$12+AH$9*($H$10*$H63+$I$10*$I63+$J$10*$J63+$K$10*$K63)</f>
        <v>2.43978268034226</v>
      </c>
      <c r="AI63" s="8">
        <f t="shared" si="22"/>
        <v>1.36084732746031</v>
      </c>
      <c r="AJ63" s="4">
        <f t="shared" si="23"/>
        <v>1.98052834092405</v>
      </c>
      <c r="AK63" s="4">
        <f t="shared" si="24"/>
        <v>147615.299396268</v>
      </c>
      <c r="AL63" s="36">
        <f t="shared" si="25"/>
        <v>42.2860523009108</v>
      </c>
      <c r="AM63" s="36"/>
      <c r="AN63" s="4">
        <f t="shared" si="26"/>
        <v>6242068.27068519</v>
      </c>
      <c r="AO63" s="11">
        <f t="array" ref="AO63">INDEX(_xlfn.ANCHORARRAY(怪物标准模型!$B$12),MATCH(AN63,怪物标准模型!$AY$12:$AY$511))</f>
        <v>142</v>
      </c>
      <c r="AP63" s="4">
        <v>115</v>
      </c>
    </row>
    <row r="64" spans="1:42">
      <c r="A64" s="4">
        <f t="array" ref="A64">_xlfn.IFNA(_xlfn.XLOOKUP(C64&amp;D64,'玩家等级对应关卡（从新手节奏复制）'!$C:$C&amp;'玩家等级对应关卡（从新手节奏复制）'!$D:$D,'玩家等级对应关卡（从新手节奏复制）'!$E:$E),A63)</f>
        <v>26</v>
      </c>
      <c r="B64" s="4">
        <v>53</v>
      </c>
      <c r="C64" s="4">
        <f t="shared" si="27"/>
        <v>4</v>
      </c>
      <c r="D64" s="4">
        <f t="shared" si="28"/>
        <v>8</v>
      </c>
      <c r="E64" s="4">
        <f t="shared" si="0"/>
        <v>1</v>
      </c>
      <c r="F64" s="4">
        <v>5</v>
      </c>
      <c r="G64" s="34">
        <f t="shared" si="1"/>
        <v>0.66380251829847</v>
      </c>
      <c r="H64" s="34">
        <f t="shared" si="2"/>
        <v>0.519067062692531</v>
      </c>
      <c r="I64" s="34">
        <f t="shared" si="3"/>
        <v>0.227615159262996</v>
      </c>
      <c r="J64" s="34">
        <f t="shared" si="4"/>
        <v>0.280400232986102</v>
      </c>
      <c r="K64" s="34">
        <f t="shared" si="5"/>
        <v>0.037606683475942</v>
      </c>
      <c r="L64" s="8">
        <f>E64*'参考-养成属性规划（从养成属性复制）'!$F$36+G64*'参考-养成属性规划（从养成属性复制）'!$F$37+'参考-养成属性规划（从养成属性复制）'!$F$39*H64</f>
        <v>5380.10633202548</v>
      </c>
      <c r="M64" s="8">
        <f>I64*'参考-养成属性规划（从养成属性复制）'!$F$41+J64*'参考-养成属性规划（从养成属性复制）'!$F$42+K64*'参考-养成属性规划（从养成属性复制）'!$F$43</f>
        <v>2968.92886972802</v>
      </c>
      <c r="N64" s="8">
        <f t="shared" si="6"/>
        <v>1.81687755047007</v>
      </c>
      <c r="O64" s="35">
        <f t="shared" si="7"/>
        <v>12743.923283527</v>
      </c>
      <c r="P64" s="1">
        <f>O64/(O64+战斗公式!$M$27)</f>
        <v>0.346830772130431</v>
      </c>
      <c r="Q64" s="8">
        <f>E64*'参考-养成属性规划（从养成属性复制）'!$E$36+G64*'参考-养成属性规划（从养成属性复制）'!$E$37+'参考-养成属性规划（从养成属性复制）'!$E$39*H183</f>
        <v>6279.37813174899</v>
      </c>
      <c r="R64" s="8">
        <f>I64*'参考-养成属性规划（从养成属性复制）'!$E$41+J64*'参考-养成属性规划（从养成属性复制）'!$E$42+K64*'参考-养成属性规划（从养成属性复制）'!$E$43</f>
        <v>4453.39330459203</v>
      </c>
      <c r="S64" s="8">
        <f t="shared" si="8"/>
        <v>1.81687755047007</v>
      </c>
      <c r="T64" s="35">
        <f t="shared" si="9"/>
        <v>15862.2544630794</v>
      </c>
      <c r="U64" s="8">
        <f t="shared" si="10"/>
        <v>0.855720118807759</v>
      </c>
      <c r="V64" s="8">
        <f t="shared" si="11"/>
        <v>0.207626825077012</v>
      </c>
      <c r="W64" s="8">
        <f t="shared" si="12"/>
        <v>0.417743442240446</v>
      </c>
      <c r="X64" s="8">
        <f t="shared" si="13"/>
        <v>1</v>
      </c>
      <c r="Y64" s="8">
        <f t="shared" si="14"/>
        <v>1</v>
      </c>
      <c r="Z64" s="8">
        <f t="shared" si="15"/>
        <v>1</v>
      </c>
      <c r="AA64" s="8">
        <f t="shared" si="16"/>
        <v>1</v>
      </c>
      <c r="AB64" s="8">
        <f t="shared" si="17"/>
        <v>1</v>
      </c>
      <c r="AC64" s="4">
        <f t="shared" si="18"/>
        <v>1.48109038612522</v>
      </c>
      <c r="AD64" s="8">
        <f t="shared" si="19"/>
        <v>1</v>
      </c>
      <c r="AE64" s="8">
        <f t="shared" si="20"/>
        <v>1.07220091789738</v>
      </c>
      <c r="AF64" s="8">
        <f t="shared" si="21"/>
        <v>1.12373406391261</v>
      </c>
      <c r="AG64" s="8">
        <f>战斗属性!$F$11+AG$9*($H$10*$H64+$I$10*$I64+$J$10*$J64+$K64*$K$10)</f>
        <v>0.21425708821653</v>
      </c>
      <c r="AH64" s="8">
        <f>战斗属性!$F$12+AH$9*($H$10*$H64+$I$10*$I64+$J$10*$J64+$K$10*$K64)</f>
        <v>2.45757331717462</v>
      </c>
      <c r="AI64" s="8">
        <f t="shared" si="22"/>
        <v>1.37544477306635</v>
      </c>
      <c r="AJ64" s="4">
        <f t="shared" si="23"/>
        <v>2.02832860081866</v>
      </c>
      <c r="AK64" s="4">
        <f t="shared" si="24"/>
        <v>155625.410648754</v>
      </c>
      <c r="AL64" s="36">
        <f t="shared" si="25"/>
        <v>42.4691275150338</v>
      </c>
      <c r="AM64" s="36"/>
      <c r="AN64" s="4">
        <f t="shared" si="26"/>
        <v>6609275.40942142</v>
      </c>
      <c r="AO64" s="11">
        <f t="array" ref="AO64">INDEX(_xlfn.ANCHORARRAY(怪物标准模型!$B$12),MATCH(AN64,怪物标准模型!$AY$12:$AY$511))</f>
        <v>146</v>
      </c>
      <c r="AP64" s="4">
        <v>117</v>
      </c>
    </row>
    <row r="65" spans="1:42">
      <c r="A65" s="4">
        <f t="array" ref="A65">_xlfn.IFNA(_xlfn.XLOOKUP(C65&amp;D65,'玩家等级对应关卡（从新手节奏复制）'!$C:$C&amp;'玩家等级对应关卡（从新手节奏复制）'!$D:$D,'玩家等级对应关卡（从新手节奏复制）'!$E:$E),A64)</f>
        <v>27</v>
      </c>
      <c r="B65" s="4">
        <v>54</v>
      </c>
      <c r="C65" s="4">
        <f t="shared" si="27"/>
        <v>4</v>
      </c>
      <c r="D65" s="4">
        <f t="shared" si="28"/>
        <v>9</v>
      </c>
      <c r="E65" s="4">
        <f t="shared" si="0"/>
        <v>1</v>
      </c>
      <c r="F65" s="4">
        <v>5</v>
      </c>
      <c r="G65" s="34">
        <f t="shared" si="1"/>
        <v>0.668943195039685</v>
      </c>
      <c r="H65" s="34">
        <f t="shared" si="2"/>
        <v>0.525896247277415</v>
      </c>
      <c r="I65" s="34">
        <f t="shared" si="3"/>
        <v>0.241670559301542</v>
      </c>
      <c r="J65" s="34">
        <f t="shared" si="4"/>
        <v>0.288688869461323</v>
      </c>
      <c r="K65" s="34">
        <f t="shared" si="5"/>
        <v>0.0493977462496679</v>
      </c>
      <c r="L65" s="8">
        <f>E65*'参考-养成属性规划（从养成属性复制）'!$F$36+G65*'参考-养成属性规划（从养成属性复制）'!$F$37+'参考-养成属性规划（从养成属性复制）'!$F$39*H65</f>
        <v>5420.48870492854</v>
      </c>
      <c r="M65" s="8">
        <f>I65*'参考-养成属性规划（从养成属性复制）'!$F$41+J65*'参考-养成属性规划（从养成属性复制）'!$F$42+K65*'参考-养成属性规划（从养成属性复制）'!$F$43</f>
        <v>3192.79291647078</v>
      </c>
      <c r="N65" s="8">
        <f t="shared" si="6"/>
        <v>1.83999721721413</v>
      </c>
      <c r="O65" s="35">
        <f t="shared" si="7"/>
        <v>13166.4770494799</v>
      </c>
      <c r="P65" s="1">
        <f>O65/(O65+战斗公式!$M$27)</f>
        <v>0.354256795228435</v>
      </c>
      <c r="Q65" s="8">
        <f>E65*'参考-养成属性规划（从养成属性复制）'!$E$36+G65*'参考-养成属性规划（从养成属性复制）'!$E$37+'参考-养成属性规划（从养成属性复制）'!$E$39*H184</f>
        <v>6316.39100428573</v>
      </c>
      <c r="R65" s="8">
        <f>I65*'参考-养成属性规划（从养成属性复制）'!$E$41+J65*'参考-养成属性规划（从养成属性复制）'!$E$42+K65*'参考-养成属性规划（从养成属性复制）'!$E$43</f>
        <v>4789.18937470618</v>
      </c>
      <c r="S65" s="8">
        <f t="shared" si="8"/>
        <v>1.83999721721413</v>
      </c>
      <c r="T65" s="35">
        <f t="shared" si="9"/>
        <v>16411.3312454283</v>
      </c>
      <c r="U65" s="8">
        <f t="shared" si="10"/>
        <v>0.857768874183224</v>
      </c>
      <c r="V65" s="8">
        <f t="shared" si="11"/>
        <v>0.210358498910966</v>
      </c>
      <c r="W65" s="8">
        <f t="shared" si="12"/>
        <v>0.419621468001289</v>
      </c>
      <c r="X65" s="8">
        <f t="shared" si="13"/>
        <v>1</v>
      </c>
      <c r="Y65" s="8">
        <f t="shared" si="14"/>
        <v>1</v>
      </c>
      <c r="Z65" s="8">
        <f t="shared" si="15"/>
        <v>1</v>
      </c>
      <c r="AA65" s="8">
        <f t="shared" si="16"/>
        <v>1</v>
      </c>
      <c r="AB65" s="8">
        <f t="shared" si="17"/>
        <v>1</v>
      </c>
      <c r="AC65" s="4">
        <f t="shared" si="18"/>
        <v>1.48774884109548</v>
      </c>
      <c r="AD65" s="8">
        <f t="shared" si="19"/>
        <v>1</v>
      </c>
      <c r="AE65" s="8">
        <f t="shared" si="20"/>
        <v>1.07492390294312</v>
      </c>
      <c r="AF65" s="8">
        <f t="shared" si="21"/>
        <v>1.12723604572237</v>
      </c>
      <c r="AG65" s="8">
        <f>战斗属性!$F$11+AG$9*($H$10*$H65+$I$10*$I65+$J$10*$J65+$K65*$K$10)</f>
        <v>0.220451879195592</v>
      </c>
      <c r="AH65" s="8">
        <f>战斗属性!$F$12+AH$9*($H$10*$H65+$I$10*$I65+$J$10*$J65+$K$10*$K65)</f>
        <v>2.47483023490201</v>
      </c>
      <c r="AI65" s="8">
        <f t="shared" si="22"/>
        <v>1.38960429530421</v>
      </c>
      <c r="AJ65" s="4">
        <f t="shared" si="23"/>
        <v>2.07569818626851</v>
      </c>
      <c r="AK65" s="4">
        <f t="shared" si="24"/>
        <v>163631.716774551</v>
      </c>
      <c r="AL65" s="36">
        <f t="shared" si="25"/>
        <v>42.654033481298</v>
      </c>
      <c r="AM65" s="36"/>
      <c r="AN65" s="4">
        <f t="shared" si="26"/>
        <v>6979552.72590397</v>
      </c>
      <c r="AO65" s="11">
        <f t="array" ref="AO65">INDEX(_xlfn.ANCHORARRAY(怪物标准模型!$B$12),MATCH(AN65,怪物标准模型!$AY$12:$AY$511))</f>
        <v>149</v>
      </c>
      <c r="AP65" s="4">
        <v>118</v>
      </c>
    </row>
    <row r="66" spans="1:42">
      <c r="A66" s="4">
        <f t="array" ref="A66">_xlfn.IFNA(_xlfn.XLOOKUP(C66&amp;D66,'玩家等级对应关卡（从新手节奏复制）'!$C:$C&amp;'玩家等级对应关卡（从新手节奏复制）'!$D:$D,'玩家等级对应关卡（从新手节奏复制）'!$E:$E),A65)</f>
        <v>27</v>
      </c>
      <c r="B66" s="4">
        <v>55</v>
      </c>
      <c r="C66" s="4">
        <f t="shared" si="27"/>
        <v>4</v>
      </c>
      <c r="D66" s="4">
        <f t="shared" si="28"/>
        <v>10</v>
      </c>
      <c r="E66" s="4">
        <f t="shared" si="0"/>
        <v>1</v>
      </c>
      <c r="F66" s="4">
        <v>5</v>
      </c>
      <c r="G66" s="34">
        <f t="shared" si="1"/>
        <v>0.673929651478663</v>
      </c>
      <c r="H66" s="34">
        <f t="shared" si="2"/>
        <v>0.532520556324753</v>
      </c>
      <c r="I66" s="34">
        <f t="shared" si="3"/>
        <v>0.255304297338932</v>
      </c>
      <c r="J66" s="34">
        <f t="shared" si="4"/>
        <v>0.296728846842287</v>
      </c>
      <c r="K66" s="34">
        <f t="shared" si="5"/>
        <v>0.0608350771401819</v>
      </c>
      <c r="L66" s="8">
        <f>E66*'参考-养成属性规划（从养成属性复制）'!$F$36+G66*'参考-养成属性规划（从养成属性复制）'!$F$37+'参考-养成属性规划（从养成属性复制）'!$F$39*H66</f>
        <v>5459.65960664451</v>
      </c>
      <c r="M66" s="8">
        <f>I66*'参考-养成属性规划（从养成属性复制）'!$F$41+J66*'参考-养成属性规划（从养成属性复制）'!$F$42+K66*'参考-养成属性规划（从养成属性复制）'!$F$43</f>
        <v>3409.94104181127</v>
      </c>
      <c r="N66" s="8">
        <f t="shared" si="6"/>
        <v>1.86242329395587</v>
      </c>
      <c r="O66" s="35">
        <f t="shared" si="7"/>
        <v>13578.138270296</v>
      </c>
      <c r="P66" s="1">
        <f>O66/(O66+战斗公式!$M$27)</f>
        <v>0.361330786869475</v>
      </c>
      <c r="Q66" s="8">
        <f>E66*'参考-养成属性规划（从养成属性复制）'!$E$36+G66*'参考-养成属性规划（从养成属性复制）'!$E$37+'参考-养成属性规划（从养成属性复制）'!$E$39*H185</f>
        <v>6352.29349064637</v>
      </c>
      <c r="R66" s="8">
        <f>I66*'参考-养成属性规划（从养成属性复制）'!$E$41+J66*'参考-养成属性规划（从养成属性复制）'!$E$42+K66*'参考-养成属性规划（从养成属性复制）'!$E$43</f>
        <v>5114.9115627169</v>
      </c>
      <c r="S66" s="8">
        <f t="shared" si="8"/>
        <v>1.86242329395587</v>
      </c>
      <c r="T66" s="35">
        <f t="shared" si="9"/>
        <v>16945.570929741</v>
      </c>
      <c r="U66" s="8">
        <f t="shared" si="10"/>
        <v>0.859756166897426</v>
      </c>
      <c r="V66" s="8">
        <f t="shared" si="11"/>
        <v>0.213008222529901</v>
      </c>
      <c r="W66" s="8">
        <f t="shared" si="12"/>
        <v>0.421443152989307</v>
      </c>
      <c r="X66" s="8">
        <f t="shared" si="13"/>
        <v>1</v>
      </c>
      <c r="Y66" s="8">
        <f t="shared" si="14"/>
        <v>1</v>
      </c>
      <c r="Z66" s="8">
        <f t="shared" si="15"/>
        <v>1</v>
      </c>
      <c r="AA66" s="8">
        <f t="shared" si="16"/>
        <v>1</v>
      </c>
      <c r="AB66" s="8">
        <f t="shared" si="17"/>
        <v>1</v>
      </c>
      <c r="AC66" s="4">
        <f t="shared" si="18"/>
        <v>1.49420754241663</v>
      </c>
      <c r="AD66" s="8">
        <f t="shared" si="19"/>
        <v>1</v>
      </c>
      <c r="AE66" s="8">
        <f t="shared" si="20"/>
        <v>1.07756519843749</v>
      </c>
      <c r="AF66" s="8">
        <f t="shared" si="21"/>
        <v>1.13063296807784</v>
      </c>
      <c r="AG66" s="8">
        <f>战斗属性!$F$11+AG$9*($H$10*$H66+$I$10*$I66+$J$10*$J66+$K66*$K$10)</f>
        <v>0.226460826445283</v>
      </c>
      <c r="AH66" s="8">
        <f>战斗属性!$F$12+AH$9*($H$10*$H66+$I$10*$I66+$J$10*$J66+$K$10*$K66)</f>
        <v>2.49156944509757</v>
      </c>
      <c r="AI66" s="8">
        <f t="shared" si="22"/>
        <v>1.40333903187493</v>
      </c>
      <c r="AJ66" s="4">
        <f t="shared" si="23"/>
        <v>2.12260710546342</v>
      </c>
      <c r="AK66" s="4">
        <f t="shared" si="24"/>
        <v>171625.861248472</v>
      </c>
      <c r="AL66" s="36">
        <f t="shared" si="25"/>
        <v>42.8407885072249</v>
      </c>
      <c r="AM66" s="36"/>
      <c r="AN66" s="4">
        <f t="shared" si="26"/>
        <v>7352587.22411613</v>
      </c>
      <c r="AO66" s="11">
        <f t="array" ref="AO66">INDEX(_xlfn.ANCHORARRAY(怪物标准模型!$B$12),MATCH(AN66,怪物标准模型!$AY$12:$AY$511))</f>
        <v>152</v>
      </c>
      <c r="AP66" s="4">
        <v>120</v>
      </c>
    </row>
    <row r="67" spans="1:42">
      <c r="A67" s="4">
        <f t="array" ref="A67">_xlfn.IFNA(_xlfn.XLOOKUP(C67&amp;D67,'玩家等级对应关卡（从新手节奏复制）'!$C:$C&amp;'玩家等级对应关卡（从新手节奏复制）'!$D:$D,'玩家等级对应关卡（从新手节奏复制）'!$E:$E),A66)</f>
        <v>27</v>
      </c>
      <c r="B67" s="4">
        <v>56</v>
      </c>
      <c r="C67" s="4">
        <f t="shared" si="27"/>
        <v>4</v>
      </c>
      <c r="D67" s="4">
        <f t="shared" si="28"/>
        <v>11</v>
      </c>
      <c r="E67" s="4">
        <f t="shared" si="0"/>
        <v>1</v>
      </c>
      <c r="F67" s="4">
        <v>5</v>
      </c>
      <c r="G67" s="34">
        <f t="shared" si="1"/>
        <v>0.678766514224472</v>
      </c>
      <c r="H67" s="34">
        <f t="shared" si="2"/>
        <v>0.53894613610067</v>
      </c>
      <c r="I67" s="34">
        <f t="shared" si="3"/>
        <v>0.268529023235201</v>
      </c>
      <c r="J67" s="34">
        <f t="shared" si="4"/>
        <v>0.304527624901822</v>
      </c>
      <c r="K67" s="34">
        <f t="shared" si="5"/>
        <v>0.0719292881039805</v>
      </c>
      <c r="L67" s="8">
        <f>E67*'参考-养成属性规划（从养成属性复制）'!$F$36+G67*'参考-养成属性规划（从养成属性复制）'!$F$37+'参考-养成属性规划（从养成属性复制）'!$F$39*H67</f>
        <v>5497.65538130901</v>
      </c>
      <c r="M67" s="8">
        <f>I67*'参考-养成属性规划（从养成属性复制）'!$F$41+J67*'参考-养成属性规划（从养成属性复制）'!$F$42+K67*'参考-养成属性规划（从养成属性复制）'!$F$43</f>
        <v>3620.57472339154</v>
      </c>
      <c r="N67" s="8">
        <f t="shared" si="6"/>
        <v>1.88417658839536</v>
      </c>
      <c r="O67" s="35">
        <f t="shared" si="7"/>
        <v>13979.1282839198</v>
      </c>
      <c r="P67" s="1">
        <f>O67/(O67+战斗公式!$M$27)</f>
        <v>0.368073963662786</v>
      </c>
      <c r="Q67" s="8">
        <f>E67*'参考-养成属性规划（从养成属性复制）'!$E$36+G67*'参考-养成属性规划（从养成属性复制）'!$E$37+'参考-养成属性规划（从养成属性复制）'!$E$39*H186</f>
        <v>6387.1189024162</v>
      </c>
      <c r="R67" s="8">
        <f>I67*'参考-养成属性规划（从养成属性复制）'!$E$41+J67*'参考-养成属性规划（从养成属性复制）'!$E$42+K67*'参考-养成属性规划（从养成属性复制）'!$E$43</f>
        <v>5430.86208508731</v>
      </c>
      <c r="S67" s="8">
        <f t="shared" si="8"/>
        <v>1.88417658839536</v>
      </c>
      <c r="T67" s="35">
        <f t="shared" si="9"/>
        <v>17465.3219883174</v>
      </c>
      <c r="U67" s="8">
        <f t="shared" si="10"/>
        <v>0.861683840830201</v>
      </c>
      <c r="V67" s="8">
        <f t="shared" si="11"/>
        <v>0.215578454440268</v>
      </c>
      <c r="W67" s="8">
        <f t="shared" si="12"/>
        <v>0.423210187427684</v>
      </c>
      <c r="X67" s="8">
        <f t="shared" si="13"/>
        <v>1</v>
      </c>
      <c r="Y67" s="8">
        <f t="shared" si="14"/>
        <v>1</v>
      </c>
      <c r="Z67" s="8">
        <f t="shared" si="15"/>
        <v>1</v>
      </c>
      <c r="AA67" s="8">
        <f t="shared" si="16"/>
        <v>1</v>
      </c>
      <c r="AB67" s="8">
        <f t="shared" si="17"/>
        <v>1</v>
      </c>
      <c r="AC67" s="4">
        <f t="shared" si="18"/>
        <v>1.50047248269815</v>
      </c>
      <c r="AD67" s="8">
        <f t="shared" si="19"/>
        <v>1</v>
      </c>
      <c r="AE67" s="8">
        <f t="shared" si="20"/>
        <v>1.08012725506703</v>
      </c>
      <c r="AF67" s="8">
        <f t="shared" si="21"/>
        <v>1.13392798276264</v>
      </c>
      <c r="AG67" s="8">
        <f>战斗属性!$F$11+AG$9*($H$10*$H67+$I$10*$I67+$J$10*$J67+$K67*$K$10)</f>
        <v>0.232289505277483</v>
      </c>
      <c r="AH67" s="8">
        <f>战斗属性!$F$12+AH$9*($H$10*$H67+$I$10*$I67+$J$10*$J67+$K$10*$K67)</f>
        <v>2.50780647898727</v>
      </c>
      <c r="AI67" s="8">
        <f t="shared" si="22"/>
        <v>1.41666172634853</v>
      </c>
      <c r="AJ67" s="4">
        <f t="shared" si="23"/>
        <v>2.16902748096017</v>
      </c>
      <c r="AK67" s="4">
        <f t="shared" si="24"/>
        <v>179599.837763611</v>
      </c>
      <c r="AL67" s="36">
        <f t="shared" si="25"/>
        <v>43.029411083411</v>
      </c>
      <c r="AM67" s="36"/>
      <c r="AN67" s="4">
        <f t="shared" si="26"/>
        <v>7728075.24964436</v>
      </c>
      <c r="AO67" s="11">
        <f t="array" ref="AO67">INDEX(_xlfn.ANCHORARRAY(怪物标准模型!$B$12),MATCH(AN67,怪物标准模型!$AY$12:$AY$511))</f>
        <v>155</v>
      </c>
      <c r="AP67" s="4">
        <v>122</v>
      </c>
    </row>
    <row r="68" spans="1:42">
      <c r="A68" s="4">
        <f t="array" ref="A68">_xlfn.IFNA(_xlfn.XLOOKUP(C68&amp;D68,'玩家等级对应关卡（从新手节奏复制）'!$C:$C&amp;'玩家等级对应关卡（从新手节奏复制）'!$D:$D,'玩家等级对应关卡（从新手节奏复制）'!$E:$E),A67)</f>
        <v>28</v>
      </c>
      <c r="B68" s="4">
        <v>57</v>
      </c>
      <c r="C68" s="4">
        <f t="shared" si="27"/>
        <v>4</v>
      </c>
      <c r="D68" s="4">
        <f t="shared" si="28"/>
        <v>12</v>
      </c>
      <c r="E68" s="4">
        <f t="shared" si="0"/>
        <v>1</v>
      </c>
      <c r="F68" s="4">
        <v>5</v>
      </c>
      <c r="G68" s="34">
        <f t="shared" si="1"/>
        <v>0.683458271087906</v>
      </c>
      <c r="H68" s="34">
        <f t="shared" si="2"/>
        <v>0.54517894848331</v>
      </c>
      <c r="I68" s="34">
        <f t="shared" si="3"/>
        <v>0.281357007354581</v>
      </c>
      <c r="J68" s="34">
        <f t="shared" si="4"/>
        <v>0.312092439619571</v>
      </c>
      <c r="K68" s="34">
        <f t="shared" si="5"/>
        <v>0.0826906727388652</v>
      </c>
      <c r="L68" s="8">
        <f>E68*'参考-养成属性规划（从养成属性复制）'!$F$36+G68*'参考-养成属性规划（从养成属性复制）'!$F$37+'参考-养成属性规划（从养成属性复制）'!$F$39*H68</f>
        <v>5534.51128273356</v>
      </c>
      <c r="M68" s="8">
        <f>I68*'参考-养成属性规划（从养成属性复制）'!$F$41+J68*'参考-养成属性规划（从养成属性复制）'!$F$42+K68*'参考-养成属性规划（从养成属性复制）'!$F$43</f>
        <v>3824.8893945244</v>
      </c>
      <c r="N68" s="8">
        <f t="shared" si="6"/>
        <v>1.90527728400167</v>
      </c>
      <c r="O68" s="35">
        <f t="shared" si="7"/>
        <v>14369.6680195676</v>
      </c>
      <c r="P68" s="1">
        <f>O68/(O68+战斗公式!$M$27)</f>
        <v>0.37450592515524</v>
      </c>
      <c r="Q68" s="8">
        <f>E68*'参考-养成属性规划（从养成属性复制）'!$E$36+G68*'参考-养成属性规划（从养成属性复制）'!$E$37+'参考-养成属性规划（从养成属性复制）'!$E$39*H187</f>
        <v>6420.89955183292</v>
      </c>
      <c r="R68" s="8">
        <f>I68*'参考-养成属性规划（从养成属性复制）'!$E$41+J68*'参考-养成属性规划（从养成属性复制）'!$E$42+K68*'参考-养成属性规划（从养成属性复制）'!$E$43</f>
        <v>5737.3340917866</v>
      </c>
      <c r="S68" s="8">
        <f t="shared" si="8"/>
        <v>1.90527728400167</v>
      </c>
      <c r="T68" s="35">
        <f t="shared" si="9"/>
        <v>17970.9281507504</v>
      </c>
      <c r="U68" s="8">
        <f t="shared" si="10"/>
        <v>0.863553684544993</v>
      </c>
      <c r="V68" s="8">
        <f t="shared" si="11"/>
        <v>0.218071579393324</v>
      </c>
      <c r="W68" s="8">
        <f t="shared" si="12"/>
        <v>0.42492421083291</v>
      </c>
      <c r="X68" s="8">
        <f t="shared" si="13"/>
        <v>1</v>
      </c>
      <c r="Y68" s="8">
        <f t="shared" si="14"/>
        <v>1</v>
      </c>
      <c r="Z68" s="8">
        <f t="shared" si="15"/>
        <v>1</v>
      </c>
      <c r="AA68" s="8">
        <f t="shared" si="16"/>
        <v>1</v>
      </c>
      <c r="AB68" s="8">
        <f t="shared" si="17"/>
        <v>1</v>
      </c>
      <c r="AC68" s="4">
        <f t="shared" si="18"/>
        <v>1.50654947477123</v>
      </c>
      <c r="AD68" s="8">
        <f t="shared" si="19"/>
        <v>1</v>
      </c>
      <c r="AE68" s="8">
        <f t="shared" si="20"/>
        <v>1.08261244999768</v>
      </c>
      <c r="AF68" s="8">
        <f t="shared" si="21"/>
        <v>1.1371241470069</v>
      </c>
      <c r="AG68" s="8">
        <f>战斗属性!$F$11+AG$9*($H$10*$H68+$I$10*$I68+$J$10*$J68+$K68*$K$10)</f>
        <v>0.237943323744717</v>
      </c>
      <c r="AH68" s="8">
        <f>战斗属性!$F$12+AH$9*($H$10*$H68+$I$10*$I68+$J$10*$J68+$K$10*$K68)</f>
        <v>2.52355640186028</v>
      </c>
      <c r="AI68" s="8">
        <f t="shared" si="22"/>
        <v>1.42958473998792</v>
      </c>
      <c r="AJ68" s="4">
        <f t="shared" si="23"/>
        <v>2.21493351732511</v>
      </c>
      <c r="AK68" s="4">
        <f t="shared" si="24"/>
        <v>187545.999939847</v>
      </c>
      <c r="AL68" s="36">
        <f t="shared" si="25"/>
        <v>43.219919885359</v>
      </c>
      <c r="AM68" s="36"/>
      <c r="AN68" s="4">
        <f t="shared" si="26"/>
        <v>8105723.09221971</v>
      </c>
      <c r="AO68" s="11">
        <f t="array" ref="AO68">INDEX(_xlfn.ANCHORARRAY(怪物标准模型!$B$12),MATCH(AN68,怪物标准模型!$AY$12:$AY$511))</f>
        <v>158</v>
      </c>
      <c r="AP68" s="4">
        <v>123</v>
      </c>
    </row>
    <row r="69" spans="1:42">
      <c r="A69" s="4">
        <f t="array" ref="A69">_xlfn.IFNA(_xlfn.XLOOKUP(C69&amp;D69,'玩家等级对应关卡（从新手节奏复制）'!$C:$C&amp;'玩家等级对应关卡（从新手节奏复制）'!$D:$D,'玩家等级对应关卡（从新手节奏复制）'!$E:$E),A68)</f>
        <v>28</v>
      </c>
      <c r="B69" s="4">
        <v>58</v>
      </c>
      <c r="C69" s="4">
        <f t="shared" si="27"/>
        <v>4</v>
      </c>
      <c r="D69" s="4">
        <f t="shared" si="28"/>
        <v>13</v>
      </c>
      <c r="E69" s="4">
        <f t="shared" si="0"/>
        <v>1</v>
      </c>
      <c r="F69" s="4">
        <v>5</v>
      </c>
      <c r="G69" s="34">
        <f t="shared" si="1"/>
        <v>0.688009275245438</v>
      </c>
      <c r="H69" s="34">
        <f t="shared" si="2"/>
        <v>0.551224776494471</v>
      </c>
      <c r="I69" s="34">
        <f t="shared" si="3"/>
        <v>0.29380015195038</v>
      </c>
      <c r="J69" s="34">
        <f t="shared" si="4"/>
        <v>0.319430309895787</v>
      </c>
      <c r="K69" s="34">
        <f t="shared" si="5"/>
        <v>0.0931292158347033</v>
      </c>
      <c r="L69" s="8">
        <f>E69*'参考-养成属性规划（从养成属性复制）'!$F$36+G69*'参考-养成属性规划（从养成属性复制）'!$F$37+'参考-养成属性规划（从养成属性复制）'!$F$39*H69</f>
        <v>5570.26150711539</v>
      </c>
      <c r="M69" s="8">
        <f>I69*'参考-养成属性规划（从养成属性复制）'!$F$41+J69*'参考-养成属性规划（从养成属性复制）'!$F$42+K69*'参考-养成属性规划（从养成属性复制）'!$F$43</f>
        <v>4023.07462552328</v>
      </c>
      <c r="N69" s="8">
        <f t="shared" si="6"/>
        <v>1.92574495873979</v>
      </c>
      <c r="O69" s="35">
        <f t="shared" si="7"/>
        <v>14749.977641713</v>
      </c>
      <c r="P69" s="1">
        <f>O69/(O69+战斗公式!$M$27)</f>
        <v>0.380644803929775</v>
      </c>
      <c r="Q69" s="8">
        <f>E69*'参考-养成属性规划（从养成属性复制）'!$E$36+G69*'参考-养成属性规划（从养成属性复制）'!$E$37+'参考-养成属性规划（从养成属性复制）'!$E$39*H188</f>
        <v>6453.66678176715</v>
      </c>
      <c r="R69" s="8">
        <f>I69*'参考-养成属性规划（从养成属性复制）'!$E$41+J69*'参考-养成属性规划（从养成属性复制）'!$E$42+K69*'参考-养成属性规划（从养成属性复制）'!$E$43</f>
        <v>6034.61193828492</v>
      </c>
      <c r="S69" s="8">
        <f t="shared" si="8"/>
        <v>1.92574495873979</v>
      </c>
      <c r="T69" s="35">
        <f t="shared" si="9"/>
        <v>18462.7282086594</v>
      </c>
      <c r="U69" s="8">
        <f t="shared" si="10"/>
        <v>0.865367432948341</v>
      </c>
      <c r="V69" s="8">
        <f t="shared" si="11"/>
        <v>0.220489910597788</v>
      </c>
      <c r="W69" s="8">
        <f t="shared" si="12"/>
        <v>0.42658681353598</v>
      </c>
      <c r="X69" s="8">
        <f t="shared" si="13"/>
        <v>1</v>
      </c>
      <c r="Y69" s="8">
        <f t="shared" si="14"/>
        <v>1</v>
      </c>
      <c r="Z69" s="8">
        <f t="shared" si="15"/>
        <v>1</v>
      </c>
      <c r="AA69" s="8">
        <f t="shared" si="16"/>
        <v>1</v>
      </c>
      <c r="AB69" s="8">
        <f t="shared" si="17"/>
        <v>1</v>
      </c>
      <c r="AC69" s="4">
        <f t="shared" si="18"/>
        <v>1.51244415708211</v>
      </c>
      <c r="AD69" s="8">
        <f t="shared" si="19"/>
        <v>1</v>
      </c>
      <c r="AE69" s="8">
        <f t="shared" si="20"/>
        <v>1.08502308908041</v>
      </c>
      <c r="AF69" s="8">
        <f t="shared" si="21"/>
        <v>1.14022442632383</v>
      </c>
      <c r="AG69" s="8">
        <f>战斗属性!$F$11+AG$9*($H$10*$H69+$I$10*$I69+$J$10*$J69+$K69*$K$10)</f>
        <v>0.243427527657934</v>
      </c>
      <c r="AH69" s="8">
        <f>战斗属性!$F$12+AH$9*($H$10*$H69+$I$10*$I69+$J$10*$J69+$K$10*$K69)</f>
        <v>2.5388338270471</v>
      </c>
      <c r="AI69" s="8">
        <f t="shared" si="22"/>
        <v>1.44212006321813</v>
      </c>
      <c r="AJ69" s="4">
        <f t="shared" si="23"/>
        <v>2.26030146036795</v>
      </c>
      <c r="AK69" s="4">
        <f t="shared" si="24"/>
        <v>195457.068265783</v>
      </c>
      <c r="AL69" s="36">
        <f t="shared" si="25"/>
        <v>43.4123337753264</v>
      </c>
      <c r="AM69" s="36"/>
      <c r="AN69" s="4">
        <f t="shared" si="26"/>
        <v>8485247.48630094</v>
      </c>
      <c r="AO69" s="11">
        <f t="array" ref="AO69">INDEX(_xlfn.ANCHORARRAY(怪物标准模型!$B$12),MATCH(AN69,怪物标准模型!$AY$12:$AY$511))</f>
        <v>161</v>
      </c>
      <c r="AP69" s="4">
        <v>125</v>
      </c>
    </row>
    <row r="70" spans="1:42">
      <c r="A70" s="4">
        <f t="array" ref="A70">_xlfn.IFNA(_xlfn.XLOOKUP(C70&amp;D70,'玩家等级对应关卡（从新手节奏复制）'!$C:$C&amp;'玩家等级对应关卡（从新手节奏复制）'!$D:$D,'玩家等级对应关卡（从新手节奏复制）'!$E:$E),A69)</f>
        <v>28</v>
      </c>
      <c r="B70" s="4">
        <v>59</v>
      </c>
      <c r="C70" s="4">
        <f t="shared" si="27"/>
        <v>4</v>
      </c>
      <c r="D70" s="4">
        <f t="shared" si="28"/>
        <v>14</v>
      </c>
      <c r="E70" s="4">
        <f t="shared" si="0"/>
        <v>1</v>
      </c>
      <c r="F70" s="4">
        <v>5</v>
      </c>
      <c r="G70" s="34">
        <f t="shared" si="1"/>
        <v>0.692423749278243</v>
      </c>
      <c r="H70" s="34">
        <f t="shared" si="2"/>
        <v>0.557089229665297</v>
      </c>
      <c r="I70" s="34">
        <f t="shared" si="3"/>
        <v>0.305870002208305</v>
      </c>
      <c r="J70" s="34">
        <f t="shared" si="4"/>
        <v>0.326548044063717</v>
      </c>
      <c r="K70" s="34">
        <f t="shared" si="5"/>
        <v>0.103254602637666</v>
      </c>
      <c r="L70" s="8">
        <f>E70*'参考-养成属性规划（从养成属性复制）'!$F$36+G70*'参考-养成属性规划（从养成属性复制）'!$F$37+'参考-养成属性规划（从养成属性复制）'!$F$39*H70</f>
        <v>5604.93922476575</v>
      </c>
      <c r="M70" s="8">
        <f>I70*'参考-养成属性规划（从养成属性复制）'!$F$41+J70*'参考-养成属性规划（从养成属性复制）'!$F$42+K70*'参考-养成属性规划（从养成属性复制）'!$F$43</f>
        <v>4215.31429959219</v>
      </c>
      <c r="N70" s="8">
        <f t="shared" si="6"/>
        <v>1.94559860323576</v>
      </c>
      <c r="O70" s="35">
        <f t="shared" si="7"/>
        <v>15120.2762265178</v>
      </c>
      <c r="P70" s="1">
        <f>O70/(O70+战斗公式!$M$27)</f>
        <v>0.386507399359017</v>
      </c>
      <c r="Q70" s="8">
        <f>E70*'参考-养成属性规划（从养成属性复制）'!$E$36+G70*'参考-养成属性规划（从养成属性复制）'!$E$37+'参考-养成属性规划（从养成属性复制）'!$E$39*H189</f>
        <v>6485.45099480335</v>
      </c>
      <c r="R70" s="8">
        <f>I70*'参考-养成属性规划（从养成属性复制）'!$E$41+J70*'参考-养成属性规划（从养成属性复制）'!$E$42+K70*'参考-养成属性规划（从养成属性复制）'!$E$43</f>
        <v>6322.97144938828</v>
      </c>
      <c r="S70" s="8">
        <f t="shared" si="8"/>
        <v>1.94559860323576</v>
      </c>
      <c r="T70" s="35">
        <f t="shared" si="9"/>
        <v>18941.0558462317</v>
      </c>
      <c r="U70" s="8">
        <f t="shared" si="10"/>
        <v>0.867126768899589</v>
      </c>
      <c r="V70" s="8">
        <f t="shared" si="11"/>
        <v>0.222835691866119</v>
      </c>
      <c r="W70" s="8">
        <f t="shared" si="12"/>
        <v>0.428199538157957</v>
      </c>
      <c r="X70" s="8">
        <f t="shared" si="13"/>
        <v>1</v>
      </c>
      <c r="Y70" s="8">
        <f t="shared" si="14"/>
        <v>1</v>
      </c>
      <c r="Z70" s="8">
        <f t="shared" si="15"/>
        <v>1</v>
      </c>
      <c r="AA70" s="8">
        <f t="shared" si="16"/>
        <v>1</v>
      </c>
      <c r="AB70" s="8">
        <f t="shared" si="17"/>
        <v>1</v>
      </c>
      <c r="AC70" s="4">
        <f t="shared" si="18"/>
        <v>1.51816199892366</v>
      </c>
      <c r="AD70" s="8">
        <f t="shared" si="19"/>
        <v>1</v>
      </c>
      <c r="AE70" s="8">
        <f t="shared" si="20"/>
        <v>1.08736140899066</v>
      </c>
      <c r="AF70" s="8">
        <f t="shared" si="21"/>
        <v>1.14323169726126</v>
      </c>
      <c r="AG70" s="8">
        <f>战斗属性!$F$11+AG$9*($H$10*$H70+$I$10*$I70+$J$10*$J70+$K70*$K$10)</f>
        <v>0.248747205453754</v>
      </c>
      <c r="AH70" s="8">
        <f>战斗属性!$F$12+AH$9*($H$10*$H70+$I$10*$I70+$J$10*$J70+$K$10*$K70)</f>
        <v>2.55365292947832</v>
      </c>
      <c r="AI70" s="8">
        <f t="shared" si="22"/>
        <v>1.45427932675144</v>
      </c>
      <c r="AJ70" s="4">
        <f t="shared" si="23"/>
        <v>2.30510954926656</v>
      </c>
      <c r="AK70" s="4">
        <f t="shared" si="24"/>
        <v>203326.134503332</v>
      </c>
      <c r="AL70" s="36">
        <f t="shared" si="25"/>
        <v>43.6066718041936</v>
      </c>
      <c r="AM70" s="36"/>
      <c r="AN70" s="4">
        <f t="shared" si="26"/>
        <v>8866376.01650212</v>
      </c>
      <c r="AO70" s="11">
        <f t="array" ref="AO70">INDEX(_xlfn.ANCHORARRAY(怪物标准模型!$B$12),MATCH(AN70,怪物标准模型!$AY$12:$AY$511))</f>
        <v>164</v>
      </c>
      <c r="AP70" s="4">
        <v>127</v>
      </c>
    </row>
    <row r="71" spans="1:42">
      <c r="A71" s="4">
        <f t="array" ref="A71">_xlfn.IFNA(_xlfn.XLOOKUP(C71&amp;D71,'玩家等级对应关卡（从新手节奏复制）'!$C:$C&amp;'玩家等级对应关卡（从新手节奏复制）'!$D:$D,'玩家等级对应关卡（从新手节奏复制）'!$E:$E),A70)</f>
        <v>29</v>
      </c>
      <c r="B71" s="4">
        <v>60</v>
      </c>
      <c r="C71" s="4">
        <f t="shared" si="27"/>
        <v>4</v>
      </c>
      <c r="D71" s="4">
        <f t="shared" si="28"/>
        <v>15</v>
      </c>
      <c r="E71" s="4">
        <f t="shared" si="0"/>
        <v>1</v>
      </c>
      <c r="F71" s="4">
        <v>5</v>
      </c>
      <c r="G71" s="34">
        <f t="shared" si="1"/>
        <v>0.696705789090065</v>
      </c>
      <c r="H71" s="34">
        <f t="shared" si="2"/>
        <v>0.562777749240999</v>
      </c>
      <c r="I71" s="34">
        <f t="shared" si="3"/>
        <v>0.317577756958492</v>
      </c>
      <c r="J71" s="34">
        <f t="shared" si="4"/>
        <v>0.33345224620661</v>
      </c>
      <c r="K71" s="34">
        <f t="shared" si="5"/>
        <v>0.11307622783654</v>
      </c>
      <c r="L71" s="8">
        <f>E71*'参考-养成属性规划（从养成属性复制）'!$F$36+G71*'参考-养成属性规划（从养成属性复制）'!$F$37+'参考-养成属性规划（从养成属性复制）'!$F$39*H71</f>
        <v>5638.57661088661</v>
      </c>
      <c r="M71" s="8">
        <f>I71*'参考-养成属性规划（从养成属性复制）'!$F$41+J71*'参考-养成属性规划（从养成属性复制）'!$F$42+K71*'参考-养成属性规划（从养成属性复制）'!$F$43</f>
        <v>4401.78678343903</v>
      </c>
      <c r="N71" s="8">
        <f t="shared" si="6"/>
        <v>1.96485663839685</v>
      </c>
      <c r="O71" s="35">
        <f t="shared" si="7"/>
        <v>15480.7814684488</v>
      </c>
      <c r="P71" s="1">
        <f>O71/(O71+战斗公式!$M$27)</f>
        <v>0.392109297046725</v>
      </c>
      <c r="Q71" s="8">
        <f>E71*'参考-养成属性规划（从养成属性复制）'!$E$36+G71*'参考-养成属性规划（从养成属性复制）'!$E$37+'参考-养成属性规划（从养成属性复制）'!$E$39*H190</f>
        <v>6516.28168144847</v>
      </c>
      <c r="R71" s="8">
        <f>I71*'参考-养成属性规划（从养成属性复制）'!$E$41+J71*'参考-养成属性规划（从养成属性复制）'!$E$42+K71*'参考-养成属性规划（从养成属性复制）'!$E$43</f>
        <v>6602.68017515854</v>
      </c>
      <c r="S71" s="8">
        <f t="shared" si="8"/>
        <v>1.96485663839685</v>
      </c>
      <c r="T71" s="35">
        <f t="shared" si="9"/>
        <v>19406.2394946164</v>
      </c>
      <c r="U71" s="8">
        <f t="shared" si="10"/>
        <v>0.8688333247723</v>
      </c>
      <c r="V71" s="8">
        <f t="shared" si="11"/>
        <v>0.225111099696399</v>
      </c>
      <c r="W71" s="8">
        <f t="shared" si="12"/>
        <v>0.429763881041275</v>
      </c>
      <c r="X71" s="8">
        <f t="shared" si="13"/>
        <v>1</v>
      </c>
      <c r="Y71" s="8">
        <f t="shared" si="14"/>
        <v>1</v>
      </c>
      <c r="Z71" s="8">
        <f t="shared" si="15"/>
        <v>1</v>
      </c>
      <c r="AA71" s="8">
        <f t="shared" si="16"/>
        <v>1</v>
      </c>
      <c r="AB71" s="8">
        <f t="shared" si="17"/>
        <v>1</v>
      </c>
      <c r="AC71" s="4">
        <f t="shared" si="18"/>
        <v>1.52370830550997</v>
      </c>
      <c r="AD71" s="8">
        <f t="shared" si="19"/>
        <v>1</v>
      </c>
      <c r="AE71" s="8">
        <f t="shared" si="20"/>
        <v>1.0896295793036</v>
      </c>
      <c r="AF71" s="8">
        <f t="shared" si="21"/>
        <v>1.14614875007056</v>
      </c>
      <c r="AG71" s="8">
        <f>战斗属性!$F$11+AG$9*($H$10*$H71+$I$10*$I71+$J$10*$J71+$K71*$K$10)</f>
        <v>0.2539072929157</v>
      </c>
      <c r="AH71" s="8">
        <f>战斗属性!$F$12+AH$9*($H$10*$H71+$I$10*$I71+$J$10*$J71+$K$10*$K71)</f>
        <v>2.56802745883659</v>
      </c>
      <c r="AI71" s="8">
        <f t="shared" si="22"/>
        <v>1.46607381237874</v>
      </c>
      <c r="AJ71" s="4">
        <f t="shared" si="23"/>
        <v>2.34933796275837</v>
      </c>
      <c r="AK71" s="4">
        <f t="shared" si="24"/>
        <v>211146.663781271</v>
      </c>
      <c r="AL71" s="36">
        <f t="shared" si="25"/>
        <v>43.8029532133494</v>
      </c>
      <c r="AM71" s="36"/>
      <c r="AN71" s="4">
        <f t="shared" si="26"/>
        <v>9248847.43476585</v>
      </c>
      <c r="AO71" s="11">
        <f t="array" ref="AO71">INDEX(_xlfn.ANCHORARRAY(怪物标准模型!$B$12),MATCH(AN71,怪物标准模型!$AY$12:$AY$511))</f>
        <v>167</v>
      </c>
      <c r="AP71" s="4">
        <v>128</v>
      </c>
    </row>
    <row r="72" spans="1:42">
      <c r="A72" s="4">
        <f t="array" ref="A72">_xlfn.IFNA(_xlfn.XLOOKUP(C72&amp;D72,'玩家等级对应关卡（从新手节奏复制）'!$C:$C&amp;'玩家等级对应关卡（从新手节奏复制）'!$D:$D,'玩家等级对应关卡（从新手节奏复制）'!$E:$E),A71)</f>
        <v>29</v>
      </c>
      <c r="B72" s="4">
        <v>61</v>
      </c>
      <c r="C72" s="4">
        <f t="shared" si="27"/>
        <v>5</v>
      </c>
      <c r="D72" s="4">
        <f t="shared" si="28"/>
        <v>1</v>
      </c>
      <c r="E72" s="4">
        <f t="shared" si="0"/>
        <v>1</v>
      </c>
      <c r="F72" s="4">
        <v>5</v>
      </c>
      <c r="G72" s="34">
        <f t="shared" si="1"/>
        <v>0.700859367707531</v>
      </c>
      <c r="H72" s="34">
        <f t="shared" si="2"/>
        <v>0.568295613229429</v>
      </c>
      <c r="I72" s="34">
        <f t="shared" si="3"/>
        <v>0.328934279066174</v>
      </c>
      <c r="J72" s="34">
        <f t="shared" si="4"/>
        <v>0.340149322285215</v>
      </c>
      <c r="K72" s="34">
        <f t="shared" si="5"/>
        <v>0.122603204279448</v>
      </c>
      <c r="L72" s="8">
        <f>E72*'参考-养成属性规划（从养成属性复制）'!$F$36+G72*'参考-养成属性规划（从养成属性复制）'!$F$37+'参考-养成属性规划（从养成属性复制）'!$F$39*H72</f>
        <v>5671.20487542384</v>
      </c>
      <c r="M72" s="8">
        <f>I72*'参考-养成属性规划（从养成属性复制）'!$F$41+J72*'参考-养成属性规划（从养成属性复制）'!$F$42+K72*'参考-养成属性规划（从养成属性复制）'!$F$43</f>
        <v>4582.66509277046</v>
      </c>
      <c r="N72" s="8">
        <f t="shared" si="6"/>
        <v>1.98353693250311</v>
      </c>
      <c r="O72" s="35">
        <f t="shared" si="7"/>
        <v>15831.7094149654</v>
      </c>
      <c r="P72" s="1">
        <f>O72/(O72+战斗公式!$M$27)</f>
        <v>0.397464975706445</v>
      </c>
      <c r="Q72" s="8">
        <f>E72*'参考-养成属性规划（从养成属性复制）'!$E$36+G72*'参考-养成属性规划（从养成属性复制）'!$E$37+'参考-养成属性规划（从养成属性复制）'!$E$39*H191</f>
        <v>6546.18744749423</v>
      </c>
      <c r="R72" s="8">
        <f>I72*'参考-养成属性规划（从养成属性复制）'!$E$41+J72*'参考-养成属性规划（从养成属性复制）'!$E$42+K72*'参考-养成属性规划（从养成属性复制）'!$E$43</f>
        <v>6873.9976391557</v>
      </c>
      <c r="S72" s="8">
        <f t="shared" si="8"/>
        <v>1.98353693250311</v>
      </c>
      <c r="T72" s="35">
        <f t="shared" si="9"/>
        <v>19858.6022083488</v>
      </c>
      <c r="U72" s="8">
        <f t="shared" si="10"/>
        <v>0.870488683968829</v>
      </c>
      <c r="V72" s="8">
        <f t="shared" si="11"/>
        <v>0.227318245291772</v>
      </c>
      <c r="W72" s="8">
        <f t="shared" si="12"/>
        <v>0.431281293638093</v>
      </c>
      <c r="X72" s="8">
        <f t="shared" si="13"/>
        <v>1</v>
      </c>
      <c r="Y72" s="8">
        <f t="shared" si="14"/>
        <v>1</v>
      </c>
      <c r="Z72" s="8">
        <f t="shared" si="15"/>
        <v>1</v>
      </c>
      <c r="AA72" s="8">
        <f t="shared" si="16"/>
        <v>1</v>
      </c>
      <c r="AB72" s="8">
        <f t="shared" si="17"/>
        <v>1</v>
      </c>
      <c r="AC72" s="4">
        <f t="shared" si="18"/>
        <v>1.52908822289869</v>
      </c>
      <c r="AD72" s="8">
        <f t="shared" si="19"/>
        <v>1</v>
      </c>
      <c r="AE72" s="8">
        <f t="shared" si="20"/>
        <v>1.09182970450716</v>
      </c>
      <c r="AF72" s="8">
        <f t="shared" si="21"/>
        <v>1.14897829129558</v>
      </c>
      <c r="AG72" s="8">
        <f>战斗属性!$F$11+AG$9*($H$10*$H72+$I$10*$I72+$J$10*$J72+$K72*$K$10)</f>
        <v>0.258912577753787</v>
      </c>
      <c r="AH72" s="8">
        <f>战斗属性!$F$12+AH$9*($H$10*$H72+$I$10*$I72+$J$10*$J72+$K$10*$K72)</f>
        <v>2.58197075231412</v>
      </c>
      <c r="AI72" s="8">
        <f t="shared" si="22"/>
        <v>1.47751446343723</v>
      </c>
      <c r="AJ72" s="4">
        <f t="shared" si="23"/>
        <v>2.39296876045703</v>
      </c>
      <c r="AK72" s="4">
        <f t="shared" si="24"/>
        <v>218912.494598682</v>
      </c>
      <c r="AL72" s="36">
        <f t="shared" si="25"/>
        <v>44.0011974365968</v>
      </c>
      <c r="AM72" s="36"/>
      <c r="AN72" s="4">
        <f t="shared" si="26"/>
        <v>9632411.89617454</v>
      </c>
      <c r="AO72" s="4">
        <f t="array" ref="AO72">INDEX(_xlfn.ANCHORARRAY(怪物标准模型!$B$12),MATCH(AN72,怪物标准模型!$AY$12:$AY$511))</f>
        <v>170</v>
      </c>
      <c r="AP72" s="4">
        <v>130</v>
      </c>
    </row>
    <row r="73" spans="1:42">
      <c r="A73" s="4">
        <f t="array" ref="A73">_xlfn.IFNA(_xlfn.XLOOKUP(C73&amp;D73,'玩家等级对应关卡（从新手节奏复制）'!$C:$C&amp;'玩家等级对应关卡（从新手节奏复制）'!$D:$D,'玩家等级对应关卡（从新手节奏复制）'!$E:$E),A72)</f>
        <v>29</v>
      </c>
      <c r="B73" s="4">
        <v>62</v>
      </c>
      <c r="C73" s="4">
        <f t="shared" si="27"/>
        <v>5</v>
      </c>
      <c r="D73" s="4">
        <f t="shared" si="28"/>
        <v>2</v>
      </c>
      <c r="E73" s="4">
        <f t="shared" si="0"/>
        <v>1</v>
      </c>
      <c r="F73" s="4">
        <v>5</v>
      </c>
      <c r="G73" s="34">
        <f t="shared" si="1"/>
        <v>0.704888338966474</v>
      </c>
      <c r="H73" s="34">
        <f t="shared" si="2"/>
        <v>0.573647941298206</v>
      </c>
      <c r="I73" s="34">
        <f t="shared" si="3"/>
        <v>0.339950105510625</v>
      </c>
      <c r="J73" s="34">
        <f t="shared" si="4"/>
        <v>0.346645486081462</v>
      </c>
      <c r="K73" s="34">
        <f t="shared" si="5"/>
        <v>0.131844371429069</v>
      </c>
      <c r="L73" s="8">
        <f>E73*'参考-养成属性规划（从养成属性复制）'!$F$36+G73*'参考-养成属性规划（从养成属性复制）'!$F$37+'参考-养成属性规划（从养成属性复制）'!$F$39*H73</f>
        <v>5702.85429202495</v>
      </c>
      <c r="M73" s="8">
        <f>I73*'参考-养成属性规划（从养成属性复制）'!$F$41+J73*'参考-养成属性规划（从养成属性复制）'!$F$42+K73*'参考-养成属性规划（从养成属性复制）'!$F$43</f>
        <v>4758.11705282196</v>
      </c>
      <c r="N73" s="8">
        <f t="shared" si="6"/>
        <v>2.00165681778619</v>
      </c>
      <c r="O73" s="35">
        <f t="shared" si="7"/>
        <v>16173.2742272949</v>
      </c>
      <c r="P73" s="1">
        <f>O73/(O73+战斗公式!$M$27)</f>
        <v>0.402587902987164</v>
      </c>
      <c r="Q73" s="8">
        <f>E73*'参考-养成属性规划（从养成属性复制）'!$E$36+G73*'参考-养成属性规划（从养成属性复制）'!$E$37+'参考-养成属性规划（从养成属性复制）'!$E$39*H192</f>
        <v>6575.19604055862</v>
      </c>
      <c r="R73" s="8">
        <f>I73*'参考-养成属性规划（从养成属性复制）'!$E$41+J73*'参考-养成属性规划（从养成属性复制）'!$E$42+K73*'参考-养成属性规划（从养成属性复制）'!$E$43</f>
        <v>7137.17557923294</v>
      </c>
      <c r="S73" s="8">
        <f t="shared" si="8"/>
        <v>2.00165681778619</v>
      </c>
      <c r="T73" s="35">
        <f t="shared" si="9"/>
        <v>20298.4615620978</v>
      </c>
      <c r="U73" s="8">
        <f t="shared" si="10"/>
        <v>0.872094382389462</v>
      </c>
      <c r="V73" s="8">
        <f t="shared" si="11"/>
        <v>0.229459176519282</v>
      </c>
      <c r="W73" s="8">
        <f t="shared" si="12"/>
        <v>0.432753183857007</v>
      </c>
      <c r="X73" s="8">
        <f t="shared" si="13"/>
        <v>1</v>
      </c>
      <c r="Y73" s="8">
        <f t="shared" si="14"/>
        <v>1</v>
      </c>
      <c r="Z73" s="8">
        <f t="shared" si="15"/>
        <v>1</v>
      </c>
      <c r="AA73" s="8">
        <f t="shared" si="16"/>
        <v>1</v>
      </c>
      <c r="AB73" s="8">
        <f t="shared" si="17"/>
        <v>1</v>
      </c>
      <c r="AC73" s="4">
        <f t="shared" si="18"/>
        <v>1.53430674276575</v>
      </c>
      <c r="AD73" s="8">
        <f t="shared" si="19"/>
        <v>1</v>
      </c>
      <c r="AE73" s="8">
        <f t="shared" si="20"/>
        <v>1.09396382595461</v>
      </c>
      <c r="AF73" s="8">
        <f t="shared" si="21"/>
        <v>1.15172294628385</v>
      </c>
      <c r="AG73" s="8">
        <f>战斗属性!$F$11+AG$9*($H$10*$H73+$I$10*$I73+$J$10*$J73+$K73*$K$10)</f>
        <v>0.263767704046732</v>
      </c>
      <c r="AH73" s="8">
        <f>战斗属性!$F$12+AH$9*($H$10*$H73+$I$10*$I73+$J$10*$J73+$K$10*$K73)</f>
        <v>2.59549574698733</v>
      </c>
      <c r="AI73" s="8">
        <f t="shared" si="22"/>
        <v>1.48861189496396</v>
      </c>
      <c r="AJ73" s="4">
        <f t="shared" si="23"/>
        <v>2.43598582024517</v>
      </c>
      <c r="AK73" s="4">
        <f t="shared" si="24"/>
        <v>226617.836951371</v>
      </c>
      <c r="AL73" s="36">
        <f t="shared" si="25"/>
        <v>44.2014241020766</v>
      </c>
      <c r="AM73" s="36"/>
      <c r="AN73" s="4">
        <f t="shared" si="26"/>
        <v>10016831.1201828</v>
      </c>
      <c r="AO73" s="4">
        <f t="array" ref="AO73">INDEX(_xlfn.ANCHORARRAY(怪物标准模型!$B$12),MATCH(AN73,怪物标准模型!$AY$12:$AY$511))</f>
        <v>173</v>
      </c>
      <c r="AP73" s="4">
        <v>131</v>
      </c>
    </row>
    <row r="74" spans="1:42">
      <c r="A74" s="4">
        <f t="array" ref="A74">_xlfn.IFNA(_xlfn.XLOOKUP(C74&amp;D74,'玩家等级对应关卡（从新手节奏复制）'!$C:$C&amp;'玩家等级对应关卡（从新手节奏复制）'!$D:$D,'玩家等级对应关卡（从新手节奏复制）'!$E:$E),A73)</f>
        <v>29</v>
      </c>
      <c r="B74" s="4">
        <v>63</v>
      </c>
      <c r="C74" s="4">
        <f t="shared" si="27"/>
        <v>5</v>
      </c>
      <c r="D74" s="4">
        <f t="shared" si="28"/>
        <v>3</v>
      </c>
      <c r="E74" s="4">
        <f t="shared" si="0"/>
        <v>1</v>
      </c>
      <c r="F74" s="4">
        <v>5</v>
      </c>
      <c r="G74" s="34">
        <f t="shared" si="1"/>
        <v>0.708796441087649</v>
      </c>
      <c r="H74" s="34">
        <f t="shared" si="2"/>
        <v>0.57883969952492</v>
      </c>
      <c r="I74" s="34">
        <f t="shared" si="3"/>
        <v>0.350635457161742</v>
      </c>
      <c r="J74" s="34">
        <f t="shared" si="4"/>
        <v>0.352946764963822</v>
      </c>
      <c r="K74" s="34">
        <f t="shared" si="5"/>
        <v>0.140808303564201</v>
      </c>
      <c r="L74" s="8">
        <f>E74*'参考-养成属性规划（从养成属性复制）'!$F$36+G74*'参考-养成属性规划（从养成属性复制）'!$F$37+'参考-养成属性规划（从养成属性复制）'!$F$39*H74</f>
        <v>5733.55422612803</v>
      </c>
      <c r="M74" s="8">
        <f>I74*'参考-养成属性规划（从养成属性复制）'!$F$41+J74*'参考-养成属性规划（从养成属性复制）'!$F$42+K74*'参考-养成属性规划（从养成属性复制）'!$F$43</f>
        <v>4928.30545407191</v>
      </c>
      <c r="N74" s="8">
        <f t="shared" si="6"/>
        <v>2.01923310651077</v>
      </c>
      <c r="O74" s="35">
        <f t="shared" si="7"/>
        <v>16505.6879654444</v>
      </c>
      <c r="P74" s="1">
        <f>O74/(O74+战斗公式!$M$27)</f>
        <v>0.407490621552347</v>
      </c>
      <c r="Q74" s="8">
        <f>E74*'参考-养成属性规划（从养成属性复制）'!$E$36+G74*'参考-养成属性规划（从养成属性复制）'!$E$37+'参考-养成属性规划（从养成属性复制）'!$E$39*H193</f>
        <v>6603.33437583107</v>
      </c>
      <c r="R74" s="8">
        <f>I74*'参考-养成属性规划（从养成属性复制）'!$E$41+J74*'参考-养成属性规划（从养成属性复制）'!$E$42+K74*'参考-养成属性规划（从养成属性复制）'!$E$43</f>
        <v>7392.45818110786</v>
      </c>
      <c r="S74" s="8">
        <f t="shared" si="8"/>
        <v>2.01923310651077</v>
      </c>
      <c r="T74" s="35">
        <f t="shared" si="9"/>
        <v>20726.1295661466</v>
      </c>
      <c r="U74" s="8">
        <f t="shared" si="10"/>
        <v>0.873651909857476</v>
      </c>
      <c r="V74" s="8">
        <f t="shared" si="11"/>
        <v>0.231535879809968</v>
      </c>
      <c r="W74" s="8">
        <f t="shared" si="12"/>
        <v>0.434180917369353</v>
      </c>
      <c r="X74" s="8">
        <f t="shared" si="13"/>
        <v>1</v>
      </c>
      <c r="Y74" s="8">
        <f t="shared" si="14"/>
        <v>1</v>
      </c>
      <c r="Z74" s="8">
        <f t="shared" si="15"/>
        <v>1</v>
      </c>
      <c r="AA74" s="8">
        <f t="shared" si="16"/>
        <v>1</v>
      </c>
      <c r="AB74" s="8">
        <f t="shared" si="17"/>
        <v>1</v>
      </c>
      <c r="AC74" s="4">
        <f t="shared" si="18"/>
        <v>1.5393687070368</v>
      </c>
      <c r="AD74" s="8">
        <f t="shared" si="19"/>
        <v>1</v>
      </c>
      <c r="AE74" s="8">
        <f t="shared" si="20"/>
        <v>1.09603392375863</v>
      </c>
      <c r="AF74" s="8">
        <f t="shared" si="21"/>
        <v>1.15438526162248</v>
      </c>
      <c r="AG74" s="8">
        <f>战斗属性!$F$11+AG$9*($H$10*$H74+$I$10*$I74+$J$10*$J74+$K74*$K$10)</f>
        <v>0.268477176550889</v>
      </c>
      <c r="AH74" s="8">
        <f>战斗属性!$F$12+AH$9*($H$10*$H74+$I$10*$I74+$J$10*$J74+$K$10*$K74)</f>
        <v>2.60861499182033</v>
      </c>
      <c r="AI74" s="8">
        <f t="shared" si="22"/>
        <v>1.49937640354489</v>
      </c>
      <c r="AJ74" s="4">
        <f t="shared" si="23"/>
        <v>2.4783747725947</v>
      </c>
      <c r="AK74" s="4">
        <f t="shared" si="24"/>
        <v>234257.268785324</v>
      </c>
      <c r="AL74" s="36">
        <f t="shared" si="25"/>
        <v>44.4036530342113</v>
      </c>
      <c r="AM74" s="36"/>
      <c r="AN74" s="4">
        <f t="shared" si="26"/>
        <v>10401878.4838855</v>
      </c>
      <c r="AO74" s="4">
        <f t="array" ref="AO74">INDEX(_xlfn.ANCHORARRAY(怪物标准模型!$B$12),MATCH(AN74,怪物标准模型!$AY$12:$AY$511))</f>
        <v>175</v>
      </c>
      <c r="AP74" s="4">
        <v>133</v>
      </c>
    </row>
    <row r="75" spans="1:42">
      <c r="A75" s="4">
        <f t="array" ref="A75">_xlfn.IFNA(_xlfn.XLOOKUP(C75&amp;D75,'玩家等级对应关卡（从新手节奏复制）'!$C:$C&amp;'玩家等级对应关卡（从新手节奏复制）'!$D:$D,'玩家等级对应关卡（从新手节奏复制）'!$E:$E),A74)</f>
        <v>30</v>
      </c>
      <c r="B75" s="4">
        <v>64</v>
      </c>
      <c r="C75" s="4">
        <f t="shared" si="27"/>
        <v>5</v>
      </c>
      <c r="D75" s="4">
        <f t="shared" si="28"/>
        <v>4</v>
      </c>
      <c r="E75" s="4">
        <f t="shared" si="0"/>
        <v>1</v>
      </c>
      <c r="F75" s="4">
        <v>5</v>
      </c>
      <c r="G75" s="34">
        <f t="shared" si="1"/>
        <v>0.712587300145188</v>
      </c>
      <c r="H75" s="34">
        <f t="shared" si="2"/>
        <v>0.583875705004833</v>
      </c>
      <c r="I75" s="34">
        <f t="shared" si="3"/>
        <v>0.361000248263326</v>
      </c>
      <c r="J75" s="34">
        <f t="shared" si="4"/>
        <v>0.359059005479711</v>
      </c>
      <c r="K75" s="34">
        <f t="shared" si="5"/>
        <v>0.149503317735279</v>
      </c>
      <c r="L75" s="8">
        <f>E75*'参考-养成属性规划（从养成属性复制）'!$F$36+G75*'参考-养成属性规划（从养成属性复制）'!$F$37+'参考-养成属性规划（从养成属性复制）'!$F$39*H75</f>
        <v>5763.33316220802</v>
      </c>
      <c r="M75" s="8">
        <f>I75*'参考-养成属性规划（从养成属性复制）'!$F$41+J75*'参考-养成属性规划（从养成属性复制）'!$F$42+K75*'参考-养成属性规划（从养成属性复制）'!$F$43</f>
        <v>5093.38820328436</v>
      </c>
      <c r="N75" s="8">
        <f t="shared" si="6"/>
        <v>2.03628210657361</v>
      </c>
      <c r="O75" s="35">
        <f t="shared" si="7"/>
        <v>16829.1603957109</v>
      </c>
      <c r="P75" s="1">
        <f>O75/(O75+战斗公式!$M$27)</f>
        <v>0.412184826545656</v>
      </c>
      <c r="Q75" s="8">
        <f>E75*'参考-养成属性规划（从养成属性复制）'!$E$36+G75*'参考-养成属性规划（从养成属性复制）'!$E$37+'参考-养成属性规划（从养成属性复制）'!$E$39*H194</f>
        <v>6630.62856104535</v>
      </c>
      <c r="R75" s="8">
        <f>I75*'参考-养成属性规划（从养成属性复制）'!$E$41+J75*'参考-养成属性规划（从养成属性复制）'!$E$42+K75*'参考-养成属性规划（从养成属性复制）'!$E$43</f>
        <v>7640.08230492654</v>
      </c>
      <c r="S75" s="8">
        <f t="shared" si="8"/>
        <v>2.03628210657361</v>
      </c>
      <c r="T75" s="35">
        <f t="shared" si="9"/>
        <v>21141.9125991191</v>
      </c>
      <c r="U75" s="8">
        <f t="shared" si="10"/>
        <v>0.87516271150145</v>
      </c>
      <c r="V75" s="8">
        <f t="shared" si="11"/>
        <v>0.233550282001933</v>
      </c>
      <c r="W75" s="8">
        <f t="shared" si="12"/>
        <v>0.435565818876329</v>
      </c>
      <c r="X75" s="8">
        <f t="shared" si="13"/>
        <v>1</v>
      </c>
      <c r="Y75" s="8">
        <f t="shared" si="14"/>
        <v>1</v>
      </c>
      <c r="Z75" s="8">
        <f t="shared" si="15"/>
        <v>1</v>
      </c>
      <c r="AA75" s="8">
        <f t="shared" si="16"/>
        <v>1</v>
      </c>
      <c r="AB75" s="8">
        <f t="shared" si="17"/>
        <v>1</v>
      </c>
      <c r="AC75" s="4">
        <f t="shared" si="18"/>
        <v>1.54427881237971</v>
      </c>
      <c r="AD75" s="8">
        <f t="shared" si="19"/>
        <v>1</v>
      </c>
      <c r="AE75" s="8">
        <f t="shared" si="20"/>
        <v>1.09804191862854</v>
      </c>
      <c r="AF75" s="8">
        <f t="shared" si="21"/>
        <v>1.15696770750094</v>
      </c>
      <c r="AG75" s="8">
        <f>战斗属性!$F$11+AG$9*($H$10*$H75+$I$10*$I75+$J$10*$J75+$K75*$K$10)</f>
        <v>0.273045364879921</v>
      </c>
      <c r="AH75" s="8">
        <f>战斗属性!$F$12+AH$9*($H$10*$H75+$I$10*$I75+$J$10*$J75+$K$10*$K75)</f>
        <v>2.62134065930835</v>
      </c>
      <c r="AI75" s="8">
        <f t="shared" si="22"/>
        <v>1.50981797686839</v>
      </c>
      <c r="AJ75" s="4">
        <f t="shared" si="23"/>
        <v>2.52012293257375</v>
      </c>
      <c r="AK75" s="4">
        <f t="shared" si="24"/>
        <v>241825.730970837</v>
      </c>
      <c r="AL75" s="36">
        <f t="shared" si="25"/>
        <v>44.6079042556673</v>
      </c>
      <c r="AM75" s="36"/>
      <c r="AN75" s="4">
        <f t="shared" si="26"/>
        <v>10787339.0537038</v>
      </c>
      <c r="AO75" s="4">
        <f t="array" ref="AO75">INDEX(_xlfn.ANCHORARRAY(怪物标准模型!$B$12),MATCH(AN75,怪物标准模型!$AY$12:$AY$511))</f>
        <v>178</v>
      </c>
      <c r="AP75" s="4">
        <v>134</v>
      </c>
    </row>
    <row r="76" spans="1:42">
      <c r="A76" s="4">
        <f t="array" ref="A76">_xlfn.IFNA(_xlfn.XLOOKUP(C76&amp;D76,'玩家等级对应关卡（从新手节奏复制）'!$C:$C&amp;'玩家等级对应关卡（从新手节奏复制）'!$D:$D,'玩家等级对应关卡（从新手节奏复制）'!$E:$E),A75)</f>
        <v>30</v>
      </c>
      <c r="B76" s="4">
        <v>65</v>
      </c>
      <c r="C76" s="4">
        <f t="shared" si="27"/>
        <v>5</v>
      </c>
      <c r="D76" s="4">
        <f t="shared" si="28"/>
        <v>5</v>
      </c>
      <c r="E76" s="4">
        <f t="shared" ref="E76:E116" si="29">IF($B76&lt;E$8,0,E$3+(E$4-E$3)*(POWER(E$5,$B76-E$8)-1)/(POWER(E$5,$C$5-E$8)-1))</f>
        <v>1</v>
      </c>
      <c r="F76" s="4">
        <v>5</v>
      </c>
      <c r="G76" s="34">
        <f t="shared" ref="G76:G116" si="30">IF($B76&lt;G$8,0,G$3+(G$4-G$3)*(POWER(G$5,$B76-G$8)-1)/(POWER(G$5,$C$5-G$8)-1))</f>
        <v>0.716264433431001</v>
      </c>
      <c r="H76" s="34">
        <f t="shared" ref="H76:H116" si="31">IF($B76&lt;H$8,0,H$3+(H$4-H$3)*(POWER(H$5,$B76-H$8)-1)/(POWER(H$5,$C$5-H$8)-1))</f>
        <v>0.588760630320348</v>
      </c>
      <c r="I76" s="34">
        <f t="shared" ref="I76:I116" si="32">IF($B76&lt;I$8,0,I$3+(I$4-I$3)*(POWER(I$5,$B76-I$8)-1)/(POWER(I$5,$C$5-I$8)-1))</f>
        <v>0.371054095631863</v>
      </c>
      <c r="J76" s="34">
        <f t="shared" ref="J76:J116" si="33">IF($B76&lt;J$8,0,J$3+(J$4-J$3)*(POWER(J$5,$B76-J$8)-1)/(POWER(J$5,$C$5-J$8)-1))</f>
        <v>0.364987878780123</v>
      </c>
      <c r="K76" s="34">
        <f t="shared" ref="K76:K116" si="34">IF($B76&lt;K$8,0,K$3+(K$4-K$3)*(POWER(K$5,$B76-K$8)-1)/(POWER(K$5,$C$5-K$8)-1))</f>
        <v>0.157937481481225</v>
      </c>
      <c r="L76" s="8">
        <f>E76*'参考-养成属性规划（从养成属性复制）'!$F$36+G76*'参考-养成属性规划（从养成属性复制）'!$F$37+'参考-养成属性规划（从养成属性复制）'!$F$39*H76</f>
        <v>5792.2187302056</v>
      </c>
      <c r="M76" s="8">
        <f>I76*'参考-养成属性规划（从养成属性复制）'!$F$41+J76*'参考-养成属性规划（从养成属性复制）'!$F$42+K76*'参考-养成属性规划（从养成属性复制）'!$F$43</f>
        <v>5253.51847002044</v>
      </c>
      <c r="N76" s="8">
        <f t="shared" ref="N76:N116" si="35">1+N$9*($H$10*$H76+$I$10*$I76+$J$10*$J76)</f>
        <v>2.05281963663457</v>
      </c>
      <c r="O76" s="35">
        <f t="shared" ref="O76:O116" si="36">L76*N76+M76</f>
        <v>17143.8988190691</v>
      </c>
      <c r="P76" s="1">
        <f>O76/(O76+战斗公式!$M$27)</f>
        <v>0.41668143542885</v>
      </c>
      <c r="Q76" s="8">
        <f>E76*'参考-养成属性规划（从养成属性复制）'!$E$36+G76*'参考-养成属性规划（从养成属性复制）'!$E$37+'参考-养成属性规划（从养成属性复制）'!$E$39*H195</f>
        <v>6657.10392070321</v>
      </c>
      <c r="R76" s="8">
        <f>I76*'参考-养成属性规划（从养成属性复制）'!$E$41+J76*'参考-养成属性规划（从养成属性复制）'!$E$42+K76*'参考-养成属性规划（从养成属性复制）'!$E$43</f>
        <v>7880.27770503065</v>
      </c>
      <c r="S76" s="8">
        <f t="shared" ref="S76:S116" si="37">1+S$9*($H$10*$H76+$I$10*$I76+$J$10*$J76)</f>
        <v>2.05281963663457</v>
      </c>
      <c r="T76" s="35">
        <f t="shared" ref="T76:T116" si="38">Q76*S76+R76</f>
        <v>21546.1113565672</v>
      </c>
      <c r="U76" s="8">
        <f t="shared" ref="U76:U116" si="39">U$8+(U$9-U$8)*$H76</f>
        <v>0.876628189096104</v>
      </c>
      <c r="V76" s="8">
        <f t="shared" ref="V76:V116" si="40">IF(B76&lt;$H$8,0,V$8+(V$9-V$8)*$H76)</f>
        <v>0.235504252128139</v>
      </c>
      <c r="W76" s="8">
        <f t="shared" ref="W76:W116" si="41">W$8+(W$9-W$8)*$H76</f>
        <v>0.436909173338096</v>
      </c>
      <c r="X76" s="8">
        <f t="shared" ref="X76:X116" si="42">X$8+(X$9-X$8)*K76</f>
        <v>1</v>
      </c>
      <c r="Y76" s="8">
        <f t="shared" ref="Y76:Y116" si="43">Y$8+(Y$9-Y$8)*$H76</f>
        <v>1</v>
      </c>
      <c r="Z76" s="8">
        <f t="shared" ref="Z76:Z116" si="44">Z$8+(Z$9-Z$8)*$I76</f>
        <v>1</v>
      </c>
      <c r="AA76" s="8">
        <f t="shared" ref="AA76:AA116" si="45">AA$8+(AA$9-AA$8)*$J76</f>
        <v>1</v>
      </c>
      <c r="AB76" s="8">
        <f t="shared" ref="AB76:AB116" si="46">AB$8+(AB$9-AB$8)*$K76</f>
        <v>1</v>
      </c>
      <c r="AC76" s="4">
        <f t="shared" ref="AC76:AC116" si="47">SUM(U76:W76)*PRODUCT(X76:AB76)</f>
        <v>1.54904161456234</v>
      </c>
      <c r="AD76" s="8">
        <f t="shared" ref="AD76:AD116" si="48">1+AD$9*($H$10*$H76+$I$10*$I76+$J$10*$J76)</f>
        <v>1</v>
      </c>
      <c r="AE76" s="8">
        <f t="shared" ref="AE76:AE116" si="49">1+AE$9*($H$10*$H76+$I$10*$I76+$J$10*$J76+$K$10*$K76)</f>
        <v>1.09998967365234</v>
      </c>
      <c r="AF76" s="8">
        <f t="shared" ref="AF76:AF116" si="50">1+AF$9*($H$10*$H76+$I$10*$I76+$J$10*$J76)</f>
        <v>1.15947268000305</v>
      </c>
      <c r="AG76" s="8">
        <f>战斗属性!$F$11+AG$9*($H$10*$H76+$I$10*$I76+$J$10*$J76+$K76*$K$10)</f>
        <v>0.277476507559082</v>
      </c>
      <c r="AH76" s="8">
        <f>战斗属性!$F$12+AH$9*($H$10*$H76+$I$10*$I76+$J$10*$J76+$K$10*$K76)</f>
        <v>2.63368455677173</v>
      </c>
      <c r="AI76" s="8">
        <f t="shared" ref="AI76:AI116" si="51">1+AI$9*($H$10*$H76+$I$10*$I76+$J$10*$J76+$K76*$K$10)</f>
        <v>1.51994630299219</v>
      </c>
      <c r="AJ76" s="4">
        <f t="shared" ref="AJ76:AJ116" si="52">(1+AG76*(AH76-1))*AD76*AF76*AI76</f>
        <v>2.56121923021494</v>
      </c>
      <c r="AK76" s="4">
        <f t="shared" ref="AK76:AK116" si="53">AJ76*AC76*T76*F76*(1-P76)</f>
        <v>249318.520980047</v>
      </c>
      <c r="AL76" s="36">
        <f t="shared" ref="AL76:AL116" si="54">IF($B76&lt;AL$8,0,AL$3+(AL$4-AL$3)*(POWER(AL$5,$B76-AL$8)-1)/(POWER(AL$5,$C$5-AL$8)-1))</f>
        <v>44.8141979893378</v>
      </c>
      <c r="AM76" s="36"/>
      <c r="AN76" s="4">
        <f t="shared" ref="AN76:AN116" si="55">AL76*AK76</f>
        <v>11173009.5616087</v>
      </c>
      <c r="AO76" s="4">
        <f t="array" ref="AO76">INDEX(_xlfn.ANCHORARRAY(怪物标准模型!$B$12),MATCH(AN76,怪物标准模型!$AY$12:$AY$511))</f>
        <v>180</v>
      </c>
      <c r="AP76" s="4">
        <v>137</v>
      </c>
    </row>
    <row r="77" spans="1:42">
      <c r="A77" s="4">
        <f t="array" ref="A77">_xlfn.IFNA(_xlfn.XLOOKUP(C77&amp;D77,'玩家等级对应关卡（从新手节奏复制）'!$C:$C&amp;'玩家等级对应关卡（从新手节奏复制）'!$D:$D,'玩家等级对应关卡（从新手节奏复制）'!$E:$E),A76)</f>
        <v>30</v>
      </c>
      <c r="B77" s="4">
        <v>66</v>
      </c>
      <c r="C77" s="4">
        <f t="shared" si="27"/>
        <v>5</v>
      </c>
      <c r="D77" s="4">
        <f t="shared" si="28"/>
        <v>6</v>
      </c>
      <c r="E77" s="4">
        <f t="shared" si="29"/>
        <v>1</v>
      </c>
      <c r="F77" s="4">
        <v>5</v>
      </c>
      <c r="G77" s="34">
        <f t="shared" si="30"/>
        <v>0.71983125271824</v>
      </c>
      <c r="H77" s="34">
        <f t="shared" si="31"/>
        <v>0.593499007876398</v>
      </c>
      <c r="I77" s="34">
        <f t="shared" si="32"/>
        <v>0.380806327579344</v>
      </c>
      <c r="J77" s="34">
        <f t="shared" si="33"/>
        <v>0.370738885881523</v>
      </c>
      <c r="K77" s="34">
        <f t="shared" si="34"/>
        <v>0.166118620314792</v>
      </c>
      <c r="L77" s="8">
        <f>E77*'参考-养成属性规划（从养成属性复制）'!$F$36+G77*'参考-养成属性规划（从养成属性复制）'!$F$37+'参考-养成属性规划（从养成属性复制）'!$F$39*H77</f>
        <v>5820.23773116326</v>
      </c>
      <c r="M77" s="8">
        <f>I77*'参考-养成属性规划（从养成属性复制）'!$F$41+J77*'参考-养成属性规划（从养成属性复制）'!$F$42+K77*'参考-养成属性规划（从养成属性复制）'!$F$43</f>
        <v>5408.84482875443</v>
      </c>
      <c r="N77" s="8">
        <f t="shared" si="35"/>
        <v>2.0688610407937</v>
      </c>
      <c r="O77" s="35">
        <f t="shared" si="36"/>
        <v>17450.1079189156</v>
      </c>
      <c r="P77" s="1">
        <f>O77/(O77+战斗公式!$M$27)</f>
        <v>0.420990651050931</v>
      </c>
      <c r="Q77" s="8">
        <f>E77*'参考-养成属性规划（从养成属性复制）'!$E$36+G77*'参考-养成属性规划（从养成属性复制）'!$E$37+'参考-养成属性规划（从养成属性复制）'!$E$39*H196</f>
        <v>6682.78501957132</v>
      </c>
      <c r="R77" s="8">
        <f>I77*'参考-养成属性规划（从养成属性复制）'!$E$41+J77*'参考-养成属性规划（从养成属性复制）'!$E$42+K77*'参考-养成属性规划（从养成属性复制）'!$E$43</f>
        <v>8113.26724313165</v>
      </c>
      <c r="S77" s="8">
        <f t="shared" si="37"/>
        <v>2.0688610407937</v>
      </c>
      <c r="T77" s="35">
        <f t="shared" si="38"/>
        <v>21939.0208141225</v>
      </c>
      <c r="U77" s="8">
        <f t="shared" si="39"/>
        <v>0.878049702362919</v>
      </c>
      <c r="V77" s="8">
        <f t="shared" si="40"/>
        <v>0.237399603150559</v>
      </c>
      <c r="W77" s="8">
        <f t="shared" si="41"/>
        <v>0.438212227166009</v>
      </c>
      <c r="X77" s="8">
        <f t="shared" si="42"/>
        <v>1</v>
      </c>
      <c r="Y77" s="8">
        <f t="shared" si="43"/>
        <v>1</v>
      </c>
      <c r="Z77" s="8">
        <f t="shared" si="44"/>
        <v>1</v>
      </c>
      <c r="AA77" s="8">
        <f t="shared" si="45"/>
        <v>1</v>
      </c>
      <c r="AB77" s="8">
        <f t="shared" si="46"/>
        <v>1</v>
      </c>
      <c r="AC77" s="4">
        <f t="shared" si="47"/>
        <v>1.55366153267949</v>
      </c>
      <c r="AD77" s="8">
        <f t="shared" si="48"/>
        <v>1</v>
      </c>
      <c r="AE77" s="8">
        <f t="shared" si="49"/>
        <v>1.10187899602544</v>
      </c>
      <c r="AF77" s="8">
        <f t="shared" si="50"/>
        <v>1.1619025033301</v>
      </c>
      <c r="AG77" s="8">
        <f>战斗属性!$F$11+AG$9*($H$10*$H77+$I$10*$I77+$J$10*$J77+$K77*$K$10)</f>
        <v>0.281774715957868</v>
      </c>
      <c r="AH77" s="8">
        <f>战斗属性!$F$12+AH$9*($H$10*$H77+$I$10*$I77+$J$10*$J77+$K$10*$K77)</f>
        <v>2.6456581373112</v>
      </c>
      <c r="AI77" s="8">
        <f t="shared" si="51"/>
        <v>1.52977077933227</v>
      </c>
      <c r="AJ77" s="4">
        <f t="shared" si="52"/>
        <v>2.601654139842</v>
      </c>
      <c r="AK77" s="4">
        <f t="shared" si="53"/>
        <v>256731.285439049</v>
      </c>
      <c r="AL77" s="36">
        <f t="shared" si="54"/>
        <v>45.0225546603451</v>
      </c>
      <c r="AM77" s="36"/>
      <c r="AN77" s="4">
        <f t="shared" si="55"/>
        <v>11558698.3317002</v>
      </c>
      <c r="AO77" s="4">
        <f t="array" ref="AO77">INDEX(_xlfn.ANCHORARRAY(怪物标准模型!$B$12),MATCH(AN77,怪物标准模型!$AY$12:$AY$511))</f>
        <v>183</v>
      </c>
      <c r="AP77" s="4">
        <v>139</v>
      </c>
    </row>
    <row r="78" spans="1:42">
      <c r="A78" s="4">
        <f t="array" ref="A78">_xlfn.IFNA(_xlfn.XLOOKUP(C78&amp;D78,'玩家等级对应关卡（从新手节奏复制）'!$C:$C&amp;'玩家等级对应关卡（从新手节奏复制）'!$D:$D,'玩家等级对应关卡（从新手节奏复制）'!$E:$E),A77)</f>
        <v>30</v>
      </c>
      <c r="B78" s="4">
        <v>67</v>
      </c>
      <c r="C78" s="4">
        <f t="shared" si="27"/>
        <v>5</v>
      </c>
      <c r="D78" s="4">
        <f t="shared" si="28"/>
        <v>7</v>
      </c>
      <c r="E78" s="4">
        <f t="shared" si="29"/>
        <v>1</v>
      </c>
      <c r="F78" s="4">
        <v>5</v>
      </c>
      <c r="G78" s="34">
        <f t="shared" si="30"/>
        <v>0.723291067426861</v>
      </c>
      <c r="H78" s="34">
        <f t="shared" si="31"/>
        <v>0.598095234105766</v>
      </c>
      <c r="I78" s="34">
        <f t="shared" si="32"/>
        <v>0.390265992568399</v>
      </c>
      <c r="J78" s="34">
        <f t="shared" si="33"/>
        <v>0.376317362769881</v>
      </c>
      <c r="K78" s="34">
        <f t="shared" si="34"/>
        <v>0.174054324983352</v>
      </c>
      <c r="L78" s="8">
        <f>E78*'参考-养成属性规划（从养成属性复制）'!$F$36+G78*'参考-养成属性规划（从养成属性复制）'!$F$37+'参考-养成属性规划（从养成属性复制）'!$F$39*H78</f>
        <v>5847.4161620922</v>
      </c>
      <c r="M78" s="8">
        <f>I78*'参考-养成属性规划（从养成属性复制）'!$F$41+J78*'参考-养成属性规划（从养成属性复制）'!$F$42+K78*'参考-养成属性规划（从养成属性复制）'!$F$43</f>
        <v>5559.51139672641</v>
      </c>
      <c r="N78" s="8">
        <f t="shared" si="35"/>
        <v>2.08442120282806</v>
      </c>
      <c r="O78" s="35">
        <f t="shared" si="36"/>
        <v>17747.9896267508</v>
      </c>
      <c r="P78" s="1">
        <f>O78/(O78+战斗公式!$M$27)</f>
        <v>0.425122018699039</v>
      </c>
      <c r="Q78" s="8">
        <f>E78*'参考-养成属性规划（从养成属性复制）'!$E$36+G78*'参考-养成属性规划（从养成属性复制）'!$E$37+'参考-养成属性规划（从养成属性复制）'!$E$39*H197</f>
        <v>6707.6956854734</v>
      </c>
      <c r="R78" s="8">
        <f>I78*'参考-养成属性规划（从养成属性复制）'!$E$41+J78*'参考-养成属性规划（从养成属性复制）'!$E$42+K78*'参考-养成属性规划（从养成属性复制）'!$E$43</f>
        <v>8339.26709508961</v>
      </c>
      <c r="S78" s="8">
        <f t="shared" si="37"/>
        <v>2.08442120282806</v>
      </c>
      <c r="T78" s="35">
        <f t="shared" si="38"/>
        <v>22320.9302040086</v>
      </c>
      <c r="U78" s="8">
        <f t="shared" si="39"/>
        <v>0.87942857023173</v>
      </c>
      <c r="V78" s="8">
        <f t="shared" si="40"/>
        <v>0.239238093642306</v>
      </c>
      <c r="W78" s="8">
        <f t="shared" si="41"/>
        <v>0.439476189379086</v>
      </c>
      <c r="X78" s="8">
        <f t="shared" si="42"/>
        <v>1</v>
      </c>
      <c r="Y78" s="8">
        <f t="shared" si="43"/>
        <v>1</v>
      </c>
      <c r="Z78" s="8">
        <f t="shared" si="44"/>
        <v>1</v>
      </c>
      <c r="AA78" s="8">
        <f t="shared" si="45"/>
        <v>1</v>
      </c>
      <c r="AB78" s="8">
        <f t="shared" si="46"/>
        <v>1</v>
      </c>
      <c r="AC78" s="4">
        <f t="shared" si="47"/>
        <v>1.55814285325312</v>
      </c>
      <c r="AD78" s="8">
        <f t="shared" si="48"/>
        <v>1</v>
      </c>
      <c r="AE78" s="8">
        <f t="shared" si="49"/>
        <v>1.10371163872734</v>
      </c>
      <c r="AF78" s="8">
        <f t="shared" si="50"/>
        <v>1.16425943195734</v>
      </c>
      <c r="AG78" s="8">
        <f>战斗属性!$F$11+AG$9*($H$10*$H78+$I$10*$I78+$J$10*$J78+$K78*$K$10)</f>
        <v>0.28594397810469</v>
      </c>
      <c r="AH78" s="8">
        <f>战斗属性!$F$12+AH$9*($H$10*$H78+$I$10*$I78+$J$10*$J78+$K$10*$K78)</f>
        <v>2.65727251043449</v>
      </c>
      <c r="AI78" s="8">
        <f t="shared" si="51"/>
        <v>1.53930052138215</v>
      </c>
      <c r="AJ78" s="4">
        <f t="shared" si="52"/>
        <v>2.6414196088806</v>
      </c>
      <c r="AK78" s="4">
        <f t="shared" si="53"/>
        <v>264060.011714261</v>
      </c>
      <c r="AL78" s="36">
        <f t="shared" si="54"/>
        <v>45.2329948980624</v>
      </c>
      <c r="AM78" s="36"/>
      <c r="AN78" s="4">
        <f t="shared" si="55"/>
        <v>11944225.1626535</v>
      </c>
      <c r="AO78" s="4">
        <f t="array" ref="AO78">INDEX(_xlfn.ANCHORARRAY(怪物标准模型!$B$12),MATCH(AN78,怪物标准模型!$AY$12:$AY$511))</f>
        <v>185</v>
      </c>
      <c r="AP78" s="4">
        <v>141</v>
      </c>
    </row>
    <row r="79" spans="1:42">
      <c r="A79" s="4">
        <f t="array" ref="A79">_xlfn.IFNA(_xlfn.XLOOKUP(C79&amp;D79,'玩家等级对应关卡（从新手节奏复制）'!$C:$C&amp;'玩家等级对应关卡（从新手节奏复制）'!$D:$D,'玩家等级对应关卡（从新手节奏复制）'!$E:$E),A78)</f>
        <v>31</v>
      </c>
      <c r="B79" s="4">
        <v>68</v>
      </c>
      <c r="C79" s="4">
        <f t="shared" si="27"/>
        <v>5</v>
      </c>
      <c r="D79" s="4">
        <f t="shared" si="28"/>
        <v>8</v>
      </c>
      <c r="E79" s="4">
        <f t="shared" si="29"/>
        <v>1</v>
      </c>
      <c r="F79" s="4">
        <v>5</v>
      </c>
      <c r="G79" s="34">
        <f t="shared" si="30"/>
        <v>0.726647087694224</v>
      </c>
      <c r="H79" s="34">
        <f t="shared" si="31"/>
        <v>0.602553573548253</v>
      </c>
      <c r="I79" s="34">
        <f t="shared" si="32"/>
        <v>0.399441867607784</v>
      </c>
      <c r="J79" s="34">
        <f t="shared" si="33"/>
        <v>0.381728485351588</v>
      </c>
      <c r="K79" s="34">
        <f t="shared" si="34"/>
        <v>0.181751958511856</v>
      </c>
      <c r="L79" s="8">
        <f>E79*'参考-养成属性规划（从养成属性复制）'!$F$36+G79*'参考-养成属性规划（从养成属性复制）'!$F$37+'参考-养成属性规划（从养成属性复制）'!$F$39*H79</f>
        <v>5873.77924009326</v>
      </c>
      <c r="M79" s="8">
        <f>I79*'参考-养成属性规划（从养成属性复制）'!$F$41+J79*'参考-养成属性规划（从养成属性复制）'!$F$42+K79*'参考-养成属性规划（从养成属性复制）'!$F$43</f>
        <v>5705.65796765922</v>
      </c>
      <c r="N79" s="8">
        <f t="shared" si="35"/>
        <v>2.09951456000138</v>
      </c>
      <c r="O79" s="35">
        <f t="shared" si="36"/>
        <v>18037.7430044689</v>
      </c>
      <c r="P79" s="1">
        <f>O79/(O79+战斗公式!$M$27)</f>
        <v>0.429084477788242</v>
      </c>
      <c r="Q79" s="8">
        <f>E79*'参考-养成属性规划（从养成属性复制）'!$E$36+G79*'参考-养成属性规划（从养成属性复制）'!$E$37+'参考-养成属性规划（从养成属性复制）'!$E$39*H198</f>
        <v>6731.85903139841</v>
      </c>
      <c r="R79" s="8">
        <f>I79*'参考-养成属性规划（从养成属性复制）'!$E$41+J79*'参考-养成属性规划（从养成属性复制）'!$E$42+K79*'参考-养成属性规划（从养成属性复制）'!$E$43</f>
        <v>8558.48695148883</v>
      </c>
      <c r="S79" s="8">
        <f t="shared" si="37"/>
        <v>2.09951456000138</v>
      </c>
      <c r="T79" s="35">
        <f t="shared" si="38"/>
        <v>22692.1230037866</v>
      </c>
      <c r="U79" s="8">
        <f t="shared" si="39"/>
        <v>0.880766072064476</v>
      </c>
      <c r="V79" s="8">
        <f t="shared" si="40"/>
        <v>0.241021429419301</v>
      </c>
      <c r="W79" s="8">
        <f t="shared" si="41"/>
        <v>0.44070223272577</v>
      </c>
      <c r="X79" s="8">
        <f t="shared" si="42"/>
        <v>1</v>
      </c>
      <c r="Y79" s="8">
        <f t="shared" si="43"/>
        <v>1</v>
      </c>
      <c r="Z79" s="8">
        <f t="shared" si="44"/>
        <v>1</v>
      </c>
      <c r="AA79" s="8">
        <f t="shared" si="45"/>
        <v>1</v>
      </c>
      <c r="AB79" s="8">
        <f t="shared" si="46"/>
        <v>1</v>
      </c>
      <c r="AC79" s="4">
        <f t="shared" si="47"/>
        <v>1.56248973420955</v>
      </c>
      <c r="AD79" s="8">
        <f t="shared" si="48"/>
        <v>1</v>
      </c>
      <c r="AE79" s="8">
        <f t="shared" si="49"/>
        <v>1.10548930214818</v>
      </c>
      <c r="AF79" s="8">
        <f t="shared" si="50"/>
        <v>1.16654565272576</v>
      </c>
      <c r="AG79" s="8">
        <f>战斗属性!$F$11+AG$9*($H$10*$H79+$I$10*$I79+$J$10*$J79+$K79*$K$10)</f>
        <v>0.289988162387108</v>
      </c>
      <c r="AH79" s="8">
        <f>战斗属性!$F$12+AH$9*($H$10*$H79+$I$10*$I79+$J$10*$J79+$K$10*$K79)</f>
        <v>2.66853845236409</v>
      </c>
      <c r="AI79" s="8">
        <f t="shared" si="51"/>
        <v>1.54854437117053</v>
      </c>
      <c r="AJ79" s="4">
        <f t="shared" si="52"/>
        <v>2.6805089866145</v>
      </c>
      <c r="AK79" s="4">
        <f t="shared" si="53"/>
        <v>271301.018680981</v>
      </c>
      <c r="AL79" s="36">
        <f t="shared" si="54"/>
        <v>45.4455395381569</v>
      </c>
      <c r="AM79" s="36"/>
      <c r="AN79" s="4">
        <f t="shared" si="55"/>
        <v>12329421.1712088</v>
      </c>
      <c r="AO79" s="4">
        <f t="array" ref="AO79">INDEX(_xlfn.ANCHORARRAY(怪物标准模型!$B$12),MATCH(AN79,怪物标准模型!$AY$12:$AY$511))</f>
        <v>188</v>
      </c>
      <c r="AP79" s="4">
        <v>143</v>
      </c>
    </row>
    <row r="80" spans="1:42">
      <c r="A80" s="4">
        <f t="array" ref="A80">_xlfn.IFNA(_xlfn.XLOOKUP(C80&amp;D80,'玩家等级对应关卡（从新手节奏复制）'!$C:$C&amp;'玩家等级对应关卡（从新手节奏复制）'!$D:$D,'玩家等级对应关卡（从新手节奏复制）'!$E:$E),A79)</f>
        <v>31</v>
      </c>
      <c r="B80" s="4">
        <v>69</v>
      </c>
      <c r="C80" s="4">
        <f t="shared" si="27"/>
        <v>5</v>
      </c>
      <c r="D80" s="4">
        <f t="shared" si="28"/>
        <v>9</v>
      </c>
      <c r="E80" s="4">
        <f t="shared" si="29"/>
        <v>1</v>
      </c>
      <c r="F80" s="4">
        <v>5</v>
      </c>
      <c r="G80" s="34">
        <f t="shared" si="30"/>
        <v>0.729902427353566</v>
      </c>
      <c r="H80" s="34">
        <f t="shared" si="31"/>
        <v>0.606878162807466</v>
      </c>
      <c r="I80" s="34">
        <f t="shared" si="32"/>
        <v>0.408342466395987</v>
      </c>
      <c r="J80" s="34">
        <f t="shared" si="33"/>
        <v>0.386977274255844</v>
      </c>
      <c r="K80" s="34">
        <f t="shared" si="34"/>
        <v>0.189218663034504</v>
      </c>
      <c r="L80" s="8">
        <f>E80*'参考-养成属性规划（从养成属性复制）'!$F$36+G80*'参考-养成属性规划（从养成属性复制）'!$F$37+'参考-养成属性规划（从养成属性复制）'!$F$39*H80</f>
        <v>5899.35142575429</v>
      </c>
      <c r="M80" s="8">
        <f>I80*'参考-养成属性规划（从养成属性复制）'!$F$41+J80*'参考-养成属性规划（从养成属性复制）'!$F$42+K80*'参考-养成属性规划（从养成属性复制）'!$F$43</f>
        <v>5847.42014146405</v>
      </c>
      <c r="N80" s="8">
        <f t="shared" si="35"/>
        <v>2.11415511645951</v>
      </c>
      <c r="O80" s="35">
        <f t="shared" si="36"/>
        <v>18319.5641420152</v>
      </c>
      <c r="P80" s="1">
        <f>O80/(O80+战斗公式!$M$27)</f>
        <v>0.432886408766847</v>
      </c>
      <c r="Q80" s="8">
        <f>E80*'参考-养成属性规划（从养成属性复制）'!$E$36+G80*'参考-养成属性规划（从养成属性复制）'!$E$37+'参考-养成属性规划（从养成属性复制）'!$E$39*H199</f>
        <v>6755.29747694568</v>
      </c>
      <c r="R80" s="8">
        <f>I80*'参考-养成属性规划（从养成属性复制）'!$E$41+J80*'参考-养成属性规划（从养成属性复制）'!$E$42+K80*'参考-养成属性规划（从养成属性复制）'!$E$43</f>
        <v>8771.13021219608</v>
      </c>
      <c r="S80" s="8">
        <f t="shared" si="37"/>
        <v>2.11415511645951</v>
      </c>
      <c r="T80" s="35">
        <f t="shared" si="38"/>
        <v>23052.8769362868</v>
      </c>
      <c r="U80" s="8">
        <f t="shared" si="39"/>
        <v>0.88206344884224</v>
      </c>
      <c r="V80" s="8">
        <f t="shared" si="40"/>
        <v>0.242751265122986</v>
      </c>
      <c r="W80" s="8">
        <f t="shared" si="41"/>
        <v>0.441891494772053</v>
      </c>
      <c r="X80" s="8">
        <f t="shared" si="42"/>
        <v>1</v>
      </c>
      <c r="Y80" s="8">
        <f t="shared" si="43"/>
        <v>1</v>
      </c>
      <c r="Z80" s="8">
        <f t="shared" si="44"/>
        <v>1</v>
      </c>
      <c r="AA80" s="8">
        <f t="shared" si="45"/>
        <v>1</v>
      </c>
      <c r="AB80" s="8">
        <f t="shared" si="46"/>
        <v>1</v>
      </c>
      <c r="AC80" s="4">
        <f t="shared" si="47"/>
        <v>1.56670620873728</v>
      </c>
      <c r="AD80" s="8">
        <f t="shared" si="48"/>
        <v>1</v>
      </c>
      <c r="AE80" s="8">
        <f t="shared" si="49"/>
        <v>1.1072136356664</v>
      </c>
      <c r="AF80" s="8">
        <f t="shared" si="50"/>
        <v>1.16876328687112</v>
      </c>
      <c r="AG80" s="8">
        <f>战斗属性!$F$11+AG$9*($H$10*$H80+$I$10*$I80+$J$10*$J80+$K80*$K$10)</f>
        <v>0.293911021141053</v>
      </c>
      <c r="AH80" s="8">
        <f>战斗属性!$F$12+AH$9*($H$10*$H80+$I$10*$I80+$J$10*$J80+$K$10*$K80)</f>
        <v>2.67946641603579</v>
      </c>
      <c r="AI80" s="8">
        <f t="shared" si="51"/>
        <v>1.55751090546526</v>
      </c>
      <c r="AJ80" s="4">
        <f t="shared" si="52"/>
        <v>2.71891695328874</v>
      </c>
      <c r="AK80" s="4">
        <f t="shared" si="53"/>
        <v>278450.946810674</v>
      </c>
      <c r="AL80" s="36">
        <f t="shared" si="54"/>
        <v>45.6602096246524</v>
      </c>
      <c r="AM80" s="36"/>
      <c r="AN80" s="4">
        <f t="shared" si="55"/>
        <v>12714128.6015583</v>
      </c>
      <c r="AO80" s="4">
        <f t="array" ref="AO80">INDEX(_xlfn.ANCHORARRAY(怪物标准模型!$B$12),MATCH(AN80,怪物标准模型!$AY$12:$AY$511))</f>
        <v>190</v>
      </c>
      <c r="AP80" s="4">
        <v>145</v>
      </c>
    </row>
    <row r="81" spans="1:42">
      <c r="A81" s="4">
        <f t="array" ref="A81">_xlfn.IFNA(_xlfn.XLOOKUP(C81&amp;D81,'玩家等级对应关卡（从新手节奏复制）'!$C:$C&amp;'玩家等级对应关卡（从新手节奏复制）'!$D:$D,'玩家等级对应关卡（从新手节奏复制）'!$E:$E),A80)</f>
        <v>31</v>
      </c>
      <c r="B81" s="4">
        <v>70</v>
      </c>
      <c r="C81" s="4">
        <f t="shared" si="27"/>
        <v>5</v>
      </c>
      <c r="D81" s="4">
        <f t="shared" si="28"/>
        <v>10</v>
      </c>
      <c r="E81" s="4">
        <f t="shared" si="29"/>
        <v>1</v>
      </c>
      <c r="F81" s="4">
        <v>5</v>
      </c>
      <c r="G81" s="34">
        <f t="shared" si="30"/>
        <v>0.733060106823128</v>
      </c>
      <c r="H81" s="34">
        <f t="shared" si="31"/>
        <v>0.611073014388902</v>
      </c>
      <c r="I81" s="34">
        <f t="shared" si="32"/>
        <v>0.416976047220543</v>
      </c>
      <c r="J81" s="34">
        <f t="shared" si="33"/>
        <v>0.392068599492973</v>
      </c>
      <c r="K81" s="34">
        <f t="shared" si="34"/>
        <v>0.196461366421473</v>
      </c>
      <c r="L81" s="8">
        <f>E81*'参考-养成属性规划（从养成属性复制）'!$F$36+G81*'参考-养成属性规划（从养成属性复制）'!$F$37+'参考-养成属性规划（从养成属性复制）'!$F$39*H81</f>
        <v>5924.15644584549</v>
      </c>
      <c r="M81" s="8">
        <f>I81*'参考-养成属性规划（从养成属性复制）'!$F$41+J81*'参考-养成属性规划（从养成属性复制）'!$F$42+K81*'参考-养成属性规划（从养成属性复制）'!$F$43</f>
        <v>5984.92945005474</v>
      </c>
      <c r="N81" s="8">
        <f t="shared" si="35"/>
        <v>2.12835645622389</v>
      </c>
      <c r="O81" s="35">
        <f t="shared" si="36"/>
        <v>18593.6460692503</v>
      </c>
      <c r="P81" s="1">
        <f>O81/(O81+战斗公式!$M$27)</f>
        <v>0.43653567574422</v>
      </c>
      <c r="Q81" s="8">
        <f>E81*'参考-养成属性规划（从养成属性复制）'!$E$36+G81*'参考-养成属性规划（从养成属性复制）'!$E$37+'参考-养成属性规划（从养成属性复制）'!$E$39*H200</f>
        <v>6778.03276912652</v>
      </c>
      <c r="R81" s="8">
        <f>I81*'参考-养成属性规划（从养成属性复制）'!$E$41+J81*'参考-养成属性规划（从养成属性复制）'!$E$42+K81*'参考-养成属性规划（从养成属性复制）'!$E$43</f>
        <v>8977.39417508211</v>
      </c>
      <c r="S81" s="8">
        <f t="shared" si="37"/>
        <v>2.12835645622389</v>
      </c>
      <c r="T81" s="35">
        <f t="shared" si="38"/>
        <v>23403.4639797496</v>
      </c>
      <c r="U81" s="8">
        <f t="shared" si="39"/>
        <v>0.883321904316671</v>
      </c>
      <c r="V81" s="8">
        <f t="shared" si="40"/>
        <v>0.244429205755561</v>
      </c>
      <c r="W81" s="8">
        <f t="shared" si="41"/>
        <v>0.443045078956948</v>
      </c>
      <c r="X81" s="8">
        <f t="shared" si="42"/>
        <v>1</v>
      </c>
      <c r="Y81" s="8">
        <f t="shared" si="43"/>
        <v>1</v>
      </c>
      <c r="Z81" s="8">
        <f t="shared" si="44"/>
        <v>1</v>
      </c>
      <c r="AA81" s="8">
        <f t="shared" si="45"/>
        <v>1</v>
      </c>
      <c r="AB81" s="8">
        <f t="shared" si="46"/>
        <v>1</v>
      </c>
      <c r="AC81" s="4">
        <f t="shared" si="47"/>
        <v>1.57079618902918</v>
      </c>
      <c r="AD81" s="8">
        <f t="shared" si="48"/>
        <v>1</v>
      </c>
      <c r="AE81" s="8">
        <f t="shared" si="49"/>
        <v>1.10888623917907</v>
      </c>
      <c r="AF81" s="8">
        <f t="shared" si="50"/>
        <v>1.17091439199213</v>
      </c>
      <c r="AG81" s="8">
        <f>战斗属性!$F$11+AG$9*($H$10*$H81+$I$10*$I81+$J$10*$J81+$K81*$K$10)</f>
        <v>0.29771619413238</v>
      </c>
      <c r="AH81" s="8">
        <f>战斗属性!$F$12+AH$9*($H$10*$H81+$I$10*$I81+$J$10*$J81+$K$10*$K81)</f>
        <v>2.69006654079734</v>
      </c>
      <c r="AI81" s="8">
        <f t="shared" si="51"/>
        <v>1.56620844373115</v>
      </c>
      <c r="AJ81" s="4">
        <f t="shared" si="52"/>
        <v>2.75663944990825</v>
      </c>
      <c r="AK81" s="4">
        <f t="shared" si="53"/>
        <v>285506.747702369</v>
      </c>
      <c r="AL81" s="36">
        <f t="shared" si="54"/>
        <v>45.8770264120128</v>
      </c>
      <c r="AM81" s="36"/>
      <c r="AN81" s="4">
        <f t="shared" si="55"/>
        <v>13098200.6051495</v>
      </c>
      <c r="AO81" s="4">
        <f t="array" ref="AO81">INDEX(_xlfn.ANCHORARRAY(怪物标准模型!$B$12),MATCH(AN81,怪物标准模型!$AY$12:$AY$511))</f>
        <v>192</v>
      </c>
      <c r="AP81" s="4">
        <v>147</v>
      </c>
    </row>
    <row r="82" spans="1:42">
      <c r="A82" s="4">
        <f t="array" ref="A82">_xlfn.IFNA(_xlfn.XLOOKUP(C82&amp;D82,'玩家等级对应关卡（从新手节奏复制）'!$C:$C&amp;'玩家等级对应关卡（从新手节奏复制）'!$D:$D,'玩家等级对应关卡（从新手节奏复制）'!$E:$E),A81)</f>
        <v>32</v>
      </c>
      <c r="B82" s="4">
        <v>71</v>
      </c>
      <c r="C82" s="4">
        <f t="shared" si="27"/>
        <v>5</v>
      </c>
      <c r="D82" s="4">
        <f t="shared" si="28"/>
        <v>11</v>
      </c>
      <c r="E82" s="4">
        <f t="shared" si="29"/>
        <v>1</v>
      </c>
      <c r="F82" s="4">
        <v>5</v>
      </c>
      <c r="G82" s="34">
        <f t="shared" si="30"/>
        <v>0.736123055908602</v>
      </c>
      <c r="H82" s="34">
        <f t="shared" si="31"/>
        <v>0.615142020422895</v>
      </c>
      <c r="I82" s="34">
        <f t="shared" si="32"/>
        <v>0.425350620620363</v>
      </c>
      <c r="J82" s="34">
        <f t="shared" si="33"/>
        <v>0.397007184972987</v>
      </c>
      <c r="K82" s="34">
        <f t="shared" si="34"/>
        <v>0.203486788706833</v>
      </c>
      <c r="L82" s="8">
        <f>E82*'参考-养成属性规划（从养成属性复制）'!$F$36+G82*'参考-养成属性规划（从养成属性复制）'!$F$37+'参考-养成属性规划（从养成属性复制）'!$F$39*H82</f>
        <v>5948.21731533395</v>
      </c>
      <c r="M82" s="8">
        <f>I82*'参考-养成属性规划（从养成属性复制）'!$F$41+J82*'参考-养成属性规划（从养成属性复制）'!$F$42+K82*'参考-养成属性规划（从养成属性复制）'!$F$43</f>
        <v>6118.31347938771</v>
      </c>
      <c r="N82" s="8">
        <f t="shared" si="35"/>
        <v>2.14213175579534</v>
      </c>
      <c r="O82" s="35">
        <f t="shared" si="36"/>
        <v>18860.1786809362</v>
      </c>
      <c r="P82" s="1">
        <f>O82/(O82+战斗公式!$M$27)</f>
        <v>0.440039665287841</v>
      </c>
      <c r="Q82" s="8">
        <f>E82*'参考-养成属性规划（从养成属性复制）'!$E$36+G82*'参考-养成属性规划（从养成属性复制）'!$E$37+'参考-养成属性规划（从养成属性复制）'!$E$39*H201</f>
        <v>6800.08600254194</v>
      </c>
      <c r="R82" s="8">
        <f>I82*'参考-养成属性规划（从养成属性复制）'!$E$41+J82*'参考-养成属性规划（从养成属性复制）'!$E$42+K82*'参考-养成属性规划（从养成属性复制）'!$E$43</f>
        <v>9177.47021908156</v>
      </c>
      <c r="S82" s="8">
        <f t="shared" si="37"/>
        <v>2.14213175579534</v>
      </c>
      <c r="T82" s="35">
        <f t="shared" si="38"/>
        <v>23744.150387266</v>
      </c>
      <c r="U82" s="8">
        <f t="shared" si="39"/>
        <v>0.884542606126869</v>
      </c>
      <c r="V82" s="8">
        <f t="shared" si="40"/>
        <v>0.246056808169158</v>
      </c>
      <c r="W82" s="8">
        <f t="shared" si="41"/>
        <v>0.444164055616296</v>
      </c>
      <c r="X82" s="8">
        <f t="shared" si="42"/>
        <v>1</v>
      </c>
      <c r="Y82" s="8">
        <f t="shared" si="43"/>
        <v>1</v>
      </c>
      <c r="Z82" s="8">
        <f t="shared" si="44"/>
        <v>1</v>
      </c>
      <c r="AA82" s="8">
        <f t="shared" si="45"/>
        <v>1</v>
      </c>
      <c r="AB82" s="8">
        <f t="shared" si="46"/>
        <v>1</v>
      </c>
      <c r="AC82" s="4">
        <f t="shared" si="47"/>
        <v>1.57476346991232</v>
      </c>
      <c r="AD82" s="8">
        <f t="shared" si="48"/>
        <v>1</v>
      </c>
      <c r="AE82" s="8">
        <f t="shared" si="49"/>
        <v>1.11050866458636</v>
      </c>
      <c r="AF82" s="8">
        <f t="shared" si="50"/>
        <v>1.1730009639595</v>
      </c>
      <c r="AG82" s="8">
        <f>战斗属性!$F$11+AG$9*($H$10*$H82+$I$10*$I82+$J$10*$J82+$K82*$K$10)</f>
        <v>0.301407211933967</v>
      </c>
      <c r="AH82" s="8">
        <f>战斗属性!$F$12+AH$9*($H$10*$H82+$I$10*$I82+$J$10*$J82+$K$10*$K82)</f>
        <v>2.70034866181605</v>
      </c>
      <c r="AI82" s="8">
        <f t="shared" si="51"/>
        <v>1.57464505584907</v>
      </c>
      <c r="AJ82" s="4">
        <f t="shared" si="52"/>
        <v>2.79367360903091</v>
      </c>
      <c r="AK82" s="4">
        <f t="shared" si="53"/>
        <v>292465.673172663</v>
      </c>
      <c r="AL82" s="36">
        <f t="shared" si="54"/>
        <v>46.0960113672468</v>
      </c>
      <c r="AM82" s="36"/>
      <c r="AN82" s="4">
        <f t="shared" si="55"/>
        <v>13481500.9950966</v>
      </c>
      <c r="AO82" s="4">
        <f t="array" ref="AO82">INDEX(_xlfn.ANCHORARRAY(怪物标准模型!$B$12),MATCH(AN82,怪物标准模型!$AY$12:$AY$511))</f>
        <v>194</v>
      </c>
      <c r="AP82" s="4">
        <v>149</v>
      </c>
    </row>
    <row r="83" spans="1:42">
      <c r="A83" s="4">
        <f t="array" ref="A83">_xlfn.IFNA(_xlfn.XLOOKUP(C83&amp;D83,'玩家等级对应关卡（从新手节奏复制）'!$C:$C&amp;'玩家等级对应关卡（从新手节奏复制）'!$D:$D,'玩家等级对应关卡（从新手节奏复制）'!$E:$E),A82)</f>
        <v>32</v>
      </c>
      <c r="B83" s="4">
        <v>72</v>
      </c>
      <c r="C83" s="4">
        <f t="shared" si="27"/>
        <v>5</v>
      </c>
      <c r="D83" s="4">
        <f t="shared" si="28"/>
        <v>12</v>
      </c>
      <c r="E83" s="4">
        <f t="shared" si="29"/>
        <v>1</v>
      </c>
      <c r="F83" s="4">
        <v>5</v>
      </c>
      <c r="G83" s="34">
        <f t="shared" si="30"/>
        <v>0.739094116521513</v>
      </c>
      <c r="H83" s="34">
        <f t="shared" si="31"/>
        <v>0.619088956275868</v>
      </c>
      <c r="I83" s="34">
        <f t="shared" si="32"/>
        <v>0.433473956818189</v>
      </c>
      <c r="J83" s="34">
        <f t="shared" si="33"/>
        <v>0.401797612888601</v>
      </c>
      <c r="K83" s="34">
        <f t="shared" si="34"/>
        <v>0.210301448323632</v>
      </c>
      <c r="L83" s="8">
        <f>E83*'参考-养成属性规划（从养成属性复制）'!$F$36+G83*'参考-养成属性规划（从养成属性复制）'!$F$37+'参考-养成属性规划（从养成属性复制）'!$F$39*H83</f>
        <v>5971.55635873776</v>
      </c>
      <c r="M83" s="8">
        <f>I83*'参考-养成属性规划（从养成属性复制）'!$F$41+J83*'参考-养成属性规划（从养成属性复制）'!$F$42+K83*'参考-养成属性规划（从养成属性复制）'!$F$43</f>
        <v>6247.69598784068</v>
      </c>
      <c r="N83" s="8">
        <f t="shared" si="35"/>
        <v>2.15549379637964</v>
      </c>
      <c r="O83" s="35">
        <f t="shared" si="36"/>
        <v>19119.3486738313</v>
      </c>
      <c r="P83" s="1">
        <f>O83/(O83+战斗公式!$M$27)</f>
        <v>0.443405321783876</v>
      </c>
      <c r="Q83" s="8">
        <f>E83*'参考-养成属性规划（从养成属性复制）'!$E$36+G83*'参考-养成属性规划（从养成属性复制）'!$E$37+'参考-养成属性规划（从养成属性复制）'!$E$39*H202</f>
        <v>6821.47763895489</v>
      </c>
      <c r="R83" s="8">
        <f>I83*'参考-养成属性规划（从养成属性复制）'!$E$41+J83*'参考-养成属性规划（从养成属性复制）'!$E$42+K83*'参考-养成属性规划（从养成属性复制）'!$E$43</f>
        <v>9371.54398176102</v>
      </c>
      <c r="S83" s="8">
        <f t="shared" si="37"/>
        <v>2.15549379637964</v>
      </c>
      <c r="T83" s="35">
        <f t="shared" si="38"/>
        <v>24075.1967146708</v>
      </c>
      <c r="U83" s="8">
        <f t="shared" si="39"/>
        <v>0.88572668688276</v>
      </c>
      <c r="V83" s="8">
        <f t="shared" si="40"/>
        <v>0.247635582510347</v>
      </c>
      <c r="W83" s="8">
        <f t="shared" si="41"/>
        <v>0.445249462975864</v>
      </c>
      <c r="X83" s="8">
        <f t="shared" si="42"/>
        <v>1</v>
      </c>
      <c r="Y83" s="8">
        <f t="shared" si="43"/>
        <v>1</v>
      </c>
      <c r="Z83" s="8">
        <f t="shared" si="44"/>
        <v>1</v>
      </c>
      <c r="AA83" s="8">
        <f t="shared" si="45"/>
        <v>1</v>
      </c>
      <c r="AB83" s="8">
        <f t="shared" si="46"/>
        <v>1</v>
      </c>
      <c r="AC83" s="4">
        <f t="shared" si="47"/>
        <v>1.57861173236897</v>
      </c>
      <c r="AD83" s="8">
        <f t="shared" si="48"/>
        <v>1</v>
      </c>
      <c r="AE83" s="8">
        <f t="shared" si="49"/>
        <v>1.11208241723143</v>
      </c>
      <c r="AF83" s="8">
        <f t="shared" si="50"/>
        <v>1.17502493876786</v>
      </c>
      <c r="AG83" s="8">
        <f>战斗属性!$F$11+AG$9*($H$10*$H83+$I$10*$I83+$J$10*$J83+$K83*$K$10)</f>
        <v>0.304987499201506</v>
      </c>
      <c r="AH83" s="8">
        <f>战斗属性!$F$12+AH$9*($H$10*$H83+$I$10*$I83+$J$10*$J83+$K$10*$K83)</f>
        <v>2.7103223192042</v>
      </c>
      <c r="AI83" s="8">
        <f t="shared" si="51"/>
        <v>1.58282856960344</v>
      </c>
      <c r="AJ83" s="4">
        <f t="shared" si="52"/>
        <v>2.83001768681055</v>
      </c>
      <c r="AK83" s="4">
        <f t="shared" si="53"/>
        <v>299325.26400853</v>
      </c>
      <c r="AL83" s="36">
        <f t="shared" si="54"/>
        <v>46.3171861720331</v>
      </c>
      <c r="AM83" s="36"/>
      <c r="AN83" s="4">
        <f t="shared" si="55"/>
        <v>13863903.979076</v>
      </c>
      <c r="AO83" s="4">
        <f t="array" ref="AO83">INDEX(_xlfn.ANCHORARRAY(怪物标准模型!$B$12),MATCH(AN83,怪物标准模型!$AY$12:$AY$511))</f>
        <v>196</v>
      </c>
      <c r="AP83" s="4">
        <v>151</v>
      </c>
    </row>
    <row r="84" spans="1:42">
      <c r="A84" s="4">
        <f t="array" ref="A84">_xlfn.IFNA(_xlfn.XLOOKUP(C84&amp;D84,'玩家等级对应关卡（从新手节奏复制）'!$C:$C&amp;'玩家等级对应关卡（从新手节奏复制）'!$D:$D,'玩家等级对应关卡（从新手节奏复制）'!$E:$E),A83)</f>
        <v>32</v>
      </c>
      <c r="B84" s="4">
        <v>73</v>
      </c>
      <c r="C84" s="4">
        <f t="shared" si="27"/>
        <v>5</v>
      </c>
      <c r="D84" s="4">
        <f t="shared" si="28"/>
        <v>13</v>
      </c>
      <c r="E84" s="4">
        <f t="shared" si="29"/>
        <v>1</v>
      </c>
      <c r="F84" s="4">
        <v>5</v>
      </c>
      <c r="G84" s="34">
        <f t="shared" si="30"/>
        <v>0.741976045316036</v>
      </c>
      <c r="H84" s="34">
        <f t="shared" si="31"/>
        <v>0.622917484053253</v>
      </c>
      <c r="I84" s="34">
        <f t="shared" si="32"/>
        <v>0.44135359293008</v>
      </c>
      <c r="J84" s="34">
        <f t="shared" si="33"/>
        <v>0.406444327966747</v>
      </c>
      <c r="K84" s="34">
        <f t="shared" si="34"/>
        <v>0.216911668151927</v>
      </c>
      <c r="L84" s="8">
        <f>E84*'参考-养成属性规划（从养成属性复制）'!$F$36+G84*'参考-养成属性规划（从养成属性复制）'!$F$37+'参考-养成属性规划（从养成属性复制）'!$F$39*H84</f>
        <v>5994.19523083946</v>
      </c>
      <c r="M84" s="8">
        <f>I84*'参考-养成属性规划（从养成属性复制）'!$F$41+J84*'参考-养成属性规划（从养成属性复制）'!$F$42+K84*'参考-养成属性规划（从养成属性复制）'!$F$43</f>
        <v>6373.19702104007</v>
      </c>
      <c r="N84" s="8">
        <f t="shared" si="35"/>
        <v>2.16845497574642</v>
      </c>
      <c r="O84" s="35">
        <f t="shared" si="36"/>
        <v>19371.3394949494</v>
      </c>
      <c r="P84" s="1">
        <f>O84/(O84+战斗公式!$M$27)</f>
        <v>0.446639179710029</v>
      </c>
      <c r="Q84" s="8">
        <f>E84*'参考-养成属性规划（从养成属性复制）'!$E$36+G84*'参考-养成属性规划（从养成属性复制）'!$E$37+'参考-养成属性规划（从养成属性复制）'!$E$39*H203</f>
        <v>6842.22752627546</v>
      </c>
      <c r="R84" s="8">
        <f>I84*'参考-养成属性规划（从养成属性复制）'!$E$41+J84*'参考-养成属性规划（从养成属性复制）'!$E$42+K84*'参考-养成属性规划（从养成属性复制）'!$E$43</f>
        <v>9559.7955315601</v>
      </c>
      <c r="S84" s="8">
        <f t="shared" si="37"/>
        <v>2.16845497574642</v>
      </c>
      <c r="T84" s="35">
        <f t="shared" si="38"/>
        <v>24396.8578561013</v>
      </c>
      <c r="U84" s="8">
        <f t="shared" si="39"/>
        <v>0.886875245215976</v>
      </c>
      <c r="V84" s="8">
        <f t="shared" si="40"/>
        <v>0.249166993621301</v>
      </c>
      <c r="W84" s="8">
        <f t="shared" si="41"/>
        <v>0.446302308114644</v>
      </c>
      <c r="X84" s="8">
        <f t="shared" si="42"/>
        <v>1</v>
      </c>
      <c r="Y84" s="8">
        <f t="shared" si="43"/>
        <v>1</v>
      </c>
      <c r="Z84" s="8">
        <f t="shared" si="44"/>
        <v>1</v>
      </c>
      <c r="AA84" s="8">
        <f t="shared" si="45"/>
        <v>1</v>
      </c>
      <c r="AB84" s="8">
        <f t="shared" si="46"/>
        <v>1</v>
      </c>
      <c r="AC84" s="4">
        <f t="shared" si="47"/>
        <v>1.58234454695192</v>
      </c>
      <c r="AD84" s="8">
        <f t="shared" si="48"/>
        <v>1</v>
      </c>
      <c r="AE84" s="8">
        <f t="shared" si="49"/>
        <v>1.11360895729715</v>
      </c>
      <c r="AF84" s="8">
        <f t="shared" si="50"/>
        <v>1.17698819433196</v>
      </c>
      <c r="AG84" s="8">
        <f>战斗属性!$F$11+AG$9*($H$10*$H84+$I$10*$I84+$J$10*$J84+$K84*$K$10)</f>
        <v>0.30846037785102</v>
      </c>
      <c r="AH84" s="8">
        <f>战斗属性!$F$12+AH$9*($H$10*$H84+$I$10*$I84+$J$10*$J84+$K$10*$K84)</f>
        <v>2.7199967668707</v>
      </c>
      <c r="AI84" s="8">
        <f t="shared" si="51"/>
        <v>1.59076657794519</v>
      </c>
      <c r="AJ84" s="4">
        <f t="shared" si="52"/>
        <v>2.86567099650554</v>
      </c>
      <c r="AK84" s="4">
        <f t="shared" si="53"/>
        <v>306083.338477243</v>
      </c>
      <c r="AL84" s="36">
        <f t="shared" si="54"/>
        <v>46.5405727248674</v>
      </c>
      <c r="AM84" s="36"/>
      <c r="AN84" s="4">
        <f t="shared" si="55"/>
        <v>14245293.8742703</v>
      </c>
      <c r="AO84" s="4">
        <f t="array" ref="AO84">INDEX(_xlfn.ANCHORARRAY(怪物标准模型!$B$12),MATCH(AN84,怪物标准模型!$AY$12:$AY$511))</f>
        <v>199</v>
      </c>
      <c r="AP84" s="4">
        <v>152</v>
      </c>
    </row>
    <row r="85" spans="1:42">
      <c r="A85" s="4">
        <f t="array" ref="A85">_xlfn.IFNA(_xlfn.XLOOKUP(C85&amp;D85,'玩家等级对应关卡（从新手节奏复制）'!$C:$C&amp;'玩家等级对应关卡（从新手节奏复制）'!$D:$D,'玩家等级对应关卡（从新手节奏复制）'!$E:$E),A84)</f>
        <v>32</v>
      </c>
      <c r="B85" s="4">
        <v>74</v>
      </c>
      <c r="C85" s="4">
        <f t="shared" si="27"/>
        <v>5</v>
      </c>
      <c r="D85" s="4">
        <f t="shared" si="28"/>
        <v>14</v>
      </c>
      <c r="E85" s="4">
        <f t="shared" si="29"/>
        <v>1</v>
      </c>
      <c r="F85" s="4">
        <v>5</v>
      </c>
      <c r="G85" s="34">
        <f t="shared" si="30"/>
        <v>0.744771516246724</v>
      </c>
      <c r="H85" s="34">
        <f t="shared" si="31"/>
        <v>0.626631155997315</v>
      </c>
      <c r="I85" s="34">
        <f t="shared" si="32"/>
        <v>0.448996839958614</v>
      </c>
      <c r="J85" s="34">
        <f t="shared" si="33"/>
        <v>0.410951641592548</v>
      </c>
      <c r="K85" s="34">
        <f t="shared" si="34"/>
        <v>0.223323581385373</v>
      </c>
      <c r="L85" s="8">
        <f>E85*'参考-养成属性规划（从养成属性复制）'!$F$36+G85*'参考-养成属性规划（从养成属性复制）'!$F$37+'参考-养成属性规划（从养成属性复制）'!$F$39*H85</f>
        <v>6016.1549367781</v>
      </c>
      <c r="M85" s="8">
        <f>I85*'参考-养成属性规划（从养成属性复制）'!$F$41+J85*'参考-养成属性规划（从养成属性复制）'!$F$42+K85*'参考-养成属性规划（从养成属性复制）'!$F$43</f>
        <v>6494.93302324347</v>
      </c>
      <c r="N85" s="8">
        <f t="shared" si="35"/>
        <v>2.1810273197322</v>
      </c>
      <c r="O85" s="35">
        <f t="shared" si="36"/>
        <v>19616.3313000982</v>
      </c>
      <c r="P85" s="1">
        <f>O85/(O85+战斗公式!$M$27)</f>
        <v>0.449747393129647</v>
      </c>
      <c r="Q85" s="8">
        <f>E85*'参考-养成属性规划（从养成属性复制）'!$E$36+G85*'参考-养成属性规划（从养成属性复制）'!$E$37+'参考-养成属性规划（从养成属性复制）'!$E$39*H204</f>
        <v>6862.35491697641</v>
      </c>
      <c r="R85" s="8">
        <f>I85*'参考-养成属性规划（从养成属性复制）'!$E$41+J85*'参考-养成属性规划（从养成属性复制）'!$E$42+K85*'参考-养成属性规划（从养成属性复制）'!$E$43</f>
        <v>9742.39953486521</v>
      </c>
      <c r="S85" s="8">
        <f t="shared" si="37"/>
        <v>2.1810273197322</v>
      </c>
      <c r="T85" s="35">
        <f t="shared" si="38"/>
        <v>24709.3830864893</v>
      </c>
      <c r="U85" s="8">
        <f t="shared" si="39"/>
        <v>0.887989346799195</v>
      </c>
      <c r="V85" s="8">
        <f t="shared" si="40"/>
        <v>0.250652462398926</v>
      </c>
      <c r="W85" s="8">
        <f t="shared" si="41"/>
        <v>0.447323567899262</v>
      </c>
      <c r="X85" s="8">
        <f t="shared" si="42"/>
        <v>1</v>
      </c>
      <c r="Y85" s="8">
        <f t="shared" si="43"/>
        <v>1</v>
      </c>
      <c r="Z85" s="8">
        <f t="shared" si="44"/>
        <v>1</v>
      </c>
      <c r="AA85" s="8">
        <f t="shared" si="45"/>
        <v>1</v>
      </c>
      <c r="AB85" s="8">
        <f t="shared" si="46"/>
        <v>1</v>
      </c>
      <c r="AC85" s="4">
        <f t="shared" si="47"/>
        <v>1.58596537709738</v>
      </c>
      <c r="AD85" s="8">
        <f t="shared" si="48"/>
        <v>1</v>
      </c>
      <c r="AE85" s="8">
        <f t="shared" si="49"/>
        <v>1.1150897011609</v>
      </c>
      <c r="AF85" s="8">
        <f t="shared" si="50"/>
        <v>1.17889255222914</v>
      </c>
      <c r="AG85" s="8">
        <f>战斗属性!$F$11+AG$9*($H$10*$H85+$I$10*$I85+$J$10*$J85+$K85*$K$10)</f>
        <v>0.311829070141048</v>
      </c>
      <c r="AH85" s="8">
        <f>战斗属性!$F$12+AH$9*($H$10*$H85+$I$10*$I85+$J$10*$J85+$K$10*$K85)</f>
        <v>2.7293809811072</v>
      </c>
      <c r="AI85" s="8">
        <f t="shared" si="51"/>
        <v>1.59846644603668</v>
      </c>
      <c r="AJ85" s="4">
        <f t="shared" si="52"/>
        <v>2.90063384363206</v>
      </c>
      <c r="AK85" s="4">
        <f t="shared" si="53"/>
        <v>312737.980678303</v>
      </c>
      <c r="AL85" s="36">
        <f t="shared" si="54"/>
        <v>46.7661931432299</v>
      </c>
      <c r="AM85" s="36"/>
      <c r="AN85" s="4">
        <f t="shared" si="55"/>
        <v>14625564.8076252</v>
      </c>
      <c r="AO85" s="4">
        <f t="array" ref="AO85">INDEX(_xlfn.ANCHORARRAY(怪物标准模型!$B$12),MATCH(AN85,怪物标准模型!$AY$12:$AY$511))</f>
        <v>201</v>
      </c>
      <c r="AP85" s="4">
        <v>154</v>
      </c>
    </row>
    <row r="86" spans="1:42">
      <c r="A86" s="4">
        <f t="array" ref="A86">_xlfn.IFNA(_xlfn.XLOOKUP(C86&amp;D86,'玩家等级对应关卡（从新手节奏复制）'!$C:$C&amp;'玩家等级对应关卡（从新手节奏复制）'!$D:$D,'玩家等级对应关卡（从新手节奏复制）'!$E:$E),A85)</f>
        <v>33</v>
      </c>
      <c r="B86" s="4">
        <v>75</v>
      </c>
      <c r="C86" s="4">
        <f t="shared" si="27"/>
        <v>5</v>
      </c>
      <c r="D86" s="4">
        <f t="shared" si="28"/>
        <v>15</v>
      </c>
      <c r="E86" s="4">
        <f t="shared" si="29"/>
        <v>1</v>
      </c>
      <c r="F86" s="4">
        <v>5</v>
      </c>
      <c r="G86" s="34">
        <f t="shared" si="30"/>
        <v>0.747483123049491</v>
      </c>
      <c r="H86" s="34">
        <f t="shared" si="31"/>
        <v>0.630233417783056</v>
      </c>
      <c r="I86" s="34">
        <f t="shared" si="32"/>
        <v>0.456410789576291</v>
      </c>
      <c r="J86" s="34">
        <f t="shared" si="33"/>
        <v>0.415323735809575</v>
      </c>
      <c r="K86" s="34">
        <f t="shared" si="34"/>
        <v>0.229543137221816</v>
      </c>
      <c r="L86" s="8">
        <f>E86*'参考-养成属性规划（从养成属性复制）'!$F$36+G86*'参考-养成属性规划（从养成属性复制）'!$F$37+'参考-养成属性规划（从养成属性复制）'!$F$39*H86</f>
        <v>6037.45585153859</v>
      </c>
      <c r="M86" s="8">
        <f>I86*'参考-养成属性规划（从养成属性复制）'!$F$41+J86*'参考-养成属性规划（从养成属性复制）'!$F$42+K86*'参考-养成属性规划（从养成属性复制）'!$F$43</f>
        <v>6613.01694538078</v>
      </c>
      <c r="N86" s="8">
        <f t="shared" si="35"/>
        <v>2.1932224933984</v>
      </c>
      <c r="O86" s="35">
        <f t="shared" si="36"/>
        <v>19854.500921875</v>
      </c>
      <c r="P86" s="1">
        <f>O86/(O86+战斗公式!$M$27)</f>
        <v>0.452735762681349</v>
      </c>
      <c r="Q86" s="8">
        <f>E86*'参考-养成属性规划（从养成属性复制）'!$E$36+G86*'参考-养成属性规划（从养成属性复制）'!$E$37+'参考-养成属性规划（从养成属性复制）'!$E$39*H205</f>
        <v>6881.87848595634</v>
      </c>
      <c r="R86" s="8">
        <f>I86*'参考-养成属性规划（从养成属性复制）'!$E$41+J86*'参考-养成属性规划（从养成属性复制）'!$E$42+K86*'参考-养成属性规划（从养成属性复制）'!$E$43</f>
        <v>9919.52541807117</v>
      </c>
      <c r="S86" s="8">
        <f t="shared" si="37"/>
        <v>2.1932224933984</v>
      </c>
      <c r="T86" s="35">
        <f t="shared" si="38"/>
        <v>25013.0161103051</v>
      </c>
      <c r="U86" s="8">
        <f t="shared" si="39"/>
        <v>0.889070025334917</v>
      </c>
      <c r="V86" s="8">
        <f t="shared" si="40"/>
        <v>0.252093367113222</v>
      </c>
      <c r="W86" s="8">
        <f t="shared" si="41"/>
        <v>0.44831418989034</v>
      </c>
      <c r="X86" s="8">
        <f t="shared" si="42"/>
        <v>1</v>
      </c>
      <c r="Y86" s="8">
        <f t="shared" si="43"/>
        <v>1</v>
      </c>
      <c r="Z86" s="8">
        <f t="shared" si="44"/>
        <v>1</v>
      </c>
      <c r="AA86" s="8">
        <f t="shared" si="45"/>
        <v>1</v>
      </c>
      <c r="AB86" s="8">
        <f t="shared" si="46"/>
        <v>1</v>
      </c>
      <c r="AC86" s="4">
        <f t="shared" si="47"/>
        <v>1.58947758233848</v>
      </c>
      <c r="AD86" s="8">
        <f t="shared" si="48"/>
        <v>1</v>
      </c>
      <c r="AE86" s="8">
        <f t="shared" si="49"/>
        <v>1.11652602270874</v>
      </c>
      <c r="AF86" s="8">
        <f t="shared" si="50"/>
        <v>1.18073977938941</v>
      </c>
      <c r="AG86" s="8">
        <f>战斗属性!$F$11+AG$9*($H$10*$H86+$I$10*$I86+$J$10*$J86+$K86*$K$10)</f>
        <v>0.315096701662375</v>
      </c>
      <c r="AH86" s="8">
        <f>战斗属性!$F$12+AH$9*($H$10*$H86+$I$10*$I86+$J$10*$J86+$K$10*$K86)</f>
        <v>2.73848366891661</v>
      </c>
      <c r="AI86" s="8">
        <f t="shared" si="51"/>
        <v>1.60593531808543</v>
      </c>
      <c r="AJ86" s="4">
        <f t="shared" si="52"/>
        <v>2.93490746291044</v>
      </c>
      <c r="AK86" s="4">
        <f t="shared" si="53"/>
        <v>319287.528813552</v>
      </c>
      <c r="AL86" s="36">
        <f t="shared" si="54"/>
        <v>46.9940697657761</v>
      </c>
      <c r="AM86" s="36"/>
      <c r="AN86" s="4">
        <f t="shared" si="55"/>
        <v>15004620.4044063</v>
      </c>
      <c r="AO86" s="4">
        <f t="array" ref="AO86">INDEX(_xlfn.ANCHORARRAY(怪物标准模型!$B$12),MATCH(AN86,怪物标准模型!$AY$12:$AY$511))</f>
        <v>203</v>
      </c>
      <c r="AP86" s="4">
        <v>156</v>
      </c>
    </row>
    <row r="87" spans="1:42">
      <c r="A87" s="4">
        <f t="array" ref="A87">_xlfn.IFNA(_xlfn.XLOOKUP(C87&amp;D87,'玩家等级对应关卡（从新手节奏复制）'!$C:$C&amp;'玩家等级对应关卡（从新手节奏复制）'!$D:$D,'玩家等级对应关卡（从新手节奏复制）'!$E:$E),A86)</f>
        <v>33</v>
      </c>
      <c r="B87" s="4">
        <v>76</v>
      </c>
      <c r="C87" s="4">
        <f t="shared" si="27"/>
        <v>6</v>
      </c>
      <c r="D87" s="4">
        <f t="shared" si="28"/>
        <v>1</v>
      </c>
      <c r="E87" s="4">
        <f t="shared" si="29"/>
        <v>1</v>
      </c>
      <c r="F87" s="4">
        <v>5</v>
      </c>
      <c r="G87" s="34">
        <f t="shared" si="30"/>
        <v>0.750113381648175</v>
      </c>
      <c r="H87" s="34">
        <f t="shared" si="31"/>
        <v>0.633727611715224</v>
      </c>
      <c r="I87" s="34">
        <f t="shared" si="32"/>
        <v>0.463602320705439</v>
      </c>
      <c r="J87" s="34">
        <f t="shared" si="33"/>
        <v>0.419564667200091</v>
      </c>
      <c r="K87" s="34">
        <f t="shared" si="34"/>
        <v>0.235576106383166</v>
      </c>
      <c r="L87" s="8">
        <f>E87*'参考-养成属性规划（从养成属性复制）'!$F$36+G87*'参考-养成属性规划（从养成属性复制）'!$F$37+'参考-养成属性规划（从养成属性复制）'!$F$39*H87</f>
        <v>6058.11773885626</v>
      </c>
      <c r="M87" s="8">
        <f>I87*'参考-养成属性规划（从养成属性复制）'!$F$41+J87*'参考-养成属性规划（从养成属性复制）'!$F$42+K87*'参考-养成属性规划（从养成属性复制）'!$F$43</f>
        <v>6727.55834985396</v>
      </c>
      <c r="N87" s="8">
        <f t="shared" si="35"/>
        <v>2.20505181185461</v>
      </c>
      <c r="O87" s="35">
        <f t="shared" si="36"/>
        <v>20086.0218463475</v>
      </c>
      <c r="P87" s="1">
        <f>O87/(O87+战斗公式!$M$27)</f>
        <v>0.455609760307997</v>
      </c>
      <c r="Q87" s="8">
        <f>E87*'参考-养成属性规划（从养成属性复制）'!$E$36+G87*'参考-养成属性规划（从养成属性复制）'!$E$37+'参考-养成属性规划（从养成属性复制）'!$E$39*H206</f>
        <v>6900.81634786686</v>
      </c>
      <c r="R87" s="8">
        <f>I87*'参考-养成属性规划（从养成属性复制）'!$E$41+J87*'参考-养成属性规划（从养成属性复制）'!$E$42+K87*'参考-养成属性规划（从养成属性复制）'!$E$43</f>
        <v>10091.3375247809</v>
      </c>
      <c r="S87" s="8">
        <f t="shared" si="37"/>
        <v>2.20505181185461</v>
      </c>
      <c r="T87" s="35">
        <f t="shared" si="38"/>
        <v>25307.9951159207</v>
      </c>
      <c r="U87" s="8">
        <f t="shared" si="39"/>
        <v>0.890118283514567</v>
      </c>
      <c r="V87" s="8">
        <f t="shared" si="40"/>
        <v>0.25349104468609</v>
      </c>
      <c r="W87" s="8">
        <f t="shared" si="41"/>
        <v>0.449275093221687</v>
      </c>
      <c r="X87" s="8">
        <f t="shared" si="42"/>
        <v>1</v>
      </c>
      <c r="Y87" s="8">
        <f t="shared" si="43"/>
        <v>1</v>
      </c>
      <c r="Z87" s="8">
        <f t="shared" si="44"/>
        <v>1</v>
      </c>
      <c r="AA87" s="8">
        <f t="shared" si="45"/>
        <v>1</v>
      </c>
      <c r="AB87" s="8">
        <f t="shared" si="46"/>
        <v>1</v>
      </c>
      <c r="AC87" s="4">
        <f t="shared" si="47"/>
        <v>1.59288442142234</v>
      </c>
      <c r="AD87" s="8">
        <f t="shared" si="48"/>
        <v>1</v>
      </c>
      <c r="AE87" s="8">
        <f t="shared" si="49"/>
        <v>1.11791925461014</v>
      </c>
      <c r="AF87" s="8">
        <f t="shared" si="50"/>
        <v>1.18253158973486</v>
      </c>
      <c r="AG87" s="8">
        <f>战斗属性!$F$11+AG$9*($H$10*$H87+$I$10*$I87+$J$10*$J87+$K87*$K$10)</f>
        <v>0.318266304238062</v>
      </c>
      <c r="AH87" s="8">
        <f>战斗属性!$F$12+AH$9*($H$10*$H87+$I$10*$I87+$J$10*$J87+$K$10*$K87)</f>
        <v>2.74731327609174</v>
      </c>
      <c r="AI87" s="8">
        <f t="shared" si="51"/>
        <v>1.61318012397271</v>
      </c>
      <c r="AJ87" s="4">
        <f t="shared" si="52"/>
        <v>2.96849395712251</v>
      </c>
      <c r="AK87" s="4">
        <f t="shared" si="53"/>
        <v>325730.563443226</v>
      </c>
      <c r="AL87" s="36">
        <f t="shared" si="54"/>
        <v>47.2242251545477</v>
      </c>
      <c r="AM87" s="36"/>
      <c r="AN87" s="4">
        <f t="shared" si="55"/>
        <v>15382373.4677606</v>
      </c>
      <c r="AO87" s="4">
        <f t="array" ref="AO87">INDEX(_xlfn.ANCHORARRAY(怪物标准模型!$B$12),MATCH(AN87,怪物标准模型!$AY$12:$AY$511))</f>
        <v>205</v>
      </c>
      <c r="AP87" s="4">
        <v>158</v>
      </c>
    </row>
    <row r="88" spans="1:42">
      <c r="A88" s="4">
        <f t="array" ref="A88">_xlfn.IFNA(_xlfn.XLOOKUP(C88&amp;D88,'玩家等级对应关卡（从新手节奏复制）'!$C:$C&amp;'玩家等级对应关卡（从新手节奏复制）'!$D:$D,'玩家等级对应关卡（从新手节奏复制）'!$E:$E),A87)</f>
        <v>33</v>
      </c>
      <c r="B88" s="4">
        <v>77</v>
      </c>
      <c r="C88" s="4">
        <f t="shared" si="27"/>
        <v>6</v>
      </c>
      <c r="D88" s="4">
        <f t="shared" si="28"/>
        <v>2</v>
      </c>
      <c r="E88" s="4">
        <f t="shared" si="29"/>
        <v>1</v>
      </c>
      <c r="F88" s="4">
        <v>5</v>
      </c>
      <c r="G88" s="34">
        <f t="shared" si="30"/>
        <v>0.752664732488898</v>
      </c>
      <c r="H88" s="34">
        <f t="shared" si="31"/>
        <v>0.637116979829428</v>
      </c>
      <c r="I88" s="34">
        <f t="shared" si="32"/>
        <v>0.470578105900712</v>
      </c>
      <c r="J88" s="34">
        <f t="shared" si="33"/>
        <v>0.423678370648892</v>
      </c>
      <c r="K88" s="34">
        <f t="shared" si="34"/>
        <v>0.241428086469675</v>
      </c>
      <c r="L88" s="8">
        <f>E88*'参考-养成属性规划（从养成属性复制）'!$F$36+G88*'参考-养成属性规划（从养成属性复制）'!$F$37+'参考-养成属性规划（从养成属性复制）'!$F$39*H88</f>
        <v>6078.1597695544</v>
      </c>
      <c r="M88" s="8">
        <f>I88*'参考-养成属性规划（从养成属性复制）'!$F$41+J88*'参考-养成属性规划（从养成属性复制）'!$F$42+K88*'参考-养成属性规划（从养成属性复制）'!$F$43</f>
        <v>6838.66351219295</v>
      </c>
      <c r="N88" s="8">
        <f t="shared" si="35"/>
        <v>2.21652625075714</v>
      </c>
      <c r="O88" s="35">
        <f t="shared" si="36"/>
        <v>20311.0641977062</v>
      </c>
      <c r="P88" s="1">
        <f>O88/(O88+战斗公式!$M$27)</f>
        <v>0.458374551942213</v>
      </c>
      <c r="Q88" s="8">
        <f>E88*'参考-养成属性规划（从养成属性复制）'!$E$36+G88*'参考-养成属性规划（从养成属性复制）'!$E$37+'参考-养成属性规划（从养成属性复制）'!$E$39*H207</f>
        <v>6919.18607392007</v>
      </c>
      <c r="R88" s="8">
        <f>I88*'参考-养成属性规划（从养成属性复制）'!$E$41+J88*'参考-养成属性规划（从养成属性复制）'!$E$42+K88*'参考-养成属性规划（从养成属性复制）'!$E$43</f>
        <v>10257.9952682894</v>
      </c>
      <c r="S88" s="8">
        <f t="shared" si="37"/>
        <v>2.21652625075714</v>
      </c>
      <c r="T88" s="35">
        <f t="shared" si="38"/>
        <v>25594.5528350065</v>
      </c>
      <c r="U88" s="8">
        <f t="shared" si="39"/>
        <v>0.891135093948828</v>
      </c>
      <c r="V88" s="8">
        <f t="shared" si="40"/>
        <v>0.254846791931771</v>
      </c>
      <c r="W88" s="8">
        <f t="shared" si="41"/>
        <v>0.450207169453093</v>
      </c>
      <c r="X88" s="8">
        <f t="shared" si="42"/>
        <v>1</v>
      </c>
      <c r="Y88" s="8">
        <f t="shared" si="43"/>
        <v>1</v>
      </c>
      <c r="Z88" s="8">
        <f t="shared" si="44"/>
        <v>1</v>
      </c>
      <c r="AA88" s="8">
        <f t="shared" si="45"/>
        <v>1</v>
      </c>
      <c r="AB88" s="8">
        <f t="shared" si="46"/>
        <v>1</v>
      </c>
      <c r="AC88" s="4">
        <f t="shared" si="47"/>
        <v>1.59618905533369</v>
      </c>
      <c r="AD88" s="8">
        <f t="shared" si="48"/>
        <v>1</v>
      </c>
      <c r="AE88" s="8">
        <f t="shared" si="49"/>
        <v>1.1192706895545</v>
      </c>
      <c r="AF88" s="8">
        <f t="shared" si="50"/>
        <v>1.18426964576996</v>
      </c>
      <c r="AG88" s="8">
        <f>战斗属性!$F$11+AG$9*($H$10*$H88+$I$10*$I88+$J$10*$J88+$K88*$K$10)</f>
        <v>0.321340818736478</v>
      </c>
      <c r="AH88" s="8">
        <f>战斗属性!$F$12+AH$9*($H$10*$H88+$I$10*$I88+$J$10*$J88+$K$10*$K88)</f>
        <v>2.75587799505162</v>
      </c>
      <c r="AI88" s="8">
        <f t="shared" si="51"/>
        <v>1.62020758568338</v>
      </c>
      <c r="AJ88" s="4">
        <f t="shared" si="52"/>
        <v>3.00139623797386</v>
      </c>
      <c r="AK88" s="4">
        <f t="shared" si="53"/>
        <v>332065.89578818</v>
      </c>
      <c r="AL88" s="36">
        <f t="shared" si="54"/>
        <v>47.4566820972071</v>
      </c>
      <c r="AM88" s="36"/>
      <c r="AN88" s="4">
        <f t="shared" si="55"/>
        <v>15758745.651744</v>
      </c>
      <c r="AO88" s="4">
        <f t="array" ref="AO88">INDEX(_xlfn.ANCHORARRAY(怪物标准模型!$B$12),MATCH(AN88,怪物标准模型!$AY$12:$AY$511))</f>
        <v>206</v>
      </c>
      <c r="AP88" s="4">
        <v>159</v>
      </c>
    </row>
    <row r="89" spans="1:42">
      <c r="A89" s="4">
        <f t="array" ref="A89">_xlfn.IFNA(_xlfn.XLOOKUP(C89&amp;D89,'玩家等级对应关卡（从新手节奏复制）'!$C:$C&amp;'玩家等级对应关卡（从新手节奏复制）'!$D:$D,'玩家等级对应关卡（从新手节奏复制）'!$E:$E),A88)</f>
        <v>33</v>
      </c>
      <c r="B89" s="4">
        <v>78</v>
      </c>
      <c r="C89" s="4">
        <f t="shared" si="27"/>
        <v>6</v>
      </c>
      <c r="D89" s="4">
        <f t="shared" si="28"/>
        <v>3</v>
      </c>
      <c r="E89" s="4">
        <f t="shared" si="29"/>
        <v>1</v>
      </c>
      <c r="F89" s="4">
        <v>5</v>
      </c>
      <c r="G89" s="34">
        <f t="shared" si="30"/>
        <v>0.7551395428044</v>
      </c>
      <c r="H89" s="34">
        <f t="shared" si="31"/>
        <v>0.640404666900205</v>
      </c>
      <c r="I89" s="34">
        <f t="shared" si="32"/>
        <v>0.477344617540127</v>
      </c>
      <c r="J89" s="34">
        <f t="shared" si="33"/>
        <v>0.427668662994229</v>
      </c>
      <c r="K89" s="34">
        <f t="shared" si="34"/>
        <v>0.247104507153589</v>
      </c>
      <c r="L89" s="8">
        <f>E89*'参考-养成属性规划（从养成属性复制）'!$F$36+G89*'参考-养成属性规划（从养成属性复制）'!$F$37+'参考-养成属性规划（从养成属性复制）'!$F$39*H89</f>
        <v>6097.60053933159</v>
      </c>
      <c r="M89" s="8">
        <f>I89*'参考-养成属性规划（从养成属性复制）'!$F$41+J89*'参考-养成属性规划（从养成属性复制）'!$F$42+K89*'参考-养成属性规划（从养成属性复制）'!$F$43</f>
        <v>6946.43551966177</v>
      </c>
      <c r="N89" s="8">
        <f t="shared" si="35"/>
        <v>2.22765645649259</v>
      </c>
      <c r="O89" s="35">
        <f t="shared" si="36"/>
        <v>20529.7947302165</v>
      </c>
      <c r="P89" s="1">
        <f>O89/(O89+战斗公式!$M$27)</f>
        <v>0.461035018342127</v>
      </c>
      <c r="Q89" s="8">
        <f>E89*'参考-养成属性规划（从养成属性复制）'!$E$36+G89*'参考-养成属性规划（从养成属性复制）'!$E$37+'参考-养成属性规划（从养成属性复制）'!$E$39*H208</f>
        <v>6937.00470819168</v>
      </c>
      <c r="R89" s="8">
        <f>I89*'参考-养成属性规划（从养成属性复制）'!$E$41+J89*'参考-养成属性规划（从养成属性复制）'!$E$42+K89*'参考-养成属性规划（从养成属性复制）'!$E$43</f>
        <v>10419.6532794927</v>
      </c>
      <c r="S89" s="8">
        <f t="shared" si="37"/>
        <v>2.22765645649259</v>
      </c>
      <c r="T89" s="35">
        <f t="shared" si="38"/>
        <v>25872.9166064154</v>
      </c>
      <c r="U89" s="8">
        <f t="shared" si="39"/>
        <v>0.892121400070061</v>
      </c>
      <c r="V89" s="8">
        <f t="shared" si="40"/>
        <v>0.256161866760082</v>
      </c>
      <c r="W89" s="8">
        <f t="shared" si="41"/>
        <v>0.451111283397556</v>
      </c>
      <c r="X89" s="8">
        <f t="shared" si="42"/>
        <v>1</v>
      </c>
      <c r="Y89" s="8">
        <f t="shared" si="43"/>
        <v>1</v>
      </c>
      <c r="Z89" s="8">
        <f t="shared" si="44"/>
        <v>1</v>
      </c>
      <c r="AA89" s="8">
        <f t="shared" si="45"/>
        <v>1</v>
      </c>
      <c r="AB89" s="8">
        <f t="shared" si="46"/>
        <v>1</v>
      </c>
      <c r="AC89" s="4">
        <f t="shared" si="47"/>
        <v>1.5993945502277</v>
      </c>
      <c r="AD89" s="8">
        <f t="shared" si="48"/>
        <v>1</v>
      </c>
      <c r="AE89" s="8">
        <f t="shared" si="49"/>
        <v>1.12058158145052</v>
      </c>
      <c r="AF89" s="8">
        <f t="shared" si="50"/>
        <v>1.185955560124</v>
      </c>
      <c r="AG89" s="8">
        <f>战斗属性!$F$11+AG$9*($H$10*$H89+$I$10*$I89+$J$10*$J89+$K89*$K$10)</f>
        <v>0.324323097799943</v>
      </c>
      <c r="AH89" s="8">
        <f>战斗属性!$F$12+AH$9*($H$10*$H89+$I$10*$I89+$J$10*$J89+$K$10*$K89)</f>
        <v>2.7641857724427</v>
      </c>
      <c r="AI89" s="8">
        <f t="shared" si="51"/>
        <v>1.62702422354273</v>
      </c>
      <c r="AJ89" s="4">
        <f t="shared" si="52"/>
        <v>3.03361796903061</v>
      </c>
      <c r="AK89" s="4">
        <f t="shared" si="53"/>
        <v>338292.556131113</v>
      </c>
      <c r="AL89" s="36">
        <f t="shared" si="54"/>
        <v>47.6914636092931</v>
      </c>
      <c r="AM89" s="36"/>
      <c r="AN89" s="4">
        <f t="shared" si="55"/>
        <v>16133667.1300217</v>
      </c>
      <c r="AO89" s="4">
        <f t="array" ref="AO89">INDEX(_xlfn.ANCHORARRAY(怪物标准模型!$B$12),MATCH(AN89,怪物标准模型!$AY$12:$AY$511))</f>
        <v>208</v>
      </c>
      <c r="AP89" s="4">
        <v>161</v>
      </c>
    </row>
    <row r="90" spans="1:42">
      <c r="A90" s="4">
        <f t="array" ref="A90">_xlfn.IFNA(_xlfn.XLOOKUP(C90&amp;D90,'玩家等级对应关卡（从新手节奏复制）'!$C:$C&amp;'玩家等级对应关卡（从新手节奏复制）'!$D:$D,'玩家等级对应关卡（从新手节奏复制）'!$E:$E),A89)</f>
        <v>33</v>
      </c>
      <c r="B90" s="4">
        <v>79</v>
      </c>
      <c r="C90" s="4">
        <f t="shared" si="27"/>
        <v>6</v>
      </c>
      <c r="D90" s="4">
        <f t="shared" si="28"/>
        <v>4</v>
      </c>
      <c r="E90" s="4">
        <f t="shared" si="29"/>
        <v>1</v>
      </c>
      <c r="F90" s="4">
        <v>5</v>
      </c>
      <c r="G90" s="34">
        <f t="shared" si="30"/>
        <v>0.757540108810437</v>
      </c>
      <c r="H90" s="34">
        <f t="shared" si="31"/>
        <v>0.643593723358859</v>
      </c>
      <c r="I90" s="34">
        <f t="shared" si="32"/>
        <v>0.48390813383036</v>
      </c>
      <c r="J90" s="34">
        <f t="shared" si="33"/>
        <v>0.431539246569206</v>
      </c>
      <c r="K90" s="34">
        <f t="shared" si="34"/>
        <v>0.252610635216985</v>
      </c>
      <c r="L90" s="8">
        <f>E90*'参考-养成属性规划（从养成属性复制）'!$F$36+G90*'参考-养成属性规划（从养成属性复制）'!$F$37+'参考-养成属性规划（从养成属性复制）'!$F$39*H90</f>
        <v>6116.45808601547</v>
      </c>
      <c r="M90" s="8">
        <f>I90*'参考-养成属性规划（从养成属性复制）'!$F$41+J90*'参考-养成属性规划（从养成属性复制）'!$F$42+K90*'参考-养成属性规划（从养成属性复制）'!$F$43</f>
        <v>7050.97436690653</v>
      </c>
      <c r="N90" s="8">
        <f t="shared" si="35"/>
        <v>2.23845275605598</v>
      </c>
      <c r="O90" s="35">
        <f t="shared" si="36"/>
        <v>20742.3768268487</v>
      </c>
      <c r="P90" s="1">
        <f>O90/(O90+战斗公式!$M$27)</f>
        <v>0.463595774250459</v>
      </c>
      <c r="Q90" s="8">
        <f>E90*'参考-养成属性规划（从养成属性复制）'!$E$36+G90*'参考-养成属性规划（从养成属性复制）'!$E$37+'参考-养成属性规划（从养成属性复制）'!$E$39*H209</f>
        <v>6954.28878343515</v>
      </c>
      <c r="R90" s="8">
        <f>I90*'参考-养成属性规划（从养成属性复制）'!$E$41+J90*'参考-养成属性规划（从养成属性复制）'!$E$42+K90*'参考-养成属性规划（从养成属性复制）'!$E$43</f>
        <v>10576.4615503598</v>
      </c>
      <c r="S90" s="8">
        <f t="shared" si="37"/>
        <v>2.23845275605598</v>
      </c>
      <c r="T90" s="35">
        <f t="shared" si="38"/>
        <v>26143.3084440494</v>
      </c>
      <c r="U90" s="8">
        <f t="shared" si="39"/>
        <v>0.893078117007658</v>
      </c>
      <c r="V90" s="8">
        <f t="shared" si="40"/>
        <v>0.257437489343544</v>
      </c>
      <c r="W90" s="8">
        <f t="shared" si="41"/>
        <v>0.451988273923686</v>
      </c>
      <c r="X90" s="8">
        <f t="shared" si="42"/>
        <v>1</v>
      </c>
      <c r="Y90" s="8">
        <f t="shared" si="43"/>
        <v>1</v>
      </c>
      <c r="Z90" s="8">
        <f t="shared" si="44"/>
        <v>1</v>
      </c>
      <c r="AA90" s="8">
        <f t="shared" si="45"/>
        <v>1</v>
      </c>
      <c r="AB90" s="8">
        <f t="shared" si="46"/>
        <v>1</v>
      </c>
      <c r="AC90" s="4">
        <f t="shared" si="47"/>
        <v>1.60250388027489</v>
      </c>
      <c r="AD90" s="8">
        <f t="shared" si="48"/>
        <v>1</v>
      </c>
      <c r="AE90" s="8">
        <f t="shared" si="49"/>
        <v>1.12185314658967</v>
      </c>
      <c r="AF90" s="8">
        <f t="shared" si="50"/>
        <v>1.18759089704742</v>
      </c>
      <c r="AG90" s="8">
        <f>战斗属性!$F$11+AG$9*($H$10*$H90+$I$10*$I90+$J$10*$J90+$K90*$K$10)</f>
        <v>0.327215908491503</v>
      </c>
      <c r="AH90" s="8">
        <f>战斗属性!$F$12+AH$9*($H$10*$H90+$I$10*$I90+$J$10*$J90+$K$10*$K90)</f>
        <v>2.77224431651204</v>
      </c>
      <c r="AI90" s="8">
        <f t="shared" si="51"/>
        <v>1.63363636226629</v>
      </c>
      <c r="AJ90" s="4">
        <f t="shared" si="52"/>
        <v>3.0651635107814</v>
      </c>
      <c r="AK90" s="4">
        <f t="shared" si="53"/>
        <v>344409.782363181</v>
      </c>
      <c r="AL90" s="36">
        <f t="shared" si="54"/>
        <v>47.9285929364999</v>
      </c>
      <c r="AM90" s="36"/>
      <c r="AN90" s="4">
        <f t="shared" si="55"/>
        <v>16507076.2622334</v>
      </c>
      <c r="AO90" s="4">
        <f t="array" ref="AO90">INDEX(_xlfn.ANCHORARRAY(怪物标准模型!$B$12),MATCH(AN90,怪物标准模型!$AY$12:$AY$511))</f>
        <v>210</v>
      </c>
      <c r="AP90" s="4">
        <v>163</v>
      </c>
    </row>
    <row r="91" spans="1:42">
      <c r="A91" s="4">
        <f t="array" ref="A91">_xlfn.IFNA(_xlfn.XLOOKUP(C91&amp;D91,'玩家等级对应关卡（从新手节奏复制）'!$C:$C&amp;'玩家等级对应关卡（从新手节奏复制）'!$D:$D,'玩家等级对应关卡（从新手节奏复制）'!$E:$E),A90)</f>
        <v>34</v>
      </c>
      <c r="B91" s="4">
        <v>80</v>
      </c>
      <c r="C91" s="4">
        <f t="shared" si="27"/>
        <v>6</v>
      </c>
      <c r="D91" s="4">
        <f t="shared" si="28"/>
        <v>5</v>
      </c>
      <c r="E91" s="4">
        <f t="shared" si="29"/>
        <v>1</v>
      </c>
      <c r="F91" s="4">
        <v>5</v>
      </c>
      <c r="G91" s="34">
        <f t="shared" si="30"/>
        <v>0.759868657836292</v>
      </c>
      <c r="H91" s="34">
        <f t="shared" si="31"/>
        <v>0.646687108123754</v>
      </c>
      <c r="I91" s="34">
        <f t="shared" si="32"/>
        <v>0.490274744631885</v>
      </c>
      <c r="J91" s="34">
        <f t="shared" si="33"/>
        <v>0.435293712636933</v>
      </c>
      <c r="K91" s="34">
        <f t="shared" si="34"/>
        <v>0.25795157943848</v>
      </c>
      <c r="L91" s="8">
        <f>E91*'参考-养成属性规划（从养成属性复制）'!$F$36+G91*'参考-养成属性规划（从养成属性复制）'!$F$37+'参考-养成属性规划（从养成属性复制）'!$F$39*H91</f>
        <v>6134.74990629884</v>
      </c>
      <c r="M91" s="8">
        <f>I91*'参考-养成属性规划（从养成属性复制）'!$F$41+J91*'参考-养成属性规划（从养成属性复制）'!$F$42+K91*'参考-养成属性规划（从养成属性复制）'!$F$43</f>
        <v>7152.37704873394</v>
      </c>
      <c r="N91" s="8">
        <f t="shared" si="35"/>
        <v>2.24892516663247</v>
      </c>
      <c r="O91" s="35">
        <f t="shared" si="36"/>
        <v>20948.9705040056</v>
      </c>
      <c r="P91" s="1">
        <f>O91/(O91+战斗公式!$M$27)</f>
        <v>0.466061186031807</v>
      </c>
      <c r="Q91" s="8">
        <f>E91*'参考-养成属性规划（从养成属性复制）'!$E$36+G91*'参考-养成属性规划（从养成属性复制）'!$E$37+'参考-养成属性规划（从养成属性复制）'!$E$39*H210</f>
        <v>6971.0543364213</v>
      </c>
      <c r="R91" s="8">
        <f>I91*'参考-养成属性规划（从养成属性复制）'!$E$41+J91*'参考-养成属性规划（从养成属性复制）'!$E$42+K91*'参考-养成属性规划（从养成属性复制）'!$E$43</f>
        <v>10728.5655731009</v>
      </c>
      <c r="S91" s="8">
        <f t="shared" si="37"/>
        <v>2.24892516663247</v>
      </c>
      <c r="T91" s="35">
        <f t="shared" si="38"/>
        <v>26405.9451082412</v>
      </c>
      <c r="U91" s="8">
        <f t="shared" si="39"/>
        <v>0.894006132437126</v>
      </c>
      <c r="V91" s="8">
        <f t="shared" si="40"/>
        <v>0.258674843249501</v>
      </c>
      <c r="W91" s="8">
        <f t="shared" si="41"/>
        <v>0.452838954734032</v>
      </c>
      <c r="X91" s="8">
        <f t="shared" si="42"/>
        <v>1</v>
      </c>
      <c r="Y91" s="8">
        <f t="shared" si="43"/>
        <v>1</v>
      </c>
      <c r="Z91" s="8">
        <f t="shared" si="44"/>
        <v>1</v>
      </c>
      <c r="AA91" s="8">
        <f t="shared" si="45"/>
        <v>1</v>
      </c>
      <c r="AB91" s="8">
        <f t="shared" si="46"/>
        <v>1</v>
      </c>
      <c r="AC91" s="4">
        <f t="shared" si="47"/>
        <v>1.60551993042066</v>
      </c>
      <c r="AD91" s="8">
        <f t="shared" si="48"/>
        <v>1</v>
      </c>
      <c r="AE91" s="8">
        <f t="shared" si="49"/>
        <v>1.12308656477464</v>
      </c>
      <c r="AF91" s="8">
        <f t="shared" si="50"/>
        <v>1.18917717386313</v>
      </c>
      <c r="AG91" s="8">
        <f>战斗属性!$F$11+AG$9*($H$10*$H91+$I$10*$I91+$J$10*$J91+$K91*$K$10)</f>
        <v>0.330021934862316</v>
      </c>
      <c r="AH91" s="8">
        <f>战斗属性!$F$12+AH$9*($H$10*$H91+$I$10*$I91+$J$10*$J91+$K$10*$K91)</f>
        <v>2.78006110425931</v>
      </c>
      <c r="AI91" s="8">
        <f t="shared" si="51"/>
        <v>1.64005013682815</v>
      </c>
      <c r="AJ91" s="4">
        <f t="shared" si="52"/>
        <v>3.09603786785659</v>
      </c>
      <c r="AK91" s="4">
        <f t="shared" si="53"/>
        <v>350417.008716103</v>
      </c>
      <c r="AL91" s="36">
        <f t="shared" si="54"/>
        <v>48.1680935569787</v>
      </c>
      <c r="AM91" s="36"/>
      <c r="AN91" s="4">
        <f t="shared" si="55"/>
        <v>16878919.2597939</v>
      </c>
      <c r="AO91" s="4">
        <f t="array" ref="AO91">INDEX(_xlfn.ANCHORARRAY(怪物标准模型!$B$12),MATCH(AN91,怪物标准模型!$AY$12:$AY$511))</f>
        <v>212</v>
      </c>
      <c r="AP91" s="4">
        <v>164</v>
      </c>
    </row>
    <row r="92" spans="1:42">
      <c r="A92" s="4">
        <f t="array" ref="A92">_xlfn.IFNA(_xlfn.XLOOKUP(C92&amp;D92,'玩家等级对应关卡（从新手节奏复制）'!$C:$C&amp;'玩家等级对应关卡（从新手节奏复制）'!$D:$D,'玩家等级对应关卡（从新手节奏复制）'!$E:$E),A91)</f>
        <v>34</v>
      </c>
      <c r="B92" s="4">
        <v>81</v>
      </c>
      <c r="C92" s="4">
        <f t="shared" si="27"/>
        <v>6</v>
      </c>
      <c r="D92" s="4">
        <f t="shared" si="28"/>
        <v>6</v>
      </c>
      <c r="E92" s="4">
        <f t="shared" si="29"/>
        <v>1</v>
      </c>
      <c r="F92" s="4">
        <v>5</v>
      </c>
      <c r="G92" s="34">
        <f t="shared" si="30"/>
        <v>0.762127350391372</v>
      </c>
      <c r="H92" s="34">
        <f t="shared" si="31"/>
        <v>0.649687691345701</v>
      </c>
      <c r="I92" s="34">
        <f t="shared" si="32"/>
        <v>0.496450357109365</v>
      </c>
      <c r="J92" s="34">
        <f t="shared" si="33"/>
        <v>0.438935544722629</v>
      </c>
      <c r="K92" s="34">
        <f t="shared" si="34"/>
        <v>0.263132295333329</v>
      </c>
      <c r="L92" s="8">
        <f>E92*'参考-养成属性规划（从养成属性复制）'!$F$36+G92*'参考-养成属性规划（从养成属性复制）'!$F$37+'参考-养成属性规划（从养成属性复制）'!$F$39*H92</f>
        <v>6152.4929719737</v>
      </c>
      <c r="M92" s="8">
        <f>I92*'参考-养成属性规划（从养成属性复制）'!$F$41+J92*'参考-养成属性规划（从养成属性复制）'!$F$42+K92*'参考-养成属性规划（从养成属性复制）'!$F$43</f>
        <v>7250.73765010653</v>
      </c>
      <c r="N92" s="8">
        <f t="shared" si="35"/>
        <v>2.25908340489166</v>
      </c>
      <c r="O92" s="35">
        <f t="shared" si="36"/>
        <v>21149.7324218049</v>
      </c>
      <c r="P92" s="1">
        <f>O92/(O92+战斗公式!$M$27)</f>
        <v>0.468435387926922</v>
      </c>
      <c r="Q92" s="8">
        <f>E92*'参考-养成属性规划（从养成属性复制）'!$E$36+G92*'参考-养成属性规划（从养成属性复制）'!$E$37+'参考-养成属性规划（从养成属性复制）'!$E$39*H211</f>
        <v>6987.31692281788</v>
      </c>
      <c r="R92" s="8">
        <f>I92*'参考-养成属性规划（从养成属性复制）'!$E$41+J92*'参考-养成属性规划（从养成属性复制）'!$E$42+K92*'参考-养成属性规划（从养成属性复制）'!$E$43</f>
        <v>10876.1064751598</v>
      </c>
      <c r="S92" s="8">
        <f t="shared" si="37"/>
        <v>2.25908340489166</v>
      </c>
      <c r="T92" s="35">
        <f t="shared" si="38"/>
        <v>26661.0381802163</v>
      </c>
      <c r="U92" s="8">
        <f t="shared" si="39"/>
        <v>0.89490630740371</v>
      </c>
      <c r="V92" s="8">
        <f t="shared" si="40"/>
        <v>0.25987507653828</v>
      </c>
      <c r="W92" s="8">
        <f t="shared" si="41"/>
        <v>0.453664115120068</v>
      </c>
      <c r="X92" s="8">
        <f t="shared" si="42"/>
        <v>1</v>
      </c>
      <c r="Y92" s="8">
        <f t="shared" si="43"/>
        <v>1</v>
      </c>
      <c r="Z92" s="8">
        <f t="shared" si="44"/>
        <v>1</v>
      </c>
      <c r="AA92" s="8">
        <f t="shared" si="45"/>
        <v>1</v>
      </c>
      <c r="AB92" s="8">
        <f t="shared" si="46"/>
        <v>1</v>
      </c>
      <c r="AC92" s="4">
        <f t="shared" si="47"/>
        <v>1.60844549906206</v>
      </c>
      <c r="AD92" s="8">
        <f t="shared" si="48"/>
        <v>1</v>
      </c>
      <c r="AE92" s="8">
        <f t="shared" si="49"/>
        <v>1.12428298041407</v>
      </c>
      <c r="AF92" s="8">
        <f t="shared" si="50"/>
        <v>1.19071586237438</v>
      </c>
      <c r="AG92" s="8">
        <f>战斗属性!$F$11+AG$9*($H$10*$H92+$I$10*$I92+$J$10*$J92+$K92*$K$10)</f>
        <v>0.332743780442005</v>
      </c>
      <c r="AH92" s="8">
        <f>战斗属性!$F$12+AH$9*($H$10*$H92+$I$10*$I92+$J$10*$J92+$K$10*$K92)</f>
        <v>2.78764338837416</v>
      </c>
      <c r="AI92" s="8">
        <f t="shared" si="51"/>
        <v>1.64627149815315</v>
      </c>
      <c r="AJ92" s="4">
        <f t="shared" si="52"/>
        <v>3.12624663842094</v>
      </c>
      <c r="AK92" s="4">
        <f t="shared" si="53"/>
        <v>356313.854714281</v>
      </c>
      <c r="AL92" s="36">
        <f t="shared" si="54"/>
        <v>48.4099891836624</v>
      </c>
      <c r="AM92" s="36"/>
      <c r="AN92" s="4">
        <f t="shared" si="55"/>
        <v>17249149.8527074</v>
      </c>
      <c r="AO92" s="4">
        <f t="array" ref="AO92">INDEX(_xlfn.ANCHORARRAY(怪物标准模型!$B$12),MATCH(AN92,怪物标准模型!$AY$12:$AY$511))</f>
        <v>214</v>
      </c>
      <c r="AP92" s="4">
        <v>166</v>
      </c>
    </row>
    <row r="93" spans="1:42">
      <c r="A93" s="4">
        <f t="array" ref="A93">_xlfn.IFNA(_xlfn.XLOOKUP(C93&amp;D93,'玩家等级对应关卡（从新手节奏复制）'!$C:$C&amp;'玩家等级对应关卡（从新手节奏复制）'!$D:$D,'玩家等级对应关卡（从新手节奏复制）'!$E:$E),A92)</f>
        <v>34</v>
      </c>
      <c r="B93" s="4">
        <v>82</v>
      </c>
      <c r="C93" s="4">
        <f t="shared" si="27"/>
        <v>6</v>
      </c>
      <c r="D93" s="4">
        <f t="shared" si="28"/>
        <v>7</v>
      </c>
      <c r="E93" s="4">
        <f t="shared" si="29"/>
        <v>1</v>
      </c>
      <c r="F93" s="4">
        <v>5</v>
      </c>
      <c r="G93" s="34">
        <f t="shared" si="30"/>
        <v>0.7643182821698</v>
      </c>
      <c r="H93" s="34">
        <f t="shared" si="31"/>
        <v>0.65259825707099</v>
      </c>
      <c r="I93" s="34">
        <f t="shared" si="32"/>
        <v>0.50244070121252</v>
      </c>
      <c r="J93" s="34">
        <f t="shared" si="33"/>
        <v>0.442468121845754</v>
      </c>
      <c r="K93" s="34">
        <f t="shared" si="34"/>
        <v>0.268157589751334</v>
      </c>
      <c r="L93" s="8">
        <f>E93*'参考-养成属性规划（从养成属性复制）'!$F$36+G93*'参考-养成属性规划（从养成属性复制）'!$F$37+'参考-养成属性规划（从养成属性复制）'!$F$39*H93</f>
        <v>6169.70374567832</v>
      </c>
      <c r="M93" s="8">
        <f>I93*'参考-养成属性规划（从养成属性复制）'!$F$41+J93*'参考-养成属性规划（从养成属性复制）'!$F$42+K93*'参考-养成属性规划（从养成属性复制）'!$F$43</f>
        <v>7346.14743343794</v>
      </c>
      <c r="N93" s="8">
        <f t="shared" si="35"/>
        <v>2.26893689600308</v>
      </c>
      <c r="O93" s="35">
        <f t="shared" si="36"/>
        <v>21344.8158994159</v>
      </c>
      <c r="P93" s="1">
        <f>O93/(O93+战斗公式!$M$27)</f>
        <v>0.470722297048533</v>
      </c>
      <c r="Q93" s="8">
        <f>E93*'参考-养成属性规划（从养成属性复制）'!$E$36+G93*'参考-养成属性规划（从养成属性复制）'!$E$37+'参考-养成属性规划（从养成属性复制）'!$E$39*H212</f>
        <v>7003.09163162256</v>
      </c>
      <c r="R93" s="8">
        <f>I93*'参考-养成属性规划（从养成属性复制）'!$E$41+J93*'参考-养成属性规划（从养成属性复制）'!$E$42+K93*'参考-养成属性规划（从养成属性复制）'!$E$43</f>
        <v>11019.2211501569</v>
      </c>
      <c r="S93" s="8">
        <f t="shared" si="37"/>
        <v>2.26893689600308</v>
      </c>
      <c r="T93" s="35">
        <f t="shared" si="38"/>
        <v>26908.7941392357</v>
      </c>
      <c r="U93" s="8">
        <f t="shared" si="39"/>
        <v>0.895779477121297</v>
      </c>
      <c r="V93" s="8">
        <f t="shared" si="40"/>
        <v>0.261039302828396</v>
      </c>
      <c r="W93" s="8">
        <f t="shared" si="41"/>
        <v>0.454464520694522</v>
      </c>
      <c r="X93" s="8">
        <f t="shared" si="42"/>
        <v>1</v>
      </c>
      <c r="Y93" s="8">
        <f t="shared" si="43"/>
        <v>1</v>
      </c>
      <c r="Z93" s="8">
        <f t="shared" si="44"/>
        <v>1</v>
      </c>
      <c r="AA93" s="8">
        <f t="shared" si="45"/>
        <v>1</v>
      </c>
      <c r="AB93" s="8">
        <f t="shared" si="46"/>
        <v>1</v>
      </c>
      <c r="AC93" s="4">
        <f t="shared" si="47"/>
        <v>1.61128330064422</v>
      </c>
      <c r="AD93" s="8">
        <f t="shared" si="48"/>
        <v>1</v>
      </c>
      <c r="AE93" s="8">
        <f t="shared" si="49"/>
        <v>1.12544350358431</v>
      </c>
      <c r="AF93" s="8">
        <f t="shared" si="50"/>
        <v>1.19220839023029</v>
      </c>
      <c r="AG93" s="8">
        <f>战斗属性!$F$11+AG$9*($H$10*$H93+$I$10*$I93+$J$10*$J93+$K93*$K$10)</f>
        <v>0.335383970654303</v>
      </c>
      <c r="AH93" s="8">
        <f>战斗属性!$F$12+AH$9*($H$10*$H93+$I$10*$I93+$J$10*$J93+$K$10*$K93)</f>
        <v>2.79499820396556</v>
      </c>
      <c r="AI93" s="8">
        <f t="shared" si="51"/>
        <v>1.65230621863841</v>
      </c>
      <c r="AJ93" s="4">
        <f t="shared" si="52"/>
        <v>3.15579596574325</v>
      </c>
      <c r="AK93" s="4">
        <f t="shared" si="53"/>
        <v>362100.114376317</v>
      </c>
      <c r="AL93" s="36">
        <f t="shared" si="54"/>
        <v>48.6543037666129</v>
      </c>
      <c r="AM93" s="36"/>
      <c r="AN93" s="4">
        <f t="shared" si="55"/>
        <v>17617728.9587906</v>
      </c>
      <c r="AO93" s="4">
        <f t="array" ref="AO93">INDEX(_xlfn.ANCHORARRAY(怪物标准模型!$B$12),MATCH(AN93,怪物标准模型!$AY$12:$AY$511))</f>
        <v>215</v>
      </c>
      <c r="AP93" s="4">
        <v>167</v>
      </c>
    </row>
    <row r="94" spans="1:42">
      <c r="A94" s="4">
        <f t="array" ref="A94">_xlfn.IFNA(_xlfn.XLOOKUP(C94&amp;D94,'玩家等级对应关卡（从新手节奏复制）'!$C:$C&amp;'玩家等级对应关卡（从新手节奏复制）'!$D:$D,'玩家等级对应关卡（从新手节奏复制）'!$E:$E),A93)</f>
        <v>34</v>
      </c>
      <c r="B94" s="4">
        <v>83</v>
      </c>
      <c r="C94" s="4">
        <f t="shared" si="27"/>
        <v>6</v>
      </c>
      <c r="D94" s="4">
        <f t="shared" si="28"/>
        <v>8</v>
      </c>
      <c r="E94" s="4">
        <f t="shared" si="29"/>
        <v>1</v>
      </c>
      <c r="F94" s="4">
        <v>5</v>
      </c>
      <c r="G94" s="34">
        <f t="shared" si="30"/>
        <v>0.766443485994875</v>
      </c>
      <c r="H94" s="34">
        <f t="shared" si="31"/>
        <v>0.655421505824521</v>
      </c>
      <c r="I94" s="34">
        <f t="shared" si="32"/>
        <v>0.508251334992581</v>
      </c>
      <c r="J94" s="34">
        <f t="shared" si="33"/>
        <v>0.445894721655185</v>
      </c>
      <c r="K94" s="34">
        <f t="shared" si="34"/>
        <v>0.273032125336798</v>
      </c>
      <c r="L94" s="8">
        <f>E94*'参考-养成属性规划（从养成属性复制）'!$F$36+G94*'参考-养成属性规划（从养成属性复制）'!$F$37+'参考-养成属性规划（从养成属性复制）'!$F$39*H94</f>
        <v>6186.39819617179</v>
      </c>
      <c r="M94" s="8">
        <f>I94*'参考-养成属性规划（从养成属性复制）'!$F$41+J94*'参考-养成属性规划（从养成属性复制）'!$F$42+K94*'参考-养成属性规划（从养成属性复制）'!$F$43</f>
        <v>7438.69492326941</v>
      </c>
      <c r="N94" s="8">
        <f t="shared" si="35"/>
        <v>2.27849478238115</v>
      </c>
      <c r="O94" s="35">
        <f t="shared" si="36"/>
        <v>21534.370934979</v>
      </c>
      <c r="P94" s="1">
        <f>O94/(O94+战斗公式!$M$27)</f>
        <v>0.472925627230672</v>
      </c>
      <c r="Q94" s="8">
        <f>E94*'参考-养成属性规划（从养成属性复制）'!$E$36+G94*'参考-养成属性规划（从养成属性复制）'!$E$37+'参考-养成属性规划（从养成属性复制）'!$E$39*H213</f>
        <v>7018.3930991631</v>
      </c>
      <c r="R94" s="8">
        <f>I94*'参考-养成属性规划（从养成属性复制）'!$E$41+J94*'参考-养成属性规划（从养成属性复制）'!$E$42+K94*'参考-养成属性规划（从养成属性复制）'!$E$43</f>
        <v>11158.0423849041</v>
      </c>
      <c r="S94" s="8">
        <f t="shared" si="37"/>
        <v>2.27849478238115</v>
      </c>
      <c r="T94" s="35">
        <f t="shared" si="38"/>
        <v>27149.4144420471</v>
      </c>
      <c r="U94" s="8">
        <f t="shared" si="39"/>
        <v>0.896626451747356</v>
      </c>
      <c r="V94" s="8">
        <f t="shared" si="40"/>
        <v>0.262168602329808</v>
      </c>
      <c r="W94" s="8">
        <f t="shared" si="41"/>
        <v>0.455240914101743</v>
      </c>
      <c r="X94" s="8">
        <f t="shared" si="42"/>
        <v>1</v>
      </c>
      <c r="Y94" s="8">
        <f t="shared" si="43"/>
        <v>1</v>
      </c>
      <c r="Z94" s="8">
        <f t="shared" si="44"/>
        <v>1</v>
      </c>
      <c r="AA94" s="8">
        <f t="shared" si="45"/>
        <v>1</v>
      </c>
      <c r="AB94" s="8">
        <f t="shared" si="46"/>
        <v>1</v>
      </c>
      <c r="AC94" s="4">
        <f t="shared" si="47"/>
        <v>1.61403596817891</v>
      </c>
      <c r="AD94" s="8">
        <f t="shared" si="48"/>
        <v>1</v>
      </c>
      <c r="AE94" s="8">
        <f t="shared" si="49"/>
        <v>1.12656921105944</v>
      </c>
      <c r="AF94" s="8">
        <f t="shared" si="50"/>
        <v>1.19365614225052</v>
      </c>
      <c r="AG94" s="8">
        <f>战斗属性!$F$11+AG$9*($H$10*$H94+$I$10*$I94+$J$10*$J94+$K94*$K$10)</f>
        <v>0.337944955160233</v>
      </c>
      <c r="AH94" s="8">
        <f>战斗属性!$F$12+AH$9*($H$10*$H94+$I$10*$I94+$J$10*$J94+$K$10*$K94)</f>
        <v>2.80213237508922</v>
      </c>
      <c r="AI94" s="8">
        <f t="shared" si="51"/>
        <v>1.6581598975091</v>
      </c>
      <c r="AJ94" s="4">
        <f t="shared" si="52"/>
        <v>3.18469249193318</v>
      </c>
      <c r="AK94" s="4">
        <f t="shared" si="53"/>
        <v>367775.745690513</v>
      </c>
      <c r="AL94" s="36">
        <f t="shared" si="54"/>
        <v>48.9010614953929</v>
      </c>
      <c r="AM94" s="36"/>
      <c r="AN94" s="4">
        <f t="shared" si="55"/>
        <v>17984624.3565257</v>
      </c>
      <c r="AO94" s="4">
        <f t="array" ref="AO94">INDEX(_xlfn.ANCHORARRAY(怪物标准模型!$B$12),MATCH(AN94,怪物标准模型!$AY$12:$AY$511))</f>
        <v>217</v>
      </c>
      <c r="AP94" s="4">
        <v>169</v>
      </c>
    </row>
    <row r="95" spans="1:42">
      <c r="A95" s="4">
        <f t="array" ref="A95">_xlfn.IFNA(_xlfn.XLOOKUP(C95&amp;D95,'玩家等级对应关卡（从新手节奏复制）'!$C:$C&amp;'玩家等级对应关卡（从新手节奏复制）'!$D:$D,'玩家等级对应关卡（从新手节奏复制）'!$E:$E),A94)</f>
        <v>34</v>
      </c>
      <c r="B95" s="4">
        <v>84</v>
      </c>
      <c r="C95" s="4">
        <f t="shared" si="27"/>
        <v>6</v>
      </c>
      <c r="D95" s="4">
        <f t="shared" si="28"/>
        <v>9</v>
      </c>
      <c r="E95" s="4">
        <f t="shared" si="29"/>
        <v>1</v>
      </c>
      <c r="F95" s="4">
        <v>5</v>
      </c>
      <c r="G95" s="34">
        <f t="shared" si="30"/>
        <v>0.768504933705197</v>
      </c>
      <c r="H95" s="34">
        <f t="shared" si="31"/>
        <v>0.658160057115445</v>
      </c>
      <c r="I95" s="34">
        <f t="shared" si="32"/>
        <v>0.51388764975924</v>
      </c>
      <c r="J95" s="34">
        <f t="shared" si="33"/>
        <v>0.449218523470333</v>
      </c>
      <c r="K95" s="34">
        <f t="shared" si="34"/>
        <v>0.277760424854698</v>
      </c>
      <c r="L95" s="8">
        <f>E95*'参考-养成属性规划（从养成属性复制）'!$F$36+G95*'参考-养成属性规划（从养成属性复制）'!$F$37+'参考-养成属性规划（从养成属性复制）'!$F$39*H95</f>
        <v>6202.59181315047</v>
      </c>
      <c r="M95" s="8">
        <f>I95*'参考-养成属性规划（从养成属性复制）'!$F$41+J95*'参考-养成属性规划（从养成属性复制）'!$F$42+K95*'参考-养成属性规划（从养成属性复制）'!$F$43</f>
        <v>7528.46598840593</v>
      </c>
      <c r="N95" s="8">
        <f t="shared" si="35"/>
        <v>2.28776593216788</v>
      </c>
      <c r="O95" s="35">
        <f t="shared" si="36"/>
        <v>21718.544229675</v>
      </c>
      <c r="P95" s="1">
        <f>O95/(O95+战斗公式!$M$27)</f>
        <v>0.475048901832223</v>
      </c>
      <c r="Q95" s="8">
        <f>E95*'参考-养成属性规划（从养成属性复制）'!$E$36+G95*'参考-养成属性规划（从养成属性复制）'!$E$37+'参考-养成属性规划（从养成属性复制）'!$E$39*H214</f>
        <v>7033.23552267742</v>
      </c>
      <c r="R95" s="8">
        <f>I95*'参考-养成属性规划（从养成属性复制）'!$E$41+J95*'参考-养成属性规划（从养成属性复制）'!$E$42+K95*'参考-养成属性规划（从养成属性复制）'!$E$43</f>
        <v>11292.6989826089</v>
      </c>
      <c r="S95" s="8">
        <f t="shared" si="37"/>
        <v>2.28776593216788</v>
      </c>
      <c r="T95" s="35">
        <f t="shared" si="38"/>
        <v>27383.0956043033</v>
      </c>
      <c r="U95" s="8">
        <f t="shared" si="39"/>
        <v>0.897448017134634</v>
      </c>
      <c r="V95" s="8">
        <f t="shared" si="40"/>
        <v>0.263264022846178</v>
      </c>
      <c r="W95" s="8">
        <f t="shared" si="41"/>
        <v>0.455994015706747</v>
      </c>
      <c r="X95" s="8">
        <f t="shared" si="42"/>
        <v>1</v>
      </c>
      <c r="Y95" s="8">
        <f t="shared" si="43"/>
        <v>1</v>
      </c>
      <c r="Z95" s="8">
        <f t="shared" si="44"/>
        <v>1</v>
      </c>
      <c r="AA95" s="8">
        <f t="shared" si="45"/>
        <v>1</v>
      </c>
      <c r="AB95" s="8">
        <f t="shared" si="46"/>
        <v>1</v>
      </c>
      <c r="AC95" s="4">
        <f t="shared" si="47"/>
        <v>1.61670605568756</v>
      </c>
      <c r="AD95" s="8">
        <f t="shared" si="48"/>
        <v>1</v>
      </c>
      <c r="AE95" s="8">
        <f t="shared" si="49"/>
        <v>1.12766114731032</v>
      </c>
      <c r="AF95" s="8">
        <f t="shared" si="50"/>
        <v>1.19506046171014</v>
      </c>
      <c r="AG95" s="8">
        <f>战斗属性!$F$11+AG$9*($H$10*$H95+$I$10*$I95+$J$10*$J95+$K95*$K$10)</f>
        <v>0.340429110130984</v>
      </c>
      <c r="AH95" s="8">
        <f>战斗属性!$F$12+AH$9*($H$10*$H95+$I$10*$I95+$J$10*$J95+$K$10*$K95)</f>
        <v>2.80905252107917</v>
      </c>
      <c r="AI95" s="8">
        <f t="shared" si="51"/>
        <v>1.66383796601368</v>
      </c>
      <c r="AJ95" s="4">
        <f t="shared" si="52"/>
        <v>3.21294331382633</v>
      </c>
      <c r="AK95" s="4">
        <f t="shared" si="53"/>
        <v>373340.860384764</v>
      </c>
      <c r="AL95" s="36">
        <f t="shared" si="54"/>
        <v>49.1502868014607</v>
      </c>
      <c r="AM95" s="36"/>
      <c r="AN95" s="4">
        <f t="shared" si="55"/>
        <v>18349810.3626153</v>
      </c>
      <c r="AO95" s="4">
        <f t="array" ref="AO95">INDEX(_xlfn.ANCHORARRAY(怪物标准模型!$B$12),MATCH(AN95,怪物标准模型!$AY$12:$AY$511))</f>
        <v>219</v>
      </c>
      <c r="AP95" s="4">
        <v>170</v>
      </c>
    </row>
    <row r="96" spans="1:42">
      <c r="A96" s="4">
        <f t="array" ref="A96">_xlfn.IFNA(_xlfn.XLOOKUP(C96&amp;D96,'玩家等级对应关卡（从新手节奏复制）'!$C:$C&amp;'玩家等级对应关卡（从新手节奏复制）'!$D:$D,'玩家等级对应关卡（从新手节奏复制）'!$E:$E),A95)</f>
        <v>35</v>
      </c>
      <c r="B96" s="4">
        <v>85</v>
      </c>
      <c r="C96" s="4">
        <f t="shared" si="27"/>
        <v>6</v>
      </c>
      <c r="D96" s="4">
        <f t="shared" si="28"/>
        <v>10</v>
      </c>
      <c r="E96" s="4">
        <f t="shared" si="29"/>
        <v>1</v>
      </c>
      <c r="F96" s="4">
        <v>5</v>
      </c>
      <c r="G96" s="34">
        <f t="shared" si="30"/>
        <v>0.77050453798421</v>
      </c>
      <c r="H96" s="34">
        <f t="shared" si="31"/>
        <v>0.660816451867642</v>
      </c>
      <c r="I96" s="34">
        <f t="shared" si="32"/>
        <v>0.519354875082899</v>
      </c>
      <c r="J96" s="34">
        <f t="shared" si="33"/>
        <v>0.452442611231027</v>
      </c>
      <c r="K96" s="34">
        <f t="shared" si="34"/>
        <v>0.282346875387061</v>
      </c>
      <c r="L96" s="8">
        <f>E96*'参考-养成属性规划（从养成属性复制）'!$F$36+G96*'参考-养成属性规划（从养成属性复制）'!$F$37+'参考-养成属性规划（从养成属性复制）'!$F$39*H96</f>
        <v>6218.29962161978</v>
      </c>
      <c r="M96" s="8">
        <f>I96*'参考-养成属性规划（从养成属性复制）'!$F$41+J96*'参考-养成属性规划（从养成属性复制）'!$F$42+K96*'参考-养成属性规划（从养成属性复制）'!$F$43</f>
        <v>7615.54392158837</v>
      </c>
      <c r="N96" s="8">
        <f t="shared" si="35"/>
        <v>2.29675894746101</v>
      </c>
      <c r="O96" s="35">
        <f t="shared" si="36"/>
        <v>21897.479215537</v>
      </c>
      <c r="P96" s="1">
        <f>O96/(O96+战斗公式!$M$27)</f>
        <v>0.477095465585491</v>
      </c>
      <c r="Q96" s="8">
        <f>E96*'参考-养成属性规划（从养成属性复制）'!$E$36+G96*'参考-养成属性规划（从养成属性复制）'!$E$37+'参考-养成属性规划（从养成属性复制）'!$E$39*H215</f>
        <v>7047.63267348631</v>
      </c>
      <c r="R96" s="8">
        <f>I96*'参考-养成属性规划（从养成属性复制）'!$E$41+J96*'参考-养成属性规划（从养成属性复制）'!$E$42+K96*'参考-养成属性规划（从养成属性复制）'!$E$43</f>
        <v>11423.3158823825</v>
      </c>
      <c r="S96" s="8">
        <f t="shared" si="37"/>
        <v>2.29675894746101</v>
      </c>
      <c r="T96" s="35">
        <f t="shared" si="38"/>
        <v>27610.0292836308</v>
      </c>
      <c r="U96" s="8">
        <f t="shared" si="39"/>
        <v>0.898244935560293</v>
      </c>
      <c r="V96" s="8">
        <f t="shared" si="40"/>
        <v>0.264326580747057</v>
      </c>
      <c r="W96" s="8">
        <f t="shared" si="41"/>
        <v>0.456724524263602</v>
      </c>
      <c r="X96" s="8">
        <f t="shared" si="42"/>
        <v>1</v>
      </c>
      <c r="Y96" s="8">
        <f t="shared" si="43"/>
        <v>1</v>
      </c>
      <c r="Z96" s="8">
        <f t="shared" si="44"/>
        <v>1</v>
      </c>
      <c r="AA96" s="8">
        <f t="shared" si="45"/>
        <v>1</v>
      </c>
      <c r="AB96" s="8">
        <f t="shared" si="46"/>
        <v>1</v>
      </c>
      <c r="AC96" s="4">
        <f t="shared" si="47"/>
        <v>1.61929604057095</v>
      </c>
      <c r="AD96" s="8">
        <f t="shared" si="48"/>
        <v>1</v>
      </c>
      <c r="AE96" s="8">
        <f t="shared" si="49"/>
        <v>1.12872032547368</v>
      </c>
      <c r="AF96" s="8">
        <f t="shared" si="50"/>
        <v>1.19642265158598</v>
      </c>
      <c r="AG96" s="8">
        <f>战斗属性!$F$11+AG$9*($H$10*$H96+$I$10*$I96+$J$10*$J96+$K96*$K$10)</f>
        <v>0.342838740452613</v>
      </c>
      <c r="AH96" s="8">
        <f>战斗属性!$F$12+AH$9*($H$10*$H96+$I$10*$I96+$J$10*$J96+$K$10*$K96)</f>
        <v>2.81576506268942</v>
      </c>
      <c r="AI96" s="8">
        <f t="shared" si="51"/>
        <v>1.66934569246312</v>
      </c>
      <c r="AJ96" s="4">
        <f t="shared" si="52"/>
        <v>3.24055594098881</v>
      </c>
      <c r="AK96" s="4">
        <f t="shared" si="53"/>
        <v>378795.714007233</v>
      </c>
      <c r="AL96" s="36">
        <f t="shared" si="54"/>
        <v>49.4020043605892</v>
      </c>
      <c r="AM96" s="36"/>
      <c r="AN96" s="4">
        <f t="shared" si="55"/>
        <v>18713267.5151578</v>
      </c>
      <c r="AO96" s="4">
        <f t="array" ref="AO96">INDEX(_xlfn.ANCHORARRAY(怪物标准模型!$B$12),MATCH(AN96,怪物标准模型!$AY$12:$AY$511))</f>
        <v>220</v>
      </c>
      <c r="AP96" s="4">
        <v>172</v>
      </c>
    </row>
    <row r="97" spans="1:42">
      <c r="A97" s="4">
        <f t="array" ref="A97">_xlfn.IFNA(_xlfn.XLOOKUP(C97&amp;D97,'玩家等级对应关卡（从新手节奏复制）'!$C:$C&amp;'玩家等级对应关卡（从新手节奏复制）'!$D:$D,'玩家等级对应关卡（从新手节奏复制）'!$E:$E),A96)</f>
        <v>35</v>
      </c>
      <c r="B97" s="4">
        <v>86</v>
      </c>
      <c r="C97" s="4">
        <f t="shared" si="27"/>
        <v>6</v>
      </c>
      <c r="D97" s="4">
        <f t="shared" si="28"/>
        <v>11</v>
      </c>
      <c r="E97" s="4">
        <f t="shared" si="29"/>
        <v>1</v>
      </c>
      <c r="F97" s="4">
        <v>5</v>
      </c>
      <c r="G97" s="34">
        <f t="shared" si="30"/>
        <v>0.772444154134852</v>
      </c>
      <c r="H97" s="34">
        <f t="shared" si="31"/>
        <v>0.663393154777273</v>
      </c>
      <c r="I97" s="34">
        <f t="shared" si="32"/>
        <v>0.524658083646849</v>
      </c>
      <c r="J97" s="34">
        <f t="shared" si="33"/>
        <v>0.455569976358899</v>
      </c>
      <c r="K97" s="34">
        <f t="shared" si="34"/>
        <v>0.286795732403453</v>
      </c>
      <c r="L97" s="8">
        <f>E97*'参考-养成属性规划（从养成属性复制）'!$F$36+G97*'参考-养成属性规划（从养成属性复制）'!$F$37+'参考-养成属性规划（从养成属性复制）'!$F$39*H97</f>
        <v>6233.53619583502</v>
      </c>
      <c r="M97" s="8">
        <f>I97*'参考-养成属性规划（从养成属性复制）'!$F$41+J97*'参考-养成属性规划（从养成属性复制）'!$F$42+K97*'参考-养成属性规划（从养成属性复制）'!$F$43</f>
        <v>7700.00951677532</v>
      </c>
      <c r="N97" s="8">
        <f t="shared" si="35"/>
        <v>2.30548217229535</v>
      </c>
      <c r="O97" s="35">
        <f t="shared" si="36"/>
        <v>22071.3160866307</v>
      </c>
      <c r="P97" s="1">
        <f>O97/(O97+战斗公式!$M$27)</f>
        <v>0.479068495571706</v>
      </c>
      <c r="Q97" s="8">
        <f>E97*'参考-养成属性规划（从养成属性复制）'!$E$36+G97*'参考-养成属性规划（从养成属性复制）'!$E$37+'参考-养成属性规划（从养成属性复制）'!$E$39*H216</f>
        <v>7061.59790977094</v>
      </c>
      <c r="R97" s="8">
        <f>I97*'参考-养成属性规划（从养成属性复制）'!$E$41+J97*'参考-养成属性规划（从养成属性复制）'!$E$42+K97*'参考-养成属性规划（从养成属性复制）'!$E$43</f>
        <v>11550.014275163</v>
      </c>
      <c r="S97" s="8">
        <f t="shared" si="37"/>
        <v>2.30548217229535</v>
      </c>
      <c r="T97" s="35">
        <f t="shared" si="38"/>
        <v>27830.402364058</v>
      </c>
      <c r="U97" s="8">
        <f t="shared" si="39"/>
        <v>0.899017946433182</v>
      </c>
      <c r="V97" s="8">
        <f t="shared" si="40"/>
        <v>0.265357261910909</v>
      </c>
      <c r="W97" s="8">
        <f t="shared" si="41"/>
        <v>0.45743311756375</v>
      </c>
      <c r="X97" s="8">
        <f t="shared" si="42"/>
        <v>1</v>
      </c>
      <c r="Y97" s="8">
        <f t="shared" si="43"/>
        <v>1</v>
      </c>
      <c r="Z97" s="8">
        <f t="shared" si="44"/>
        <v>1</v>
      </c>
      <c r="AA97" s="8">
        <f t="shared" si="45"/>
        <v>1</v>
      </c>
      <c r="AB97" s="8">
        <f t="shared" si="46"/>
        <v>1</v>
      </c>
      <c r="AC97" s="4">
        <f t="shared" si="47"/>
        <v>1.62180832590784</v>
      </c>
      <c r="AD97" s="8">
        <f t="shared" si="48"/>
        <v>1</v>
      </c>
      <c r="AE97" s="8">
        <f t="shared" si="49"/>
        <v>1.12974772829213</v>
      </c>
      <c r="AF97" s="8">
        <f t="shared" si="50"/>
        <v>1.19774397576553</v>
      </c>
      <c r="AG97" s="8">
        <f>战斗属性!$F$11+AG$9*($H$10*$H97+$I$10*$I97+$J$10*$J97+$K97*$K$10)</f>
        <v>0.345176081864593</v>
      </c>
      <c r="AH97" s="8">
        <f>战斗属性!$F$12+AH$9*($H$10*$H97+$I$10*$I97+$J$10*$J97+$K$10*$K97)</f>
        <v>2.82227622805137</v>
      </c>
      <c r="AI97" s="8">
        <f t="shared" si="51"/>
        <v>1.67468818711907</v>
      </c>
      <c r="AJ97" s="4">
        <f t="shared" si="52"/>
        <v>3.26753825580576</v>
      </c>
      <c r="AK97" s="4">
        <f t="shared" si="53"/>
        <v>384140.696330811</v>
      </c>
      <c r="AL97" s="36">
        <f t="shared" si="54"/>
        <v>49.656239095309</v>
      </c>
      <c r="AM97" s="36"/>
      <c r="AN97" s="4">
        <f t="shared" si="55"/>
        <v>19074982.2632412</v>
      </c>
      <c r="AO97" s="4">
        <f t="array" ref="AO97">INDEX(_xlfn.ANCHORARRAY(怪物标准模型!$B$12),MATCH(AN97,怪物标准模型!$AY$12:$AY$511))</f>
        <v>222</v>
      </c>
      <c r="AP97" s="4">
        <v>173</v>
      </c>
    </row>
    <row r="98" spans="1:42">
      <c r="A98" s="4">
        <f t="array" ref="A98">_xlfn.IFNA(_xlfn.XLOOKUP(C98&amp;D98,'玩家等级对应关卡（从新手节奏复制）'!$C:$C&amp;'玩家等级对应关卡（从新手节奏复制）'!$D:$D,'玩家等级对应关卡（从新手节奏复制）'!$E:$E),A97)</f>
        <v>35</v>
      </c>
      <c r="B98" s="4">
        <v>87</v>
      </c>
      <c r="C98" s="4">
        <f t="shared" si="27"/>
        <v>6</v>
      </c>
      <c r="D98" s="4">
        <f t="shared" si="28"/>
        <v>12</v>
      </c>
      <c r="E98" s="4">
        <f t="shared" si="29"/>
        <v>1</v>
      </c>
      <c r="F98" s="4">
        <v>5</v>
      </c>
      <c r="G98" s="34">
        <f t="shared" si="30"/>
        <v>0.774325581800975</v>
      </c>
      <c r="H98" s="34">
        <f t="shared" si="31"/>
        <v>0.665892556599615</v>
      </c>
      <c r="I98" s="34">
        <f t="shared" si="32"/>
        <v>0.52980219595388</v>
      </c>
      <c r="J98" s="34">
        <f t="shared" si="33"/>
        <v>0.458603520532936</v>
      </c>
      <c r="K98" s="34">
        <f t="shared" si="34"/>
        <v>0.291111123709354</v>
      </c>
      <c r="L98" s="8">
        <f>E98*'参考-养成属性规划（从养成属性复制）'!$F$36+G98*'参考-养成属性规划（从养成属性复制）'!$F$37+'参考-养成属性规划（从养成属性复制）'!$F$39*H98</f>
        <v>6248.3156728238</v>
      </c>
      <c r="M98" s="8">
        <f>I98*'参考-养成属性规划（从养成属性复制）'!$F$41+J98*'参考-养成属性规划（从养成属性复制）'!$F$42+K98*'参考-养成属性规划（从养成属性复制）'!$F$43</f>
        <v>7781.94114410667</v>
      </c>
      <c r="N98" s="8">
        <f t="shared" si="35"/>
        <v>2.31394370038466</v>
      </c>
      <c r="O98" s="35">
        <f t="shared" si="36"/>
        <v>22240.191833252</v>
      </c>
      <c r="P98" s="1">
        <f>O98/(O98+战斗公式!$M$27)</f>
        <v>0.480971011397465</v>
      </c>
      <c r="Q98" s="8">
        <f>E98*'参考-养成属性规划（从养成属性复制）'!$E$36+G98*'参考-养成属性规划（从养成属性复制）'!$E$37+'参考-养成属性规划（从养成属性复制）'!$E$39*H217</f>
        <v>7075.14418896702</v>
      </c>
      <c r="R98" s="8">
        <f>I98*'参考-养成属性规划（从养成属性复制）'!$E$41+J98*'参考-养成属性规划（从养成属性复制）'!$E$42+K98*'参考-养成属性规划（从养成属性复制）'!$E$43</f>
        <v>11672.91171616</v>
      </c>
      <c r="S98" s="8">
        <f t="shared" si="37"/>
        <v>2.31394370038466</v>
      </c>
      <c r="T98" s="35">
        <f t="shared" si="38"/>
        <v>28044.3970415333</v>
      </c>
      <c r="U98" s="8">
        <f t="shared" si="39"/>
        <v>0.899767766979884</v>
      </c>
      <c r="V98" s="8">
        <f t="shared" si="40"/>
        <v>0.266357022639846</v>
      </c>
      <c r="W98" s="8">
        <f t="shared" si="41"/>
        <v>0.458120453064894</v>
      </c>
      <c r="X98" s="8">
        <f t="shared" si="42"/>
        <v>1</v>
      </c>
      <c r="Y98" s="8">
        <f t="shared" si="43"/>
        <v>1</v>
      </c>
      <c r="Z98" s="8">
        <f t="shared" si="44"/>
        <v>1</v>
      </c>
      <c r="AA98" s="8">
        <f t="shared" si="45"/>
        <v>1</v>
      </c>
      <c r="AB98" s="8">
        <f t="shared" si="46"/>
        <v>1</v>
      </c>
      <c r="AC98" s="4">
        <f t="shared" si="47"/>
        <v>1.62424524268462</v>
      </c>
      <c r="AD98" s="8">
        <f t="shared" si="48"/>
        <v>1</v>
      </c>
      <c r="AE98" s="8">
        <f t="shared" si="49"/>
        <v>1.13074430902603</v>
      </c>
      <c r="AF98" s="8">
        <f t="shared" si="50"/>
        <v>1.19902566021971</v>
      </c>
      <c r="AG98" s="8">
        <f>战斗属性!$F$11+AG$9*($H$10*$H98+$I$10*$I98+$J$10*$J98+$K98*$K$10)</f>
        <v>0.347443303034214</v>
      </c>
      <c r="AH98" s="8">
        <f>战斗属性!$F$12+AH$9*($H$10*$H98+$I$10*$I98+$J$10*$J98+$K$10*$K98)</f>
        <v>2.82859205845245</v>
      </c>
      <c r="AI98" s="8">
        <f t="shared" si="51"/>
        <v>1.67987040693535</v>
      </c>
      <c r="AJ98" s="4">
        <f t="shared" si="52"/>
        <v>3.29389847561141</v>
      </c>
      <c r="AK98" s="4">
        <f t="shared" si="53"/>
        <v>389376.32209112</v>
      </c>
      <c r="AL98" s="36">
        <f t="shared" si="54"/>
        <v>49.913016177376</v>
      </c>
      <c r="AM98" s="36"/>
      <c r="AN98" s="4">
        <f t="shared" si="55"/>
        <v>19434946.6636213</v>
      </c>
      <c r="AO98" s="4">
        <f t="array" ref="AO98">INDEX(_xlfn.ANCHORARRAY(怪物标准模型!$B$12),MATCH(AN98,怪物标准模型!$AY$12:$AY$511))</f>
        <v>224</v>
      </c>
      <c r="AP98" s="4">
        <v>174</v>
      </c>
    </row>
    <row r="99" spans="1:42">
      <c r="A99" s="4">
        <f t="array" ref="A99">_xlfn.IFNA(_xlfn.XLOOKUP(C99&amp;D99,'玩家等级对应关卡（从新手节奏复制）'!$C:$C&amp;'玩家等级对应关卡（从新手节奏复制）'!$D:$D,'玩家等级对应关卡（从新手节奏复制）'!$E:$E),A98)</f>
        <v>35</v>
      </c>
      <c r="B99" s="4">
        <v>88</v>
      </c>
      <c r="C99" s="4">
        <f t="shared" si="27"/>
        <v>6</v>
      </c>
      <c r="D99" s="4">
        <f t="shared" si="28"/>
        <v>13</v>
      </c>
      <c r="E99" s="4">
        <f t="shared" si="29"/>
        <v>1</v>
      </c>
      <c r="F99" s="4">
        <v>5</v>
      </c>
      <c r="G99" s="34">
        <f t="shared" si="30"/>
        <v>0.776150566637115</v>
      </c>
      <c r="H99" s="34">
        <f t="shared" si="31"/>
        <v>0.668316976367287</v>
      </c>
      <c r="I99" s="34">
        <f t="shared" si="32"/>
        <v>0.534791984891699</v>
      </c>
      <c r="J99" s="34">
        <f t="shared" si="33"/>
        <v>0.461546058381752</v>
      </c>
      <c r="K99" s="34">
        <f t="shared" si="34"/>
        <v>0.295297053276077</v>
      </c>
      <c r="L99" s="8">
        <f>E99*'参考-养成属性规划（从养成属性复制）'!$F$36+G99*'参考-养成属性规划（从养成属性复制）'!$F$37+'参考-养成属性规划（从养成属性复制）'!$F$39*H99</f>
        <v>6262.65176550291</v>
      </c>
      <c r="M99" s="8">
        <f>I99*'参考-养成属性规划（从养成属性复制）'!$F$41+J99*'参考-养成属性规划（从养成属性复制）'!$F$42+K99*'参考-养成属性规划（从养成属性复制）'!$F$43</f>
        <v>7861.41482261808</v>
      </c>
      <c r="N99" s="8">
        <f t="shared" si="35"/>
        <v>2.32215138263128</v>
      </c>
      <c r="O99" s="35">
        <f t="shared" si="36"/>
        <v>22404.2402788189</v>
      </c>
      <c r="P99" s="1">
        <f>O99/(O99+战斗公式!$M$27)</f>
        <v>0.482805884639065</v>
      </c>
      <c r="Q99" s="8">
        <f>E99*'参考-养成属性规划（从养成属性复制）'!$E$36+G99*'参考-养成属性规划（从养成属性复制）'!$E$37+'参考-养成属性规划（从养成属性复制）'!$E$39*H218</f>
        <v>7088.28407978723</v>
      </c>
      <c r="R99" s="8">
        <f>I99*'参考-养成属性规划（从养成属性复制）'!$E$41+J99*'参考-养成属性规划（从养成属性复制）'!$E$42+K99*'参考-养成属性规划（从养成属性复制）'!$E$43</f>
        <v>11792.1222339271</v>
      </c>
      <c r="S99" s="8">
        <f t="shared" si="37"/>
        <v>2.32215138263128</v>
      </c>
      <c r="T99" s="35">
        <f t="shared" si="38"/>
        <v>28252.1909102883</v>
      </c>
      <c r="U99" s="8">
        <f t="shared" si="39"/>
        <v>0.900495092910186</v>
      </c>
      <c r="V99" s="8">
        <f t="shared" si="40"/>
        <v>0.267326790546915</v>
      </c>
      <c r="W99" s="8">
        <f t="shared" si="41"/>
        <v>0.458787168501004</v>
      </c>
      <c r="X99" s="8">
        <f t="shared" si="42"/>
        <v>1</v>
      </c>
      <c r="Y99" s="8">
        <f t="shared" si="43"/>
        <v>1</v>
      </c>
      <c r="Z99" s="8">
        <f t="shared" si="44"/>
        <v>1</v>
      </c>
      <c r="AA99" s="8">
        <f t="shared" si="45"/>
        <v>1</v>
      </c>
      <c r="AB99" s="8">
        <f t="shared" si="46"/>
        <v>1</v>
      </c>
      <c r="AC99" s="4">
        <f t="shared" si="47"/>
        <v>1.6266090519581</v>
      </c>
      <c r="AD99" s="8">
        <f t="shared" si="48"/>
        <v>1</v>
      </c>
      <c r="AE99" s="8">
        <f t="shared" si="49"/>
        <v>1.13171099233791</v>
      </c>
      <c r="AF99" s="8">
        <f t="shared" si="50"/>
        <v>1.20026889414026</v>
      </c>
      <c r="AG99" s="8">
        <f>战斗属性!$F$11+AG$9*($H$10*$H99+$I$10*$I99+$J$10*$J99+$K99*$K$10)</f>
        <v>0.349642507568746</v>
      </c>
      <c r="AH99" s="8">
        <f>战斗属性!$F$12+AH$9*($H$10*$H99+$I$10*$I99+$J$10*$J99+$K$10*$K99)</f>
        <v>2.83471841394151</v>
      </c>
      <c r="AI99" s="8">
        <f t="shared" si="51"/>
        <v>1.68489716015713</v>
      </c>
      <c r="AJ99" s="4">
        <f t="shared" si="52"/>
        <v>3.31964511681288</v>
      </c>
      <c r="AK99" s="4">
        <f t="shared" si="53"/>
        <v>394503.222065036</v>
      </c>
      <c r="AL99" s="36">
        <f t="shared" si="54"/>
        <v>50.1723610302636</v>
      </c>
      <c r="AM99" s="36"/>
      <c r="AN99" s="4">
        <f t="shared" si="55"/>
        <v>19793158.0850492</v>
      </c>
      <c r="AO99" s="4">
        <f t="array" ref="AO99">INDEX(_xlfn.ANCHORARRAY(怪物标准模型!$B$12),MATCH(AN99,怪物标准模型!$AY$12:$AY$511))</f>
        <v>225</v>
      </c>
      <c r="AP99" s="4">
        <v>176</v>
      </c>
    </row>
    <row r="100" spans="1:42">
      <c r="A100" s="4">
        <f t="array" ref="A100">_xlfn.IFNA(_xlfn.XLOOKUP(C100&amp;D100,'玩家等级对应关卡（从新手节奏复制）'!$C:$C&amp;'玩家等级对应关卡（从新手节奏复制）'!$D:$D,'玩家等级对应关卡（从新手节奏复制）'!$E:$E),A99)</f>
        <v>35</v>
      </c>
      <c r="B100" s="4">
        <v>89</v>
      </c>
      <c r="C100" s="4">
        <f t="shared" si="27"/>
        <v>6</v>
      </c>
      <c r="D100" s="4">
        <f t="shared" si="28"/>
        <v>14</v>
      </c>
      <c r="E100" s="4">
        <f t="shared" si="29"/>
        <v>1</v>
      </c>
      <c r="F100" s="4">
        <v>5</v>
      </c>
      <c r="G100" s="34">
        <f t="shared" si="30"/>
        <v>0.77792080192817</v>
      </c>
      <c r="H100" s="34">
        <f t="shared" si="31"/>
        <v>0.670668663541928</v>
      </c>
      <c r="I100" s="34">
        <f t="shared" si="32"/>
        <v>0.539632080161385</v>
      </c>
      <c r="J100" s="34">
        <f t="shared" si="33"/>
        <v>0.464400320095103</v>
      </c>
      <c r="K100" s="34">
        <f t="shared" si="34"/>
        <v>0.299357404955799</v>
      </c>
      <c r="L100" s="8">
        <f>E100*'参考-养成属性规划（从养成属性复制）'!$F$36+G100*'参考-养成属性规划（从养成属性复制）'!$F$37+'参考-养成属性规划（从养成属性复制）'!$F$39*H100</f>
        <v>6276.55777540165</v>
      </c>
      <c r="M100" s="8">
        <f>I100*'参考-养成属性规划（从养成属性复制）'!$F$41+J100*'参考-养成属性规划（从养成属性复制）'!$F$42+K100*'参考-养成属性规划（从养成属性复制）'!$F$43</f>
        <v>7938.50429077414</v>
      </c>
      <c r="N100" s="8">
        <f t="shared" si="35"/>
        <v>2.33011283441051</v>
      </c>
      <c r="O100" s="35">
        <f t="shared" si="36"/>
        <v>22563.5921191566</v>
      </c>
      <c r="P100" s="1">
        <f>O100/(O100+战斗公式!$M$27)</f>
        <v>0.484575847615369</v>
      </c>
      <c r="Q100" s="8">
        <f>E100*'参考-养成属性规划（从养成属性复制）'!$E$36+G100*'参考-养成属性规划（从养成属性复制）'!$E$37+'参考-养成属性规划（从养成属性复制）'!$E$39*H219</f>
        <v>7101.02977388282</v>
      </c>
      <c r="R100" s="8">
        <f>I100*'参考-养成属性规划（从养成属性复制）'!$E$41+J100*'参考-养成属性规划（从养成属性复制）'!$E$42+K100*'参考-养成属性规划（从养成属性复制）'!$E$43</f>
        <v>11907.7564361612</v>
      </c>
      <c r="S100" s="8">
        <f t="shared" si="37"/>
        <v>2.33011283441051</v>
      </c>
      <c r="T100" s="35">
        <f t="shared" si="38"/>
        <v>28453.9570498168</v>
      </c>
      <c r="U100" s="8">
        <f t="shared" si="39"/>
        <v>0.901200599062579</v>
      </c>
      <c r="V100" s="8">
        <f t="shared" si="40"/>
        <v>0.268267465416771</v>
      </c>
      <c r="W100" s="8">
        <f t="shared" si="41"/>
        <v>0.45943388247403</v>
      </c>
      <c r="X100" s="8">
        <f t="shared" si="42"/>
        <v>1</v>
      </c>
      <c r="Y100" s="8">
        <f t="shared" si="43"/>
        <v>1</v>
      </c>
      <c r="Z100" s="8">
        <f t="shared" si="44"/>
        <v>1</v>
      </c>
      <c r="AA100" s="8">
        <f t="shared" si="45"/>
        <v>1</v>
      </c>
      <c r="AB100" s="8">
        <f t="shared" si="46"/>
        <v>1</v>
      </c>
      <c r="AC100" s="4">
        <f t="shared" si="47"/>
        <v>1.62890194695338</v>
      </c>
      <c r="AD100" s="8">
        <f t="shared" si="48"/>
        <v>1</v>
      </c>
      <c r="AE100" s="8">
        <f t="shared" si="49"/>
        <v>1.13264867515044</v>
      </c>
      <c r="AF100" s="8">
        <f t="shared" si="50"/>
        <v>1.20147483104319</v>
      </c>
      <c r="AG100" s="8">
        <f>战斗属性!$F$11+AG$9*($H$10*$H100+$I$10*$I100+$J$10*$J100+$K100*$K$10)</f>
        <v>0.351775735967242</v>
      </c>
      <c r="AH100" s="8">
        <f>战斗属性!$F$12+AH$9*($H$10*$H100+$I$10*$I100+$J$10*$J100+$K$10*$K100)</f>
        <v>2.84066097876589</v>
      </c>
      <c r="AI100" s="8">
        <f t="shared" si="51"/>
        <v>1.68977311078227</v>
      </c>
      <c r="AJ100" s="4">
        <f t="shared" si="52"/>
        <v>3.34478696095627</v>
      </c>
      <c r="AK100" s="4">
        <f t="shared" si="53"/>
        <v>399522.134494142</v>
      </c>
      <c r="AL100" s="36">
        <f t="shared" si="54"/>
        <v>50.4342993316801</v>
      </c>
      <c r="AM100" s="36"/>
      <c r="AN100" s="4">
        <f t="shared" si="55"/>
        <v>20149618.9207093</v>
      </c>
      <c r="AO100" s="4">
        <f t="array" ref="AO100">INDEX(_xlfn.ANCHORARRAY(怪物标准模型!$B$12),MATCH(AN100,怪物标准模型!$AY$12:$AY$511))</f>
        <v>227</v>
      </c>
      <c r="AP100" s="4">
        <v>177</v>
      </c>
    </row>
    <row r="101" spans="1:42">
      <c r="A101" s="4">
        <f t="array" ref="A101">_xlfn.IFNA(_xlfn.XLOOKUP(C101&amp;D101,'玩家等级对应关卡（从新手节奏复制）'!$C:$C&amp;'玩家等级对应关卡（从新手节奏复制）'!$D:$D,'玩家等级对应关卡（从新手节奏复制）'!$E:$E),A100)</f>
        <v>36</v>
      </c>
      <c r="B101" s="4">
        <v>90</v>
      </c>
      <c r="C101" s="4">
        <f t="shared" si="27"/>
        <v>6</v>
      </c>
      <c r="D101" s="4">
        <f t="shared" si="28"/>
        <v>15</v>
      </c>
      <c r="E101" s="4">
        <f t="shared" si="29"/>
        <v>1</v>
      </c>
      <c r="F101" s="4">
        <v>5</v>
      </c>
      <c r="G101" s="34">
        <f t="shared" si="30"/>
        <v>0.779637930160494</v>
      </c>
      <c r="H101" s="34">
        <f t="shared" si="31"/>
        <v>0.672949800101331</v>
      </c>
      <c r="I101" s="34">
        <f t="shared" si="32"/>
        <v>0.54432697257298</v>
      </c>
      <c r="J101" s="34">
        <f t="shared" si="33"/>
        <v>0.467168953957053</v>
      </c>
      <c r="K101" s="34">
        <f t="shared" si="34"/>
        <v>0.303295946085129</v>
      </c>
      <c r="L101" s="8">
        <f>E101*'参考-养成属性规划（从养成属性复制）'!$F$36+G101*'参考-养成属性规划（从养成属性复制）'!$F$37+'参考-养成属性规划（从养成属性复制）'!$F$39*H101</f>
        <v>6290.04660500343</v>
      </c>
      <c r="M101" s="8">
        <f>I101*'参考-养成属性规划（从养成属性复制）'!$F$41+J101*'参考-养成属性规划（从养成属性复制）'!$F$42+K101*'参考-养成属性规划（从养成属性复制）'!$F$43</f>
        <v>8013.28107488553</v>
      </c>
      <c r="N101" s="8">
        <f t="shared" si="35"/>
        <v>2.33783544263636</v>
      </c>
      <c r="O101" s="35">
        <f t="shared" si="36"/>
        <v>22718.3749638971</v>
      </c>
      <c r="P101" s="1">
        <f>O101/(O101+战斗公式!$M$27)</f>
        <v>0.486283501544164</v>
      </c>
      <c r="Q101" s="8">
        <f>E101*'参考-养成属性规划（从养成属性复制）'!$E$36+G101*'参考-养成属性规划（从养成属性复制）'!$E$37+'参考-养成属性规划（从养成属性复制）'!$E$39*H220</f>
        <v>7113.39309715555</v>
      </c>
      <c r="R101" s="8">
        <f>I101*'参考-养成属性规划（从养成属性复制）'!$E$41+J101*'参考-养成属性规划（从养成属性复制）'!$E$42+K101*'参考-养成属性规划（从养成属性复制）'!$E$43</f>
        <v>12019.9216123283</v>
      </c>
      <c r="S101" s="8">
        <f t="shared" si="37"/>
        <v>2.33783544263636</v>
      </c>
      <c r="T101" s="35">
        <f t="shared" si="38"/>
        <v>28649.8641122634</v>
      </c>
      <c r="U101" s="8">
        <f t="shared" si="39"/>
        <v>0.901884940030399</v>
      </c>
      <c r="V101" s="8">
        <f t="shared" si="40"/>
        <v>0.269179920040532</v>
      </c>
      <c r="W101" s="8">
        <f t="shared" si="41"/>
        <v>0.460061195027866</v>
      </c>
      <c r="X101" s="8">
        <f t="shared" si="42"/>
        <v>1</v>
      </c>
      <c r="Y101" s="8">
        <f t="shared" si="43"/>
        <v>1</v>
      </c>
      <c r="Z101" s="8">
        <f t="shared" si="44"/>
        <v>1</v>
      </c>
      <c r="AA101" s="8">
        <f t="shared" si="45"/>
        <v>1</v>
      </c>
      <c r="AB101" s="8">
        <f t="shared" si="46"/>
        <v>1</v>
      </c>
      <c r="AC101" s="4">
        <f t="shared" si="47"/>
        <v>1.6311260550988</v>
      </c>
      <c r="AD101" s="8">
        <f t="shared" si="48"/>
        <v>1</v>
      </c>
      <c r="AE101" s="8">
        <f t="shared" si="49"/>
        <v>1.13355822747859</v>
      </c>
      <c r="AF101" s="8">
        <f t="shared" si="50"/>
        <v>1.20264458983903</v>
      </c>
      <c r="AG101" s="8">
        <f>战斗属性!$F$11+AG$9*($H$10*$H101+$I$10*$I101+$J$10*$J101+$K101*$K$10)</f>
        <v>0.353844967513783</v>
      </c>
      <c r="AH101" s="8">
        <f>战斗属性!$F$12+AH$9*($H$10*$H101+$I$10*$I101+$J$10*$J101+$K$10*$K101)</f>
        <v>2.84642526664554</v>
      </c>
      <c r="AI101" s="8">
        <f t="shared" si="51"/>
        <v>1.69450278288865</v>
      </c>
      <c r="AJ101" s="4">
        <f t="shared" si="52"/>
        <v>3.36933302267886</v>
      </c>
      <c r="AK101" s="4">
        <f t="shared" si="53"/>
        <v>404433.896855323</v>
      </c>
      <c r="AL101" s="36">
        <f t="shared" si="54"/>
        <v>50.6988570161108</v>
      </c>
      <c r="AM101" s="36"/>
      <c r="AN101" s="4">
        <f t="shared" si="55"/>
        <v>20504336.3091365</v>
      </c>
      <c r="AO101" s="4">
        <f t="array" ref="AO101">INDEX(_xlfn.ANCHORARRAY(怪物标准模型!$B$12),MATCH(AN101,怪物标准模型!$AY$12:$AY$511))</f>
        <v>228</v>
      </c>
      <c r="AP101" s="4">
        <v>179</v>
      </c>
    </row>
    <row r="102" spans="1:42">
      <c r="A102" s="4">
        <f t="array" ref="A102">_xlfn.IFNA(_xlfn.XLOOKUP(C102&amp;D102,'玩家等级对应关卡（从新手节奏复制）'!$C:$C&amp;'玩家等级对应关卡（从新手节奏复制）'!$D:$D,'玩家等级对应关卡（从新手节奏复制）'!$E:$E),A101)</f>
        <v>36</v>
      </c>
      <c r="B102" s="4">
        <v>91</v>
      </c>
      <c r="C102" s="4">
        <f t="shared" si="27"/>
        <v>7</v>
      </c>
      <c r="D102" s="4">
        <f t="shared" si="28"/>
        <v>1</v>
      </c>
      <c r="E102" s="4">
        <f t="shared" si="29"/>
        <v>1</v>
      </c>
      <c r="F102" s="4">
        <v>5</v>
      </c>
      <c r="G102" s="34">
        <f t="shared" si="30"/>
        <v>0.781303544545847</v>
      </c>
      <c r="H102" s="34">
        <f t="shared" si="31"/>
        <v>0.675162502563951</v>
      </c>
      <c r="I102" s="34">
        <f t="shared" si="32"/>
        <v>0.548881018212227</v>
      </c>
      <c r="J102" s="34">
        <f t="shared" si="33"/>
        <v>0.469854528803145</v>
      </c>
      <c r="K102" s="34">
        <f t="shared" si="34"/>
        <v>0.307116330980579</v>
      </c>
      <c r="L102" s="8">
        <f>E102*'参考-养成属性规划（从养成属性复制）'!$F$36+G102*'参考-养成属性规划（从养成属性复制）'!$F$37+'参考-养成属性规划（从养成属性复制）'!$F$39*H102</f>
        <v>6303.13076971716</v>
      </c>
      <c r="M102" s="8">
        <f>I102*'参考-养成属性规划（从养成属性复制）'!$F$41+J102*'参考-养成属性规划（从养成属性复制）'!$F$42+K102*'参考-养成属性规划（从养成属性复制）'!$F$43</f>
        <v>8085.81455547357</v>
      </c>
      <c r="N102" s="8">
        <f t="shared" si="35"/>
        <v>2.34532637261544</v>
      </c>
      <c r="O102" s="35">
        <f t="shared" si="36"/>
        <v>22868.7133797351</v>
      </c>
      <c r="P102" s="1">
        <f>O102/(O102+战斗公式!$M$27)</f>
        <v>0.487931324131952</v>
      </c>
      <c r="Q102" s="8">
        <f>E102*'参考-养成属性规划（从养成属性复制）'!$E$36+G102*'参考-养成属性规划（从养成属性复制）'!$E$37+'参考-养成属性规划（从养成属性复制）'!$E$39*H221</f>
        <v>7125.3855207301</v>
      </c>
      <c r="R102" s="8">
        <f>I102*'参考-养成属性规划（从养成属性复制）'!$E$41+J102*'参考-养成属性规划（从养成属性复制）'!$E$42+K102*'参考-养成属性规划（从养成属性复制）'!$E$43</f>
        <v>12128.7218332104</v>
      </c>
      <c r="S102" s="8">
        <f t="shared" si="37"/>
        <v>2.34532637261544</v>
      </c>
      <c r="T102" s="35">
        <f t="shared" si="38"/>
        <v>28840.0764100308</v>
      </c>
      <c r="U102" s="8">
        <f t="shared" si="39"/>
        <v>0.902548750769185</v>
      </c>
      <c r="V102" s="8">
        <f t="shared" si="40"/>
        <v>0.27006500102558</v>
      </c>
      <c r="W102" s="8">
        <f t="shared" si="41"/>
        <v>0.460669688205087</v>
      </c>
      <c r="X102" s="8">
        <f t="shared" si="42"/>
        <v>1</v>
      </c>
      <c r="Y102" s="8">
        <f t="shared" si="43"/>
        <v>1</v>
      </c>
      <c r="Z102" s="8">
        <f t="shared" si="44"/>
        <v>1</v>
      </c>
      <c r="AA102" s="8">
        <f t="shared" si="45"/>
        <v>1</v>
      </c>
      <c r="AB102" s="8">
        <f t="shared" si="46"/>
        <v>1</v>
      </c>
      <c r="AC102" s="4">
        <f t="shared" si="47"/>
        <v>1.63328343999985</v>
      </c>
      <c r="AD102" s="8">
        <f t="shared" si="48"/>
        <v>1</v>
      </c>
      <c r="AE102" s="8">
        <f t="shared" si="49"/>
        <v>1.13444049323689</v>
      </c>
      <c r="AF102" s="8">
        <f t="shared" si="50"/>
        <v>1.203779255871</v>
      </c>
      <c r="AG102" s="8">
        <f>战斗属性!$F$11+AG$9*($H$10*$H102+$I$10*$I102+$J$10*$J102+$K102*$K$10)</f>
        <v>0.355852122113928</v>
      </c>
      <c r="AH102" s="8">
        <f>战斗属性!$F$12+AH$9*($H$10*$H102+$I$10*$I102+$J$10*$J102+$K$10*$K102)</f>
        <v>2.8520166258888</v>
      </c>
      <c r="AI102" s="8">
        <f t="shared" si="51"/>
        <v>1.69909056483184</v>
      </c>
      <c r="AJ102" s="4">
        <f t="shared" si="52"/>
        <v>3.39329251948976</v>
      </c>
      <c r="AK102" s="4">
        <f t="shared" si="53"/>
        <v>409239.437978719</v>
      </c>
      <c r="AL102" s="36">
        <f t="shared" si="54"/>
        <v>50.9660602773858</v>
      </c>
      <c r="AM102" s="36"/>
      <c r="AN102" s="4">
        <f t="shared" si="55"/>
        <v>20857321.8639069</v>
      </c>
      <c r="AO102" s="4">
        <f t="array" ref="AO102">INDEX(_xlfn.ANCHORARRAY(怪物标准模型!$B$12),MATCH(AN102,怪物标准模型!$AY$12:$AY$511))</f>
        <v>230</v>
      </c>
      <c r="AP102" s="4">
        <v>182</v>
      </c>
    </row>
    <row r="103" spans="1:42">
      <c r="A103" s="4">
        <f t="array" ref="A103">_xlfn.IFNA(_xlfn.XLOOKUP(C103&amp;D103,'玩家等级对应关卡（从新手节奏复制）'!$C:$C&amp;'玩家等级对应关卡（从新手节奏复制）'!$D:$D,'玩家等级对应关卡（从新手节奏复制）'!$E:$E),A102)</f>
        <v>36</v>
      </c>
      <c r="B103" s="4">
        <v>92</v>
      </c>
      <c r="C103" s="4">
        <f t="shared" si="27"/>
        <v>7</v>
      </c>
      <c r="D103" s="4">
        <f t="shared" si="28"/>
        <v>2</v>
      </c>
      <c r="E103" s="4">
        <f t="shared" si="29"/>
        <v>1</v>
      </c>
      <c r="F103" s="4">
        <v>5</v>
      </c>
      <c r="G103" s="34">
        <f t="shared" si="30"/>
        <v>0.782919190499641</v>
      </c>
      <c r="H103" s="34">
        <f t="shared" si="31"/>
        <v>0.677308823952693</v>
      </c>
      <c r="I103" s="34">
        <f t="shared" si="32"/>
        <v>0.553298442482296</v>
      </c>
      <c r="J103" s="34">
        <f t="shared" si="33"/>
        <v>0.472459536403855</v>
      </c>
      <c r="K103" s="34">
        <f t="shared" si="34"/>
        <v>0.310822104329166</v>
      </c>
      <c r="L103" s="8">
        <f>E103*'参考-养成属性规划（从养成属性复制）'!$F$36+G103*'参考-养成属性规划（从养成属性复制）'!$F$37+'参考-养成属性规划（从养成属性复制）'!$F$39*H103</f>
        <v>6315.82240948947</v>
      </c>
      <c r="M103" s="8">
        <f>I103*'参考-养成属性规划（从养成属性复制）'!$F$41+J103*'参考-养成属性规划（从养成属性复制）'!$F$42+K103*'参考-养成属性规划（从养成属性复制）'!$F$43</f>
        <v>8156.17203164397</v>
      </c>
      <c r="N103" s="8">
        <f t="shared" si="35"/>
        <v>2.35259257469514</v>
      </c>
      <c r="O103" s="35">
        <f t="shared" si="36"/>
        <v>23014.7289353021</v>
      </c>
      <c r="P103" s="1">
        <f>O103/(O103+战斗公式!$M$27)</f>
        <v>0.489521676642507</v>
      </c>
      <c r="Q103" s="8">
        <f>E103*'参考-养成属性规划（从养成属性复制）'!$E$36+G103*'参考-养成属性规划（从养成属性复制）'!$E$37+'参考-养成属性规划（从养成属性复制）'!$E$39*H222</f>
        <v>7137.01817159741</v>
      </c>
      <c r="R103" s="8">
        <f>I103*'参考-养成属性规划（从养成属性复制）'!$E$41+J103*'参考-养成属性规划（从养成属性复制）'!$E$42+K103*'参考-养成属性规划（从养成属性复制）'!$E$43</f>
        <v>12234.258047466</v>
      </c>
      <c r="S103" s="8">
        <f t="shared" si="37"/>
        <v>2.35259257469514</v>
      </c>
      <c r="T103" s="35">
        <f t="shared" si="38"/>
        <v>29024.7540034303</v>
      </c>
      <c r="U103" s="8">
        <f t="shared" si="39"/>
        <v>0.903192647185808</v>
      </c>
      <c r="V103" s="8">
        <f t="shared" si="40"/>
        <v>0.270923529581077</v>
      </c>
      <c r="W103" s="8">
        <f t="shared" si="41"/>
        <v>0.461259926586991</v>
      </c>
      <c r="X103" s="8">
        <f t="shared" si="42"/>
        <v>1</v>
      </c>
      <c r="Y103" s="8">
        <f t="shared" si="43"/>
        <v>1</v>
      </c>
      <c r="Z103" s="8">
        <f t="shared" si="44"/>
        <v>1</v>
      </c>
      <c r="AA103" s="8">
        <f t="shared" si="45"/>
        <v>1</v>
      </c>
      <c r="AB103" s="8">
        <f t="shared" si="46"/>
        <v>1</v>
      </c>
      <c r="AC103" s="4">
        <f t="shared" si="47"/>
        <v>1.63537610335388</v>
      </c>
      <c r="AD103" s="8">
        <f t="shared" si="48"/>
        <v>1</v>
      </c>
      <c r="AE103" s="8">
        <f t="shared" si="49"/>
        <v>1.13529629102245</v>
      </c>
      <c r="AF103" s="8">
        <f t="shared" si="50"/>
        <v>1.20487988192201</v>
      </c>
      <c r="AG103" s="8">
        <f>战斗属性!$F$11+AG$9*($H$10*$H103+$I$10*$I103+$J$10*$J103+$K103*$K$10)</f>
        <v>0.357799062076069</v>
      </c>
      <c r="AH103" s="8">
        <f>战斗属性!$F$12+AH$9*($H$10*$H103+$I$10*$I103+$J$10*$J103+$K$10*$K103)</f>
        <v>2.85744024435476</v>
      </c>
      <c r="AI103" s="8">
        <f t="shared" si="51"/>
        <v>1.70354071331673</v>
      </c>
      <c r="AJ103" s="4">
        <f t="shared" si="52"/>
        <v>3.41667484331825</v>
      </c>
      <c r="AK103" s="4">
        <f t="shared" si="53"/>
        <v>413939.770511479</v>
      </c>
      <c r="AL103" s="36">
        <f t="shared" si="54"/>
        <v>51.2359355712735</v>
      </c>
      <c r="AM103" s="36"/>
      <c r="AN103" s="4">
        <f t="shared" si="55"/>
        <v>21208591.4123139</v>
      </c>
      <c r="AO103" s="4">
        <f t="array" ref="AO103">INDEX(_xlfn.ANCHORARRAY(怪物标准模型!$B$12),MATCH(AN103,怪物标准模型!$AY$12:$AY$511))</f>
        <v>231</v>
      </c>
      <c r="AP103" s="4">
        <v>185</v>
      </c>
    </row>
    <row r="104" spans="1:42">
      <c r="A104" s="4">
        <f t="array" ref="A104">_xlfn.IFNA(_xlfn.XLOOKUP(C104&amp;D104,'玩家等级对应关卡（从新手节奏复制）'!$C:$C&amp;'玩家等级对应关卡（从新手节奏复制）'!$D:$D,'玩家等级对应关卡（从新手节奏复制）'!$E:$E),A103)</f>
        <v>36</v>
      </c>
      <c r="B104" s="4">
        <v>93</v>
      </c>
      <c r="C104" s="4">
        <f t="shared" si="27"/>
        <v>7</v>
      </c>
      <c r="D104" s="4">
        <f t="shared" si="28"/>
        <v>3</v>
      </c>
      <c r="E104" s="4">
        <f t="shared" si="29"/>
        <v>1</v>
      </c>
      <c r="F104" s="4">
        <v>5</v>
      </c>
      <c r="G104" s="34">
        <f t="shared" si="30"/>
        <v>0.78448636707482</v>
      </c>
      <c r="H104" s="34">
        <f t="shared" si="31"/>
        <v>0.679390755699772</v>
      </c>
      <c r="I104" s="34">
        <f t="shared" si="32"/>
        <v>0.557583344024264</v>
      </c>
      <c r="J104" s="34">
        <f t="shared" si="33"/>
        <v>0.474986393776542</v>
      </c>
      <c r="K104" s="34">
        <f t="shared" si="34"/>
        <v>0.314416704477295</v>
      </c>
      <c r="L104" s="8">
        <f>E104*'参考-养成属性规划（从养成属性复制）'!$F$36+G104*'参考-养成属性规划（从养成属性复制）'!$F$37+'参考-养成属性规划（从养成属性复制）'!$F$39*H104</f>
        <v>6328.13330006861</v>
      </c>
      <c r="M104" s="8">
        <f>I104*'参考-养成属性规划（从养成属性复制）'!$F$41+J104*'参考-养成属性规划（从养成属性复制）'!$F$42+K104*'参考-养成属性规划（从养成属性复制）'!$F$43</f>
        <v>8224.41878352926</v>
      </c>
      <c r="N104" s="8">
        <f t="shared" si="35"/>
        <v>2.35964079071245</v>
      </c>
      <c r="O104" s="35">
        <f t="shared" si="36"/>
        <v>23156.540247437</v>
      </c>
      <c r="P104" s="1">
        <f>O104/(O104+战斗公式!$M$27)</f>
        <v>0.491056810485489</v>
      </c>
      <c r="Q104" s="8">
        <f>E104*'参考-养成属性规划（从养成属性复制）'!$E$36+G104*'参考-养成属性规划（从养成属性复制）'!$E$37+'参考-养成属性规划（从养成属性复制）'!$E$39*H223</f>
        <v>7148.30184293871</v>
      </c>
      <c r="R104" s="8">
        <f>I104*'参考-养成属性规划（从养成属性复制）'!$E$41+J104*'参考-养成属性规划（从养成属性复制）'!$E$42+K104*'参考-养成属性规划（从养成属性复制）'!$E$43</f>
        <v>12336.6281752939</v>
      </c>
      <c r="S104" s="8">
        <f t="shared" si="37"/>
        <v>2.35964079071245</v>
      </c>
      <c r="T104" s="35">
        <f t="shared" si="38"/>
        <v>29204.0527882171</v>
      </c>
      <c r="U104" s="8">
        <f t="shared" si="39"/>
        <v>0.903817226709932</v>
      </c>
      <c r="V104" s="8">
        <f t="shared" si="40"/>
        <v>0.271756302279909</v>
      </c>
      <c r="W104" s="8">
        <f t="shared" si="41"/>
        <v>0.461832457817437</v>
      </c>
      <c r="X104" s="8">
        <f t="shared" si="42"/>
        <v>1</v>
      </c>
      <c r="Y104" s="8">
        <f t="shared" si="43"/>
        <v>1</v>
      </c>
      <c r="Z104" s="8">
        <f t="shared" si="44"/>
        <v>1</v>
      </c>
      <c r="AA104" s="8">
        <f t="shared" si="45"/>
        <v>1</v>
      </c>
      <c r="AB104" s="8">
        <f t="shared" si="46"/>
        <v>1</v>
      </c>
      <c r="AC104" s="4">
        <f t="shared" si="47"/>
        <v>1.63740598680728</v>
      </c>
      <c r="AD104" s="8">
        <f t="shared" si="48"/>
        <v>1</v>
      </c>
      <c r="AE104" s="8">
        <f t="shared" si="49"/>
        <v>1.13612641487444</v>
      </c>
      <c r="AF104" s="8">
        <f t="shared" si="50"/>
        <v>1.20594748919149</v>
      </c>
      <c r="AG104" s="8">
        <f>战斗属性!$F$11+AG$9*($H$10*$H104+$I$10*$I104+$J$10*$J104+$K104*$K$10)</f>
        <v>0.359687593839345</v>
      </c>
      <c r="AH104" s="8">
        <f>战斗属性!$F$12+AH$9*($H$10*$H104+$I$10*$I104+$J$10*$J104+$K$10*$K104)</f>
        <v>2.86270115426675</v>
      </c>
      <c r="AI104" s="8">
        <f t="shared" si="51"/>
        <v>1.70785735734707</v>
      </c>
      <c r="AJ104" s="4">
        <f t="shared" si="52"/>
        <v>3.43948953376809</v>
      </c>
      <c r="AK104" s="4">
        <f t="shared" si="53"/>
        <v>418535.983724255</v>
      </c>
      <c r="AL104" s="36">
        <f t="shared" si="54"/>
        <v>51.5085096181002</v>
      </c>
      <c r="AM104" s="36"/>
      <c r="AN104" s="4">
        <f t="shared" si="55"/>
        <v>21558164.7431818</v>
      </c>
      <c r="AO104" s="4">
        <f t="array" ref="AO104">INDEX(_xlfn.ANCHORARRAY(怪物标准模型!$B$12),MATCH(AN104,怪物标准模型!$AY$12:$AY$511))</f>
        <v>232</v>
      </c>
      <c r="AP104" s="4">
        <v>188</v>
      </c>
    </row>
    <row r="105" spans="1:42">
      <c r="A105" s="4">
        <f t="array" ref="A105">_xlfn.IFNA(_xlfn.XLOOKUP(C105&amp;D105,'玩家等级对应关卡（从新手节奏复制）'!$C:$C&amp;'玩家等级对应关卡（从新手节奏复制）'!$D:$D,'玩家等级对应关卡（从新手节奏复制）'!$E:$E),A104)</f>
        <v>36</v>
      </c>
      <c r="B105" s="4">
        <v>94</v>
      </c>
      <c r="C105" s="4">
        <f t="shared" si="27"/>
        <v>7</v>
      </c>
      <c r="D105" s="4">
        <f t="shared" si="28"/>
        <v>4</v>
      </c>
      <c r="E105" s="4">
        <f t="shared" si="29"/>
        <v>1</v>
      </c>
      <c r="F105" s="4">
        <v>5</v>
      </c>
      <c r="G105" s="34">
        <f t="shared" si="30"/>
        <v>0.786006528352744</v>
      </c>
      <c r="H105" s="34">
        <f t="shared" si="31"/>
        <v>0.681410229494439</v>
      </c>
      <c r="I105" s="34">
        <f t="shared" si="32"/>
        <v>0.561739698519972</v>
      </c>
      <c r="J105" s="34">
        <f t="shared" si="33"/>
        <v>0.47743744542805</v>
      </c>
      <c r="K105" s="34">
        <f t="shared" si="34"/>
        <v>0.31790346662098</v>
      </c>
      <c r="L105" s="8">
        <f>E105*'参考-养成属性规划（从养成属性复制）'!$F$36+G105*'参考-养成属性规划（从养成属性复制）'!$F$37+'参考-养成属性规划（从养成属性复制）'!$F$39*H105</f>
        <v>6340.07486393038</v>
      </c>
      <c r="M105" s="8">
        <f>I105*'参考-养成属性规划（从养成属性复制）'!$F$41+J105*'参考-养成属性规划（从养成属性复制）'!$F$42+K105*'参考-养成属性规划（从养成属性复制）'!$F$43</f>
        <v>8290.61813285799</v>
      </c>
      <c r="N105" s="8">
        <f t="shared" si="35"/>
        <v>2.36647756024925</v>
      </c>
      <c r="O105" s="35">
        <f t="shared" si="36"/>
        <v>23294.2630286495</v>
      </c>
      <c r="P105" s="1">
        <f>O105/(O105+战斗公式!$M$27)</f>
        <v>0.492538873362685</v>
      </c>
      <c r="Q105" s="8">
        <f>E105*'参考-养成属性规划（从养成属性复制）'!$E$36+G105*'参考-养成属性规划（从养成属性复制）'!$E$37+'参考-养成属性规划（从养成属性复制）'!$E$39*H224</f>
        <v>7159.24700413976</v>
      </c>
      <c r="R105" s="8">
        <f>I105*'参考-养成属性规划（从养成属性复制）'!$E$41+J105*'参考-养成属性规划（从养成属性复制）'!$E$42+K105*'参考-养成属性规划（从养成属性复制）'!$E$43</f>
        <v>12435.927199287</v>
      </c>
      <c r="S105" s="8">
        <f t="shared" si="37"/>
        <v>2.36647756024925</v>
      </c>
      <c r="T105" s="35">
        <f t="shared" si="38"/>
        <v>29378.1245828654</v>
      </c>
      <c r="U105" s="8">
        <f t="shared" si="39"/>
        <v>0.904423068848332</v>
      </c>
      <c r="V105" s="8">
        <f t="shared" si="40"/>
        <v>0.272564091797776</v>
      </c>
      <c r="W105" s="8">
        <f t="shared" si="41"/>
        <v>0.462387813110971</v>
      </c>
      <c r="X105" s="8">
        <f t="shared" si="42"/>
        <v>1</v>
      </c>
      <c r="Y105" s="8">
        <f t="shared" si="43"/>
        <v>1</v>
      </c>
      <c r="Z105" s="8">
        <f t="shared" si="44"/>
        <v>1</v>
      </c>
      <c r="AA105" s="8">
        <f t="shared" si="45"/>
        <v>1</v>
      </c>
      <c r="AB105" s="8">
        <f t="shared" si="46"/>
        <v>1</v>
      </c>
      <c r="AC105" s="4">
        <f t="shared" si="47"/>
        <v>1.63937497375708</v>
      </c>
      <c r="AD105" s="8">
        <f t="shared" si="48"/>
        <v>1</v>
      </c>
      <c r="AE105" s="8">
        <f t="shared" si="49"/>
        <v>1.13693163501087</v>
      </c>
      <c r="AF105" s="8">
        <f t="shared" si="50"/>
        <v>1.20698306824288</v>
      </c>
      <c r="AG105" s="8">
        <f>战斗属性!$F$11+AG$9*($H$10*$H105+$I$10*$I105+$J$10*$J105+$K105*$K$10)</f>
        <v>0.361519469649723</v>
      </c>
      <c r="AH105" s="8">
        <f>战斗属性!$F$12+AH$9*($H$10*$H105+$I$10*$I105+$J$10*$J105+$K$10*$K105)</f>
        <v>2.86780423688137</v>
      </c>
      <c r="AI105" s="8">
        <f t="shared" si="51"/>
        <v>1.71204450205651</v>
      </c>
      <c r="AJ105" s="4">
        <f t="shared" si="52"/>
        <v>3.46174625301487</v>
      </c>
      <c r="AK105" s="4">
        <f t="shared" si="53"/>
        <v>423029.236656113</v>
      </c>
      <c r="AL105" s="36">
        <f t="shared" si="54"/>
        <v>51.783809405395</v>
      </c>
      <c r="AM105" s="36"/>
      <c r="AN105" s="4">
        <f t="shared" si="55"/>
        <v>21906065.3639099</v>
      </c>
      <c r="AO105" s="4">
        <f t="array" ref="AO105">INDEX(_xlfn.ANCHORARRAY(怪物标准模型!$B$12),MATCH(AN105,怪物标准模型!$AY$12:$AY$511))</f>
        <v>234</v>
      </c>
      <c r="AP105" s="4">
        <v>191</v>
      </c>
    </row>
    <row r="106" spans="1:42">
      <c r="A106" s="4">
        <f t="array" ref="A106">_xlfn.IFNA(_xlfn.XLOOKUP(C106&amp;D106,'玩家等级对应关卡（从新手节奏复制）'!$C:$C&amp;'玩家等级对应关卡（从新手节奏复制）'!$D:$D,'玩家等级对应关卡（从新手节奏复制）'!$E:$E),A105)</f>
        <v>37</v>
      </c>
      <c r="B106" s="4">
        <v>95</v>
      </c>
      <c r="C106" s="4">
        <f t="shared" ref="C106:C116" si="56">C91+1</f>
        <v>7</v>
      </c>
      <c r="D106" s="4">
        <f t="shared" ref="D106:D116" si="57">D91</f>
        <v>5</v>
      </c>
      <c r="E106" s="4">
        <f t="shared" si="29"/>
        <v>1</v>
      </c>
      <c r="F106" s="4">
        <v>5</v>
      </c>
      <c r="G106" s="34">
        <f t="shared" si="30"/>
        <v>0.787481084792331</v>
      </c>
      <c r="H106" s="34">
        <f t="shared" si="31"/>
        <v>0.683369119075266</v>
      </c>
      <c r="I106" s="34">
        <f t="shared" si="32"/>
        <v>0.565771362380809</v>
      </c>
      <c r="J106" s="34">
        <f t="shared" si="33"/>
        <v>0.479814965530012</v>
      </c>
      <c r="K106" s="34">
        <f t="shared" si="34"/>
        <v>0.321285625900355</v>
      </c>
      <c r="L106" s="8">
        <f>E106*'参考-养成属性规划（从养成属性复制）'!$F$36+G106*'参考-养成属性规划（从养成属性复制）'!$F$37+'参考-养成属性规划（从养成属性复制）'!$F$39*H106</f>
        <v>6351.6581808763</v>
      </c>
      <c r="M106" s="8">
        <f>I106*'参考-养成属性规划（从养成属性复制）'!$F$41+J106*'参考-养成属性规划（从养成属性复制）'!$F$42+K106*'参考-养成属性规划（从养成属性复制）'!$F$43</f>
        <v>8354.83150170686</v>
      </c>
      <c r="N106" s="8">
        <f t="shared" si="35"/>
        <v>2.37310922669994</v>
      </c>
      <c r="O106" s="35">
        <f t="shared" si="36"/>
        <v>23428.0101355885</v>
      </c>
      <c r="P106" s="1">
        <f>O106/(O106+战斗公式!$M$27)</f>
        <v>0.493969915006172</v>
      </c>
      <c r="Q106" s="8">
        <f>E106*'参考-养成属性规划（从养成属性复制）'!$E$36+G106*'参考-养成属性规划（从养成属性复制）'!$E$37+'参考-养成属性规划（从养成属性复制）'!$E$39*H225</f>
        <v>7169.86381050478</v>
      </c>
      <c r="R106" s="8">
        <f>I106*'参考-养成属性规划（从养成属性复制）'!$E$41+J106*'参考-养成属性规划（从养成属性复制）'!$E$42+K106*'参考-养成属性规划（从养成属性复制）'!$E$43</f>
        <v>12532.2472525603</v>
      </c>
      <c r="S106" s="8">
        <f t="shared" si="37"/>
        <v>2.37310922669994</v>
      </c>
      <c r="T106" s="35">
        <f t="shared" si="38"/>
        <v>29547.1172154511</v>
      </c>
      <c r="U106" s="8">
        <f t="shared" si="39"/>
        <v>0.90501073572258</v>
      </c>
      <c r="V106" s="8">
        <f t="shared" si="40"/>
        <v>0.273347647630106</v>
      </c>
      <c r="W106" s="8">
        <f t="shared" si="41"/>
        <v>0.462926507745698</v>
      </c>
      <c r="X106" s="8">
        <f t="shared" si="42"/>
        <v>1</v>
      </c>
      <c r="Y106" s="8">
        <f t="shared" si="43"/>
        <v>1</v>
      </c>
      <c r="Z106" s="8">
        <f t="shared" si="44"/>
        <v>1</v>
      </c>
      <c r="AA106" s="8">
        <f t="shared" si="45"/>
        <v>1</v>
      </c>
      <c r="AB106" s="8">
        <f t="shared" si="46"/>
        <v>1</v>
      </c>
      <c r="AC106" s="4">
        <f t="shared" si="47"/>
        <v>1.64128489109838</v>
      </c>
      <c r="AD106" s="8">
        <f t="shared" si="48"/>
        <v>1</v>
      </c>
      <c r="AE106" s="8">
        <f t="shared" si="49"/>
        <v>1.1377126985432</v>
      </c>
      <c r="AF106" s="8">
        <f t="shared" si="50"/>
        <v>1.20798757992273</v>
      </c>
      <c r="AG106" s="8">
        <f>战斗属性!$F$11+AG$9*($H$10*$H106+$I$10*$I106+$J$10*$J106+$K106*$K$10)</f>
        <v>0.36329638918579</v>
      </c>
      <c r="AH106" s="8">
        <f>战斗属性!$F$12+AH$9*($H$10*$H106+$I$10*$I106+$J$10*$J106+$K$10*$K106)</f>
        <v>2.87275422701756</v>
      </c>
      <c r="AI106" s="8">
        <f t="shared" si="51"/>
        <v>1.71610603242466</v>
      </c>
      <c r="AJ106" s="4">
        <f t="shared" si="52"/>
        <v>3.48345476228288</v>
      </c>
      <c r="AK106" s="4">
        <f t="shared" si="53"/>
        <v>427420.75159226</v>
      </c>
      <c r="AL106" s="36">
        <f t="shared" si="54"/>
        <v>52.0618621905629</v>
      </c>
      <c r="AM106" s="36"/>
      <c r="AN106" s="4">
        <f t="shared" si="55"/>
        <v>22252320.2667831</v>
      </c>
      <c r="AO106" s="4">
        <f t="array" ref="AO106">INDEX(_xlfn.ANCHORARRAY(怪物标准模型!$B$12),MATCH(AN106,怪物标准模型!$AY$12:$AY$511))</f>
        <v>235</v>
      </c>
      <c r="AP106" s="4">
        <v>194</v>
      </c>
    </row>
    <row r="107" spans="1:42">
      <c r="A107" s="4">
        <f t="array" ref="A107">_xlfn.IFNA(_xlfn.XLOOKUP(C107&amp;D107,'玩家等级对应关卡（从新手节奏复制）'!$C:$C&amp;'玩家等级对应关卡（从新手节奏复制）'!$D:$D,'玩家等级对应关卡（从新手节奏复制）'!$E:$E),A106)</f>
        <v>37</v>
      </c>
      <c r="B107" s="4">
        <v>96</v>
      </c>
      <c r="C107" s="4">
        <f t="shared" si="56"/>
        <v>7</v>
      </c>
      <c r="D107" s="4">
        <f t="shared" si="57"/>
        <v>6</v>
      </c>
      <c r="E107" s="4">
        <f t="shared" si="29"/>
        <v>1</v>
      </c>
      <c r="F107" s="4">
        <v>5</v>
      </c>
      <c r="G107" s="34">
        <f t="shared" si="30"/>
        <v>0.78891140453873</v>
      </c>
      <c r="H107" s="34">
        <f t="shared" si="31"/>
        <v>0.685269241968668</v>
      </c>
      <c r="I107" s="34">
        <f t="shared" si="32"/>
        <v>0.569682076325821</v>
      </c>
      <c r="J107" s="34">
        <f t="shared" si="33"/>
        <v>0.482121160028915</v>
      </c>
      <c r="K107" s="34">
        <f t="shared" si="34"/>
        <v>0.324566320401348</v>
      </c>
      <c r="L107" s="8">
        <f>E107*'参考-养成属性规划（从养成属性复制）'!$F$36+G107*'参考-养成属性规划（从养成属性复制）'!$F$37+'参考-养成属性规划（从养成属性复制）'!$F$39*H107</f>
        <v>6362.89399831384</v>
      </c>
      <c r="M107" s="8">
        <f>I107*'参考-养成属性规划（从养成属性复制）'!$F$41+J107*'参考-养成属性规划（从养成属性复制）'!$F$42+K107*'参考-养成属性规划（从养成属性复制）'!$F$43</f>
        <v>8417.11846949026</v>
      </c>
      <c r="N107" s="8">
        <f t="shared" si="35"/>
        <v>2.3795419431571</v>
      </c>
      <c r="O107" s="35">
        <f t="shared" si="36"/>
        <v>23557.8916183407</v>
      </c>
      <c r="P107" s="1">
        <f>O107/(O107+战斗公式!$M$27)</f>
        <v>0.495351892539651</v>
      </c>
      <c r="Q107" s="8">
        <f>E107*'参考-养成属性规划（从养成属性复制）'!$E$36+G107*'参考-养成属性规划（从养成属性复制）'!$E$37+'参考-养成属性规划（从养成属性复制）'!$E$39*H226</f>
        <v>7180.16211267885</v>
      </c>
      <c r="R107" s="8">
        <f>I107*'参考-养成属性规划（从养成属性复制）'!$E$41+J107*'参考-养成属性规划（从养成属性复制）'!$E$42+K107*'参考-养成属性规划（从养成属性复制）'!$E$43</f>
        <v>12625.6777042354</v>
      </c>
      <c r="S107" s="8">
        <f t="shared" si="37"/>
        <v>2.3795419431571</v>
      </c>
      <c r="T107" s="35">
        <f t="shared" si="38"/>
        <v>29711.1746100222</v>
      </c>
      <c r="U107" s="8">
        <f t="shared" si="39"/>
        <v>0.9055807725906</v>
      </c>
      <c r="V107" s="8">
        <f t="shared" si="40"/>
        <v>0.274107696787467</v>
      </c>
      <c r="W107" s="8">
        <f t="shared" si="41"/>
        <v>0.463449041541384</v>
      </c>
      <c r="X107" s="8">
        <f t="shared" si="42"/>
        <v>1</v>
      </c>
      <c r="Y107" s="8">
        <f t="shared" si="43"/>
        <v>1</v>
      </c>
      <c r="Z107" s="8">
        <f t="shared" si="44"/>
        <v>1</v>
      </c>
      <c r="AA107" s="8">
        <f t="shared" si="45"/>
        <v>1</v>
      </c>
      <c r="AB107" s="8">
        <f t="shared" si="46"/>
        <v>1</v>
      </c>
      <c r="AC107" s="4">
        <f t="shared" si="47"/>
        <v>1.64313751091945</v>
      </c>
      <c r="AD107" s="8">
        <f t="shared" si="48"/>
        <v>1</v>
      </c>
      <c r="AE107" s="8">
        <f t="shared" si="49"/>
        <v>1.13847033016957</v>
      </c>
      <c r="AF107" s="8">
        <f t="shared" si="50"/>
        <v>1.20896195625219</v>
      </c>
      <c r="AG107" s="8">
        <f>战斗属性!$F$11+AG$9*($H$10*$H107+$I$10*$I107+$J$10*$J107+$K107*$K$10)</f>
        <v>0.365020001135775</v>
      </c>
      <c r="AH107" s="8">
        <f>战斗属性!$F$12+AH$9*($H$10*$H107+$I$10*$I107+$J$10*$J107+$K$10*$K107)</f>
        <v>2.87755571744966</v>
      </c>
      <c r="AI107" s="8">
        <f t="shared" si="51"/>
        <v>1.72004571688177</v>
      </c>
      <c r="AJ107" s="4">
        <f t="shared" si="52"/>
        <v>3.50462489983827</v>
      </c>
      <c r="AK107" s="4">
        <f t="shared" si="53"/>
        <v>431711.807868204</v>
      </c>
      <c r="AL107" s="36">
        <f t="shared" si="54"/>
        <v>52.3426955035824</v>
      </c>
      <c r="AM107" s="36"/>
      <c r="AN107" s="4">
        <f t="shared" si="55"/>
        <v>22596959.7045465</v>
      </c>
      <c r="AO107" s="4">
        <f t="array" ref="AO107">INDEX(_xlfn.ANCHORARRAY(怪物标准模型!$B$12),MATCH(AN107,怪物标准模型!$AY$12:$AY$511))</f>
        <v>237</v>
      </c>
      <c r="AP107" s="4">
        <v>196</v>
      </c>
    </row>
    <row r="108" spans="1:42">
      <c r="A108" s="4">
        <f t="array" ref="A108">_xlfn.IFNA(_xlfn.XLOOKUP(C108&amp;D108,'玩家等级对应关卡（从新手节奏复制）'!$C:$C&amp;'玩家等级对应关卡（从新手节奏复制）'!$D:$D,'玩家等级对应关卡（从新手节奏复制）'!$E:$E),A107)</f>
        <v>37</v>
      </c>
      <c r="B108" s="4">
        <v>97</v>
      </c>
      <c r="C108" s="4">
        <f t="shared" si="56"/>
        <v>7</v>
      </c>
      <c r="D108" s="4">
        <f t="shared" si="57"/>
        <v>7</v>
      </c>
      <c r="E108" s="4">
        <f t="shared" si="29"/>
        <v>1</v>
      </c>
      <c r="F108" s="4">
        <v>5</v>
      </c>
      <c r="G108" s="34">
        <f t="shared" si="30"/>
        <v>0.790298814692736</v>
      </c>
      <c r="H108" s="34">
        <f t="shared" si="31"/>
        <v>0.687112361175268</v>
      </c>
      <c r="I108" s="34">
        <f t="shared" si="32"/>
        <v>0.573475468852483</v>
      </c>
      <c r="J108" s="34">
        <f t="shared" si="33"/>
        <v>0.484358168692851</v>
      </c>
      <c r="K108" s="34">
        <f t="shared" si="34"/>
        <v>0.327748594067312</v>
      </c>
      <c r="L108" s="8">
        <f>E108*'参考-养成属性规划（从养成属性复制）'!$F$36+G108*'参考-养成属性规划（从养成属性复制）'!$F$37+'参考-养成属性规划（从养成属性复制）'!$F$39*H108</f>
        <v>6373.79274122825</v>
      </c>
      <c r="M108" s="8">
        <f>I108*'参考-养成属性规划（从养成属性复制）'!$F$41+J108*'参考-养成属性规划（从养成属性复制）'!$F$42+K108*'参考-养成属性规划（从养成属性复制）'!$F$43</f>
        <v>8477.53682824016</v>
      </c>
      <c r="N108" s="8">
        <f t="shared" si="35"/>
        <v>2.38578167812056</v>
      </c>
      <c r="O108" s="35">
        <f t="shared" si="36"/>
        <v>23684.0147704003</v>
      </c>
      <c r="P108" s="1">
        <f>O108/(O108+战斗公式!$M$27)</f>
        <v>0.496686675491555</v>
      </c>
      <c r="Q108" s="8">
        <f>E108*'参考-养成属性规划（从养成属性复制）'!$E$36+G108*'参考-养成属性规划（从养成属性复制）'!$E$37+'参考-养成属性规划（从养成属性复制）'!$E$39*H227</f>
        <v>7190.1514657877</v>
      </c>
      <c r="R108" s="8">
        <f>I108*'参考-养成属性规划（从养成属性复制）'!$E$41+J108*'参考-养成属性规划（从养成属性复制）'!$E$42+K108*'参考-养成属性规划（从养成属性复制）'!$E$43</f>
        <v>12716.3052423602</v>
      </c>
      <c r="S108" s="8">
        <f t="shared" si="37"/>
        <v>2.38578167812056</v>
      </c>
      <c r="T108" s="35">
        <f t="shared" si="38"/>
        <v>29870.4368723482</v>
      </c>
      <c r="U108" s="8">
        <f t="shared" si="39"/>
        <v>0.90613370835258</v>
      </c>
      <c r="V108" s="8">
        <f t="shared" si="40"/>
        <v>0.274844944470107</v>
      </c>
      <c r="W108" s="8">
        <f t="shared" si="41"/>
        <v>0.463955899323199</v>
      </c>
      <c r="X108" s="8">
        <f t="shared" si="42"/>
        <v>1</v>
      </c>
      <c r="Y108" s="8">
        <f t="shared" si="43"/>
        <v>1</v>
      </c>
      <c r="Z108" s="8">
        <f t="shared" si="44"/>
        <v>1</v>
      </c>
      <c r="AA108" s="8">
        <f t="shared" si="45"/>
        <v>1</v>
      </c>
      <c r="AB108" s="8">
        <f t="shared" si="46"/>
        <v>1</v>
      </c>
      <c r="AC108" s="4">
        <f t="shared" si="47"/>
        <v>1.64493455214589</v>
      </c>
      <c r="AD108" s="8">
        <f t="shared" si="48"/>
        <v>1</v>
      </c>
      <c r="AE108" s="8">
        <f t="shared" si="49"/>
        <v>1.13920523284715</v>
      </c>
      <c r="AF108" s="8">
        <f t="shared" si="50"/>
        <v>1.20990710129177</v>
      </c>
      <c r="AG108" s="8">
        <f>战斗属性!$F$11+AG$9*($H$10*$H108+$I$10*$I108+$J$10*$J108+$K108*$K$10)</f>
        <v>0.36669190472726</v>
      </c>
      <c r="AH108" s="8">
        <f>战斗属性!$F$12+AH$9*($H$10*$H108+$I$10*$I108+$J$10*$J108+$K$10*$K108)</f>
        <v>2.8822131631688</v>
      </c>
      <c r="AI108" s="8">
        <f t="shared" si="51"/>
        <v>1.72386721080517</v>
      </c>
      <c r="AJ108" s="4">
        <f t="shared" si="52"/>
        <v>3.52526656043481</v>
      </c>
      <c r="AK108" s="4">
        <f t="shared" si="53"/>
        <v>435903.735992937</v>
      </c>
      <c r="AL108" s="36">
        <f t="shared" si="54"/>
        <v>52.6263371497321</v>
      </c>
      <c r="AM108" s="36"/>
      <c r="AN108" s="4">
        <f t="shared" si="55"/>
        <v>22940016.9751921</v>
      </c>
      <c r="AO108" s="4">
        <f t="array" ref="AO108">INDEX(_xlfn.ANCHORARRAY(怪物标准模型!$B$12),MATCH(AN108,怪物标准模型!$AY$12:$AY$511))</f>
        <v>238</v>
      </c>
      <c r="AP108" s="4">
        <v>199</v>
      </c>
    </row>
    <row r="109" spans="1:42">
      <c r="A109" s="4">
        <f t="array" ref="A109">_xlfn.IFNA(_xlfn.XLOOKUP(C109&amp;D109,'玩家等级对应关卡（从新手节奏复制）'!$C:$C&amp;'玩家等级对应关卡（从新手节奏复制）'!$D:$D,'玩家等级对应关卡（从新手节奏复制）'!$E:$E),A108)</f>
        <v>37</v>
      </c>
      <c r="B109" s="4">
        <v>98</v>
      </c>
      <c r="C109" s="4">
        <f t="shared" si="56"/>
        <v>7</v>
      </c>
      <c r="D109" s="4">
        <f t="shared" si="57"/>
        <v>8</v>
      </c>
      <c r="E109" s="4">
        <f t="shared" si="29"/>
        <v>1</v>
      </c>
      <c r="F109" s="4">
        <v>5</v>
      </c>
      <c r="G109" s="34">
        <f t="shared" si="30"/>
        <v>0.791644602542123</v>
      </c>
      <c r="H109" s="34">
        <f t="shared" si="31"/>
        <v>0.68890018680567</v>
      </c>
      <c r="I109" s="34">
        <f t="shared" si="32"/>
        <v>0.577155059603345</v>
      </c>
      <c r="J109" s="34">
        <f t="shared" si="33"/>
        <v>0.48652806709687</v>
      </c>
      <c r="K109" s="34">
        <f t="shared" si="34"/>
        <v>0.330835399523297</v>
      </c>
      <c r="L109" s="8">
        <f>E109*'参考-养成属性规划（从养成属性复制）'!$F$36+G109*'参考-养成属性规划（从养成属性复制）'!$F$37+'参考-养成属性规划（从养成属性复制）'!$F$39*H109</f>
        <v>6384.36452185523</v>
      </c>
      <c r="M109" s="8">
        <f>I109*'参考-养成属性规划（从养成属性复制）'!$F$41+J109*'参考-养成属性规划（从养成属性复制）'!$F$42+K109*'参考-养成属性规划（从养成属性复制）'!$F$43</f>
        <v>8536.14263622756</v>
      </c>
      <c r="N109" s="8">
        <f t="shared" si="35"/>
        <v>2.39183422103511</v>
      </c>
      <c r="O109" s="35">
        <f t="shared" si="36"/>
        <v>23806.4841791633</v>
      </c>
      <c r="P109" s="1">
        <f>O109/(O109+战斗公式!$M$27)</f>
        <v>0.497976050486045</v>
      </c>
      <c r="Q109" s="8">
        <f>E109*'参考-养成属性规划（从养成属性复制）'!$E$36+G109*'参考-养成属性规划（从养成属性复制）'!$E$37+'参考-养成属性规划（从养成属性复制）'!$E$39*H228</f>
        <v>7199.84113830328</v>
      </c>
      <c r="R109" s="8">
        <f>I109*'参考-养成属性规划（从养成属性复制）'!$E$41+J109*'参考-养成属性规划（从养成属性复制）'!$E$42+K109*'参考-养成属性规划（从养成属性复制）'!$E$43</f>
        <v>12804.2139543413</v>
      </c>
      <c r="S109" s="8">
        <f t="shared" si="37"/>
        <v>2.39183422103511</v>
      </c>
      <c r="T109" s="35">
        <f t="shared" si="38"/>
        <v>30025.0403749515</v>
      </c>
      <c r="U109" s="8">
        <f t="shared" si="39"/>
        <v>0.906670056041701</v>
      </c>
      <c r="V109" s="8">
        <f t="shared" si="40"/>
        <v>0.275560074722268</v>
      </c>
      <c r="W109" s="8">
        <f t="shared" si="41"/>
        <v>0.464447551371559</v>
      </c>
      <c r="X109" s="8">
        <f t="shared" si="42"/>
        <v>1</v>
      </c>
      <c r="Y109" s="8">
        <f t="shared" si="43"/>
        <v>1</v>
      </c>
      <c r="Z109" s="8">
        <f t="shared" si="44"/>
        <v>1</v>
      </c>
      <c r="AA109" s="8">
        <f t="shared" si="45"/>
        <v>1</v>
      </c>
      <c r="AB109" s="8">
        <f t="shared" si="46"/>
        <v>1</v>
      </c>
      <c r="AC109" s="4">
        <f t="shared" si="47"/>
        <v>1.64667768213553</v>
      </c>
      <c r="AD109" s="8">
        <f t="shared" si="48"/>
        <v>1</v>
      </c>
      <c r="AE109" s="8">
        <f t="shared" si="49"/>
        <v>1.1399180884444</v>
      </c>
      <c r="AF109" s="8">
        <f t="shared" si="50"/>
        <v>1.21082389198015</v>
      </c>
      <c r="AG109" s="8">
        <f>战斗属性!$F$11+AG$9*($H$10*$H109+$I$10*$I109+$J$10*$J109+$K109*$K$10)</f>
        <v>0.368313651211001</v>
      </c>
      <c r="AH109" s="8">
        <f>战斗属性!$F$12+AH$9*($H$10*$H109+$I$10*$I109+$J$10*$J109+$K$10*$K109)</f>
        <v>2.88673088551636</v>
      </c>
      <c r="AI109" s="8">
        <f t="shared" si="51"/>
        <v>1.72757405991086</v>
      </c>
      <c r="AJ109" s="4">
        <f t="shared" si="52"/>
        <v>3.54538967614956</v>
      </c>
      <c r="AK109" s="4">
        <f t="shared" si="53"/>
        <v>439997.912083239</v>
      </c>
      <c r="AL109" s="36">
        <f t="shared" si="54"/>
        <v>52.9128152123433</v>
      </c>
      <c r="AM109" s="36"/>
      <c r="AN109" s="4">
        <f t="shared" si="55"/>
        <v>23281528.2158773</v>
      </c>
      <c r="AO109" s="4">
        <f t="array" ref="AO109">INDEX(_xlfn.ANCHORARRAY(怪物标准模型!$B$12),MATCH(AN109,怪物标准模型!$AY$12:$AY$511))</f>
        <v>239</v>
      </c>
      <c r="AP109" s="4">
        <v>202</v>
      </c>
    </row>
    <row r="110" spans="1:42">
      <c r="A110" s="4">
        <f t="array" ref="A110">_xlfn.IFNA(_xlfn.XLOOKUP(C110&amp;D110,'玩家等级对应关卡（从新手节奏复制）'!$C:$C&amp;'玩家等级对应关卡（从新手节奏复制）'!$D:$D,'玩家等级对应关卡（从新手节奏复制）'!$E:$E),A109)</f>
        <v>37</v>
      </c>
      <c r="B110" s="4">
        <v>99</v>
      </c>
      <c r="C110" s="4">
        <f t="shared" si="56"/>
        <v>7</v>
      </c>
      <c r="D110" s="4">
        <f t="shared" si="57"/>
        <v>9</v>
      </c>
      <c r="E110" s="4">
        <f t="shared" si="29"/>
        <v>1</v>
      </c>
      <c r="F110" s="4">
        <v>5</v>
      </c>
      <c r="G110" s="34">
        <f t="shared" si="30"/>
        <v>0.792950016756028</v>
      </c>
      <c r="H110" s="34">
        <f t="shared" si="31"/>
        <v>0.690634377667161</v>
      </c>
      <c r="I110" s="34">
        <f t="shared" si="32"/>
        <v>0.580724262631681</v>
      </c>
      <c r="J110" s="34">
        <f t="shared" si="33"/>
        <v>0.488632868548767</v>
      </c>
      <c r="K110" s="34">
        <f t="shared" si="34"/>
        <v>0.333829600815602</v>
      </c>
      <c r="L110" s="8">
        <f>E110*'参考-养成属性规划（从养成属性复制）'!$F$36+G110*'参考-养成属性规划（从养成属性复制）'!$F$37+'参考-养成属性规划（从养成属性复制）'!$F$39*H110</f>
        <v>6394.6191490634</v>
      </c>
      <c r="M110" s="8">
        <f>I110*'参考-养成属性规划（从养成属性复制）'!$F$41+J110*'参考-养成属性规划（从养成属性复制）'!$F$42+K110*'参考-养成属性规划（从养成属性复制）'!$F$43</f>
        <v>8592.99026997534</v>
      </c>
      <c r="N110" s="8">
        <f t="shared" si="35"/>
        <v>2.39770518766222</v>
      </c>
      <c r="O110" s="35">
        <f t="shared" si="36"/>
        <v>23925.4017768088</v>
      </c>
      <c r="P110" s="1">
        <f>O110/(O110+战斗公式!$M$27)</f>
        <v>0.499221725635827</v>
      </c>
      <c r="Q110" s="8">
        <f>E110*'参考-养成属性规划（从养成属性复制）'!$E$36+G110*'参考-养成属性规划（从养成属性复制）'!$E$37+'参考-养成属性规划（从养成属性复制）'!$E$39*H229</f>
        <v>7209.2401206434</v>
      </c>
      <c r="R110" s="8">
        <f>I110*'参考-养成属性规划（从养成属性复制）'!$E$41+J110*'参考-养成属性规划（从养成属性复制）'!$E$42+K110*'参考-养成属性规划（从养成属性复制）'!$E$43</f>
        <v>12889.485404963</v>
      </c>
      <c r="S110" s="8">
        <f t="shared" si="37"/>
        <v>2.39770518766222</v>
      </c>
      <c r="T110" s="35">
        <f t="shared" si="38"/>
        <v>30175.1178413323</v>
      </c>
      <c r="U110" s="8">
        <f t="shared" si="39"/>
        <v>0.907190313300148</v>
      </c>
      <c r="V110" s="8">
        <f t="shared" si="40"/>
        <v>0.276253751066864</v>
      </c>
      <c r="W110" s="8">
        <f t="shared" si="41"/>
        <v>0.464924453858469</v>
      </c>
      <c r="X110" s="8">
        <f t="shared" si="42"/>
        <v>1</v>
      </c>
      <c r="Y110" s="8">
        <f t="shared" si="43"/>
        <v>1</v>
      </c>
      <c r="Z110" s="8">
        <f t="shared" si="44"/>
        <v>1</v>
      </c>
      <c r="AA110" s="8">
        <f t="shared" si="45"/>
        <v>1</v>
      </c>
      <c r="AB110" s="8">
        <f t="shared" si="46"/>
        <v>1</v>
      </c>
      <c r="AC110" s="4">
        <f t="shared" si="47"/>
        <v>1.64836851822548</v>
      </c>
      <c r="AD110" s="8">
        <f t="shared" si="48"/>
        <v>1</v>
      </c>
      <c r="AE110" s="8">
        <f t="shared" si="49"/>
        <v>1.14060955837373</v>
      </c>
      <c r="AF110" s="8">
        <f t="shared" si="50"/>
        <v>1.21171317894789</v>
      </c>
      <c r="AG110" s="8">
        <f>战斗属性!$F$11+AG$9*($H$10*$H110+$I$10*$I110+$J$10*$J110+$K110*$K$10)</f>
        <v>0.369886745300229</v>
      </c>
      <c r="AH110" s="8">
        <f>战斗属性!$F$12+AH$9*($H$10*$H110+$I$10*$I110+$J$10*$J110+$K$10*$K110)</f>
        <v>2.8911130761935</v>
      </c>
      <c r="AI110" s="8">
        <f t="shared" si="51"/>
        <v>1.73116970354338</v>
      </c>
      <c r="AJ110" s="4">
        <f t="shared" si="52"/>
        <v>3.56500419854662</v>
      </c>
      <c r="AK110" s="4">
        <f t="shared" si="53"/>
        <v>443995.75260055</v>
      </c>
      <c r="AL110" s="36">
        <f t="shared" si="54"/>
        <v>53.2021580555806</v>
      </c>
      <c r="AM110" s="36"/>
      <c r="AN110" s="4">
        <f t="shared" si="55"/>
        <v>23621532.2058609</v>
      </c>
      <c r="AO110" s="4">
        <f t="array" ref="AO110">INDEX(_xlfn.ANCHORARRAY(怪物标准模型!$B$12),MATCH(AN110,怪物标准模型!$AY$12:$AY$511))</f>
        <v>240</v>
      </c>
      <c r="AP110" s="4">
        <v>205</v>
      </c>
    </row>
    <row r="111" spans="1:42">
      <c r="A111" s="4">
        <f t="array" ref="A111">_xlfn.IFNA(_xlfn.XLOOKUP(C111&amp;D111,'玩家等级对应关卡（从新手节奏复制）'!$C:$C&amp;'玩家等级对应关卡（从新手节奏复制）'!$D:$D,'玩家等级对应关卡（从新手节奏复制）'!$E:$E),A110)</f>
        <v>38</v>
      </c>
      <c r="B111" s="4">
        <v>100</v>
      </c>
      <c r="C111" s="4">
        <f t="shared" si="56"/>
        <v>7</v>
      </c>
      <c r="D111" s="4">
        <f t="shared" si="57"/>
        <v>10</v>
      </c>
      <c r="E111" s="4">
        <f t="shared" si="29"/>
        <v>1</v>
      </c>
      <c r="F111" s="4">
        <v>5</v>
      </c>
      <c r="G111" s="34">
        <f t="shared" si="30"/>
        <v>0.794216268543516</v>
      </c>
      <c r="H111" s="34">
        <f t="shared" si="31"/>
        <v>0.692316542802806</v>
      </c>
      <c r="I111" s="34">
        <f t="shared" si="32"/>
        <v>0.584186389569167</v>
      </c>
      <c r="J111" s="34">
        <f t="shared" si="33"/>
        <v>0.490674525957108</v>
      </c>
      <c r="K111" s="34">
        <f t="shared" si="34"/>
        <v>0.336733976069138</v>
      </c>
      <c r="L111" s="8">
        <f>E111*'参考-养成属性规划（从养成属性复制）'!$F$36+G111*'参考-养成属性规划（从养成属性复制）'!$F$37+'参考-养成属性规划（从养成属性复制）'!$F$39*H111</f>
        <v>6404.56613745533</v>
      </c>
      <c r="M111" s="8">
        <f>I111*'参考-养成属性规划（从养成属性复制）'!$F$41+J111*'参考-养成属性规划（从养成属性复制）'!$F$42+K111*'参考-养成属性规划（从养成属性复制）'!$F$43</f>
        <v>8648.13247471069</v>
      </c>
      <c r="N111" s="8">
        <f t="shared" si="35"/>
        <v>2.40340002529052</v>
      </c>
      <c r="O111" s="35">
        <f t="shared" si="36"/>
        <v>24040.8668914456</v>
      </c>
      <c r="P111" s="1">
        <f>O111/(O111+战斗公式!$M$27)</f>
        <v>0.500425334658698</v>
      </c>
      <c r="Q111" s="8">
        <f>E111*'参考-养成属性规划（从养成属性复制）'!$E$36+G111*'参考-养成属性规划（从养成属性复制）'!$E$37+'参考-养成属性规划（从养成属性复制）'!$E$39*H230</f>
        <v>7218.35713351331</v>
      </c>
      <c r="R111" s="8">
        <f>I111*'参考-养成属性规划（从养成属性复制）'!$E$41+J111*'参考-养成属性规划（从养成属性复制）'!$E$42+K111*'参考-养成属性规划（从养成属性复制）'!$E$43</f>
        <v>12972.198712066</v>
      </c>
      <c r="S111" s="8">
        <f t="shared" si="37"/>
        <v>2.40340002529052</v>
      </c>
      <c r="T111" s="35">
        <f t="shared" si="38"/>
        <v>30320.7984293079</v>
      </c>
      <c r="U111" s="8">
        <f t="shared" si="39"/>
        <v>0.907694962840842</v>
      </c>
      <c r="V111" s="8">
        <f t="shared" si="40"/>
        <v>0.276926617121122</v>
      </c>
      <c r="W111" s="8">
        <f t="shared" si="41"/>
        <v>0.465387049270772</v>
      </c>
      <c r="X111" s="8">
        <f t="shared" si="42"/>
        <v>1</v>
      </c>
      <c r="Y111" s="8">
        <f t="shared" si="43"/>
        <v>1</v>
      </c>
      <c r="Z111" s="8">
        <f t="shared" si="44"/>
        <v>1</v>
      </c>
      <c r="AA111" s="8">
        <f t="shared" si="45"/>
        <v>1</v>
      </c>
      <c r="AB111" s="8">
        <f t="shared" si="46"/>
        <v>1</v>
      </c>
      <c r="AC111" s="4">
        <f t="shared" si="47"/>
        <v>1.65000862923274</v>
      </c>
      <c r="AD111" s="8">
        <f t="shared" si="48"/>
        <v>1</v>
      </c>
      <c r="AE111" s="8">
        <f t="shared" si="49"/>
        <v>1.14128028420518</v>
      </c>
      <c r="AF111" s="8">
        <f t="shared" si="50"/>
        <v>1.21257578730659</v>
      </c>
      <c r="AG111" s="8">
        <f>战斗属性!$F$11+AG$9*($H$10*$H111+$I$10*$I111+$J$10*$J111+$K111*$K$10)</f>
        <v>0.371412646566781</v>
      </c>
      <c r="AH111" s="8">
        <f>战斗属性!$F$12+AH$9*($H$10*$H111+$I$10*$I111+$J$10*$J111+$K$10*$K111)</f>
        <v>2.89536380115032</v>
      </c>
      <c r="AI111" s="8">
        <f t="shared" si="51"/>
        <v>1.73465747786693</v>
      </c>
      <c r="AJ111" s="4">
        <f t="shared" si="52"/>
        <v>3.58412008210751</v>
      </c>
      <c r="AK111" s="4">
        <f t="shared" si="53"/>
        <v>447898.709381367</v>
      </c>
      <c r="AL111" s="36">
        <f t="shared" si="54"/>
        <v>53.4943943272503</v>
      </c>
      <c r="AM111" s="36"/>
      <c r="AN111" s="4">
        <f t="shared" si="55"/>
        <v>23960070.1783133</v>
      </c>
      <c r="AO111" s="4">
        <f t="array" ref="AO111">INDEX(_xlfn.ANCHORARRAY(怪物标准模型!$B$12),MATCH(AN111,怪物标准模型!$AY$12:$AY$511))</f>
        <v>242</v>
      </c>
      <c r="AP111" s="4">
        <v>207</v>
      </c>
    </row>
    <row r="112" spans="1:42">
      <c r="A112" s="4">
        <f t="array" ref="A112">_xlfn.IFNA(_xlfn.XLOOKUP(C112&amp;D112,'玩家等级对应关卡（从新手节奏复制）'!$C:$C&amp;'玩家等级对应关卡（从新手节奏复制）'!$D:$D,'玩家等级对应关卡（从新手节奏复制）'!$E:$E),A111)</f>
        <v>38</v>
      </c>
      <c r="B112" s="4">
        <v>101</v>
      </c>
      <c r="C112" s="4">
        <f t="shared" si="56"/>
        <v>7</v>
      </c>
      <c r="D112" s="4">
        <f t="shared" si="57"/>
        <v>11</v>
      </c>
      <c r="E112" s="4">
        <f t="shared" si="29"/>
        <v>1</v>
      </c>
      <c r="F112" s="4">
        <v>5</v>
      </c>
      <c r="G112" s="34">
        <f t="shared" si="30"/>
        <v>0.795444532777379</v>
      </c>
      <c r="H112" s="34">
        <f t="shared" si="31"/>
        <v>0.693948242984382</v>
      </c>
      <c r="I112" s="34">
        <f t="shared" si="32"/>
        <v>0.587544652698528</v>
      </c>
      <c r="J112" s="34">
        <f t="shared" si="33"/>
        <v>0.492654933643198</v>
      </c>
      <c r="K112" s="34">
        <f t="shared" si="34"/>
        <v>0.339551220065068</v>
      </c>
      <c r="L112" s="8">
        <f>E112*'参考-养成属性规划（从养成属性复制）'!$F$36+G112*'参考-养成属性规划（从养成属性复制）'!$F$37+'参考-养成属性规划（从养成属性复制）'!$F$39*H112</f>
        <v>6414.2147161955</v>
      </c>
      <c r="M112" s="8">
        <f>I112*'参考-养成属性规划（从养成属性复制）'!$F$41+J112*'参考-养成属性规划（从养成属性复制）'!$F$42+K112*'参考-养成属性规划（从养成属性复制）'!$F$43</f>
        <v>8701.62041330398</v>
      </c>
      <c r="N112" s="8">
        <f t="shared" si="35"/>
        <v>2.40892401778997</v>
      </c>
      <c r="O112" s="35">
        <f t="shared" si="36"/>
        <v>24152.9762984092</v>
      </c>
      <c r="P112" s="1">
        <f>O112/(O112+战斗公式!$M$27)</f>
        <v>0.501588440737922</v>
      </c>
      <c r="Q112" s="8">
        <f>E112*'参考-养成属性规划（从养成属性复制）'!$E$36+G112*'参考-养成属性规划（从养成属性复制）'!$E$37+'参考-养成属性规划（从养成属性复制）'!$E$39*H231</f>
        <v>7227.20063599713</v>
      </c>
      <c r="R112" s="8">
        <f>I112*'参考-养成属性规划（从养成属性复制）'!$E$41+J112*'参考-养成属性规划（从养成属性复制）'!$E$42+K112*'参考-养成属性规划（从养成属性复制）'!$E$43</f>
        <v>13052.430619956</v>
      </c>
      <c r="S112" s="8">
        <f t="shared" si="37"/>
        <v>2.40892401778997</v>
      </c>
      <c r="T112" s="35">
        <f t="shared" si="38"/>
        <v>30462.2078133964</v>
      </c>
      <c r="U112" s="8">
        <f t="shared" si="39"/>
        <v>0.908184472895315</v>
      </c>
      <c r="V112" s="8">
        <f t="shared" si="40"/>
        <v>0.277579297193753</v>
      </c>
      <c r="W112" s="8">
        <f t="shared" si="41"/>
        <v>0.465835766820705</v>
      </c>
      <c r="X112" s="8">
        <f t="shared" si="42"/>
        <v>1</v>
      </c>
      <c r="Y112" s="8">
        <f t="shared" si="43"/>
        <v>1</v>
      </c>
      <c r="Z112" s="8">
        <f t="shared" si="44"/>
        <v>1</v>
      </c>
      <c r="AA112" s="8">
        <f t="shared" si="45"/>
        <v>1</v>
      </c>
      <c r="AB112" s="8">
        <f t="shared" si="46"/>
        <v>1</v>
      </c>
      <c r="AC112" s="4">
        <f t="shared" si="47"/>
        <v>1.65159953690977</v>
      </c>
      <c r="AD112" s="8">
        <f t="shared" si="48"/>
        <v>1</v>
      </c>
      <c r="AE112" s="8">
        <f t="shared" si="49"/>
        <v>1.14193088826169</v>
      </c>
      <c r="AF112" s="8">
        <f t="shared" si="50"/>
        <v>1.21341251741453</v>
      </c>
      <c r="AG112" s="8">
        <f>战斗属性!$F$11+AG$9*($H$10*$H112+$I$10*$I112+$J$10*$J112+$K112*$K$10)</f>
        <v>0.372892770795336</v>
      </c>
      <c r="AH112" s="8">
        <f>战斗属性!$F$12+AH$9*($H$10*$H112+$I$10*$I112+$J$10*$J112+$K$10*$K112)</f>
        <v>2.89948700435844</v>
      </c>
      <c r="AI112" s="8">
        <f t="shared" si="51"/>
        <v>1.73804061896077</v>
      </c>
      <c r="AJ112" s="4">
        <f t="shared" si="52"/>
        <v>3.60274726886867</v>
      </c>
      <c r="AK112" s="4">
        <f t="shared" si="53"/>
        <v>451708.264951884</v>
      </c>
      <c r="AL112" s="36">
        <f t="shared" si="54"/>
        <v>53.7895529616367</v>
      </c>
      <c r="AM112" s="36"/>
      <c r="AN112" s="4">
        <f t="shared" si="55"/>
        <v>24297185.6408384</v>
      </c>
      <c r="AO112" s="4">
        <f t="array" ref="AO112">INDEX(_xlfn.ANCHORARRAY(怪物标准模型!$B$12),MATCH(AN112,怪物标准模型!$AY$12:$AY$511))</f>
        <v>243</v>
      </c>
      <c r="AP112" s="4">
        <v>210</v>
      </c>
    </row>
    <row r="113" spans="1:42">
      <c r="A113" s="4">
        <f t="array" ref="A113">_xlfn.IFNA(_xlfn.XLOOKUP(C113&amp;D113,'玩家等级对应关卡（从新手节奏复制）'!$C:$C&amp;'玩家等级对应关卡（从新手节奏复制）'!$D:$D,'玩家等级对应关卡（从新手节奏复制）'!$E:$E),A112)</f>
        <v>38</v>
      </c>
      <c r="B113" s="4">
        <v>102</v>
      </c>
      <c r="C113" s="4">
        <f t="shared" si="56"/>
        <v>7</v>
      </c>
      <c r="D113" s="4">
        <f t="shared" si="57"/>
        <v>12</v>
      </c>
      <c r="E113" s="4">
        <f t="shared" si="29"/>
        <v>1</v>
      </c>
      <c r="F113" s="4">
        <v>5</v>
      </c>
      <c r="G113" s="34">
        <f t="shared" si="30"/>
        <v>0.796635949084226</v>
      </c>
      <c r="H113" s="34">
        <f t="shared" si="31"/>
        <v>0.695530992160511</v>
      </c>
      <c r="I113" s="34">
        <f t="shared" si="32"/>
        <v>0.590802167934009</v>
      </c>
      <c r="J113" s="34">
        <f t="shared" si="33"/>
        <v>0.494575929098706</v>
      </c>
      <c r="K113" s="34">
        <f t="shared" si="34"/>
        <v>0.34228394674112</v>
      </c>
      <c r="L113" s="8">
        <f>E113*'参考-养成属性规划（从养成属性复制）'!$F$36+G113*'参考-养成属性规划（从养成属性复制）'!$F$37+'参考-养成属性规划（从养成属性复制）'!$F$39*H113</f>
        <v>6423.57383757346</v>
      </c>
      <c r="M113" s="8">
        <f>I113*'参考-养成属性规划（从养成属性复制）'!$F$41+J113*'参考-养成属性规划（从养成属性复制）'!$F$42+K113*'参考-养成属性规划（从养成属性复制）'!$F$43</f>
        <v>8753.50371373947</v>
      </c>
      <c r="N113" s="8">
        <f t="shared" si="35"/>
        <v>2.41428229051444</v>
      </c>
      <c r="O113" s="35">
        <f t="shared" si="36"/>
        <v>24261.8242716049</v>
      </c>
      <c r="P113" s="1">
        <f>O113/(O113+战斗公式!$M$27)</f>
        <v>0.502712540144893</v>
      </c>
      <c r="Q113" s="8">
        <f>E113*'参考-养成属性规划（从养成属性复制）'!$E$36+G113*'参考-养成属性规划（从养成属性复制）'!$E$37+'参考-养成属性规划（从养成属性复制）'!$E$39*H232</f>
        <v>7235.77883340643</v>
      </c>
      <c r="R113" s="8">
        <f>I113*'参考-养成属性规划（从养成属性复制）'!$E$41+J113*'参考-养成属性规划（从养成属性复制）'!$E$42+K113*'参考-养成属性规划（从养成属性复制）'!$E$43</f>
        <v>13130.2555706092</v>
      </c>
      <c r="S113" s="8">
        <f t="shared" si="37"/>
        <v>2.41428229051444</v>
      </c>
      <c r="T113" s="35">
        <f t="shared" si="38"/>
        <v>30599.4682661816</v>
      </c>
      <c r="U113" s="8">
        <f t="shared" si="39"/>
        <v>0.908659297648153</v>
      </c>
      <c r="V113" s="8">
        <f t="shared" si="40"/>
        <v>0.278212396864204</v>
      </c>
      <c r="W113" s="8">
        <f t="shared" si="41"/>
        <v>0.46627102284414</v>
      </c>
      <c r="X113" s="8">
        <f t="shared" si="42"/>
        <v>1</v>
      </c>
      <c r="Y113" s="8">
        <f t="shared" si="43"/>
        <v>1</v>
      </c>
      <c r="Z113" s="8">
        <f t="shared" si="44"/>
        <v>1</v>
      </c>
      <c r="AA113" s="8">
        <f t="shared" si="45"/>
        <v>1</v>
      </c>
      <c r="AB113" s="8">
        <f t="shared" si="46"/>
        <v>1</v>
      </c>
      <c r="AC113" s="4">
        <f t="shared" si="47"/>
        <v>1.6531427173565</v>
      </c>
      <c r="AD113" s="8">
        <f t="shared" si="48"/>
        <v>1</v>
      </c>
      <c r="AE113" s="8">
        <f t="shared" si="49"/>
        <v>1.1425619741965</v>
      </c>
      <c r="AF113" s="8">
        <f t="shared" si="50"/>
        <v>1.21422414561923</v>
      </c>
      <c r="AG113" s="8">
        <f>战斗属性!$F$11+AG$9*($H$10*$H113+$I$10*$I113+$J$10*$J113+$K113*$K$10)</f>
        <v>0.374328491297034</v>
      </c>
      <c r="AH113" s="8">
        <f>战斗属性!$F$12+AH$9*($H$10*$H113+$I$10*$I113+$J$10*$J113+$K$10*$K113)</f>
        <v>2.90348651147031</v>
      </c>
      <c r="AI113" s="8">
        <f t="shared" si="51"/>
        <v>1.74132226582179</v>
      </c>
      <c r="AJ113" s="4">
        <f t="shared" si="52"/>
        <v>3.62089567420733</v>
      </c>
      <c r="AK113" s="4">
        <f t="shared" si="53"/>
        <v>455425.928117296</v>
      </c>
      <c r="AL113" s="36">
        <f t="shared" si="54"/>
        <v>54.0876631823669</v>
      </c>
      <c r="AM113" s="36"/>
      <c r="AN113" s="4">
        <f t="shared" si="55"/>
        <v>24632924.2045251</v>
      </c>
      <c r="AO113" s="4">
        <f t="array" ref="AO113">INDEX(_xlfn.ANCHORARRAY(怪物标准模型!$B$12),MATCH(AN113,怪物标准模型!$AY$12:$AY$511))</f>
        <v>244</v>
      </c>
      <c r="AP113" s="4">
        <v>212</v>
      </c>
    </row>
    <row r="114" spans="1:42">
      <c r="A114" s="4">
        <f t="array" ref="A114">_xlfn.IFNA(_xlfn.XLOOKUP(C114&amp;D114,'玩家等级对应关卡（从新手节奏复制）'!$C:$C&amp;'玩家等级对应关卡（从新手节奏复制）'!$D:$D,'玩家等级对应关卡（从新手节奏复制）'!$E:$E),A113)</f>
        <v>38</v>
      </c>
      <c r="B114" s="4">
        <v>103</v>
      </c>
      <c r="C114" s="4">
        <f t="shared" si="56"/>
        <v>7</v>
      </c>
      <c r="D114" s="4">
        <f t="shared" si="57"/>
        <v>13</v>
      </c>
      <c r="E114" s="4">
        <f t="shared" si="29"/>
        <v>1</v>
      </c>
      <c r="F114" s="4">
        <v>5</v>
      </c>
      <c r="G114" s="34">
        <f t="shared" si="30"/>
        <v>0.797791622901868</v>
      </c>
      <c r="H114" s="34">
        <f t="shared" si="31"/>
        <v>0.697066258861356</v>
      </c>
      <c r="I114" s="34">
        <f t="shared" si="32"/>
        <v>0.593961957712425</v>
      </c>
      <c r="J114" s="34">
        <f t="shared" si="33"/>
        <v>0.496439294690548</v>
      </c>
      <c r="K114" s="34">
        <f t="shared" si="34"/>
        <v>0.34493469161689</v>
      </c>
      <c r="L114" s="8">
        <f>E114*'参考-养成属性规划（从养成属性复制）'!$F$36+G114*'参考-养成属性规划（从养成属性复制）'!$F$37+'参考-养成属性规划（从养成属性复制）'!$F$39*H114</f>
        <v>6432.65218531009</v>
      </c>
      <c r="M114" s="8">
        <f>I114*'参考-养成属性规划（从养成属性复制）'!$F$41+J114*'参考-养成属性规划（从养成属性复制）'!$F$42+K114*'参考-养成属性规划（从养成属性复制）'!$F$43</f>
        <v>8803.83051516189</v>
      </c>
      <c r="N114" s="8">
        <f t="shared" si="35"/>
        <v>2.41947981505717</v>
      </c>
      <c r="O114" s="35">
        <f t="shared" si="36"/>
        <v>24367.5026348031</v>
      </c>
      <c r="P114" s="1">
        <f>O114/(O114+战斗公式!$M$27)</f>
        <v>0.503799065641014</v>
      </c>
      <c r="Q114" s="8">
        <f>E114*'参考-养成属性规划（从养成属性复制）'!$E$36+G114*'参考-养成属性规划（从养成属性复制）'!$E$37+'参考-养成属性规划（从养成属性复制）'!$E$39*H233</f>
        <v>7244.09968489345</v>
      </c>
      <c r="R114" s="8">
        <f>I114*'参考-养成属性规划（从养成属性复制）'!$E$41+J114*'参考-养成属性规划（从养成属性复制）'!$E$42+K114*'参考-养成属性规划（从养成属性复制）'!$E$43</f>
        <v>13205.7457727428</v>
      </c>
      <c r="S114" s="8">
        <f t="shared" si="37"/>
        <v>2.41947981505717</v>
      </c>
      <c r="T114" s="35">
        <f t="shared" si="38"/>
        <v>30732.6987386046</v>
      </c>
      <c r="U114" s="8">
        <f t="shared" si="39"/>
        <v>0.909119877658407</v>
      </c>
      <c r="V114" s="8">
        <f t="shared" si="40"/>
        <v>0.278826503544542</v>
      </c>
      <c r="W114" s="8">
        <f t="shared" si="41"/>
        <v>0.466693221186873</v>
      </c>
      <c r="X114" s="8">
        <f t="shared" si="42"/>
        <v>1</v>
      </c>
      <c r="Y114" s="8">
        <f t="shared" si="43"/>
        <v>1</v>
      </c>
      <c r="Z114" s="8">
        <f t="shared" si="44"/>
        <v>1</v>
      </c>
      <c r="AA114" s="8">
        <f t="shared" si="45"/>
        <v>1</v>
      </c>
      <c r="AB114" s="8">
        <f t="shared" si="46"/>
        <v>1</v>
      </c>
      <c r="AC114" s="4">
        <f t="shared" si="47"/>
        <v>1.65463960238982</v>
      </c>
      <c r="AD114" s="8">
        <f t="shared" si="48"/>
        <v>1</v>
      </c>
      <c r="AE114" s="8">
        <f t="shared" si="49"/>
        <v>1.14317412755327</v>
      </c>
      <c r="AF114" s="8">
        <f t="shared" si="50"/>
        <v>1.2150114249778</v>
      </c>
      <c r="AG114" s="8">
        <f>战斗属性!$F$11+AG$9*($H$10*$H114+$I$10*$I114+$J$10*$J114+$K114*$K$10)</f>
        <v>0.375721140183682</v>
      </c>
      <c r="AH114" s="8">
        <f>战斗属性!$F$12+AH$9*($H$10*$H114+$I$10*$I114+$J$10*$J114+$K$10*$K114)</f>
        <v>2.90736603336883</v>
      </c>
      <c r="AI114" s="8">
        <f t="shared" si="51"/>
        <v>1.74450546327699</v>
      </c>
      <c r="AJ114" s="4">
        <f t="shared" si="52"/>
        <v>3.63857517371886</v>
      </c>
      <c r="AK114" s="4">
        <f t="shared" si="53"/>
        <v>459053.229815943</v>
      </c>
      <c r="AL114" s="36">
        <f t="shared" si="54"/>
        <v>54.3887545053045</v>
      </c>
      <c r="AM114" s="36"/>
      <c r="AN114" s="4">
        <f t="shared" si="55"/>
        <v>24967333.4213264</v>
      </c>
      <c r="AO114" s="4">
        <f t="array" ref="AO114">INDEX(_xlfn.ANCHORARRAY(怪物标准模型!$B$12),MATCH(AN114,怪物标准模型!$AY$12:$AY$511))</f>
        <v>245</v>
      </c>
      <c r="AP114" s="4">
        <v>215</v>
      </c>
    </row>
    <row r="115" spans="1:42">
      <c r="A115" s="4">
        <f t="array" ref="A115">_xlfn.IFNA(_xlfn.XLOOKUP(C115&amp;D115,'玩家等级对应关卡（从新手节奏复制）'!$C:$C&amp;'玩家等级对应关卡（从新手节奏复制）'!$D:$D,'玩家等级对应关卡（从新手节奏复制）'!$E:$E),A114)</f>
        <v>38</v>
      </c>
      <c r="B115" s="4">
        <v>104</v>
      </c>
      <c r="C115" s="4">
        <f t="shared" si="56"/>
        <v>7</v>
      </c>
      <c r="D115" s="4">
        <f t="shared" si="57"/>
        <v>14</v>
      </c>
      <c r="E115" s="4">
        <f t="shared" si="29"/>
        <v>1</v>
      </c>
      <c r="F115" s="4">
        <v>5</v>
      </c>
      <c r="G115" s="34">
        <f t="shared" si="30"/>
        <v>0.798912626504981</v>
      </c>
      <c r="H115" s="34">
        <f t="shared" si="31"/>
        <v>0.698555467561175</v>
      </c>
      <c r="I115" s="34">
        <f t="shared" si="32"/>
        <v>0.597026953797488</v>
      </c>
      <c r="J115" s="34">
        <f t="shared" si="33"/>
        <v>0.498246759314635</v>
      </c>
      <c r="K115" s="34">
        <f t="shared" si="34"/>
        <v>0.347505914146388</v>
      </c>
      <c r="L115" s="8">
        <f>E115*'参考-养成属性规划（从养成属性复制）'!$F$36+G115*'参考-养成属性规划（从养成属性复制）'!$F$37+'参考-养成属性规划（从养成属性复制）'!$F$39*H115</f>
        <v>6441.45818261461</v>
      </c>
      <c r="M115" s="8">
        <f>I115*'参考-养成属性规划（从养成属性复制）'!$F$41+J115*'参考-养成属性规划（从养成属性复制）'!$F$42+K115*'参考-养成属性规划（从养成属性复制）'!$F$43</f>
        <v>8852.64751254164</v>
      </c>
      <c r="N115" s="8">
        <f t="shared" si="35"/>
        <v>2.42452141386362</v>
      </c>
      <c r="O115" s="35">
        <f t="shared" si="36"/>
        <v>24470.1008127978</v>
      </c>
      <c r="P115" s="1">
        <f>O115/(O115+战斗公式!$M$27)</f>
        <v>0.504849389674404</v>
      </c>
      <c r="Q115" s="8">
        <f>E115*'参考-养成属性规划（从养成属性复制）'!$E$36+G115*'参考-养成属性规划（从养成属性复制）'!$E$37+'参考-养成属性规划（从养成属性复制）'!$E$39*H234</f>
        <v>7252.17091083586</v>
      </c>
      <c r="R115" s="8">
        <f>I115*'参考-养成属性规划（从养成属性复制）'!$E$41+J115*'参考-养成属性规划（从养成属性复制）'!$E$42+K115*'参考-养成属性规划（从养成属性复制）'!$E$43</f>
        <v>13278.9712688125</v>
      </c>
      <c r="S115" s="8">
        <f t="shared" si="37"/>
        <v>2.42452141386362</v>
      </c>
      <c r="T115" s="35">
        <f t="shared" si="38"/>
        <v>30862.0149391329</v>
      </c>
      <c r="U115" s="8">
        <f t="shared" si="39"/>
        <v>0.909566640268352</v>
      </c>
      <c r="V115" s="8">
        <f t="shared" si="40"/>
        <v>0.27942218702447</v>
      </c>
      <c r="W115" s="8">
        <f t="shared" si="41"/>
        <v>0.467102753579323</v>
      </c>
      <c r="X115" s="8">
        <f t="shared" si="42"/>
        <v>1</v>
      </c>
      <c r="Y115" s="8">
        <f t="shared" si="43"/>
        <v>1</v>
      </c>
      <c r="Z115" s="8">
        <f t="shared" si="44"/>
        <v>1</v>
      </c>
      <c r="AA115" s="8">
        <f t="shared" si="45"/>
        <v>1</v>
      </c>
      <c r="AB115" s="8">
        <f t="shared" si="46"/>
        <v>1</v>
      </c>
      <c r="AC115" s="4">
        <f t="shared" si="47"/>
        <v>1.65609158087215</v>
      </c>
      <c r="AD115" s="8">
        <f t="shared" si="48"/>
        <v>1</v>
      </c>
      <c r="AE115" s="8">
        <f t="shared" si="49"/>
        <v>1.14376791630933</v>
      </c>
      <c r="AF115" s="8">
        <f t="shared" si="50"/>
        <v>1.2157750859556</v>
      </c>
      <c r="AG115" s="8">
        <f>战斗属性!$F$11+AG$9*($H$10*$H115+$I$10*$I115+$J$10*$J115+$K115*$K$10)</f>
        <v>0.37707200960373</v>
      </c>
      <c r="AH115" s="8">
        <f>战斗属性!$F$12+AH$9*($H$10*$H115+$I$10*$I115+$J$10*$J115+$K$10*$K115)</f>
        <v>2.91112916961039</v>
      </c>
      <c r="AI115" s="8">
        <f t="shared" si="51"/>
        <v>1.74759316480853</v>
      </c>
      <c r="AJ115" s="4">
        <f t="shared" si="52"/>
        <v>3.65579559112979</v>
      </c>
      <c r="AK115" s="4">
        <f t="shared" si="53"/>
        <v>462591.71922846</v>
      </c>
      <c r="AL115" s="36">
        <f t="shared" si="54"/>
        <v>54.6928567414714</v>
      </c>
      <c r="AM115" s="36"/>
      <c r="AN115" s="4">
        <f t="shared" si="55"/>
        <v>25300462.6295531</v>
      </c>
      <c r="AO115" s="4">
        <f t="array" ref="AO115">INDEX(_xlfn.ANCHORARRAY(怪物标准模型!$B$12),MATCH(AN115,怪物标准模型!$AY$12:$AY$511))</f>
        <v>247</v>
      </c>
      <c r="AP115" s="4">
        <v>217</v>
      </c>
    </row>
    <row r="116" spans="1:42">
      <c r="A116" s="4">
        <f t="array" ref="A116">_xlfn.IFNA(_xlfn.XLOOKUP(C116&amp;D116,'玩家等级对应关卡（从新手节奏复制）'!$C:$C&amp;'玩家等级对应关卡（从新手节奏复制）'!$D:$D,'玩家等级对应关卡（从新手节奏复制）'!$E:$E),A115)</f>
        <v>39</v>
      </c>
      <c r="B116" s="4">
        <v>105</v>
      </c>
      <c r="C116" s="4">
        <f t="shared" si="56"/>
        <v>7</v>
      </c>
      <c r="D116" s="4">
        <f t="shared" si="57"/>
        <v>15</v>
      </c>
      <c r="E116" s="4">
        <f t="shared" si="29"/>
        <v>1</v>
      </c>
      <c r="F116" s="4">
        <v>5</v>
      </c>
      <c r="G116" s="34">
        <f t="shared" si="30"/>
        <v>0.8</v>
      </c>
      <c r="H116" s="34">
        <f t="shared" si="31"/>
        <v>0.7</v>
      </c>
      <c r="I116" s="34">
        <f t="shared" si="32"/>
        <v>0.6</v>
      </c>
      <c r="J116" s="34">
        <f t="shared" si="33"/>
        <v>0.5</v>
      </c>
      <c r="K116" s="34">
        <f t="shared" si="34"/>
        <v>0.35</v>
      </c>
      <c r="L116" s="8">
        <f>E116*'参考-养成属性规划（从养成属性复制）'!$F$36+G116*'参考-养成属性规划（从养成属性复制）'!$F$37+'参考-养成属性规划（从养成属性复制）'!$F$39*H116</f>
        <v>6450</v>
      </c>
      <c r="M116" s="8">
        <f>I116*'参考-养成属性规划（从养成属性复制）'!$F$41+J116*'参考-养成属性规划（从养成属性复制）'!$F$42+K116*'参考-养成属性规划（从养成属性复制）'!$F$43</f>
        <v>8900</v>
      </c>
      <c r="N116" s="8">
        <f t="shared" si="35"/>
        <v>2.42941176470588</v>
      </c>
      <c r="O116" s="35">
        <f t="shared" si="36"/>
        <v>24569.7058823529</v>
      </c>
      <c r="P116" s="1">
        <f>O116/(O116+战斗公式!$M$27)</f>
        <v>0.505864827385746</v>
      </c>
      <c r="Q116" s="8">
        <f>E116*'参考-养成属性规划（从养成属性复制）'!$E$36+G116*'参考-养成属性规划（从养成属性复制）'!$E$37+'参考-养成属性规划（从养成属性复制）'!$E$39*H235</f>
        <v>7260</v>
      </c>
      <c r="R116" s="8">
        <f>I116*'参考-养成属性规划（从养成属性复制）'!$E$41+J116*'参考-养成属性规划（从养成属性复制）'!$E$42+K116*'参考-养成属性规划（从养成属性复制）'!$E$43</f>
        <v>13350</v>
      </c>
      <c r="S116" s="8">
        <f t="shared" si="37"/>
        <v>2.42941176470588</v>
      </c>
      <c r="T116" s="35">
        <f t="shared" si="38"/>
        <v>30987.5294117647</v>
      </c>
      <c r="U116" s="8">
        <f t="shared" si="39"/>
        <v>0.91</v>
      </c>
      <c r="V116" s="8">
        <f t="shared" si="40"/>
        <v>0.28</v>
      </c>
      <c r="W116" s="8">
        <f t="shared" si="41"/>
        <v>0.4675</v>
      </c>
      <c r="X116" s="8">
        <f t="shared" si="42"/>
        <v>1</v>
      </c>
      <c r="Y116" s="8">
        <f t="shared" si="43"/>
        <v>1</v>
      </c>
      <c r="Z116" s="8">
        <f t="shared" si="44"/>
        <v>1</v>
      </c>
      <c r="AA116" s="8">
        <f t="shared" si="45"/>
        <v>1</v>
      </c>
      <c r="AB116" s="8">
        <f t="shared" si="46"/>
        <v>1</v>
      </c>
      <c r="AC116" s="4">
        <f t="shared" si="47"/>
        <v>1.6575</v>
      </c>
      <c r="AD116" s="8">
        <f t="shared" si="48"/>
        <v>1</v>
      </c>
      <c r="AE116" s="8">
        <f t="shared" si="49"/>
        <v>1.14434389140271</v>
      </c>
      <c r="AF116" s="8">
        <f t="shared" si="50"/>
        <v>1.21651583710407</v>
      </c>
      <c r="AG116" s="8">
        <f>战斗属性!$F$11+AG$9*($H$10*$H116+$I$10*$I116+$J$10*$J116+$K116*$K$10)</f>
        <v>0.378382352941176</v>
      </c>
      <c r="AH116" s="8">
        <f>战斗属性!$F$12+AH$9*($H$10*$H116+$I$10*$I116+$J$10*$J116+$K$10*$K116)</f>
        <v>2.91477941176471</v>
      </c>
      <c r="AI116" s="8">
        <f t="shared" si="51"/>
        <v>1.75058823529412</v>
      </c>
      <c r="AJ116" s="4">
        <f t="shared" si="52"/>
        <v>3.67256668719305</v>
      </c>
      <c r="AK116" s="4">
        <f t="shared" si="53"/>
        <v>466042.960132007</v>
      </c>
      <c r="AL116" s="36">
        <f t="shared" si="54"/>
        <v>55</v>
      </c>
      <c r="AM116" s="36"/>
      <c r="AN116" s="4">
        <f t="shared" si="55"/>
        <v>25632362.8072604</v>
      </c>
      <c r="AO116" s="4">
        <f t="array" ref="AO116">INDEX(_xlfn.ANCHORARRAY(怪物标准模型!$B$12),MATCH(AN116,怪物标准模型!$AY$12:$AY$511))</f>
        <v>248</v>
      </c>
      <c r="AP116" s="4">
        <v>220</v>
      </c>
    </row>
  </sheetData>
  <mergeCells count="1">
    <mergeCell ref="X10:AB10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X72"/>
  <sheetViews>
    <sheetView zoomScale="115" zoomScaleNormal="115" topLeftCell="A34" workbookViewId="0">
      <selection activeCell="K52" sqref="K52"/>
    </sheetView>
  </sheetViews>
  <sheetFormatPr defaultColWidth="9" defaultRowHeight="16.5"/>
  <cols>
    <col min="1" max="1" width="9" style="1" customWidth="1"/>
    <col min="2" max="2" width="15" style="1" customWidth="1"/>
    <col min="3" max="3" width="24.625" style="1" customWidth="1"/>
    <col min="4" max="5" width="9" style="1" customWidth="1"/>
    <col min="6" max="6" width="14.25" style="1" customWidth="1"/>
    <col min="7" max="7" width="11.125" style="1" customWidth="1"/>
    <col min="8" max="8" width="9.375" style="1" customWidth="1"/>
    <col min="9" max="9" width="11" style="1" customWidth="1"/>
    <col min="10" max="10" width="9" style="1" customWidth="1"/>
    <col min="11" max="11" width="10.375" style="1" customWidth="1"/>
    <col min="12" max="12" width="11.375" style="1" customWidth="1"/>
    <col min="13" max="13" width="12" style="1" customWidth="1"/>
    <col min="14" max="14" width="12.625" style="1" customWidth="1"/>
    <col min="15" max="15" width="26" style="1" customWidth="1"/>
    <col min="16" max="16384" width="9" style="1" customWidth="1"/>
  </cols>
  <sheetData>
    <row r="2" s="1" customFormat="1" spans="1:15">
      <c r="B2" s="1" t="s">
        <v>303</v>
      </c>
      <c r="C2" s="3" t="s">
        <v>8</v>
      </c>
      <c r="D2" s="3" t="s">
        <v>12</v>
      </c>
      <c r="E2" s="3" t="s">
        <v>286</v>
      </c>
    </row>
    <row r="3" s="1" customFormat="1" spans="1:15">
      <c r="C3" s="4">
        <v>5000</v>
      </c>
      <c r="D3" s="4">
        <v>1500</v>
      </c>
      <c r="E3" s="4">
        <v>1000</v>
      </c>
    </row>
    <row r="5" spans="1:15">
      <c r="B5" s="1" t="s">
        <v>611</v>
      </c>
    </row>
    <row r="6" s="1" customFormat="1" spans="1:15">
      <c r="B6" s="16" t="s">
        <v>612</v>
      </c>
    </row>
    <row r="8" s="1" customFormat="1" ht="21" customHeight="1" spans="1:15">
      <c r="B8" s="17" t="s">
        <v>613</v>
      </c>
      <c r="C8" s="17" t="s">
        <v>614</v>
      </c>
      <c r="J8" s="17" t="s">
        <v>615</v>
      </c>
      <c r="O8" s="17" t="s">
        <v>6</v>
      </c>
    </row>
    <row r="9" s="1" customFormat="1" spans="1:15">
      <c r="J9" s="16" t="s">
        <v>7</v>
      </c>
      <c r="K9" s="16" t="s">
        <v>616</v>
      </c>
      <c r="L9" s="16" t="s">
        <v>617</v>
      </c>
      <c r="M9" s="16" t="s">
        <v>618</v>
      </c>
      <c r="N9" s="16"/>
    </row>
    <row r="10" s="1" customFormat="1" ht="42" customHeight="1" spans="1:15">
      <c r="A10" s="18" t="s">
        <v>619</v>
      </c>
      <c r="B10" s="4" t="s">
        <v>620</v>
      </c>
      <c r="C10" s="4" t="s">
        <v>621</v>
      </c>
      <c r="J10" s="5" t="s">
        <v>622</v>
      </c>
      <c r="O10" s="4"/>
    </row>
    <row r="11" s="1" customFormat="1" ht="42" customHeight="1" spans="1:15">
      <c r="B11" s="4" t="s">
        <v>623</v>
      </c>
      <c r="C11" s="4" t="s">
        <v>624</v>
      </c>
      <c r="J11" s="5" t="s">
        <v>622</v>
      </c>
      <c r="O11" s="4"/>
    </row>
    <row r="12" s="1" customFormat="1" ht="42" customHeight="1" spans="1:15">
      <c r="B12" s="4" t="s">
        <v>625</v>
      </c>
      <c r="C12" s="19" t="s">
        <v>626</v>
      </c>
      <c r="J12" s="5" t="s">
        <v>622</v>
      </c>
      <c r="O12" s="4"/>
    </row>
    <row r="13" s="1" customFormat="1" ht="66" customHeight="1" spans="1:15">
      <c r="B13" s="20" t="s">
        <v>627</v>
      </c>
      <c r="C13" s="19" t="s">
        <v>628</v>
      </c>
      <c r="J13" s="5" t="s">
        <v>622</v>
      </c>
      <c r="K13" s="5" t="s">
        <v>622</v>
      </c>
      <c r="L13" s="5" t="s">
        <v>622</v>
      </c>
      <c r="M13" s="5" t="s">
        <v>622</v>
      </c>
      <c r="O13" s="4"/>
    </row>
    <row r="14" s="1" customFormat="1" ht="42" customHeight="1" spans="1:15">
      <c r="B14" s="4" t="s">
        <v>629</v>
      </c>
      <c r="C14" s="19" t="s">
        <v>630</v>
      </c>
      <c r="K14" s="5" t="s">
        <v>622</v>
      </c>
      <c r="L14" s="5" t="s">
        <v>622</v>
      </c>
      <c r="M14" s="5" t="s">
        <v>622</v>
      </c>
      <c r="N14" s="5"/>
      <c r="O14" s="4"/>
    </row>
    <row r="15" s="1" customFormat="1" ht="42" customHeight="1" spans="1:15">
      <c r="B15" s="4" t="s">
        <v>631</v>
      </c>
      <c r="C15" s="19" t="s">
        <v>632</v>
      </c>
      <c r="J15" s="5" t="s">
        <v>622</v>
      </c>
      <c r="K15" s="5" t="s">
        <v>622</v>
      </c>
      <c r="L15" s="5" t="s">
        <v>622</v>
      </c>
      <c r="M15" s="5" t="s">
        <v>622</v>
      </c>
      <c r="O15" s="4"/>
    </row>
    <row r="16" s="1" customFormat="1" ht="51" customHeight="1" spans="1:15">
      <c r="B16" s="4" t="s">
        <v>294</v>
      </c>
      <c r="C16" s="19" t="s">
        <v>633</v>
      </c>
      <c r="J16" s="5" t="s">
        <v>622</v>
      </c>
      <c r="L16" s="5" t="s">
        <v>622</v>
      </c>
      <c r="O16" s="4"/>
    </row>
    <row r="17" s="1" customFormat="1" ht="125" customHeight="1" spans="2:16">
      <c r="B17" s="4" t="s">
        <v>634</v>
      </c>
      <c r="C17" s="19" t="s">
        <v>635</v>
      </c>
      <c r="J17" s="5" t="s">
        <v>622</v>
      </c>
      <c r="K17" s="5" t="s">
        <v>622</v>
      </c>
      <c r="L17" s="5" t="s">
        <v>622</v>
      </c>
      <c r="M17" s="5" t="s">
        <v>622</v>
      </c>
      <c r="N17" s="5"/>
      <c r="O17" s="4"/>
    </row>
    <row r="19" s="1" customFormat="1" spans="2:16">
      <c r="B19" s="16" t="s">
        <v>636</v>
      </c>
    </row>
    <row r="20" s="1" customFormat="1" spans="2:16">
      <c r="B20" s="21" t="s">
        <v>637</v>
      </c>
      <c r="D20" s="21" t="s">
        <v>638</v>
      </c>
    </row>
    <row r="21" s="1" customFormat="1" spans="2:16">
      <c r="B21" s="4" t="s">
        <v>623</v>
      </c>
      <c r="D21" s="8" t="s">
        <v>639</v>
      </c>
    </row>
    <row r="22" s="1" customFormat="1" spans="2:16">
      <c r="B22" s="4" t="s">
        <v>625</v>
      </c>
      <c r="D22" s="1" t="s">
        <v>294</v>
      </c>
    </row>
    <row r="23" s="1" customFormat="1" spans="2:16">
      <c r="B23" s="20" t="s">
        <v>627</v>
      </c>
    </row>
    <row r="24" s="1" customFormat="1" spans="2:16">
      <c r="B24" s="4" t="s">
        <v>629</v>
      </c>
    </row>
    <row r="25" s="1" customFormat="1" spans="2:16">
      <c r="B25" s="4" t="s">
        <v>631</v>
      </c>
    </row>
    <row r="26" s="1" customFormat="1" spans="2:16">
      <c r="B26" s="4" t="s">
        <v>640</v>
      </c>
    </row>
    <row r="27" s="1" customFormat="1" spans="2:16">
      <c r="B27" s="4"/>
    </row>
    <row r="31" s="1" customFormat="1" spans="2:16">
      <c r="B31" s="1" t="s">
        <v>641</v>
      </c>
      <c r="P31" s="16" t="s">
        <v>642</v>
      </c>
    </row>
    <row r="32" s="1" customFormat="1" spans="2:16">
      <c r="B32" s="16" t="s">
        <v>643</v>
      </c>
      <c r="P32" s="1" t="s">
        <v>644</v>
      </c>
    </row>
    <row r="33" s="1" customFormat="1" spans="1:22">
      <c r="D33" s="1" t="s">
        <v>645</v>
      </c>
      <c r="G33" s="22" t="s">
        <v>646</v>
      </c>
      <c r="J33" s="1" t="s">
        <v>647</v>
      </c>
      <c r="M33" s="1" t="s">
        <v>648</v>
      </c>
      <c r="P33" s="1" t="s">
        <v>649</v>
      </c>
    </row>
    <row r="34" s="1" customFormat="1" ht="21" customHeight="1" spans="1:22">
      <c r="B34" s="17" t="s">
        <v>613</v>
      </c>
      <c r="C34" s="17" t="s">
        <v>302</v>
      </c>
      <c r="D34" s="23" t="s">
        <v>8</v>
      </c>
      <c r="E34" s="23" t="s">
        <v>12</v>
      </c>
      <c r="F34" s="23" t="s">
        <v>286</v>
      </c>
      <c r="G34" s="23" t="s">
        <v>8</v>
      </c>
      <c r="H34" s="23" t="s">
        <v>12</v>
      </c>
      <c r="I34" s="23" t="s">
        <v>286</v>
      </c>
      <c r="J34" s="23" t="s">
        <v>8</v>
      </c>
      <c r="K34" s="23" t="s">
        <v>12</v>
      </c>
      <c r="L34" s="23" t="s">
        <v>286</v>
      </c>
      <c r="M34" s="3" t="s">
        <v>650</v>
      </c>
      <c r="P34" s="3" t="s">
        <v>650</v>
      </c>
      <c r="S34" s="3"/>
      <c r="V34" s="3" t="s">
        <v>651</v>
      </c>
    </row>
    <row r="35" s="1" customFormat="1" spans="1:22">
      <c r="M35" s="4"/>
      <c r="V35" s="24">
        <v>0</v>
      </c>
    </row>
    <row r="36" s="1" customFormat="1" spans="1:22">
      <c r="A36" s="18" t="s">
        <v>619</v>
      </c>
      <c r="B36" s="4" t="s">
        <v>620</v>
      </c>
      <c r="C36" s="4">
        <v>1</v>
      </c>
      <c r="D36" s="1">
        <v>5000</v>
      </c>
      <c r="E36" s="1">
        <v>1500</v>
      </c>
      <c r="F36" s="1">
        <v>1000</v>
      </c>
      <c r="M36" s="4"/>
      <c r="P36" s="4"/>
      <c r="V36" s="24">
        <v>0</v>
      </c>
    </row>
    <row r="37" s="1" customFormat="1" spans="1:22">
      <c r="B37" s="4" t="s">
        <v>623</v>
      </c>
      <c r="C37" s="4">
        <v>4.8</v>
      </c>
      <c r="D37" s="1">
        <v>24000</v>
      </c>
      <c r="E37" s="1">
        <v>7200</v>
      </c>
      <c r="F37" s="1">
        <v>4800</v>
      </c>
      <c r="M37" s="4"/>
      <c r="P37" s="4"/>
      <c r="V37" s="24">
        <v>0</v>
      </c>
    </row>
    <row r="38" s="1" customFormat="1" spans="1:22">
      <c r="B38" s="4" t="s">
        <v>625</v>
      </c>
      <c r="C38" s="4">
        <v>0</v>
      </c>
      <c r="D38" s="1">
        <v>0</v>
      </c>
      <c r="E38" s="1">
        <v>0</v>
      </c>
      <c r="F38" s="1">
        <v>0</v>
      </c>
      <c r="M38" s="4"/>
      <c r="P38" s="4"/>
      <c r="V38" s="24">
        <v>0</v>
      </c>
    </row>
    <row r="39" s="1" customFormat="1" spans="1:22">
      <c r="B39" s="20" t="s">
        <v>627</v>
      </c>
      <c r="C39" s="4">
        <v>2.3</v>
      </c>
      <c r="D39" s="1">
        <v>11500</v>
      </c>
      <c r="E39" s="1">
        <v>3450</v>
      </c>
      <c r="F39" s="1">
        <v>2300</v>
      </c>
      <c r="G39" s="1">
        <v>0</v>
      </c>
      <c r="H39" s="1">
        <v>0</v>
      </c>
      <c r="I39" s="1">
        <v>0</v>
      </c>
      <c r="J39" s="25">
        <v>0</v>
      </c>
      <c r="K39" s="25">
        <v>0</v>
      </c>
      <c r="L39" s="25">
        <v>0</v>
      </c>
      <c r="M39" s="4">
        <v>0</v>
      </c>
      <c r="P39" s="26">
        <v>1.2</v>
      </c>
      <c r="V39" s="24">
        <v>0.0588235294117647</v>
      </c>
    </row>
    <row r="40" s="1" customFormat="1" spans="1:22">
      <c r="B40" s="4" t="s">
        <v>629</v>
      </c>
      <c r="G40" s="25">
        <v>0.9</v>
      </c>
      <c r="H40" s="25">
        <v>0.9</v>
      </c>
      <c r="I40" s="25">
        <v>0.9</v>
      </c>
      <c r="J40" s="25">
        <v>0</v>
      </c>
      <c r="K40" s="25">
        <v>0</v>
      </c>
      <c r="L40" s="25">
        <v>0</v>
      </c>
      <c r="M40" s="4">
        <v>0</v>
      </c>
      <c r="P40" s="26">
        <v>0.6</v>
      </c>
      <c r="S40" s="26"/>
      <c r="V40" s="24">
        <v>0.0294117647058824</v>
      </c>
    </row>
    <row r="41" s="1" customFormat="1" spans="1:22">
      <c r="B41" s="4" t="s">
        <v>631</v>
      </c>
      <c r="C41" s="4">
        <v>4</v>
      </c>
      <c r="D41" s="1">
        <v>20000</v>
      </c>
      <c r="E41" s="1">
        <v>6000</v>
      </c>
      <c r="F41" s="1">
        <v>4000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4">
        <v>0</v>
      </c>
      <c r="P41" s="26">
        <v>0.6</v>
      </c>
      <c r="V41" s="24">
        <v>0.0294117647058824</v>
      </c>
    </row>
    <row r="42" s="1" customFormat="1" spans="1:22">
      <c r="B42" s="4" t="s">
        <v>294</v>
      </c>
      <c r="C42" s="4">
        <v>6</v>
      </c>
      <c r="D42" s="1">
        <v>30000</v>
      </c>
      <c r="E42" s="1">
        <v>9000</v>
      </c>
      <c r="F42" s="1">
        <v>6000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4">
        <v>0</v>
      </c>
      <c r="P42" s="26">
        <v>4.2</v>
      </c>
      <c r="V42" s="24">
        <v>0.205882352941176</v>
      </c>
    </row>
    <row r="43" s="1" customFormat="1" spans="1:22">
      <c r="B43" s="4" t="s">
        <v>652</v>
      </c>
      <c r="C43" s="4">
        <v>10</v>
      </c>
      <c r="D43" s="1">
        <v>50000</v>
      </c>
      <c r="E43" s="1">
        <v>15000</v>
      </c>
      <c r="F43" s="1">
        <v>10000</v>
      </c>
      <c r="G43" s="1">
        <v>0</v>
      </c>
      <c r="H43" s="1">
        <v>0</v>
      </c>
      <c r="I43" s="1">
        <v>0</v>
      </c>
      <c r="J43" s="25">
        <v>2.4</v>
      </c>
      <c r="K43" s="25">
        <v>2.4</v>
      </c>
      <c r="L43" s="25">
        <v>2.4</v>
      </c>
      <c r="M43" s="26">
        <v>3.2</v>
      </c>
      <c r="P43" s="26">
        <v>8.2</v>
      </c>
      <c r="S43" s="26"/>
      <c r="V43" s="24">
        <v>0.676470588235294</v>
      </c>
    </row>
    <row r="44" s="1" customFormat="1" spans="1:22">
      <c r="J44" s="27">
        <v>2.4</v>
      </c>
      <c r="M44" s="27">
        <v>3.2</v>
      </c>
      <c r="P44" s="27">
        <v>14.8</v>
      </c>
      <c r="S44" s="27"/>
      <c r="V44" s="4"/>
    </row>
    <row r="46" s="1" customFormat="1" spans="1:22">
      <c r="F46" s="1" t="s">
        <v>653</v>
      </c>
      <c r="G46" s="28">
        <v>20.4</v>
      </c>
      <c r="I46" s="1" t="s">
        <v>654</v>
      </c>
      <c r="J46" s="28">
        <v>0</v>
      </c>
      <c r="L46" s="1" t="s">
        <v>655</v>
      </c>
      <c r="M46" s="28">
        <v>20.4</v>
      </c>
    </row>
    <row r="47" s="1" customFormat="1" spans="1:22">
      <c r="F47" s="1" t="s">
        <v>656</v>
      </c>
    </row>
    <row r="49" s="1" customFormat="1" spans="6:9">
      <c r="F49" s="1" t="s">
        <v>657</v>
      </c>
    </row>
    <row r="50" s="1" customFormat="1" spans="6:9">
      <c r="F50" s="1" t="s">
        <v>342</v>
      </c>
      <c r="G50" s="29">
        <v>0.01</v>
      </c>
      <c r="H50" s="30">
        <v>0.03</v>
      </c>
      <c r="I50" s="1">
        <v>4.93333333333333</v>
      </c>
    </row>
    <row r="51" s="1" customFormat="1" spans="6:9">
      <c r="F51" s="1" t="s">
        <v>344</v>
      </c>
      <c r="G51" s="29">
        <v>0.01</v>
      </c>
      <c r="H51" s="30">
        <v>0.03</v>
      </c>
    </row>
    <row r="52" s="1" customFormat="1" spans="6:9">
      <c r="F52" s="1" t="s">
        <v>346</v>
      </c>
      <c r="G52" s="29">
        <v>0.01</v>
      </c>
      <c r="H52" s="30">
        <v>0.03</v>
      </c>
    </row>
    <row r="53" s="1" customFormat="1" spans="6:9">
      <c r="F53" s="1" t="s">
        <v>349</v>
      </c>
      <c r="G53" s="29">
        <v>0</v>
      </c>
      <c r="H53" s="30">
        <v>0</v>
      </c>
    </row>
    <row r="54" s="1" customFormat="1" spans="6:9">
      <c r="F54" s="1" t="s">
        <v>333</v>
      </c>
      <c r="G54" s="29">
        <v>0.0033</v>
      </c>
      <c r="H54" s="30">
        <v>0.0099</v>
      </c>
    </row>
    <row r="55" s="1" customFormat="1" spans="6:9">
      <c r="F55" s="1" t="s">
        <v>313</v>
      </c>
      <c r="G55" s="29">
        <v>0.0018</v>
      </c>
      <c r="H55" s="30">
        <v>0.0054</v>
      </c>
    </row>
    <row r="56" s="1" customFormat="1" spans="6:9">
      <c r="F56" s="1" t="s">
        <v>32</v>
      </c>
      <c r="G56" s="29">
        <v>0.0054</v>
      </c>
      <c r="H56" s="30">
        <v>0.0162</v>
      </c>
    </row>
    <row r="57" s="1" customFormat="1" spans="6:9">
      <c r="F57" s="1" t="s">
        <v>355</v>
      </c>
      <c r="G57" s="29">
        <v>0.0033</v>
      </c>
      <c r="H57" s="30">
        <v>0.0099</v>
      </c>
    </row>
    <row r="58" s="1" customFormat="1" spans="6:9">
      <c r="F58" s="31" t="s">
        <v>57</v>
      </c>
      <c r="G58" s="29">
        <v>0.009</v>
      </c>
      <c r="H58" s="30">
        <v>0.027</v>
      </c>
    </row>
    <row r="59" s="1" customFormat="1" spans="6:9">
      <c r="F59" s="31" t="s">
        <v>60</v>
      </c>
      <c r="G59" s="29">
        <v>0.012</v>
      </c>
      <c r="H59" s="30">
        <v>0.036</v>
      </c>
    </row>
    <row r="60" s="1" customFormat="1" spans="6:9">
      <c r="F60" s="31" t="s">
        <v>62</v>
      </c>
      <c r="G60" s="29">
        <v>0.012</v>
      </c>
      <c r="H60" s="30">
        <v>0.036</v>
      </c>
    </row>
    <row r="61" s="1" customFormat="1" spans="6:9">
      <c r="F61" s="8" t="s">
        <v>358</v>
      </c>
      <c r="G61" s="29">
        <v>0.005</v>
      </c>
      <c r="H61" s="30">
        <v>0.015</v>
      </c>
    </row>
    <row r="62" s="1" customFormat="1" spans="6:9">
      <c r="F62" s="8" t="s">
        <v>97</v>
      </c>
      <c r="G62" s="29">
        <v>0.0025</v>
      </c>
      <c r="H62" s="30">
        <v>0.0075</v>
      </c>
    </row>
    <row r="63" s="1" customFormat="1" spans="6:9">
      <c r="F63" s="31" t="s">
        <v>53</v>
      </c>
      <c r="G63" s="29">
        <v>0.0042</v>
      </c>
      <c r="H63" s="30">
        <v>0.0126</v>
      </c>
    </row>
    <row r="64" s="1" customFormat="1" spans="6:9">
      <c r="F64" s="31" t="s">
        <v>55</v>
      </c>
      <c r="G64" s="29">
        <v>0.0042</v>
      </c>
      <c r="H64" s="30">
        <v>0.0126</v>
      </c>
    </row>
    <row r="65" s="1" customFormat="1" spans="6:8">
      <c r="F65" s="1" t="s">
        <v>118</v>
      </c>
      <c r="G65" s="4">
        <v>9</v>
      </c>
      <c r="H65" s="30">
        <v>27</v>
      </c>
    </row>
    <row r="66" s="1" customFormat="1" spans="6:8">
      <c r="F66" s="1" t="s">
        <v>121</v>
      </c>
      <c r="G66" s="4">
        <v>11</v>
      </c>
      <c r="H66" s="30">
        <v>33</v>
      </c>
    </row>
    <row r="67" s="1" customFormat="1" spans="6:8">
      <c r="F67" s="1" t="s">
        <v>123</v>
      </c>
      <c r="G67" s="4">
        <v>9</v>
      </c>
      <c r="H67" s="30">
        <v>27</v>
      </c>
    </row>
    <row r="68" s="1" customFormat="1" spans="6:8">
      <c r="F68" s="1" t="s">
        <v>125</v>
      </c>
      <c r="G68" s="4">
        <v>13</v>
      </c>
      <c r="H68" s="30">
        <v>39</v>
      </c>
    </row>
    <row r="69" s="1" customFormat="1" spans="6:8">
      <c r="F69" s="1" t="s">
        <v>342</v>
      </c>
      <c r="G69" s="29">
        <v>0.01</v>
      </c>
      <c r="H69" s="30">
        <v>0.03</v>
      </c>
    </row>
    <row r="70" s="1" customFormat="1" spans="6:8">
      <c r="F70" s="1" t="s">
        <v>342</v>
      </c>
      <c r="G70" s="29">
        <v>0.01</v>
      </c>
      <c r="H70" s="30">
        <v>0.03</v>
      </c>
    </row>
    <row r="71" spans="6:8">
      <c r="F71" s="1" t="s">
        <v>365</v>
      </c>
      <c r="G71" s="1">
        <v>0.00333333333333333</v>
      </c>
    </row>
    <row r="72" spans="6:8">
      <c r="F72" s="1" t="s">
        <v>127</v>
      </c>
      <c r="G72" s="1">
        <v>10</v>
      </c>
    </row>
  </sheetData>
  <mergeCells count="58">
    <mergeCell ref="C8:I8"/>
    <mergeCell ref="J8:N8"/>
    <mergeCell ref="O8:U8"/>
    <mergeCell ref="C10:I10"/>
    <mergeCell ref="O10:U10"/>
    <mergeCell ref="C11:I11"/>
    <mergeCell ref="O11:U11"/>
    <mergeCell ref="C12:I12"/>
    <mergeCell ref="O12:U12"/>
    <mergeCell ref="C13:I13"/>
    <mergeCell ref="O13:U13"/>
    <mergeCell ref="C14:I14"/>
    <mergeCell ref="O14:U14"/>
    <mergeCell ref="C15:I15"/>
    <mergeCell ref="O15:U15"/>
    <mergeCell ref="C16:I16"/>
    <mergeCell ref="O16:U16"/>
    <mergeCell ref="C17:I17"/>
    <mergeCell ref="O17:U17"/>
    <mergeCell ref="M34:O34"/>
    <mergeCell ref="P34:R34"/>
    <mergeCell ref="S34:U34"/>
    <mergeCell ref="V34:X34"/>
    <mergeCell ref="M35:O35"/>
    <mergeCell ref="V35:X35"/>
    <mergeCell ref="M36:O36"/>
    <mergeCell ref="P36:R36"/>
    <mergeCell ref="V36:X36"/>
    <mergeCell ref="M37:O37"/>
    <mergeCell ref="P37:R37"/>
    <mergeCell ref="V37:X37"/>
    <mergeCell ref="M38:O38"/>
    <mergeCell ref="P38:R38"/>
    <mergeCell ref="V38:X38"/>
    <mergeCell ref="M39:O39"/>
    <mergeCell ref="P39:R39"/>
    <mergeCell ref="V39:X39"/>
    <mergeCell ref="M40:O40"/>
    <mergeCell ref="P40:R40"/>
    <mergeCell ref="S40:U40"/>
    <mergeCell ref="V40:X40"/>
    <mergeCell ref="M41:O41"/>
    <mergeCell ref="P41:R41"/>
    <mergeCell ref="V41:X41"/>
    <mergeCell ref="M42:O42"/>
    <mergeCell ref="P42:R42"/>
    <mergeCell ref="V42:X42"/>
    <mergeCell ref="M43:O43"/>
    <mergeCell ref="P43:R43"/>
    <mergeCell ref="S43:U43"/>
    <mergeCell ref="V43:X43"/>
    <mergeCell ref="J44:L44"/>
    <mergeCell ref="M44:O44"/>
    <mergeCell ref="P44:R44"/>
    <mergeCell ref="S44:U44"/>
    <mergeCell ref="V44:X44"/>
    <mergeCell ref="A10:A13"/>
    <mergeCell ref="A36:A39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U105"/>
  <sheetViews>
    <sheetView workbookViewId="0">
      <selection activeCell="F7" sqref="F7"/>
    </sheetView>
  </sheetViews>
  <sheetFormatPr defaultColWidth="9" defaultRowHeight="16.5"/>
  <cols>
    <col min="1" max="3" width="9" style="1" customWidth="1"/>
    <col min="4" max="4" width="11.625" style="1" customWidth="1"/>
    <col min="5" max="6" width="12.875" style="1" customWidth="1"/>
    <col min="7" max="7" width="15.5" style="1" customWidth="1"/>
    <col min="8" max="8" width="12.875" style="1" customWidth="1"/>
    <col min="9" max="9" width="12.875" style="1" hidden="1" customWidth="1"/>
    <col min="10" max="10" width="16" style="1" hidden="1" customWidth="1"/>
    <col min="11" max="11" width="12.875" style="1" customWidth="1"/>
    <col min="12" max="14" width="14.125" style="4" customWidth="1"/>
    <col min="15" max="15" width="17.5" style="4" customWidth="1"/>
    <col min="16" max="16" width="13.375" style="1" customWidth="1"/>
    <col min="17" max="17" width="10" style="1" customWidth="1"/>
    <col min="18" max="18" width="9" style="1" customWidth="1"/>
    <col min="19" max="19" width="17.5" style="4" customWidth="1"/>
    <col min="20" max="20" width="11.75" style="4" customWidth="1"/>
    <col min="21" max="21" width="9.75" style="4" customWidth="1"/>
    <col min="22" max="16384" width="9" style="1" customWidth="1"/>
  </cols>
  <sheetData>
    <row r="2" s="1" customFormat="1" spans="2:21">
      <c r="B2" s="1" t="s">
        <v>658</v>
      </c>
      <c r="D2" s="2">
        <v>60</v>
      </c>
      <c r="F2" s="1">
        <f>MAX($F$5:$F$63)/U18</f>
        <v>29.348275862069</v>
      </c>
      <c r="G2" s="1">
        <f>MAX($F$5:$F$63)/U16</f>
        <v>56.74</v>
      </c>
      <c r="L2" s="4"/>
      <c r="M2" s="4"/>
      <c r="N2" s="4"/>
      <c r="O2" s="4"/>
      <c r="S2" s="4"/>
      <c r="T2" s="4"/>
      <c r="U2" s="4"/>
    </row>
    <row r="3" s="1" customFormat="1" spans="2:21">
      <c r="F3" s="1">
        <f>F63/U16</f>
        <v>56.74</v>
      </c>
      <c r="L3" s="4"/>
      <c r="M3" s="4"/>
      <c r="N3" s="4"/>
      <c r="O3" s="4"/>
      <c r="S3" s="13" t="s">
        <v>659</v>
      </c>
      <c r="T3" s="4"/>
      <c r="U3" s="4"/>
    </row>
    <row r="4" s="1" customFormat="1" spans="2:21">
      <c r="B4" s="3" t="s">
        <v>414</v>
      </c>
      <c r="C4" s="3" t="s">
        <v>660</v>
      </c>
      <c r="D4" s="3" t="s">
        <v>661</v>
      </c>
      <c r="E4" s="3" t="s">
        <v>662</v>
      </c>
      <c r="F4" s="3" t="s">
        <v>663</v>
      </c>
      <c r="G4" s="3" t="s">
        <v>664</v>
      </c>
      <c r="H4" s="3" t="s">
        <v>665</v>
      </c>
      <c r="I4" s="3"/>
      <c r="J4" s="3"/>
      <c r="K4" s="3" t="s">
        <v>666</v>
      </c>
      <c r="L4" s="4"/>
      <c r="M4" s="4"/>
      <c r="N4" s="3" t="s">
        <v>667</v>
      </c>
      <c r="O4" s="3" t="s">
        <v>668</v>
      </c>
      <c r="P4" s="3" t="s">
        <v>669</v>
      </c>
      <c r="Q4" s="3" t="s">
        <v>670</v>
      </c>
      <c r="S4" s="3" t="s">
        <v>671</v>
      </c>
      <c r="T4" s="3" t="s">
        <v>672</v>
      </c>
      <c r="U4" s="3" t="s">
        <v>673</v>
      </c>
    </row>
    <row r="5" s="1" customFormat="1" spans="2:21">
      <c r="B5" s="1">
        <f t="array" ref="B5:B64">_xlfn.SEQUENCE(D2,1,1,1)</f>
        <v>1</v>
      </c>
      <c r="C5" s="1">
        <v>10</v>
      </c>
      <c r="D5" s="2">
        <v>80</v>
      </c>
      <c r="E5" s="1">
        <v>0</v>
      </c>
      <c r="F5" s="1">
        <f>SUM($D$5:D5)</f>
        <v>80</v>
      </c>
      <c r="G5" s="1">
        <f>SUM($D$5:D5)-10*SUM($E$5:E5)</f>
        <v>80</v>
      </c>
      <c r="H5" s="1">
        <f t="array" ref="H5">INDEX($N$5:$N$18,MATCH(MIN(IF($P$5:$P$18&gt;B5,$P$5:$P$18)),$P$5:$P$18,0))</f>
        <v>0</v>
      </c>
      <c r="I5" s="1">
        <f t="shared" ref="I5:I43" si="0">VLOOKUP(H5,$N$5:$O$18,2,0)/COUNTIF($H$5:$H$74,H5)</f>
        <v>1</v>
      </c>
      <c r="J5" s="1">
        <f t="shared" ref="J5:J43" si="1">IF(H5&lt;&gt;H4,I5,J4+I4)</f>
        <v>1</v>
      </c>
      <c r="K5" s="1">
        <f t="shared" ref="K5:K43" si="2">ROUND(J5,0)</f>
        <v>1</v>
      </c>
      <c r="L5" s="4"/>
      <c r="M5" s="4"/>
      <c r="N5" s="4">
        <v>0</v>
      </c>
      <c r="O5" s="4">
        <v>5</v>
      </c>
      <c r="P5" s="4">
        <v>6</v>
      </c>
      <c r="Q5" s="4">
        <f t="array" ref="Q5">_xlfn.IFNA(INDEX(_xlfn.ANCHORARRAY($N$43),MATCH(P5,$P$43:$P$98))+1,1)</f>
        <v>1</v>
      </c>
      <c r="S5" s="4" t="s">
        <v>674</v>
      </c>
      <c r="T5" s="5">
        <v>240</v>
      </c>
      <c r="U5" s="4">
        <f>T5*10</f>
        <v>2400</v>
      </c>
    </row>
    <row r="6" s="1" customFormat="1" spans="2:21">
      <c r="B6" s="1">
        <v>2</v>
      </c>
      <c r="C6" s="1">
        <v>10</v>
      </c>
      <c r="D6" s="1">
        <f t="shared" ref="D6:D64" si="3">C6+D5</f>
        <v>90</v>
      </c>
      <c r="E6" s="1">
        <v>5</v>
      </c>
      <c r="F6" s="1">
        <f>SUM($D$5:D6)</f>
        <v>170</v>
      </c>
      <c r="G6" s="1">
        <f>SUM($D$5:D6)-10*SUM($E$5:E6)</f>
        <v>120</v>
      </c>
      <c r="H6" s="1">
        <f t="array" ref="H6">INDEX($N$5:$N$18,MATCH(MIN(IF($P$5:$P$18&gt;B6,$P$5:$P$18)),$P$5:$P$18,0))</f>
        <v>0</v>
      </c>
      <c r="I6" s="1">
        <f t="shared" si="0"/>
        <v>1</v>
      </c>
      <c r="J6" s="1">
        <f t="shared" si="1"/>
        <v>2</v>
      </c>
      <c r="K6" s="1">
        <f t="shared" si="2"/>
        <v>2</v>
      </c>
      <c r="L6" s="4"/>
      <c r="M6" s="4"/>
      <c r="N6" s="4">
        <v>1</v>
      </c>
      <c r="O6" s="4">
        <v>10</v>
      </c>
      <c r="P6" s="4">
        <v>14</v>
      </c>
      <c r="Q6" s="4">
        <f t="array" ref="Q6">_xlfn.IFNA(INDEX(_xlfn.ANCHORARRAY($N$43),MATCH(P6,$P$43:$P$98))+1,1)</f>
        <v>1</v>
      </c>
      <c r="S6" s="4" t="s">
        <v>675</v>
      </c>
      <c r="T6" s="4">
        <v>0</v>
      </c>
      <c r="U6" s="5">
        <v>1500</v>
      </c>
    </row>
    <row r="7" s="1" customFormat="1" spans="2:21">
      <c r="B7" s="1">
        <v>3</v>
      </c>
      <c r="C7" s="1">
        <v>10</v>
      </c>
      <c r="D7" s="1">
        <f t="shared" si="3"/>
        <v>100</v>
      </c>
      <c r="E7" s="1">
        <v>5</v>
      </c>
      <c r="F7" s="1">
        <f>SUM($D$5:D7)</f>
        <v>270</v>
      </c>
      <c r="G7" s="1">
        <f>SUM($D$5:D7)-10*SUM($E$5:E7)</f>
        <v>170</v>
      </c>
      <c r="H7" s="1">
        <f t="array" ref="H7">INDEX($N$5:$N$18,MATCH(MIN(IF($P$5:$P$18&gt;B7,$P$5:$P$18)),$P$5:$P$18,0))</f>
        <v>0</v>
      </c>
      <c r="I7" s="1">
        <f t="shared" si="0"/>
        <v>1</v>
      </c>
      <c r="J7" s="1">
        <f t="shared" si="1"/>
        <v>3</v>
      </c>
      <c r="K7" s="1">
        <f t="shared" si="2"/>
        <v>3</v>
      </c>
      <c r="L7" s="4"/>
      <c r="M7" s="4"/>
      <c r="N7" s="4">
        <v>2</v>
      </c>
      <c r="O7" s="4">
        <v>15</v>
      </c>
      <c r="P7" s="4">
        <v>20</v>
      </c>
      <c r="Q7" s="4">
        <f t="array" ref="Q7">_xlfn.IFNA(INDEX(_xlfn.ANCHORARRAY($N$43),MATCH(P7,$P$43:$P$98))+1,1)</f>
        <v>1</v>
      </c>
      <c r="S7" s="4" t="s">
        <v>676</v>
      </c>
      <c r="T7" s="5">
        <v>60</v>
      </c>
      <c r="U7" s="4">
        <f t="shared" ref="U7:U14" si="4">T7*10</f>
        <v>600</v>
      </c>
    </row>
    <row r="8" s="1" customFormat="1" spans="2:21">
      <c r="B8" s="1">
        <v>4</v>
      </c>
      <c r="C8" s="1">
        <v>10</v>
      </c>
      <c r="D8" s="1">
        <f t="shared" si="3"/>
        <v>110</v>
      </c>
      <c r="E8" s="1">
        <v>5</v>
      </c>
      <c r="F8" s="1">
        <f>SUM($D$5:D8)</f>
        <v>380</v>
      </c>
      <c r="G8" s="1">
        <f>SUM($D$5:D8)-10*SUM($E$5:E8)</f>
        <v>230</v>
      </c>
      <c r="H8" s="1">
        <f t="array" ref="H8">INDEX($N$5:$N$18,MATCH(MIN(IF($P$5:$P$18&gt;B8,$P$5:$P$18)),$P$5:$P$18,0))</f>
        <v>0</v>
      </c>
      <c r="I8" s="1">
        <f t="shared" si="0"/>
        <v>1</v>
      </c>
      <c r="J8" s="1">
        <f t="shared" si="1"/>
        <v>4</v>
      </c>
      <c r="K8" s="1">
        <f t="shared" si="2"/>
        <v>4</v>
      </c>
      <c r="L8" s="4"/>
      <c r="M8" s="4"/>
      <c r="N8" s="4">
        <v>3</v>
      </c>
      <c r="O8" s="4">
        <v>15</v>
      </c>
      <c r="P8" s="4">
        <v>25</v>
      </c>
      <c r="Q8" s="4">
        <f t="array" ref="Q8">_xlfn.IFNA(INDEX(_xlfn.ANCHORARRAY($N$43),MATCH(P8,$P$43:$P$98))+1,1)</f>
        <v>2</v>
      </c>
      <c r="S8" s="4" t="s">
        <v>677</v>
      </c>
      <c r="T8" s="5">
        <v>60</v>
      </c>
      <c r="U8" s="4">
        <f t="shared" si="4"/>
        <v>600</v>
      </c>
    </row>
    <row r="9" s="1" customFormat="1" spans="2:21">
      <c r="B9" s="1">
        <v>5</v>
      </c>
      <c r="C9" s="1">
        <v>10</v>
      </c>
      <c r="D9" s="1">
        <f t="shared" si="3"/>
        <v>120</v>
      </c>
      <c r="E9" s="1">
        <v>5</v>
      </c>
      <c r="F9" s="1">
        <f>SUM($D$5:D9)</f>
        <v>500</v>
      </c>
      <c r="G9" s="1">
        <f>SUM($D$5:D9)-10*SUM($E$5:E9)</f>
        <v>300</v>
      </c>
      <c r="H9" s="1">
        <f t="array" ref="H9">INDEX($N$5:$N$18,MATCH(MIN(IF($P$5:$P$18&gt;B9,$P$5:$P$18)),$P$5:$P$18,0))</f>
        <v>0</v>
      </c>
      <c r="I9" s="1">
        <f t="shared" si="0"/>
        <v>1</v>
      </c>
      <c r="J9" s="1">
        <f t="shared" si="1"/>
        <v>5</v>
      </c>
      <c r="K9" s="1">
        <f t="shared" si="2"/>
        <v>5</v>
      </c>
      <c r="L9" s="4"/>
      <c r="M9" s="4"/>
      <c r="N9" s="4">
        <v>4</v>
      </c>
      <c r="O9" s="4">
        <v>15</v>
      </c>
      <c r="P9" s="4">
        <v>30</v>
      </c>
      <c r="Q9" s="4">
        <f t="array" ref="Q9">_xlfn.IFNA(INDEX(_xlfn.ANCHORARRAY($N$43),MATCH(P9,$P$43:$P$98))+1,1)</f>
        <v>2</v>
      </c>
      <c r="S9" s="4" t="s">
        <v>678</v>
      </c>
      <c r="T9" s="5">
        <v>60</v>
      </c>
      <c r="U9" s="4">
        <f t="shared" si="4"/>
        <v>600</v>
      </c>
    </row>
    <row r="10" s="1" customFormat="1" spans="2:21">
      <c r="B10" s="1">
        <v>6</v>
      </c>
      <c r="C10" s="1">
        <v>10</v>
      </c>
      <c r="D10" s="1">
        <f t="shared" si="3"/>
        <v>130</v>
      </c>
      <c r="E10" s="1">
        <v>5</v>
      </c>
      <c r="F10" s="1">
        <f>SUM($D$5:D10)</f>
        <v>630</v>
      </c>
      <c r="G10" s="1">
        <f>SUM($D$5:D10)-10*SUM($E$5:E10)</f>
        <v>380</v>
      </c>
      <c r="H10" s="1">
        <f t="array" ref="H10">INDEX($N$5:$N$18,MATCH(MIN(IF($P$5:$P$18&gt;B10,$P$5:$P$18)),$P$5:$P$18,0))</f>
        <v>1</v>
      </c>
      <c r="I10" s="1">
        <f t="shared" si="0"/>
        <v>1.25</v>
      </c>
      <c r="J10" s="1">
        <f t="shared" si="1"/>
        <v>1.25</v>
      </c>
      <c r="K10" s="1">
        <f t="shared" si="2"/>
        <v>1</v>
      </c>
      <c r="L10" s="4"/>
      <c r="M10" s="4"/>
      <c r="N10" s="4">
        <v>5</v>
      </c>
      <c r="O10" s="4">
        <v>15</v>
      </c>
      <c r="P10" s="4">
        <v>34</v>
      </c>
      <c r="Q10" s="4">
        <f t="array" ref="Q10">_xlfn.IFNA(INDEX(_xlfn.ANCHORARRAY($N$43),MATCH(P10,$P$43:$P$98))+1,1)</f>
        <v>4</v>
      </c>
      <c r="S10" s="4" t="s">
        <v>679</v>
      </c>
      <c r="T10" s="5">
        <v>60</v>
      </c>
      <c r="U10" s="4">
        <f t="shared" si="4"/>
        <v>600</v>
      </c>
    </row>
    <row r="11" s="1" customFormat="1" spans="2:21">
      <c r="B11" s="1">
        <v>7</v>
      </c>
      <c r="C11" s="1">
        <v>10</v>
      </c>
      <c r="D11" s="1">
        <f t="shared" si="3"/>
        <v>140</v>
      </c>
      <c r="E11" s="1">
        <v>5</v>
      </c>
      <c r="F11" s="1">
        <f>SUM($D$5:D11)</f>
        <v>770</v>
      </c>
      <c r="G11" s="1">
        <f>SUM($D$5:D11)-10*SUM($E$5:E11)</f>
        <v>470</v>
      </c>
      <c r="H11" s="1">
        <f t="array" ref="H11">INDEX($N$5:$N$18,MATCH(MIN(IF($P$5:$P$18&gt;B11,$P$5:$P$18)),$P$5:$P$18,0))</f>
        <v>1</v>
      </c>
      <c r="I11" s="1">
        <f t="shared" si="0"/>
        <v>1.25</v>
      </c>
      <c r="J11" s="1">
        <f t="shared" si="1"/>
        <v>2.5</v>
      </c>
      <c r="K11" s="1">
        <f t="shared" si="2"/>
        <v>3</v>
      </c>
      <c r="L11" s="4"/>
      <c r="M11" s="4"/>
      <c r="N11" s="4">
        <v>6</v>
      </c>
      <c r="O11" s="4">
        <v>15</v>
      </c>
      <c r="P11" s="4">
        <v>37</v>
      </c>
      <c r="Q11" s="4">
        <f t="array" ref="Q11">_xlfn.IFNA(INDEX(_xlfn.ANCHORARRAY($N$43),MATCH(P11,$P$43:$P$98))+1,1)</f>
        <v>5</v>
      </c>
      <c r="S11" s="4" t="s">
        <v>680</v>
      </c>
      <c r="T11" s="5">
        <v>60</v>
      </c>
      <c r="U11" s="4">
        <f t="shared" si="4"/>
        <v>600</v>
      </c>
    </row>
    <row r="12" s="1" customFormat="1" spans="2:21">
      <c r="B12" s="1">
        <v>8</v>
      </c>
      <c r="C12" s="1">
        <v>10</v>
      </c>
      <c r="D12" s="1">
        <f t="shared" si="3"/>
        <v>150</v>
      </c>
      <c r="E12" s="1">
        <v>5</v>
      </c>
      <c r="F12" s="1">
        <f>SUM($D$5:D12)</f>
        <v>920</v>
      </c>
      <c r="G12" s="1">
        <f>SUM($D$5:D12)-10*SUM($E$5:E12)</f>
        <v>570</v>
      </c>
      <c r="H12" s="1">
        <f t="array" ref="H12">INDEX($N$5:$N$18,MATCH(MIN(IF($P$5:$P$18&gt;B12,$P$5:$P$18)),$P$5:$P$18,0))</f>
        <v>1</v>
      </c>
      <c r="I12" s="1">
        <f t="shared" si="0"/>
        <v>1.25</v>
      </c>
      <c r="J12" s="1">
        <f t="shared" si="1"/>
        <v>3.75</v>
      </c>
      <c r="K12" s="1">
        <f t="shared" si="2"/>
        <v>4</v>
      </c>
      <c r="L12" s="4"/>
      <c r="M12" s="4"/>
      <c r="N12" s="4">
        <v>7</v>
      </c>
      <c r="O12" s="4">
        <v>15</v>
      </c>
      <c r="P12" s="4">
        <v>40</v>
      </c>
      <c r="Q12" s="4">
        <f t="array" ref="Q12">_xlfn.IFNA(INDEX(_xlfn.ANCHORARRAY($N$43),MATCH(P12,$P$43:$P$98))+1,1)</f>
        <v>7</v>
      </c>
      <c r="S12" s="4" t="s">
        <v>681</v>
      </c>
      <c r="T12" s="5">
        <v>60</v>
      </c>
      <c r="U12" s="4">
        <f t="shared" si="4"/>
        <v>600</v>
      </c>
    </row>
    <row r="13" s="1" customFormat="1" spans="2:21">
      <c r="B13" s="1">
        <v>9</v>
      </c>
      <c r="C13" s="1">
        <v>10</v>
      </c>
      <c r="D13" s="1">
        <f t="shared" si="3"/>
        <v>160</v>
      </c>
      <c r="E13" s="1">
        <v>5</v>
      </c>
      <c r="F13" s="1">
        <f>SUM($D$5:D13)</f>
        <v>1080</v>
      </c>
      <c r="G13" s="1">
        <f>SUM($D$5:D13)-10*SUM($E$5:E13)</f>
        <v>680</v>
      </c>
      <c r="H13" s="1">
        <f t="array" ref="H13">INDEX($N$5:$N$18,MATCH(MIN(IF($P$5:$P$18&gt;B13,$P$5:$P$18)),$P$5:$P$18,0))</f>
        <v>1</v>
      </c>
      <c r="I13" s="1">
        <f t="shared" si="0"/>
        <v>1.25</v>
      </c>
      <c r="J13" s="1">
        <f t="shared" si="1"/>
        <v>5</v>
      </c>
      <c r="K13" s="1">
        <f t="shared" si="2"/>
        <v>5</v>
      </c>
      <c r="L13" s="4"/>
      <c r="M13" s="4"/>
      <c r="N13" s="4"/>
      <c r="O13" s="4"/>
      <c r="P13" s="4"/>
      <c r="Q13" s="1"/>
      <c r="S13" s="4" t="s">
        <v>682</v>
      </c>
      <c r="T13" s="5">
        <v>60</v>
      </c>
      <c r="U13" s="4">
        <f t="shared" si="4"/>
        <v>600</v>
      </c>
    </row>
    <row r="14" s="1" customFormat="1" spans="2:21">
      <c r="B14" s="1">
        <v>10</v>
      </c>
      <c r="C14" s="1">
        <v>10</v>
      </c>
      <c r="D14" s="1">
        <f t="shared" si="3"/>
        <v>170</v>
      </c>
      <c r="E14" s="1">
        <v>5</v>
      </c>
      <c r="F14" s="1">
        <f>SUM($D$5:D14)</f>
        <v>1250</v>
      </c>
      <c r="G14" s="1">
        <f>SUM($D$5:D14)-10*SUM($E$5:E14)</f>
        <v>800</v>
      </c>
      <c r="H14" s="1">
        <f t="array" ref="H14">INDEX($N$5:$N$18,MATCH(MIN(IF($P$5:$P$18&gt;B14,$P$5:$P$18)),$P$5:$P$18,0))</f>
        <v>1</v>
      </c>
      <c r="I14" s="1">
        <f t="shared" si="0"/>
        <v>1.25</v>
      </c>
      <c r="J14" s="1">
        <f t="shared" si="1"/>
        <v>6.25</v>
      </c>
      <c r="K14" s="1">
        <f t="shared" si="2"/>
        <v>6</v>
      </c>
      <c r="L14" s="4"/>
      <c r="M14" s="4"/>
      <c r="N14" s="4"/>
      <c r="O14" s="4"/>
      <c r="P14" s="4"/>
      <c r="Q14" s="1"/>
      <c r="S14" s="4" t="s">
        <v>683</v>
      </c>
      <c r="T14" s="5">
        <v>60</v>
      </c>
      <c r="U14" s="4">
        <f t="shared" si="4"/>
        <v>600</v>
      </c>
    </row>
    <row r="15" s="1" customFormat="1" spans="2:21">
      <c r="B15" s="1">
        <v>11</v>
      </c>
      <c r="C15" s="1">
        <v>20</v>
      </c>
      <c r="D15" s="1">
        <f t="shared" si="3"/>
        <v>190</v>
      </c>
      <c r="E15" s="1">
        <v>10</v>
      </c>
      <c r="F15" s="1">
        <f>SUM($D$5:D15)</f>
        <v>1440</v>
      </c>
      <c r="G15" s="1">
        <f>SUM($D$5:D15)-10*SUM($E$5:E15)</f>
        <v>890</v>
      </c>
      <c r="H15" s="1">
        <f t="array" ref="H15">INDEX($N$5:$N$18,MATCH(MIN(IF($P$5:$P$18&gt;B15,$P$5:$P$18)),$P$5:$P$18,0))</f>
        <v>1</v>
      </c>
      <c r="I15" s="1">
        <f t="shared" si="0"/>
        <v>1.25</v>
      </c>
      <c r="J15" s="1">
        <f t="shared" si="1"/>
        <v>7.5</v>
      </c>
      <c r="K15" s="1">
        <f t="shared" si="2"/>
        <v>8</v>
      </c>
      <c r="L15" s="4"/>
      <c r="M15" s="4"/>
      <c r="N15" s="4"/>
      <c r="O15" s="4"/>
      <c r="P15" s="4"/>
      <c r="Q15" s="1"/>
      <c r="S15" s="4"/>
      <c r="T15" s="4"/>
      <c r="U15" s="4"/>
    </row>
    <row r="16" s="1" customFormat="1" spans="2:21">
      <c r="B16" s="1">
        <v>12</v>
      </c>
      <c r="C16" s="1">
        <v>20</v>
      </c>
      <c r="D16" s="1">
        <f t="shared" si="3"/>
        <v>210</v>
      </c>
      <c r="E16" s="1">
        <v>10</v>
      </c>
      <c r="F16" s="1">
        <f>SUM($D$5:D16)</f>
        <v>1650</v>
      </c>
      <c r="G16" s="1">
        <f>SUM($D$5:D16)-10*SUM($E$5:E16)</f>
        <v>1000</v>
      </c>
      <c r="H16" s="1">
        <f t="array" ref="H16">INDEX($N$5:$N$18,MATCH(MIN(IF($P$5:$P$18&gt;B16,$P$5:$P$18)),$P$5:$P$18,0))</f>
        <v>1</v>
      </c>
      <c r="I16" s="1">
        <f t="shared" si="0"/>
        <v>1.25</v>
      </c>
      <c r="J16" s="1">
        <f t="shared" si="1"/>
        <v>8.75</v>
      </c>
      <c r="K16" s="1">
        <f t="shared" si="2"/>
        <v>9</v>
      </c>
      <c r="L16" s="4"/>
      <c r="M16" s="4"/>
      <c r="N16" s="4"/>
      <c r="O16" s="4"/>
      <c r="P16" s="4"/>
      <c r="Q16" s="1"/>
      <c r="S16" s="4"/>
      <c r="T16" s="4" t="s">
        <v>684</v>
      </c>
      <c r="U16" s="4">
        <f>SUM(U5:U7)</f>
        <v>4500</v>
      </c>
    </row>
    <row r="17" s="1" customFormat="1" spans="2:21">
      <c r="B17" s="1">
        <v>13</v>
      </c>
      <c r="C17" s="1">
        <v>20</v>
      </c>
      <c r="D17" s="1">
        <f t="shared" si="3"/>
        <v>230</v>
      </c>
      <c r="E17" s="1">
        <v>10</v>
      </c>
      <c r="F17" s="1">
        <f>SUM($D$5:D17)</f>
        <v>1880</v>
      </c>
      <c r="G17" s="1">
        <f>SUM($D$5:D17)-10*SUM($E$5:E17)</f>
        <v>1130</v>
      </c>
      <c r="H17" s="1">
        <f t="array" ref="H17">INDEX($N$5:$N$18,MATCH(MIN(IF($P$5:$P$18&gt;B17,$P$5:$P$18)),$P$5:$P$18,0))</f>
        <v>1</v>
      </c>
      <c r="I17" s="1">
        <f t="shared" si="0"/>
        <v>1.25</v>
      </c>
      <c r="J17" s="1">
        <f t="shared" si="1"/>
        <v>10</v>
      </c>
      <c r="K17" s="1">
        <f t="shared" si="2"/>
        <v>10</v>
      </c>
      <c r="L17" s="4"/>
      <c r="M17" s="4"/>
      <c r="N17" s="4"/>
      <c r="O17" s="4"/>
      <c r="P17" s="4"/>
      <c r="Q17" s="1"/>
      <c r="S17" s="4"/>
      <c r="T17" s="4" t="s">
        <v>685</v>
      </c>
      <c r="U17" s="4">
        <f>SUM(U5:U9)</f>
        <v>5700</v>
      </c>
    </row>
    <row r="18" s="1" customFormat="1" spans="2:21">
      <c r="B18" s="1">
        <v>14</v>
      </c>
      <c r="C18" s="1">
        <v>20</v>
      </c>
      <c r="D18" s="1">
        <f t="shared" si="3"/>
        <v>250</v>
      </c>
      <c r="E18" s="1">
        <v>10</v>
      </c>
      <c r="F18" s="1">
        <f>SUM($D$5:D18)</f>
        <v>2130</v>
      </c>
      <c r="G18" s="1">
        <f>SUM($D$5:D18)-10*SUM($E$5:E18)</f>
        <v>1280</v>
      </c>
      <c r="H18" s="1">
        <f t="array" ref="H18">INDEX($N$5:$N$18,MATCH(MIN(IF($P$5:$P$18&gt;B18,$P$5:$P$18)),$P$5:$P$18,0))</f>
        <v>2</v>
      </c>
      <c r="I18" s="1">
        <f t="shared" si="0"/>
        <v>2.5</v>
      </c>
      <c r="J18" s="1">
        <f t="shared" si="1"/>
        <v>2.5</v>
      </c>
      <c r="K18" s="1">
        <f t="shared" si="2"/>
        <v>3</v>
      </c>
      <c r="L18" s="4"/>
      <c r="M18" s="4"/>
      <c r="N18" s="4"/>
      <c r="O18" s="4"/>
      <c r="P18" s="4"/>
      <c r="Q18" s="1"/>
      <c r="S18" s="4"/>
      <c r="T18" s="4" t="s">
        <v>686</v>
      </c>
      <c r="U18" s="4">
        <f>SUM(U5:U14)</f>
        <v>8700</v>
      </c>
    </row>
    <row r="19" s="1" customFormat="1" spans="2:21">
      <c r="B19" s="1">
        <v>15</v>
      </c>
      <c r="C19" s="1">
        <v>20</v>
      </c>
      <c r="D19" s="1">
        <f t="shared" si="3"/>
        <v>270</v>
      </c>
      <c r="E19" s="1">
        <v>10</v>
      </c>
      <c r="F19" s="1">
        <f>SUM($D$5:D19)</f>
        <v>2400</v>
      </c>
      <c r="G19" s="1">
        <f>SUM($D$5:D19)-10*SUM($E$5:E19)</f>
        <v>1450</v>
      </c>
      <c r="H19" s="1">
        <f t="array" ref="H19">INDEX($N$5:$N$18,MATCH(MIN(IF($P$5:$P$18&gt;B19,$P$5:$P$18)),$P$5:$P$18,0))</f>
        <v>2</v>
      </c>
      <c r="I19" s="1">
        <f t="shared" si="0"/>
        <v>2.5</v>
      </c>
      <c r="J19" s="1">
        <f t="shared" si="1"/>
        <v>5</v>
      </c>
      <c r="K19" s="1">
        <f t="shared" si="2"/>
        <v>5</v>
      </c>
      <c r="L19" s="4"/>
      <c r="M19" s="4"/>
      <c r="N19" s="4"/>
      <c r="O19" s="4"/>
      <c r="S19" s="4"/>
      <c r="T19" s="4"/>
      <c r="U19" s="4"/>
    </row>
    <row r="20" s="1" customFormat="1" spans="2:21">
      <c r="B20" s="1">
        <v>16</v>
      </c>
      <c r="C20" s="1">
        <v>30</v>
      </c>
      <c r="D20" s="1">
        <f t="shared" si="3"/>
        <v>300</v>
      </c>
      <c r="E20" s="1">
        <v>10</v>
      </c>
      <c r="F20" s="1">
        <f>SUM($D$5:D20)</f>
        <v>2700</v>
      </c>
      <c r="G20" s="1">
        <f>SUM($D$5:D20)-10*SUM($E$5:E20)</f>
        <v>1650</v>
      </c>
      <c r="H20" s="1">
        <f t="array" ref="H20">INDEX($N$5:$N$18,MATCH(MIN(IF($P$5:$P$18&gt;B20,$P$5:$P$18)),$P$5:$P$18,0))</f>
        <v>2</v>
      </c>
      <c r="I20" s="1">
        <f t="shared" si="0"/>
        <v>2.5</v>
      </c>
      <c r="J20" s="1">
        <f t="shared" si="1"/>
        <v>7.5</v>
      </c>
      <c r="K20" s="1">
        <f t="shared" si="2"/>
        <v>8</v>
      </c>
      <c r="L20" s="4"/>
      <c r="M20" s="4"/>
      <c r="N20" s="3" t="s">
        <v>687</v>
      </c>
      <c r="O20" s="3" t="s">
        <v>414</v>
      </c>
      <c r="P20" s="3" t="s">
        <v>688</v>
      </c>
      <c r="Q20" s="3" t="s">
        <v>689</v>
      </c>
      <c r="S20" s="4"/>
      <c r="T20" s="4"/>
      <c r="U20" s="4"/>
    </row>
    <row r="21" s="1" customFormat="1" spans="2:21">
      <c r="B21" s="1">
        <v>17</v>
      </c>
      <c r="C21" s="1">
        <v>30</v>
      </c>
      <c r="D21" s="1">
        <f t="shared" si="3"/>
        <v>330</v>
      </c>
      <c r="E21" s="1">
        <v>10</v>
      </c>
      <c r="F21" s="1">
        <f>SUM($D$5:D21)</f>
        <v>3030</v>
      </c>
      <c r="G21" s="1">
        <f>SUM($D$5:D21)-10*SUM($E$5:E21)</f>
        <v>1880</v>
      </c>
      <c r="H21" s="1">
        <f t="array" ref="H21">INDEX($N$5:$N$18,MATCH(MIN(IF($P$5:$P$18&gt;B21,$P$5:$P$18)),$P$5:$P$18,0))</f>
        <v>2</v>
      </c>
      <c r="I21" s="1">
        <f t="shared" si="0"/>
        <v>2.5</v>
      </c>
      <c r="J21" s="1">
        <f t="shared" si="1"/>
        <v>10</v>
      </c>
      <c r="K21" s="1">
        <f t="shared" si="2"/>
        <v>10</v>
      </c>
      <c r="L21" s="4"/>
      <c r="M21" s="4"/>
      <c r="N21" s="14">
        <v>1</v>
      </c>
      <c r="O21" s="14">
        <v>25</v>
      </c>
      <c r="P21" s="15">
        <f t="shared" ref="P21:P39" si="5">VLOOKUP(O21-1,$B:$G,6,0)</f>
        <v>4330</v>
      </c>
      <c r="Q21" s="15">
        <f>P21</f>
        <v>4330</v>
      </c>
      <c r="R21" s="15"/>
      <c r="S21" s="14">
        <f>AVERAGE($Q$21:Q21)</f>
        <v>4330</v>
      </c>
      <c r="T21" s="4"/>
      <c r="U21" s="4"/>
    </row>
    <row r="22" s="1" customFormat="1" spans="2:21">
      <c r="B22" s="1">
        <v>18</v>
      </c>
      <c r="C22" s="1">
        <v>30</v>
      </c>
      <c r="D22" s="1">
        <f t="shared" si="3"/>
        <v>360</v>
      </c>
      <c r="E22" s="1">
        <v>10</v>
      </c>
      <c r="F22" s="1">
        <f>SUM($D$5:D22)</f>
        <v>3390</v>
      </c>
      <c r="G22" s="1">
        <f>SUM($D$5:D22)-10*SUM($E$5:E22)</f>
        <v>2140</v>
      </c>
      <c r="H22" s="1">
        <f t="array" ref="H22">INDEX($N$5:$N$18,MATCH(MIN(IF($P$5:$P$18&gt;B22,$P$5:$P$18)),$P$5:$P$18,0))</f>
        <v>2</v>
      </c>
      <c r="I22" s="1">
        <f t="shared" si="0"/>
        <v>2.5</v>
      </c>
      <c r="J22" s="1">
        <f t="shared" si="1"/>
        <v>12.5</v>
      </c>
      <c r="K22" s="1">
        <f t="shared" si="2"/>
        <v>13</v>
      </c>
      <c r="L22" s="4"/>
      <c r="M22" s="4"/>
      <c r="N22" s="14">
        <v>2</v>
      </c>
      <c r="O22" s="14">
        <v>31</v>
      </c>
      <c r="P22" s="15">
        <f t="shared" si="5"/>
        <v>8950</v>
      </c>
      <c r="Q22" s="15">
        <f t="shared" ref="Q22:Q39" si="6">P22-P21</f>
        <v>4620</v>
      </c>
      <c r="R22" s="15"/>
      <c r="S22" s="14">
        <f>AVERAGE($Q$21:Q22)</f>
        <v>4475</v>
      </c>
      <c r="T22" s="4"/>
      <c r="U22" s="4"/>
    </row>
    <row r="23" s="1" customFormat="1" spans="2:21">
      <c r="B23" s="1">
        <v>19</v>
      </c>
      <c r="C23" s="1">
        <v>30</v>
      </c>
      <c r="D23" s="1">
        <f t="shared" si="3"/>
        <v>390</v>
      </c>
      <c r="E23" s="1">
        <v>10</v>
      </c>
      <c r="F23" s="1">
        <f>SUM($D$5:D23)</f>
        <v>3780</v>
      </c>
      <c r="G23" s="1">
        <f>SUM($D$5:D23)-10*SUM($E$5:E23)</f>
        <v>2430</v>
      </c>
      <c r="H23" s="1">
        <f t="array" ref="H23">INDEX($N$5:$N$18,MATCH(MIN(IF($P$5:$P$18&gt;B23,$P$5:$P$18)),$P$5:$P$18,0))</f>
        <v>2</v>
      </c>
      <c r="I23" s="1">
        <f t="shared" si="0"/>
        <v>2.5</v>
      </c>
      <c r="J23" s="1">
        <f t="shared" si="1"/>
        <v>15</v>
      </c>
      <c r="K23" s="1">
        <f t="shared" si="2"/>
        <v>15</v>
      </c>
      <c r="L23" s="4"/>
      <c r="M23" s="4"/>
      <c r="N23" s="14">
        <v>3</v>
      </c>
      <c r="O23" s="14">
        <v>34</v>
      </c>
      <c r="P23" s="15">
        <f t="shared" si="5"/>
        <v>13060</v>
      </c>
      <c r="Q23" s="15">
        <f t="shared" si="6"/>
        <v>4110</v>
      </c>
      <c r="R23" s="15"/>
      <c r="S23" s="14">
        <f>AVERAGE($Q$21:Q23)</f>
        <v>4353.33333333333</v>
      </c>
      <c r="T23" s="4"/>
      <c r="U23" s="4"/>
    </row>
    <row r="24" s="1" customFormat="1" spans="2:21">
      <c r="B24" s="1">
        <v>20</v>
      </c>
      <c r="C24" s="1">
        <v>30</v>
      </c>
      <c r="D24" s="1">
        <f t="shared" si="3"/>
        <v>420</v>
      </c>
      <c r="E24" s="1">
        <v>10</v>
      </c>
      <c r="F24" s="1">
        <f>SUM($D$5:D24)</f>
        <v>4200</v>
      </c>
      <c r="G24" s="1">
        <f>SUM($D$5:D24)-10*SUM($E$5:E24)</f>
        <v>2750</v>
      </c>
      <c r="H24" s="1">
        <f t="array" ref="H24">INDEX($N$5:$N$18,MATCH(MIN(IF($P$5:$P$18&gt;B24,$P$5:$P$18)),$P$5:$P$18,0))</f>
        <v>3</v>
      </c>
      <c r="I24" s="1">
        <f t="shared" si="0"/>
        <v>3</v>
      </c>
      <c r="J24" s="1">
        <f t="shared" si="1"/>
        <v>3</v>
      </c>
      <c r="K24" s="1">
        <f t="shared" si="2"/>
        <v>3</v>
      </c>
      <c r="L24" s="4"/>
      <c r="M24" s="4"/>
      <c r="N24" s="14">
        <v>4</v>
      </c>
      <c r="O24" s="14">
        <v>36</v>
      </c>
      <c r="P24" s="15">
        <f t="shared" si="5"/>
        <v>16800</v>
      </c>
      <c r="Q24" s="15">
        <f t="shared" si="6"/>
        <v>3740</v>
      </c>
      <c r="R24" s="15"/>
      <c r="S24" s="14">
        <f>AVERAGE($Q$21:Q24)</f>
        <v>4200</v>
      </c>
      <c r="T24" s="4"/>
      <c r="U24" s="4"/>
    </row>
    <row r="25" s="1" customFormat="1" spans="2:21">
      <c r="B25" s="1">
        <v>21</v>
      </c>
      <c r="C25" s="1">
        <v>50</v>
      </c>
      <c r="D25" s="1">
        <f t="shared" si="3"/>
        <v>470</v>
      </c>
      <c r="E25" s="1">
        <v>15</v>
      </c>
      <c r="F25" s="1">
        <f>SUM($D$5:D25)</f>
        <v>4670</v>
      </c>
      <c r="G25" s="1">
        <f>SUM($D$5:D25)-10*SUM($E$5:E25)</f>
        <v>3070</v>
      </c>
      <c r="H25" s="1">
        <f t="array" ref="H25">INDEX($N$5:$N$18,MATCH(MIN(IF($P$5:$P$18&gt;B25,$P$5:$P$18)),$P$5:$P$18,0))</f>
        <v>3</v>
      </c>
      <c r="I25" s="1">
        <f t="shared" si="0"/>
        <v>3</v>
      </c>
      <c r="J25" s="1">
        <f t="shared" si="1"/>
        <v>6</v>
      </c>
      <c r="K25" s="1">
        <f t="shared" si="2"/>
        <v>6</v>
      </c>
      <c r="L25" s="4"/>
      <c r="M25" s="4"/>
      <c r="N25" s="14">
        <v>5</v>
      </c>
      <c r="O25" s="14">
        <v>38</v>
      </c>
      <c r="P25" s="15">
        <f t="shared" si="5"/>
        <v>21640</v>
      </c>
      <c r="Q25" s="15">
        <f t="shared" si="6"/>
        <v>4840</v>
      </c>
      <c r="R25" s="15"/>
      <c r="S25" s="14">
        <f>AVERAGE($Q$21:Q25)</f>
        <v>4328</v>
      </c>
      <c r="T25" s="4"/>
      <c r="U25" s="4"/>
    </row>
    <row r="26" s="1" customFormat="1" spans="2:21">
      <c r="B26" s="1">
        <v>22</v>
      </c>
      <c r="C26" s="1">
        <v>50</v>
      </c>
      <c r="D26" s="1">
        <f t="shared" si="3"/>
        <v>520</v>
      </c>
      <c r="E26" s="1">
        <v>15</v>
      </c>
      <c r="F26" s="1">
        <f>SUM($D$5:D26)</f>
        <v>5190</v>
      </c>
      <c r="G26" s="1">
        <f>SUM($D$5:D26)-10*SUM($E$5:E26)</f>
        <v>3440</v>
      </c>
      <c r="H26" s="1">
        <f t="array" ref="H26">INDEX($N$5:$N$18,MATCH(MIN(IF($P$5:$P$18&gt;B26,$P$5:$P$18)),$P$5:$P$18,0))</f>
        <v>3</v>
      </c>
      <c r="I26" s="1">
        <f t="shared" si="0"/>
        <v>3</v>
      </c>
      <c r="J26" s="1">
        <f t="shared" si="1"/>
        <v>9</v>
      </c>
      <c r="K26" s="1">
        <f t="shared" si="2"/>
        <v>9</v>
      </c>
      <c r="L26" s="4"/>
      <c r="M26" s="4"/>
      <c r="N26" s="14">
        <v>6</v>
      </c>
      <c r="O26" s="14">
        <v>38</v>
      </c>
      <c r="P26" s="15">
        <f t="shared" si="5"/>
        <v>21640</v>
      </c>
      <c r="Q26" s="15">
        <f t="shared" si="6"/>
        <v>0</v>
      </c>
      <c r="R26" s="15"/>
      <c r="S26" s="14">
        <f>AVERAGE($Q$21:Q26)</f>
        <v>3606.66666666667</v>
      </c>
      <c r="T26" s="4"/>
      <c r="U26" s="4"/>
    </row>
    <row r="27" s="1" customFormat="1" spans="2:21">
      <c r="B27" s="1">
        <v>23</v>
      </c>
      <c r="C27" s="1">
        <v>50</v>
      </c>
      <c r="D27" s="1">
        <f t="shared" si="3"/>
        <v>570</v>
      </c>
      <c r="E27" s="1">
        <v>15</v>
      </c>
      <c r="F27" s="1">
        <f>SUM($D$5:D27)</f>
        <v>5760</v>
      </c>
      <c r="G27" s="1">
        <f>SUM($D$5:D27)-10*SUM($E$5:E27)</f>
        <v>3860</v>
      </c>
      <c r="H27" s="1">
        <f t="array" ref="H27">INDEX($N$5:$N$18,MATCH(MIN(IF($P$5:$P$18&gt;B27,$P$5:$P$18)),$P$5:$P$18,0))</f>
        <v>3</v>
      </c>
      <c r="I27" s="1">
        <f t="shared" si="0"/>
        <v>3</v>
      </c>
      <c r="J27" s="1">
        <f t="shared" si="1"/>
        <v>12</v>
      </c>
      <c r="K27" s="1">
        <f t="shared" si="2"/>
        <v>12</v>
      </c>
      <c r="L27" s="4"/>
      <c r="M27" s="4"/>
      <c r="N27" s="14">
        <v>7</v>
      </c>
      <c r="O27" s="14">
        <v>40</v>
      </c>
      <c r="P27" s="15">
        <f t="shared" si="5"/>
        <v>27680</v>
      </c>
      <c r="Q27" s="15">
        <f t="shared" si="6"/>
        <v>6040</v>
      </c>
      <c r="R27" s="15"/>
      <c r="S27" s="14">
        <f>AVERAGE($Q$21:Q27)</f>
        <v>3954.28571428571</v>
      </c>
      <c r="T27" s="4"/>
      <c r="U27" s="4"/>
    </row>
    <row r="28" s="1" customFormat="1" spans="2:21">
      <c r="B28" s="1">
        <v>24</v>
      </c>
      <c r="C28" s="1">
        <v>50</v>
      </c>
      <c r="D28" s="1">
        <f t="shared" si="3"/>
        <v>620</v>
      </c>
      <c r="E28" s="1">
        <v>15</v>
      </c>
      <c r="F28" s="1">
        <f>SUM($D$5:D28)</f>
        <v>6380</v>
      </c>
      <c r="G28" s="1">
        <f>SUM($D$5:D28)-10*SUM($E$5:E28)</f>
        <v>4330</v>
      </c>
      <c r="H28" s="1">
        <f t="array" ref="H28">INDEX($N$5:$N$18,MATCH(MIN(IF($P$5:$P$18&gt;B28,$P$5:$P$18)),$P$5:$P$18,0))</f>
        <v>3</v>
      </c>
      <c r="I28" s="1">
        <f t="shared" si="0"/>
        <v>3</v>
      </c>
      <c r="J28" s="1">
        <f t="shared" si="1"/>
        <v>15</v>
      </c>
      <c r="K28" s="1">
        <f t="shared" si="2"/>
        <v>15</v>
      </c>
      <c r="L28" s="4"/>
      <c r="M28" s="4"/>
      <c r="N28" s="14">
        <v>8</v>
      </c>
      <c r="O28" s="14">
        <v>41</v>
      </c>
      <c r="P28" s="15">
        <f t="shared" si="5"/>
        <v>31150</v>
      </c>
      <c r="Q28" s="15">
        <f t="shared" si="6"/>
        <v>3470</v>
      </c>
      <c r="R28" s="15"/>
      <c r="S28" s="14">
        <f>AVERAGE($Q$21:Q28)</f>
        <v>3893.75</v>
      </c>
      <c r="T28" s="4"/>
      <c r="U28" s="4"/>
    </row>
    <row r="29" s="1" customFormat="1" spans="2:21">
      <c r="B29" s="1">
        <v>25</v>
      </c>
      <c r="C29" s="1">
        <v>50</v>
      </c>
      <c r="D29" s="1">
        <f t="shared" si="3"/>
        <v>670</v>
      </c>
      <c r="E29" s="1">
        <v>15</v>
      </c>
      <c r="F29" s="1">
        <f>SUM($D$5:D29)</f>
        <v>7050</v>
      </c>
      <c r="G29" s="1">
        <f>SUM($D$5:D29)-10*SUM($E$5:E29)</f>
        <v>4850</v>
      </c>
      <c r="H29" s="1">
        <f t="array" ref="H29">INDEX($N$5:$N$18,MATCH(MIN(IF($P$5:$P$18&gt;B29,$P$5:$P$18)),$P$5:$P$18,0))</f>
        <v>4</v>
      </c>
      <c r="I29" s="1">
        <f t="shared" si="0"/>
        <v>3</v>
      </c>
      <c r="J29" s="1">
        <f t="shared" si="1"/>
        <v>3</v>
      </c>
      <c r="K29" s="1">
        <f t="shared" si="2"/>
        <v>3</v>
      </c>
      <c r="L29" s="4"/>
      <c r="M29" s="4"/>
      <c r="N29" s="14">
        <v>9</v>
      </c>
      <c r="O29" s="14">
        <v>42</v>
      </c>
      <c r="P29" s="15">
        <f t="shared" si="5"/>
        <v>34920</v>
      </c>
      <c r="Q29" s="15">
        <f t="shared" si="6"/>
        <v>3770</v>
      </c>
      <c r="R29" s="15"/>
      <c r="S29" s="14">
        <f>AVERAGE($Q$21:Q29)</f>
        <v>3880</v>
      </c>
      <c r="T29" s="4"/>
      <c r="U29" s="4"/>
    </row>
    <row r="30" s="1" customFormat="1" spans="2:21">
      <c r="B30" s="1">
        <v>26</v>
      </c>
      <c r="C30" s="1">
        <v>100</v>
      </c>
      <c r="D30" s="1">
        <f t="shared" si="3"/>
        <v>770</v>
      </c>
      <c r="E30" s="1">
        <v>15</v>
      </c>
      <c r="F30" s="1">
        <f>SUM($D$5:D30)</f>
        <v>7820</v>
      </c>
      <c r="G30" s="1">
        <f>SUM($D$5:D30)-10*SUM($E$5:E30)</f>
        <v>5470</v>
      </c>
      <c r="H30" s="1">
        <f t="array" ref="H30">INDEX($N$5:$N$18,MATCH(MIN(IF($P$5:$P$18&gt;B30,$P$5:$P$18)),$P$5:$P$18,0))</f>
        <v>4</v>
      </c>
      <c r="I30" s="1">
        <f t="shared" si="0"/>
        <v>3</v>
      </c>
      <c r="J30" s="1">
        <f t="shared" si="1"/>
        <v>6</v>
      </c>
      <c r="K30" s="1">
        <f t="shared" si="2"/>
        <v>6</v>
      </c>
      <c r="L30" s="4"/>
      <c r="M30" s="4"/>
      <c r="N30" s="14">
        <v>10</v>
      </c>
      <c r="O30" s="14">
        <v>43</v>
      </c>
      <c r="P30" s="15">
        <f t="shared" si="5"/>
        <v>39140</v>
      </c>
      <c r="Q30" s="15">
        <f t="shared" si="6"/>
        <v>4220</v>
      </c>
      <c r="R30" s="15"/>
      <c r="S30" s="14">
        <f>AVERAGE($Q$21:Q30)</f>
        <v>3914</v>
      </c>
      <c r="T30" s="4"/>
      <c r="U30" s="4"/>
    </row>
    <row r="31" s="1" customFormat="1" spans="2:21">
      <c r="B31" s="1">
        <v>27</v>
      </c>
      <c r="C31" s="1">
        <v>100</v>
      </c>
      <c r="D31" s="1">
        <f t="shared" si="3"/>
        <v>870</v>
      </c>
      <c r="E31" s="1">
        <v>15</v>
      </c>
      <c r="F31" s="1">
        <f>SUM($D$5:D31)</f>
        <v>8690</v>
      </c>
      <c r="G31" s="1">
        <f>SUM($D$5:D31)-10*SUM($E$5:E31)</f>
        <v>6190</v>
      </c>
      <c r="H31" s="1">
        <f t="array" ref="H31">INDEX($N$5:$N$18,MATCH(MIN(IF($P$5:$P$18&gt;B31,$P$5:$P$18)),$P$5:$P$18,0))</f>
        <v>4</v>
      </c>
      <c r="I31" s="1">
        <f t="shared" si="0"/>
        <v>3</v>
      </c>
      <c r="J31" s="1">
        <f t="shared" si="1"/>
        <v>9</v>
      </c>
      <c r="K31" s="1">
        <f t="shared" si="2"/>
        <v>9</v>
      </c>
      <c r="L31" s="4"/>
      <c r="M31" s="4"/>
      <c r="N31" s="14">
        <v>11</v>
      </c>
      <c r="O31" s="14">
        <v>44</v>
      </c>
      <c r="P31" s="15">
        <f t="shared" si="5"/>
        <v>43860</v>
      </c>
      <c r="Q31" s="15">
        <f t="shared" si="6"/>
        <v>4720</v>
      </c>
      <c r="R31" s="15"/>
      <c r="S31" s="14">
        <f>AVERAGE($Q$21:Q31)</f>
        <v>3987.27272727273</v>
      </c>
      <c r="T31" s="4"/>
      <c r="U31" s="4"/>
    </row>
    <row r="32" s="1" customFormat="1" spans="2:21">
      <c r="B32" s="1">
        <v>28</v>
      </c>
      <c r="C32" s="1">
        <v>100</v>
      </c>
      <c r="D32" s="1">
        <f t="shared" si="3"/>
        <v>970</v>
      </c>
      <c r="E32" s="1">
        <v>15</v>
      </c>
      <c r="F32" s="1">
        <f>SUM($D$5:D32)</f>
        <v>9660</v>
      </c>
      <c r="G32" s="1">
        <f>SUM($D$5:D32)-10*SUM($E$5:E32)</f>
        <v>7010</v>
      </c>
      <c r="H32" s="1">
        <f t="array" ref="H32">INDEX($N$5:$N$18,MATCH(MIN(IF($P$5:$P$18&gt;B32,$P$5:$P$18)),$P$5:$P$18,0))</f>
        <v>4</v>
      </c>
      <c r="I32" s="1">
        <f t="shared" si="0"/>
        <v>3</v>
      </c>
      <c r="J32" s="1">
        <f t="shared" si="1"/>
        <v>12</v>
      </c>
      <c r="K32" s="1">
        <f t="shared" si="2"/>
        <v>12</v>
      </c>
      <c r="L32" s="4"/>
      <c r="M32" s="4"/>
      <c r="N32" s="14">
        <v>12</v>
      </c>
      <c r="O32" s="14">
        <v>45</v>
      </c>
      <c r="P32" s="15">
        <f t="shared" si="5"/>
        <v>49130</v>
      </c>
      <c r="Q32" s="15">
        <f t="shared" si="6"/>
        <v>5270</v>
      </c>
      <c r="R32" s="15"/>
      <c r="S32" s="14">
        <f>AVERAGE($Q$21:Q32)</f>
        <v>4094.16666666667</v>
      </c>
      <c r="T32" s="4"/>
      <c r="U32" s="4"/>
    </row>
    <row r="33" s="1" customFormat="1" spans="2:21">
      <c r="B33" s="1">
        <v>29</v>
      </c>
      <c r="C33" s="1">
        <v>100</v>
      </c>
      <c r="D33" s="1">
        <f t="shared" si="3"/>
        <v>1070</v>
      </c>
      <c r="E33" s="1">
        <v>15</v>
      </c>
      <c r="F33" s="1">
        <f>SUM($D$5:D33)</f>
        <v>10730</v>
      </c>
      <c r="G33" s="1">
        <f>SUM($D$5:D33)-10*SUM($E$5:E33)</f>
        <v>7930</v>
      </c>
      <c r="H33" s="1">
        <f t="array" ref="H33">INDEX($N$5:$N$18,MATCH(MIN(IF($P$5:$P$18&gt;B33,$P$5:$P$18)),$P$5:$P$18,0))</f>
        <v>4</v>
      </c>
      <c r="I33" s="1">
        <f t="shared" si="0"/>
        <v>3</v>
      </c>
      <c r="J33" s="1">
        <f t="shared" si="1"/>
        <v>15</v>
      </c>
      <c r="K33" s="1">
        <f t="shared" si="2"/>
        <v>15</v>
      </c>
      <c r="L33" s="4"/>
      <c r="M33" s="4"/>
      <c r="N33" s="14">
        <v>13</v>
      </c>
      <c r="O33" s="14">
        <v>45</v>
      </c>
      <c r="P33" s="15">
        <f t="shared" si="5"/>
        <v>49130</v>
      </c>
      <c r="Q33" s="15">
        <f t="shared" si="6"/>
        <v>0</v>
      </c>
      <c r="R33" s="15"/>
      <c r="S33" s="14">
        <f>AVERAGE($Q$21:Q33)</f>
        <v>3779.23076923077</v>
      </c>
      <c r="T33" s="4"/>
      <c r="U33" s="4"/>
    </row>
    <row r="34" s="1" customFormat="1" spans="2:21">
      <c r="B34" s="1">
        <v>30</v>
      </c>
      <c r="C34" s="1">
        <v>100</v>
      </c>
      <c r="D34" s="1">
        <f t="shared" si="3"/>
        <v>1170</v>
      </c>
      <c r="E34" s="1">
        <v>15</v>
      </c>
      <c r="F34" s="1">
        <f>SUM($D$5:D34)</f>
        <v>11900</v>
      </c>
      <c r="G34" s="1">
        <f>SUM($D$5:D34)-10*SUM($E$5:E34)</f>
        <v>8950</v>
      </c>
      <c r="H34" s="1">
        <f t="array" ref="H34">INDEX($N$5:$N$18,MATCH(MIN(IF($P$5:$P$18&gt;B34,$P$5:$P$18)),$P$5:$P$18,0))</f>
        <v>5</v>
      </c>
      <c r="I34" s="1">
        <f t="shared" si="0"/>
        <v>3.75</v>
      </c>
      <c r="J34" s="1">
        <f t="shared" si="1"/>
        <v>3.75</v>
      </c>
      <c r="K34" s="1">
        <f t="shared" si="2"/>
        <v>4</v>
      </c>
      <c r="L34" s="4"/>
      <c r="M34" s="4"/>
      <c r="N34" s="14">
        <v>14</v>
      </c>
      <c r="O34" s="14">
        <v>46</v>
      </c>
      <c r="P34" s="15">
        <f t="shared" si="5"/>
        <v>55000</v>
      </c>
      <c r="Q34" s="15">
        <f t="shared" si="6"/>
        <v>5870</v>
      </c>
      <c r="R34" s="15"/>
      <c r="S34" s="14">
        <f>AVERAGE($Q$21:Q34)</f>
        <v>3928.57142857143</v>
      </c>
      <c r="T34" s="4"/>
      <c r="U34" s="4"/>
    </row>
    <row r="35" s="1" customFormat="1" spans="2:21">
      <c r="B35" s="1">
        <v>31</v>
      </c>
      <c r="C35" s="1">
        <v>200</v>
      </c>
      <c r="D35" s="1">
        <f t="shared" si="3"/>
        <v>1370</v>
      </c>
      <c r="E35" s="1">
        <v>20</v>
      </c>
      <c r="F35" s="1">
        <f>SUM($D$5:D35)</f>
        <v>13270</v>
      </c>
      <c r="G35" s="1">
        <f>SUM($D$5:D35)-10*SUM($E$5:E35)</f>
        <v>10120</v>
      </c>
      <c r="H35" s="1">
        <f t="array" ref="H35">INDEX($N$5:$N$18,MATCH(MIN(IF($P$5:$P$18&gt;B35,$P$5:$P$18)),$P$5:$P$18,0))</f>
        <v>5</v>
      </c>
      <c r="I35" s="1">
        <f t="shared" si="0"/>
        <v>3.75</v>
      </c>
      <c r="J35" s="1">
        <f t="shared" si="1"/>
        <v>7.5</v>
      </c>
      <c r="K35" s="1">
        <f t="shared" si="2"/>
        <v>8</v>
      </c>
      <c r="L35" s="4"/>
      <c r="M35" s="4"/>
      <c r="N35" s="14">
        <v>15</v>
      </c>
      <c r="O35" s="14">
        <v>46</v>
      </c>
      <c r="P35" s="15">
        <f t="shared" si="5"/>
        <v>55000</v>
      </c>
      <c r="Q35" s="15">
        <f t="shared" si="6"/>
        <v>0</v>
      </c>
      <c r="R35" s="15"/>
      <c r="S35" s="14">
        <f>AVERAGE($Q$21:Q35)</f>
        <v>3666.66666666667</v>
      </c>
      <c r="T35" s="4"/>
      <c r="U35" s="4"/>
    </row>
    <row r="36" s="1" customFormat="1" spans="2:21">
      <c r="B36" s="1">
        <v>32</v>
      </c>
      <c r="C36" s="1">
        <v>200</v>
      </c>
      <c r="D36" s="1">
        <f t="shared" si="3"/>
        <v>1570</v>
      </c>
      <c r="E36" s="1">
        <v>20</v>
      </c>
      <c r="F36" s="1">
        <f>SUM($D$5:D36)</f>
        <v>14840</v>
      </c>
      <c r="G36" s="1">
        <f>SUM($D$5:D36)-10*SUM($E$5:E36)</f>
        <v>11490</v>
      </c>
      <c r="H36" s="1">
        <f t="array" ref="H36">INDEX($N$5:$N$18,MATCH(MIN(IF($P$5:$P$18&gt;B36,$P$5:$P$18)),$P$5:$P$18,0))</f>
        <v>5</v>
      </c>
      <c r="I36" s="1">
        <f t="shared" si="0"/>
        <v>3.75</v>
      </c>
      <c r="J36" s="1">
        <f t="shared" si="1"/>
        <v>11.25</v>
      </c>
      <c r="K36" s="1">
        <f t="shared" si="2"/>
        <v>11</v>
      </c>
      <c r="L36" s="4"/>
      <c r="M36" s="4"/>
      <c r="N36" s="14">
        <v>16</v>
      </c>
      <c r="O36" s="14">
        <v>48</v>
      </c>
      <c r="P36" s="15">
        <f t="shared" si="5"/>
        <v>68740</v>
      </c>
      <c r="Q36" s="15">
        <f t="shared" si="6"/>
        <v>13740</v>
      </c>
      <c r="R36" s="15"/>
      <c r="S36" s="14">
        <f>AVERAGE($Q$21:Q36)</f>
        <v>4296.25</v>
      </c>
      <c r="T36" s="4"/>
      <c r="U36" s="4"/>
    </row>
    <row r="37" s="1" customFormat="1" spans="2:21">
      <c r="B37" s="1">
        <v>33</v>
      </c>
      <c r="C37" s="1">
        <v>200</v>
      </c>
      <c r="D37" s="1">
        <f t="shared" si="3"/>
        <v>1770</v>
      </c>
      <c r="E37" s="1">
        <v>20</v>
      </c>
      <c r="F37" s="1">
        <f>SUM($D$5:D37)</f>
        <v>16610</v>
      </c>
      <c r="G37" s="1">
        <f>SUM($D$5:D37)-10*SUM($E$5:E37)</f>
        <v>13060</v>
      </c>
      <c r="H37" s="1">
        <f t="array" ref="H37">INDEX($N$5:$N$18,MATCH(MIN(IF($P$5:$P$18&gt;B37,$P$5:$P$18)),$P$5:$P$18,0))</f>
        <v>5</v>
      </c>
      <c r="I37" s="1">
        <f t="shared" si="0"/>
        <v>3.75</v>
      </c>
      <c r="J37" s="1">
        <f t="shared" si="1"/>
        <v>15</v>
      </c>
      <c r="K37" s="1">
        <f t="shared" si="2"/>
        <v>15</v>
      </c>
      <c r="L37" s="4"/>
      <c r="M37" s="4"/>
      <c r="N37" s="14">
        <v>17</v>
      </c>
      <c r="O37" s="14">
        <v>49</v>
      </c>
      <c r="P37" s="15">
        <f t="shared" si="5"/>
        <v>76710</v>
      </c>
      <c r="Q37" s="15">
        <f t="shared" si="6"/>
        <v>7970</v>
      </c>
      <c r="R37" s="15"/>
      <c r="S37" s="14">
        <f>AVERAGE($Q$21:Q37)</f>
        <v>4512.35294117647</v>
      </c>
      <c r="T37" s="4"/>
      <c r="U37" s="4"/>
    </row>
    <row r="38" s="1" customFormat="1" spans="2:21">
      <c r="B38" s="1">
        <v>34</v>
      </c>
      <c r="C38" s="1">
        <v>200</v>
      </c>
      <c r="D38" s="1">
        <f t="shared" si="3"/>
        <v>1970</v>
      </c>
      <c r="E38" s="1">
        <v>20</v>
      </c>
      <c r="F38" s="1">
        <f>SUM($D$5:D38)</f>
        <v>18580</v>
      </c>
      <c r="G38" s="1">
        <f>SUM($D$5:D38)-10*SUM($E$5:E38)</f>
        <v>14830</v>
      </c>
      <c r="H38" s="1">
        <f t="array" ref="H38">INDEX($N$5:$N$18,MATCH(MIN(IF($P$5:$P$18&gt;B38,$P$5:$P$18)),$P$5:$P$18,0))</f>
        <v>6</v>
      </c>
      <c r="I38" s="1">
        <f t="shared" si="0"/>
        <v>5</v>
      </c>
      <c r="J38" s="1">
        <f t="shared" si="1"/>
        <v>5</v>
      </c>
      <c r="K38" s="1">
        <f t="shared" si="2"/>
        <v>5</v>
      </c>
      <c r="L38" s="4"/>
      <c r="M38" s="4"/>
      <c r="N38" s="14">
        <v>18</v>
      </c>
      <c r="O38" s="14">
        <v>49</v>
      </c>
      <c r="P38" s="15">
        <f t="shared" si="5"/>
        <v>76710</v>
      </c>
      <c r="Q38" s="15">
        <f t="shared" si="6"/>
        <v>0</v>
      </c>
      <c r="R38" s="15"/>
      <c r="S38" s="14">
        <f>AVERAGE($Q$21:Q38)</f>
        <v>4261.66666666667</v>
      </c>
      <c r="T38" s="4"/>
      <c r="U38" s="4"/>
    </row>
    <row r="39" s="1" customFormat="1" spans="2:21">
      <c r="B39" s="1">
        <v>35</v>
      </c>
      <c r="C39" s="1">
        <v>200</v>
      </c>
      <c r="D39" s="1">
        <f t="shared" si="3"/>
        <v>2170</v>
      </c>
      <c r="E39" s="1">
        <v>20</v>
      </c>
      <c r="F39" s="1">
        <f>SUM($D$5:D39)</f>
        <v>20750</v>
      </c>
      <c r="G39" s="1">
        <f>SUM($D$5:D39)-10*SUM($E$5:E39)</f>
        <v>16800</v>
      </c>
      <c r="H39" s="1">
        <f t="array" ref="H39">INDEX($N$5:$N$18,MATCH(MIN(IF($P$5:$P$18&gt;B39,$P$5:$P$18)),$P$5:$P$18,0))</f>
        <v>6</v>
      </c>
      <c r="I39" s="1">
        <f t="shared" si="0"/>
        <v>5</v>
      </c>
      <c r="J39" s="1">
        <f t="shared" si="1"/>
        <v>10</v>
      </c>
      <c r="K39" s="1">
        <f t="shared" si="2"/>
        <v>10</v>
      </c>
      <c r="L39" s="4"/>
      <c r="M39" s="4"/>
      <c r="N39" s="14">
        <v>19</v>
      </c>
      <c r="O39" s="14">
        <v>50</v>
      </c>
      <c r="P39" s="15">
        <f t="shared" si="5"/>
        <v>85480</v>
      </c>
      <c r="Q39" s="15">
        <f t="shared" si="6"/>
        <v>8770</v>
      </c>
      <c r="R39" s="15"/>
      <c r="S39" s="14">
        <f>AVERAGE($Q$21:Q39)</f>
        <v>4498.94736842105</v>
      </c>
      <c r="T39" s="4"/>
      <c r="U39" s="4"/>
    </row>
    <row r="40" s="1" customFormat="1" spans="2:21">
      <c r="B40" s="1">
        <v>36</v>
      </c>
      <c r="C40" s="1">
        <v>300</v>
      </c>
      <c r="D40" s="1">
        <f t="shared" si="3"/>
        <v>2470</v>
      </c>
      <c r="E40" s="1">
        <v>20</v>
      </c>
      <c r="F40" s="1">
        <f>SUM($D$5:D40)</f>
        <v>23220</v>
      </c>
      <c r="G40" s="1">
        <f>SUM($D$5:D40)-10*SUM($E$5:E40)</f>
        <v>19070</v>
      </c>
      <c r="H40" s="1">
        <f t="array" ref="H40">INDEX($N$5:$N$18,MATCH(MIN(IF($P$5:$P$18&gt;B40,$P$5:$P$18)),$P$5:$P$18,0))</f>
        <v>6</v>
      </c>
      <c r="I40" s="1">
        <f t="shared" si="0"/>
        <v>5</v>
      </c>
      <c r="J40" s="1">
        <f t="shared" si="1"/>
        <v>15</v>
      </c>
      <c r="K40" s="1">
        <f t="shared" si="2"/>
        <v>15</v>
      </c>
      <c r="L40" s="4"/>
      <c r="M40" s="4"/>
      <c r="S40" s="4"/>
      <c r="T40" s="4"/>
      <c r="U40" s="4"/>
    </row>
    <row r="41" s="1" customFormat="1" spans="2:21">
      <c r="B41" s="1">
        <v>37</v>
      </c>
      <c r="C41" s="1">
        <v>300</v>
      </c>
      <c r="D41" s="1">
        <f t="shared" si="3"/>
        <v>2770</v>
      </c>
      <c r="E41" s="1">
        <v>20</v>
      </c>
      <c r="F41" s="1">
        <f>SUM($D$5:D41)</f>
        <v>25990</v>
      </c>
      <c r="G41" s="1">
        <f>SUM($D$5:D41)-10*SUM($E$5:E41)</f>
        <v>21640</v>
      </c>
      <c r="H41" s="1">
        <f t="array" ref="H41">INDEX($N$5:$N$18,MATCH(MIN(IF($P$5:$P$18&gt;B41,$P$5:$P$18)),$P$5:$P$18,0))</f>
        <v>7</v>
      </c>
      <c r="I41" s="1">
        <f t="shared" si="0"/>
        <v>5</v>
      </c>
      <c r="J41" s="1">
        <f t="shared" si="1"/>
        <v>5</v>
      </c>
      <c r="K41" s="1">
        <f t="shared" si="2"/>
        <v>5</v>
      </c>
      <c r="L41" s="4"/>
      <c r="M41" s="4"/>
      <c r="N41" s="4"/>
      <c r="O41" s="4"/>
      <c r="S41" s="4"/>
      <c r="T41" s="4"/>
      <c r="U41" s="4"/>
    </row>
    <row r="42" s="1" customFormat="1" spans="2:21">
      <c r="B42" s="1">
        <v>38</v>
      </c>
      <c r="C42" s="1">
        <v>300</v>
      </c>
      <c r="D42" s="1">
        <f t="shared" si="3"/>
        <v>3070</v>
      </c>
      <c r="E42" s="1">
        <v>20</v>
      </c>
      <c r="F42" s="1">
        <f>SUM($D$5:D42)</f>
        <v>29060</v>
      </c>
      <c r="G42" s="1">
        <f>SUM($D$5:D42)-10*SUM($E$5:E42)</f>
        <v>24510</v>
      </c>
      <c r="H42" s="1">
        <f t="array" ref="H42">INDEX($N$5:$N$18,MATCH(MIN(IF($P$5:$P$18&gt;B42,$P$5:$P$18)),$P$5:$P$18,0))</f>
        <v>7</v>
      </c>
      <c r="I42" s="1">
        <f t="shared" si="0"/>
        <v>5</v>
      </c>
      <c r="J42" s="1">
        <f t="shared" si="1"/>
        <v>10</v>
      </c>
      <c r="K42" s="1">
        <f t="shared" si="2"/>
        <v>10</v>
      </c>
      <c r="L42" s="4"/>
      <c r="M42" s="4"/>
      <c r="N42" s="3" t="s">
        <v>687</v>
      </c>
      <c r="O42" s="3" t="s">
        <v>690</v>
      </c>
      <c r="P42" s="3" t="s">
        <v>691</v>
      </c>
      <c r="S42" s="4"/>
      <c r="T42" s="4"/>
      <c r="U42" s="4"/>
    </row>
    <row r="43" s="1" customFormat="1" spans="2:21">
      <c r="B43" s="1">
        <v>39</v>
      </c>
      <c r="C43" s="1">
        <v>300</v>
      </c>
      <c r="D43" s="1">
        <f t="shared" si="3"/>
        <v>3370</v>
      </c>
      <c r="E43" s="1">
        <v>20</v>
      </c>
      <c r="F43" s="1">
        <f>SUM($D$5:D43)</f>
        <v>32430</v>
      </c>
      <c r="G43" s="1">
        <f>SUM($D$5:D43)-10*SUM($E$5:E43)</f>
        <v>27680</v>
      </c>
      <c r="H43" s="1">
        <f t="array" ref="H43">INDEX($N$5:$N$18,MATCH(MIN(IF($P$5:$P$18&gt;B43,$P$5:$P$18)),$P$5:$P$18,0))</f>
        <v>7</v>
      </c>
      <c r="I43" s="1">
        <f t="shared" si="0"/>
        <v>5</v>
      </c>
      <c r="J43" s="1">
        <f t="shared" si="1"/>
        <v>15</v>
      </c>
      <c r="K43" s="1">
        <f t="shared" si="2"/>
        <v>15</v>
      </c>
      <c r="L43" s="4"/>
      <c r="M43" s="4"/>
      <c r="N43" s="4">
        <f t="array" ref="N43:N98">_xlfn.SEQUENCE(F3,1,1,1)</f>
        <v>1</v>
      </c>
      <c r="O43" s="4">
        <f t="shared" ref="O43:O98" si="7">N43*$U$16</f>
        <v>4500</v>
      </c>
      <c r="P43" s="1">
        <f t="array" ref="P43">INDEX(_xlfn.ANCHORARRAY($B$5),MATCH(O43,$G$5:$G$64,1))+1</f>
        <v>25</v>
      </c>
      <c r="S43" s="4"/>
      <c r="T43" s="4"/>
      <c r="U43" s="4"/>
    </row>
    <row r="44" s="1" customFormat="1" spans="2:21">
      <c r="B44" s="1">
        <v>40</v>
      </c>
      <c r="C44" s="1">
        <v>300</v>
      </c>
      <c r="D44" s="1">
        <f t="shared" si="3"/>
        <v>3670</v>
      </c>
      <c r="E44" s="1">
        <v>20</v>
      </c>
      <c r="F44" s="1">
        <f>SUM($D$5:D44)</f>
        <v>36100</v>
      </c>
      <c r="G44" s="1">
        <f>SUM($D$5:D44)-10*SUM($E$5:E44)</f>
        <v>31150</v>
      </c>
      <c r="L44" s="4"/>
      <c r="M44" s="4"/>
      <c r="N44" s="4">
        <v>2</v>
      </c>
      <c r="O44" s="4">
        <f t="shared" si="7"/>
        <v>9000</v>
      </c>
      <c r="P44" s="1">
        <f t="array" ref="P44">INDEX(_xlfn.ANCHORARRAY($B$5),MATCH(O44,$G$5:$G$64,1))+1</f>
        <v>31</v>
      </c>
      <c r="S44" s="4"/>
      <c r="T44" s="4"/>
      <c r="U44" s="4"/>
    </row>
    <row r="45" s="1" customFormat="1" spans="2:21">
      <c r="B45" s="1">
        <v>41</v>
      </c>
      <c r="C45" s="1">
        <v>400</v>
      </c>
      <c r="D45" s="1">
        <f t="shared" si="3"/>
        <v>4070</v>
      </c>
      <c r="E45" s="1">
        <v>30</v>
      </c>
      <c r="F45" s="1">
        <f>SUM($D$5:D45)</f>
        <v>40170</v>
      </c>
      <c r="G45" s="1">
        <f>SUM($D$5:D45)-10*SUM($E$5:E45)</f>
        <v>34920</v>
      </c>
      <c r="L45" s="4"/>
      <c r="M45" s="4"/>
      <c r="N45" s="4">
        <v>3</v>
      </c>
      <c r="O45" s="4">
        <f t="shared" si="7"/>
        <v>13500</v>
      </c>
      <c r="P45" s="1">
        <f t="array" ref="P45">INDEX(_xlfn.ANCHORARRAY($B$5),MATCH(O45,$G$5:$G$64,1))+1</f>
        <v>34</v>
      </c>
      <c r="S45" s="4"/>
      <c r="T45" s="4"/>
      <c r="U45" s="4"/>
    </row>
    <row r="46" s="1" customFormat="1" spans="2:21">
      <c r="B46" s="1">
        <v>42</v>
      </c>
      <c r="C46" s="1">
        <v>450</v>
      </c>
      <c r="D46" s="1">
        <f t="shared" si="3"/>
        <v>4520</v>
      </c>
      <c r="E46" s="1">
        <v>30</v>
      </c>
      <c r="F46" s="1">
        <f>SUM($D$5:D46)</f>
        <v>44690</v>
      </c>
      <c r="G46" s="1">
        <f>SUM($D$5:D46)-10*SUM($E$5:E46)</f>
        <v>39140</v>
      </c>
      <c r="L46" s="4"/>
      <c r="M46" s="4"/>
      <c r="N46" s="4">
        <v>4</v>
      </c>
      <c r="O46" s="4">
        <f t="shared" si="7"/>
        <v>18000</v>
      </c>
      <c r="P46" s="1">
        <f t="array" ref="P46">INDEX(_xlfn.ANCHORARRAY($B$5),MATCH(O46,$G$5:$G$64,1))+1</f>
        <v>36</v>
      </c>
      <c r="S46" s="4"/>
      <c r="T46" s="4"/>
      <c r="U46" s="4"/>
    </row>
    <row r="47" s="1" customFormat="1" spans="2:21">
      <c r="B47" s="1">
        <v>43</v>
      </c>
      <c r="C47" s="1">
        <v>500</v>
      </c>
      <c r="D47" s="1">
        <f t="shared" si="3"/>
        <v>5020</v>
      </c>
      <c r="E47" s="1">
        <v>30</v>
      </c>
      <c r="F47" s="1">
        <f>SUM($D$5:D47)</f>
        <v>49710</v>
      </c>
      <c r="G47" s="1">
        <f>SUM($D$5:D47)-10*SUM($E$5:E47)</f>
        <v>43860</v>
      </c>
      <c r="L47" s="4"/>
      <c r="M47" s="4"/>
      <c r="N47" s="4">
        <v>5</v>
      </c>
      <c r="O47" s="4">
        <f t="shared" si="7"/>
        <v>22500</v>
      </c>
      <c r="P47" s="1">
        <f t="array" ref="P47">INDEX(_xlfn.ANCHORARRAY($B$5),MATCH(O47,$G$5:$G$64,1))+1</f>
        <v>38</v>
      </c>
      <c r="S47" s="4"/>
      <c r="T47" s="4"/>
      <c r="U47" s="4"/>
    </row>
    <row r="48" s="1" customFormat="1" spans="2:21">
      <c r="B48" s="1">
        <v>44</v>
      </c>
      <c r="C48" s="1">
        <v>550</v>
      </c>
      <c r="D48" s="1">
        <f t="shared" si="3"/>
        <v>5570</v>
      </c>
      <c r="E48" s="1">
        <v>30</v>
      </c>
      <c r="F48" s="1">
        <f>SUM($D$5:D48)</f>
        <v>55280</v>
      </c>
      <c r="G48" s="1">
        <f>SUM($D$5:D48)-10*SUM($E$5:E48)</f>
        <v>49130</v>
      </c>
      <c r="L48" s="4"/>
      <c r="M48" s="4"/>
      <c r="N48" s="4">
        <v>6</v>
      </c>
      <c r="O48" s="4">
        <f t="shared" si="7"/>
        <v>27000</v>
      </c>
      <c r="P48" s="1">
        <f t="array" ref="P48">INDEX(_xlfn.ANCHORARRAY($B$5),MATCH(O48,$G$5:$G$64,1))+1</f>
        <v>39</v>
      </c>
      <c r="S48" s="4"/>
      <c r="T48" s="4"/>
      <c r="U48" s="4"/>
    </row>
    <row r="49" s="1" customFormat="1" spans="2:21">
      <c r="B49" s="1">
        <v>45</v>
      </c>
      <c r="C49" s="1">
        <v>600</v>
      </c>
      <c r="D49" s="1">
        <f t="shared" si="3"/>
        <v>6170</v>
      </c>
      <c r="E49" s="1">
        <v>30</v>
      </c>
      <c r="F49" s="1">
        <f>SUM($D$5:D49)</f>
        <v>61450</v>
      </c>
      <c r="G49" s="1">
        <f>SUM($D$5:D49)-10*SUM($E$5:E49)</f>
        <v>55000</v>
      </c>
      <c r="L49" s="4"/>
      <c r="M49" s="4"/>
      <c r="N49" s="4">
        <v>7</v>
      </c>
      <c r="O49" s="4">
        <f t="shared" si="7"/>
        <v>31500</v>
      </c>
      <c r="P49" s="1">
        <f t="array" ref="P49">INDEX(_xlfn.ANCHORARRAY($B$5),MATCH(O49,$G$5:$G$64,1))+1</f>
        <v>41</v>
      </c>
      <c r="S49" s="4"/>
      <c r="T49" s="4"/>
      <c r="U49" s="4"/>
    </row>
    <row r="50" s="1" customFormat="1" spans="2:21">
      <c r="B50" s="1">
        <v>46</v>
      </c>
      <c r="C50" s="1">
        <v>650</v>
      </c>
      <c r="D50" s="1">
        <f t="shared" si="3"/>
        <v>6820</v>
      </c>
      <c r="E50" s="1">
        <v>30</v>
      </c>
      <c r="F50" s="1">
        <f>SUM($D$5:D50)</f>
        <v>68270</v>
      </c>
      <c r="G50" s="1">
        <f>SUM($D$5:D50)-10*SUM($E$5:E50)</f>
        <v>61520</v>
      </c>
      <c r="H50" s="4"/>
      <c r="I50" s="4"/>
      <c r="J50" s="4"/>
      <c r="K50" s="4"/>
      <c r="L50" s="4"/>
      <c r="M50" s="4"/>
      <c r="N50" s="4">
        <v>8</v>
      </c>
      <c r="O50" s="4">
        <f t="shared" si="7"/>
        <v>36000</v>
      </c>
      <c r="P50" s="1">
        <f t="array" ref="P50">INDEX(_xlfn.ANCHORARRAY($B$5),MATCH(O50,$G$5:$G$64,1))+1</f>
        <v>42</v>
      </c>
      <c r="S50" s="4"/>
      <c r="T50" s="4"/>
      <c r="U50" s="4"/>
    </row>
    <row r="51" s="1" customFormat="1" spans="2:21">
      <c r="B51" s="1">
        <v>47</v>
      </c>
      <c r="C51" s="1">
        <v>700</v>
      </c>
      <c r="D51" s="1">
        <f t="shared" si="3"/>
        <v>7520</v>
      </c>
      <c r="E51" s="1">
        <v>30</v>
      </c>
      <c r="F51" s="1">
        <f>SUM($D$5:D51)</f>
        <v>75790</v>
      </c>
      <c r="G51" s="1">
        <f>SUM($D$5:D51)-10*SUM($E$5:E51)</f>
        <v>68740</v>
      </c>
      <c r="L51" s="4"/>
      <c r="M51" s="4"/>
      <c r="N51" s="4">
        <v>9</v>
      </c>
      <c r="O51" s="4">
        <f t="shared" si="7"/>
        <v>40500</v>
      </c>
      <c r="P51" s="1">
        <f t="array" ref="P51">INDEX(_xlfn.ANCHORARRAY($B$5),MATCH(O51,$G$5:$G$64,1))+1</f>
        <v>43</v>
      </c>
      <c r="S51" s="4"/>
      <c r="T51" s="4"/>
      <c r="U51" s="4"/>
    </row>
    <row r="52" s="1" customFormat="1" spans="2:21">
      <c r="B52" s="1">
        <v>48</v>
      </c>
      <c r="C52" s="1">
        <v>750</v>
      </c>
      <c r="D52" s="1">
        <f t="shared" si="3"/>
        <v>8270</v>
      </c>
      <c r="E52" s="1">
        <v>30</v>
      </c>
      <c r="F52" s="1">
        <f>SUM($D$5:D52)</f>
        <v>84060</v>
      </c>
      <c r="G52" s="1">
        <f>SUM($D$5:D52)-10*SUM($E$5:E52)</f>
        <v>76710</v>
      </c>
      <c r="L52" s="4"/>
      <c r="M52" s="4"/>
      <c r="N52" s="4">
        <v>10</v>
      </c>
      <c r="O52" s="4">
        <f t="shared" si="7"/>
        <v>45000</v>
      </c>
      <c r="P52" s="1">
        <f t="array" ref="P52">INDEX(_xlfn.ANCHORARRAY($B$5),MATCH(O52,$G$5:$G$64,1))+1</f>
        <v>44</v>
      </c>
      <c r="S52" s="4"/>
      <c r="T52" s="4"/>
      <c r="U52" s="4"/>
    </row>
    <row r="53" s="1" customFormat="1" spans="2:21">
      <c r="B53" s="1">
        <v>49</v>
      </c>
      <c r="C53" s="1">
        <v>800</v>
      </c>
      <c r="D53" s="1">
        <f t="shared" si="3"/>
        <v>9070</v>
      </c>
      <c r="E53" s="1">
        <v>30</v>
      </c>
      <c r="F53" s="1">
        <f>SUM($D$5:D53)</f>
        <v>93130</v>
      </c>
      <c r="G53" s="1">
        <f>SUM($D$5:D53)-10*SUM($E$5:E53)</f>
        <v>85480</v>
      </c>
      <c r="L53" s="4"/>
      <c r="M53" s="4"/>
      <c r="N53" s="4">
        <v>11</v>
      </c>
      <c r="O53" s="4">
        <f t="shared" si="7"/>
        <v>49500</v>
      </c>
      <c r="P53" s="1">
        <f t="array" ref="P53">INDEX(_xlfn.ANCHORARRAY($B$5),MATCH(O53,$G$5:$G$64,1))+1</f>
        <v>45</v>
      </c>
      <c r="S53" s="4"/>
      <c r="T53" s="4"/>
      <c r="U53" s="4"/>
    </row>
    <row r="54" s="1" customFormat="1" spans="2:21">
      <c r="B54" s="1">
        <v>50</v>
      </c>
      <c r="C54" s="1">
        <v>850</v>
      </c>
      <c r="D54" s="1">
        <f t="shared" si="3"/>
        <v>9920</v>
      </c>
      <c r="E54" s="1">
        <v>30</v>
      </c>
      <c r="F54" s="1">
        <f>SUM($D$5:D54)</f>
        <v>103050</v>
      </c>
      <c r="G54" s="1">
        <f>SUM($D$5:D54)-10*SUM($E$5:E54)</f>
        <v>95100</v>
      </c>
      <c r="L54" s="4"/>
      <c r="M54" s="4"/>
      <c r="N54" s="4">
        <v>12</v>
      </c>
      <c r="O54" s="4">
        <f t="shared" si="7"/>
        <v>54000</v>
      </c>
      <c r="P54" s="1">
        <f t="array" ref="P54">INDEX(_xlfn.ANCHORARRAY($B$5),MATCH(O54,$G$5:$G$64,1))+1</f>
        <v>45</v>
      </c>
      <c r="S54" s="4"/>
      <c r="T54" s="4"/>
      <c r="U54" s="4"/>
    </row>
    <row r="55" s="1" customFormat="1" spans="2:21">
      <c r="B55" s="1">
        <v>51</v>
      </c>
      <c r="C55" s="1">
        <v>1000</v>
      </c>
      <c r="D55" s="1">
        <f t="shared" si="3"/>
        <v>10920</v>
      </c>
      <c r="E55" s="1">
        <v>40</v>
      </c>
      <c r="F55" s="1">
        <f>SUM($D$5:D55)</f>
        <v>113970</v>
      </c>
      <c r="G55" s="1">
        <f>SUM($D$5:D55)-10*SUM($E$5:E55)</f>
        <v>105620</v>
      </c>
      <c r="L55" s="4"/>
      <c r="M55" s="4"/>
      <c r="N55" s="4">
        <v>13</v>
      </c>
      <c r="O55" s="4">
        <f t="shared" si="7"/>
        <v>58500</v>
      </c>
      <c r="P55" s="1">
        <f t="array" ref="P55">INDEX(_xlfn.ANCHORARRAY($B$5),MATCH(O55,$G$5:$G$64,1))+1</f>
        <v>46</v>
      </c>
      <c r="S55" s="4"/>
      <c r="T55" s="4"/>
      <c r="U55" s="4"/>
    </row>
    <row r="56" s="1" customFormat="1" spans="2:21">
      <c r="B56" s="1">
        <v>52</v>
      </c>
      <c r="C56" s="1">
        <v>1100</v>
      </c>
      <c r="D56" s="1">
        <f t="shared" si="3"/>
        <v>12020</v>
      </c>
      <c r="E56" s="1">
        <v>40</v>
      </c>
      <c r="F56" s="1">
        <f>SUM($D$5:D56)</f>
        <v>125990</v>
      </c>
      <c r="G56" s="1">
        <f>SUM($D$5:D56)-10*SUM($E$5:E56)</f>
        <v>117240</v>
      </c>
      <c r="L56" s="4"/>
      <c r="M56" s="4"/>
      <c r="N56" s="4">
        <v>14</v>
      </c>
      <c r="O56" s="4">
        <f t="shared" si="7"/>
        <v>63000</v>
      </c>
      <c r="P56" s="1">
        <f t="array" ref="P56">INDEX(_xlfn.ANCHORARRAY($B$5),MATCH(O56,$G$5:$G$64,1))+1</f>
        <v>47</v>
      </c>
      <c r="S56" s="4"/>
      <c r="T56" s="4"/>
      <c r="U56" s="4"/>
    </row>
    <row r="57" s="1" customFormat="1" spans="2:21">
      <c r="B57" s="1">
        <v>53</v>
      </c>
      <c r="C57" s="1">
        <v>1200</v>
      </c>
      <c r="D57" s="1">
        <f t="shared" si="3"/>
        <v>13220</v>
      </c>
      <c r="E57" s="1">
        <v>40</v>
      </c>
      <c r="F57" s="1">
        <f>SUM($D$5:D57)</f>
        <v>139210</v>
      </c>
      <c r="G57" s="1">
        <f>SUM($D$5:D57)-10*SUM($E$5:E57)</f>
        <v>130060</v>
      </c>
      <c r="L57" s="4"/>
      <c r="M57" s="4"/>
      <c r="N57" s="4">
        <v>15</v>
      </c>
      <c r="O57" s="4">
        <f t="shared" si="7"/>
        <v>67500</v>
      </c>
      <c r="P57" s="1">
        <f t="array" ref="P57">INDEX(_xlfn.ANCHORARRAY($B$5),MATCH(O57,$G$5:$G$64,1))+1</f>
        <v>47</v>
      </c>
      <c r="S57" s="4"/>
      <c r="T57" s="4"/>
      <c r="U57" s="4"/>
    </row>
    <row r="58" s="1" customFormat="1" spans="2:21">
      <c r="B58" s="1">
        <v>54</v>
      </c>
      <c r="C58" s="1">
        <v>1300</v>
      </c>
      <c r="D58" s="1">
        <f t="shared" si="3"/>
        <v>14520</v>
      </c>
      <c r="E58" s="1">
        <v>40</v>
      </c>
      <c r="F58" s="1">
        <f>SUM($D$5:D58)</f>
        <v>153730</v>
      </c>
      <c r="G58" s="1">
        <f>SUM($D$5:D58)-10*SUM($E$5:E58)</f>
        <v>144180</v>
      </c>
      <c r="L58" s="4"/>
      <c r="M58" s="4"/>
      <c r="N58" s="4">
        <v>16</v>
      </c>
      <c r="O58" s="4">
        <f t="shared" si="7"/>
        <v>72000</v>
      </c>
      <c r="P58" s="1">
        <f t="array" ref="P58">INDEX(_xlfn.ANCHORARRAY($B$5),MATCH(O58,$G$5:$G$64,1))+1</f>
        <v>48</v>
      </c>
      <c r="S58" s="4"/>
      <c r="T58" s="4"/>
      <c r="U58" s="4"/>
    </row>
    <row r="59" s="1" customFormat="1" spans="2:21">
      <c r="B59" s="1">
        <v>55</v>
      </c>
      <c r="C59" s="1">
        <v>1400</v>
      </c>
      <c r="D59" s="1">
        <f t="shared" si="3"/>
        <v>15920</v>
      </c>
      <c r="E59" s="1">
        <v>40</v>
      </c>
      <c r="F59" s="1">
        <f>SUM($D$5:D59)</f>
        <v>169650</v>
      </c>
      <c r="G59" s="1">
        <f>SUM($D$5:D59)-10*SUM($E$5:E59)</f>
        <v>159700</v>
      </c>
      <c r="L59" s="4"/>
      <c r="M59" s="4"/>
      <c r="N59" s="4">
        <v>17</v>
      </c>
      <c r="O59" s="4">
        <f t="shared" si="7"/>
        <v>76500</v>
      </c>
      <c r="P59" s="1">
        <f t="array" ref="P59">INDEX(_xlfn.ANCHORARRAY($B$5),MATCH(O59,$G$5:$G$64,1))+1</f>
        <v>48</v>
      </c>
      <c r="S59" s="4"/>
      <c r="T59" s="4"/>
      <c r="U59" s="4"/>
    </row>
    <row r="60" s="1" customFormat="1" spans="2:21">
      <c r="B60" s="1">
        <v>56</v>
      </c>
      <c r="C60" s="1">
        <v>1500</v>
      </c>
      <c r="D60" s="1">
        <f t="shared" si="3"/>
        <v>17420</v>
      </c>
      <c r="E60" s="1">
        <v>40</v>
      </c>
      <c r="F60" s="1">
        <f>SUM($D$5:D60)</f>
        <v>187070</v>
      </c>
      <c r="G60" s="1">
        <f>SUM($D$5:D60)-10*SUM($E$5:E60)</f>
        <v>176720</v>
      </c>
      <c r="L60" s="4"/>
      <c r="M60" s="4"/>
      <c r="N60" s="4">
        <v>18</v>
      </c>
      <c r="O60" s="4">
        <f t="shared" si="7"/>
        <v>81000</v>
      </c>
      <c r="P60" s="1">
        <f t="array" ref="P60">INDEX(_xlfn.ANCHORARRAY($B$5),MATCH(O60,$G$5:$G$64,1))+1</f>
        <v>49</v>
      </c>
      <c r="S60" s="4"/>
      <c r="T60" s="4"/>
      <c r="U60" s="4"/>
    </row>
    <row r="61" s="1" customFormat="1" spans="2:21">
      <c r="B61" s="1">
        <v>57</v>
      </c>
      <c r="C61" s="1">
        <v>2000</v>
      </c>
      <c r="D61" s="1">
        <f t="shared" si="3"/>
        <v>19420</v>
      </c>
      <c r="E61" s="1">
        <v>40</v>
      </c>
      <c r="F61" s="1">
        <f>SUM($D$5:D61)</f>
        <v>206490</v>
      </c>
      <c r="G61" s="1">
        <f>SUM($D$5:D61)-10*SUM($E$5:E61)</f>
        <v>195740</v>
      </c>
      <c r="L61" s="4"/>
      <c r="M61" s="4"/>
      <c r="N61" s="4">
        <v>19</v>
      </c>
      <c r="O61" s="4">
        <f t="shared" si="7"/>
        <v>85500</v>
      </c>
      <c r="P61" s="1">
        <f t="array" ref="P61">INDEX(_xlfn.ANCHORARRAY($B$5),MATCH(O61,$G$5:$G$64,1))+1</f>
        <v>50</v>
      </c>
      <c r="S61" s="4"/>
      <c r="T61" s="4"/>
      <c r="U61" s="4"/>
    </row>
    <row r="62" s="1" customFormat="1" spans="2:21">
      <c r="B62" s="1">
        <v>58</v>
      </c>
      <c r="C62" s="1">
        <v>3000</v>
      </c>
      <c r="D62" s="1">
        <f t="shared" si="3"/>
        <v>22420</v>
      </c>
      <c r="E62" s="1">
        <v>40</v>
      </c>
      <c r="F62" s="1">
        <f>SUM($D$5:D62)</f>
        <v>228910</v>
      </c>
      <c r="G62" s="1">
        <f>SUM($D$5:D62)-10*SUM($E$5:E62)</f>
        <v>217760</v>
      </c>
      <c r="L62" s="4"/>
      <c r="M62" s="4"/>
      <c r="N62" s="4">
        <v>20</v>
      </c>
      <c r="O62" s="4">
        <f t="shared" si="7"/>
        <v>90000</v>
      </c>
      <c r="P62" s="1">
        <f t="array" ref="P62">INDEX(_xlfn.ANCHORARRAY($B$5),MATCH(O62,$G$5:$G$64,1))+1</f>
        <v>50</v>
      </c>
      <c r="S62" s="4"/>
      <c r="T62" s="4"/>
      <c r="U62" s="4"/>
    </row>
    <row r="63" s="1" customFormat="1" spans="2:21">
      <c r="B63" s="1">
        <v>59</v>
      </c>
      <c r="C63" s="1">
        <v>4000</v>
      </c>
      <c r="D63" s="1">
        <f t="shared" si="3"/>
        <v>26420</v>
      </c>
      <c r="E63" s="1">
        <v>40</v>
      </c>
      <c r="F63" s="1">
        <f>SUM($D$5:D63)</f>
        <v>255330</v>
      </c>
      <c r="G63" s="1">
        <f>SUM($D$5:D63)-10*SUM($E$5:E63)</f>
        <v>243780</v>
      </c>
      <c r="L63" s="4"/>
      <c r="M63" s="4"/>
      <c r="N63" s="4">
        <v>21</v>
      </c>
      <c r="O63" s="4">
        <f t="shared" si="7"/>
        <v>94500</v>
      </c>
      <c r="P63" s="1">
        <f t="array" ref="P63">INDEX(_xlfn.ANCHORARRAY($B$5),MATCH(O63,$G$5:$G$64,1))+1</f>
        <v>50</v>
      </c>
      <c r="S63" s="4"/>
      <c r="T63" s="4"/>
      <c r="U63" s="4"/>
    </row>
    <row r="64" s="1" customFormat="1" spans="2:21">
      <c r="B64" s="1">
        <v>60</v>
      </c>
      <c r="C64" s="1">
        <v>5000</v>
      </c>
      <c r="D64" s="1">
        <f t="shared" si="3"/>
        <v>31420</v>
      </c>
      <c r="E64" s="1">
        <v>40</v>
      </c>
      <c r="F64" s="1">
        <f>SUM($D$5:D64)</f>
        <v>286750</v>
      </c>
      <c r="G64" s="1">
        <f>SUM($D$5:D64)-10*SUM($E$5:E64)</f>
        <v>274800</v>
      </c>
      <c r="L64" s="4"/>
      <c r="M64" s="4"/>
      <c r="N64" s="4">
        <v>22</v>
      </c>
      <c r="O64" s="4">
        <f t="shared" si="7"/>
        <v>99000</v>
      </c>
      <c r="P64" s="1">
        <f t="array" ref="P64">INDEX(_xlfn.ANCHORARRAY($B$5),MATCH(O64,$G$5:$G$64,1))+1</f>
        <v>51</v>
      </c>
      <c r="S64" s="4"/>
      <c r="T64" s="4"/>
      <c r="U64" s="4"/>
    </row>
    <row r="65" s="1" customFormat="1" spans="3:21">
      <c r="C65" s="4"/>
      <c r="D65" s="4"/>
      <c r="E65" s="4"/>
      <c r="F65" s="4"/>
      <c r="G65" s="4"/>
      <c r="L65" s="4"/>
      <c r="M65" s="4"/>
      <c r="N65" s="4">
        <v>23</v>
      </c>
      <c r="O65" s="4">
        <f t="shared" si="7"/>
        <v>103500</v>
      </c>
      <c r="P65" s="1">
        <f t="array" ref="P65">INDEX(_xlfn.ANCHORARRAY($B$5),MATCH(O65,$G$5:$G$64,1))+1</f>
        <v>51</v>
      </c>
      <c r="S65" s="4"/>
      <c r="T65" s="4"/>
      <c r="U65" s="4"/>
    </row>
    <row r="66" s="1" customFormat="1" spans="3:21">
      <c r="C66" s="4"/>
      <c r="D66" s="4"/>
      <c r="E66" s="4"/>
      <c r="F66" s="4"/>
      <c r="G66" s="4"/>
      <c r="L66" s="4"/>
      <c r="M66" s="4"/>
      <c r="N66" s="4">
        <v>24</v>
      </c>
      <c r="O66" s="4">
        <f t="shared" si="7"/>
        <v>108000</v>
      </c>
      <c r="P66" s="1">
        <f t="array" ref="P66">INDEX(_xlfn.ANCHORARRAY($B$5),MATCH(O66,$G$5:$G$64,1))+1</f>
        <v>52</v>
      </c>
      <c r="S66" s="4"/>
      <c r="T66" s="4"/>
      <c r="U66" s="4"/>
    </row>
    <row r="67" s="1" customFormat="1" spans="3:21">
      <c r="C67" s="4"/>
      <c r="D67" s="4"/>
      <c r="E67" s="4"/>
      <c r="F67" s="4"/>
      <c r="G67" s="4"/>
      <c r="L67" s="4"/>
      <c r="M67" s="4"/>
      <c r="N67" s="4">
        <v>25</v>
      </c>
      <c r="O67" s="4">
        <f t="shared" si="7"/>
        <v>112500</v>
      </c>
      <c r="P67" s="1">
        <f t="array" ref="P67">INDEX(_xlfn.ANCHORARRAY($B$5),MATCH(O67,$G$5:$G$64,1))+1</f>
        <v>52</v>
      </c>
      <c r="S67" s="4"/>
      <c r="T67" s="4"/>
      <c r="U67" s="4"/>
    </row>
    <row r="68" s="1" customFormat="1" spans="3:21">
      <c r="C68" s="4"/>
      <c r="D68" s="4"/>
      <c r="E68" s="4"/>
      <c r="F68" s="4"/>
      <c r="G68" s="4"/>
      <c r="L68" s="4"/>
      <c r="M68" s="4"/>
      <c r="N68" s="4">
        <v>26</v>
      </c>
      <c r="O68" s="4">
        <f t="shared" si="7"/>
        <v>117000</v>
      </c>
      <c r="P68" s="1">
        <f t="array" ref="P68">INDEX(_xlfn.ANCHORARRAY($B$5),MATCH(O68,$G$5:$G$64,1))+1</f>
        <v>52</v>
      </c>
      <c r="S68" s="4"/>
      <c r="T68" s="4"/>
      <c r="U68" s="4"/>
    </row>
    <row r="69" s="1" customFormat="1" spans="3:21">
      <c r="C69" s="4"/>
      <c r="D69" s="4"/>
      <c r="E69" s="4"/>
      <c r="F69" s="4"/>
      <c r="G69" s="4"/>
      <c r="L69" s="4"/>
      <c r="M69" s="4"/>
      <c r="N69" s="4">
        <v>27</v>
      </c>
      <c r="O69" s="4">
        <f t="shared" si="7"/>
        <v>121500</v>
      </c>
      <c r="P69" s="1">
        <f t="array" ref="P69">INDEX(_xlfn.ANCHORARRAY($B$5),MATCH(O69,$G$5:$G$64,1))+1</f>
        <v>53</v>
      </c>
      <c r="S69" s="4"/>
      <c r="T69" s="4"/>
      <c r="U69" s="4"/>
    </row>
    <row r="70" s="1" customFormat="1" spans="3:21">
      <c r="C70" s="4"/>
      <c r="D70" s="4"/>
      <c r="E70" s="4"/>
      <c r="F70" s="4"/>
      <c r="G70" s="4"/>
      <c r="L70" s="4"/>
      <c r="M70" s="4"/>
      <c r="N70" s="4">
        <v>28</v>
      </c>
      <c r="O70" s="4">
        <f t="shared" si="7"/>
        <v>126000</v>
      </c>
      <c r="P70" s="1">
        <f t="array" ref="P70">INDEX(_xlfn.ANCHORARRAY($B$5),MATCH(O70,$G$5:$G$64,1))+1</f>
        <v>53</v>
      </c>
      <c r="S70" s="4"/>
      <c r="T70" s="4"/>
      <c r="U70" s="4"/>
    </row>
    <row r="71" s="1" customFormat="1" spans="3:21">
      <c r="C71" s="4"/>
      <c r="D71" s="4"/>
      <c r="E71" s="4"/>
      <c r="F71" s="4"/>
      <c r="G71" s="4"/>
      <c r="L71" s="4"/>
      <c r="M71" s="4"/>
      <c r="N71" s="4">
        <v>29</v>
      </c>
      <c r="O71" s="4">
        <f t="shared" si="7"/>
        <v>130500</v>
      </c>
      <c r="P71" s="1">
        <f t="array" ref="P71">INDEX(_xlfn.ANCHORARRAY($B$5),MATCH(O71,$G$5:$G$64,1))+1</f>
        <v>54</v>
      </c>
      <c r="S71" s="4"/>
      <c r="T71" s="4"/>
      <c r="U71" s="4"/>
    </row>
    <row r="72" s="1" customFormat="1" spans="3:21">
      <c r="C72" s="4"/>
      <c r="D72" s="4"/>
      <c r="E72" s="4"/>
      <c r="F72" s="4"/>
      <c r="G72" s="4"/>
      <c r="L72" s="4"/>
      <c r="M72" s="4"/>
      <c r="N72" s="4">
        <v>30</v>
      </c>
      <c r="O72" s="4">
        <f t="shared" si="7"/>
        <v>135000</v>
      </c>
      <c r="P72" s="1">
        <f t="array" ref="P72">INDEX(_xlfn.ANCHORARRAY($B$5),MATCH(O72,$G$5:$G$64,1))+1</f>
        <v>54</v>
      </c>
      <c r="S72" s="4"/>
      <c r="T72" s="4"/>
      <c r="U72" s="4"/>
    </row>
    <row r="73" s="1" customFormat="1" spans="3:21">
      <c r="C73" s="4"/>
      <c r="D73" s="4"/>
      <c r="E73" s="4"/>
      <c r="F73" s="4"/>
      <c r="G73" s="4"/>
      <c r="L73" s="4"/>
      <c r="M73" s="4"/>
      <c r="N73" s="4">
        <v>31</v>
      </c>
      <c r="O73" s="4">
        <f t="shared" si="7"/>
        <v>139500</v>
      </c>
      <c r="P73" s="1">
        <f t="array" ref="P73">INDEX(_xlfn.ANCHORARRAY($B$5),MATCH(O73,$G$5:$G$64,1))+1</f>
        <v>54</v>
      </c>
      <c r="S73" s="4"/>
      <c r="T73" s="4"/>
      <c r="U73" s="4"/>
    </row>
    <row r="74" s="1" customFormat="1" spans="3:21">
      <c r="C74" s="4"/>
      <c r="D74" s="4"/>
      <c r="E74" s="4"/>
      <c r="F74" s="4"/>
      <c r="G74" s="4"/>
      <c r="L74" s="4"/>
      <c r="M74" s="4"/>
      <c r="N74" s="4">
        <v>32</v>
      </c>
      <c r="O74" s="4">
        <f t="shared" si="7"/>
        <v>144000</v>
      </c>
      <c r="P74" s="1">
        <f t="array" ref="P74">INDEX(_xlfn.ANCHORARRAY($B$5),MATCH(O74,$G$5:$G$64,1))+1</f>
        <v>54</v>
      </c>
      <c r="S74" s="4"/>
      <c r="T74" s="4"/>
      <c r="U74" s="4"/>
    </row>
    <row r="75" s="1" customFormat="1" spans="3:21">
      <c r="C75" s="4"/>
      <c r="D75" s="4"/>
      <c r="E75" s="4"/>
      <c r="F75" s="4"/>
      <c r="G75" s="4"/>
      <c r="L75" s="4"/>
      <c r="M75" s="4"/>
      <c r="N75" s="4">
        <v>33</v>
      </c>
      <c r="O75" s="4">
        <f t="shared" si="7"/>
        <v>148500</v>
      </c>
      <c r="P75" s="1">
        <f t="array" ref="P75">INDEX(_xlfn.ANCHORARRAY($B$5),MATCH(O75,$G$5:$G$64,1))+1</f>
        <v>55</v>
      </c>
      <c r="S75" s="4"/>
      <c r="T75" s="4"/>
      <c r="U75" s="4"/>
    </row>
    <row r="76" s="1" customFormat="1" spans="3:21">
      <c r="C76" s="4"/>
      <c r="D76" s="4"/>
      <c r="E76" s="4"/>
      <c r="F76" s="4"/>
      <c r="G76" s="4"/>
      <c r="L76" s="4"/>
      <c r="M76" s="4"/>
      <c r="N76" s="4">
        <v>34</v>
      </c>
      <c r="O76" s="4">
        <f t="shared" si="7"/>
        <v>153000</v>
      </c>
      <c r="P76" s="1">
        <f t="array" ref="P76">INDEX(_xlfn.ANCHORARRAY($B$5),MATCH(O76,$G$5:$G$64,1))+1</f>
        <v>55</v>
      </c>
      <c r="S76" s="4"/>
      <c r="T76" s="4"/>
      <c r="U76" s="4"/>
    </row>
    <row r="77" s="1" customFormat="1" spans="3:21">
      <c r="C77" s="4"/>
      <c r="D77" s="4"/>
      <c r="E77" s="4"/>
      <c r="F77" s="4"/>
      <c r="G77" s="4"/>
      <c r="L77" s="4"/>
      <c r="M77" s="4"/>
      <c r="N77" s="4">
        <v>35</v>
      </c>
      <c r="O77" s="4">
        <f t="shared" si="7"/>
        <v>157500</v>
      </c>
      <c r="P77" s="1">
        <f t="array" ref="P77">INDEX(_xlfn.ANCHORARRAY($B$5),MATCH(O77,$G$5:$G$64,1))+1</f>
        <v>55</v>
      </c>
      <c r="S77" s="4"/>
      <c r="T77" s="4"/>
      <c r="U77" s="4"/>
    </row>
    <row r="78" s="1" customFormat="1" spans="3:21">
      <c r="C78" s="4"/>
      <c r="D78" s="4"/>
      <c r="E78" s="4"/>
      <c r="F78" s="4"/>
      <c r="G78" s="4"/>
      <c r="L78" s="4"/>
      <c r="M78" s="4"/>
      <c r="N78" s="4">
        <v>36</v>
      </c>
      <c r="O78" s="4">
        <f t="shared" si="7"/>
        <v>162000</v>
      </c>
      <c r="P78" s="1">
        <f t="array" ref="P78">INDEX(_xlfn.ANCHORARRAY($B$5),MATCH(O78,$G$5:$G$64,1))+1</f>
        <v>56</v>
      </c>
      <c r="S78" s="4"/>
      <c r="T78" s="4"/>
      <c r="U78" s="4"/>
    </row>
    <row r="79" s="1" customFormat="1" spans="3:21">
      <c r="C79" s="4"/>
      <c r="D79" s="4"/>
      <c r="E79" s="4"/>
      <c r="F79" s="4"/>
      <c r="G79" s="4"/>
      <c r="L79" s="4"/>
      <c r="M79" s="4"/>
      <c r="N79" s="4">
        <v>37</v>
      </c>
      <c r="O79" s="4">
        <f t="shared" si="7"/>
        <v>166500</v>
      </c>
      <c r="P79" s="1">
        <f t="array" ref="P79">INDEX(_xlfn.ANCHORARRAY($B$5),MATCH(O79,$G$5:$G$64,1))+1</f>
        <v>56</v>
      </c>
      <c r="S79" s="4"/>
      <c r="T79" s="4"/>
      <c r="U79" s="4"/>
    </row>
    <row r="80" s="1" customFormat="1" spans="3:21">
      <c r="C80" s="4"/>
      <c r="D80" s="4"/>
      <c r="E80" s="4"/>
      <c r="F80" s="4"/>
      <c r="G80" s="4"/>
      <c r="L80" s="4"/>
      <c r="M80" s="4"/>
      <c r="N80" s="4">
        <v>38</v>
      </c>
      <c r="O80" s="4">
        <f t="shared" si="7"/>
        <v>171000</v>
      </c>
      <c r="P80" s="1">
        <f t="array" ref="P80">INDEX(_xlfn.ANCHORARRAY($B$5),MATCH(O80,$G$5:$G$64,1))+1</f>
        <v>56</v>
      </c>
      <c r="S80" s="4"/>
      <c r="T80" s="4"/>
      <c r="U80" s="4"/>
    </row>
    <row r="81" s="1" customFormat="1" spans="3:21">
      <c r="C81" s="4"/>
      <c r="D81" s="4"/>
      <c r="E81" s="4"/>
      <c r="F81" s="4"/>
      <c r="G81" s="4"/>
      <c r="L81" s="4"/>
      <c r="M81" s="4"/>
      <c r="N81" s="4">
        <v>39</v>
      </c>
      <c r="O81" s="4">
        <f t="shared" si="7"/>
        <v>175500</v>
      </c>
      <c r="P81" s="1">
        <f t="array" ref="P81">INDEX(_xlfn.ANCHORARRAY($B$5),MATCH(O81,$G$5:$G$64,1))+1</f>
        <v>56</v>
      </c>
      <c r="S81" s="4"/>
      <c r="T81" s="4"/>
      <c r="U81" s="4"/>
    </row>
    <row r="82" s="1" customFormat="1" spans="3:21">
      <c r="C82" s="4"/>
      <c r="D82" s="4"/>
      <c r="E82" s="4"/>
      <c r="F82" s="4"/>
      <c r="G82" s="4"/>
      <c r="L82" s="4"/>
      <c r="M82" s="4"/>
      <c r="N82" s="4">
        <v>40</v>
      </c>
      <c r="O82" s="4">
        <f t="shared" si="7"/>
        <v>180000</v>
      </c>
      <c r="P82" s="1">
        <f t="array" ref="P82">INDEX(_xlfn.ANCHORARRAY($B$5),MATCH(O82,$G$5:$G$64,1))+1</f>
        <v>57</v>
      </c>
      <c r="S82" s="4"/>
      <c r="T82" s="4"/>
      <c r="U82" s="4"/>
    </row>
    <row r="83" s="1" customFormat="1" spans="3:21">
      <c r="C83" s="4"/>
      <c r="D83" s="4"/>
      <c r="E83" s="4"/>
      <c r="F83" s="4"/>
      <c r="G83" s="4"/>
      <c r="L83" s="4"/>
      <c r="M83" s="4"/>
      <c r="N83" s="4">
        <v>41</v>
      </c>
      <c r="O83" s="4">
        <f t="shared" si="7"/>
        <v>184500</v>
      </c>
      <c r="P83" s="1">
        <f t="array" ref="P83">INDEX(_xlfn.ANCHORARRAY($B$5),MATCH(O83,$G$5:$G$64,1))+1</f>
        <v>57</v>
      </c>
      <c r="S83" s="4"/>
      <c r="T83" s="4"/>
      <c r="U83" s="4"/>
    </row>
    <row r="84" s="1" customFormat="1" spans="3:21">
      <c r="C84" s="4"/>
      <c r="D84" s="4"/>
      <c r="E84" s="4"/>
      <c r="F84" s="4"/>
      <c r="G84" s="4"/>
      <c r="L84" s="4"/>
      <c r="M84" s="4"/>
      <c r="N84" s="4">
        <v>42</v>
      </c>
      <c r="O84" s="4">
        <f t="shared" si="7"/>
        <v>189000</v>
      </c>
      <c r="P84" s="1">
        <f t="array" ref="P84">INDEX(_xlfn.ANCHORARRAY($B$5),MATCH(O84,$G$5:$G$64,1))+1</f>
        <v>57</v>
      </c>
      <c r="S84" s="4"/>
      <c r="T84" s="4"/>
      <c r="U84" s="4"/>
    </row>
    <row r="85" s="1" customFormat="1" spans="3:21">
      <c r="L85" s="4"/>
      <c r="M85" s="4"/>
      <c r="N85" s="4">
        <v>43</v>
      </c>
      <c r="O85" s="4">
        <f t="shared" si="7"/>
        <v>193500</v>
      </c>
      <c r="P85" s="1">
        <f t="array" ref="P85">INDEX(_xlfn.ANCHORARRAY($B$5),MATCH(O85,$G$5:$G$64,1))+1</f>
        <v>57</v>
      </c>
      <c r="S85" s="4"/>
      <c r="T85" s="4"/>
      <c r="U85" s="4"/>
    </row>
    <row r="86" s="1" customFormat="1" spans="3:21">
      <c r="L86" s="4"/>
      <c r="M86" s="4"/>
      <c r="N86" s="4">
        <v>44</v>
      </c>
      <c r="O86" s="4">
        <f t="shared" si="7"/>
        <v>198000</v>
      </c>
      <c r="P86" s="1">
        <f t="array" ref="P86">INDEX(_xlfn.ANCHORARRAY($B$5),MATCH(O86,$G$5:$G$64,1))+1</f>
        <v>58</v>
      </c>
      <c r="S86" s="4"/>
      <c r="T86" s="4"/>
      <c r="U86" s="4"/>
    </row>
    <row r="87" s="1" customFormat="1" spans="3:21">
      <c r="L87" s="4"/>
      <c r="M87" s="4"/>
      <c r="N87" s="4">
        <v>45</v>
      </c>
      <c r="O87" s="4">
        <f t="shared" si="7"/>
        <v>202500</v>
      </c>
      <c r="P87" s="1">
        <f t="array" ref="P87">INDEX(_xlfn.ANCHORARRAY($B$5),MATCH(O87,$G$5:$G$64,1))+1</f>
        <v>58</v>
      </c>
      <c r="S87" s="4"/>
      <c r="T87" s="4"/>
      <c r="U87" s="4"/>
    </row>
    <row r="88" s="1" customFormat="1" spans="3:21">
      <c r="L88" s="4"/>
      <c r="M88" s="4"/>
      <c r="N88" s="4">
        <v>46</v>
      </c>
      <c r="O88" s="4">
        <f t="shared" si="7"/>
        <v>207000</v>
      </c>
      <c r="P88" s="1">
        <f t="array" ref="P88">INDEX(_xlfn.ANCHORARRAY($B$5),MATCH(O88,$G$5:$G$64,1))+1</f>
        <v>58</v>
      </c>
      <c r="S88" s="4"/>
      <c r="T88" s="4"/>
      <c r="U88" s="4"/>
    </row>
    <row r="89" s="1" customFormat="1" spans="3:21">
      <c r="L89" s="4"/>
      <c r="M89" s="4"/>
      <c r="N89" s="4">
        <v>47</v>
      </c>
      <c r="O89" s="4">
        <f t="shared" si="7"/>
        <v>211500</v>
      </c>
      <c r="P89" s="1">
        <f t="array" ref="P89">INDEX(_xlfn.ANCHORARRAY($B$5),MATCH(O89,$G$5:$G$64,1))+1</f>
        <v>58</v>
      </c>
      <c r="S89" s="4"/>
      <c r="T89" s="4"/>
      <c r="U89" s="4"/>
    </row>
    <row r="90" s="1" customFormat="1" spans="3:21">
      <c r="L90" s="4"/>
      <c r="M90" s="4"/>
      <c r="N90" s="4">
        <v>48</v>
      </c>
      <c r="O90" s="4">
        <f t="shared" si="7"/>
        <v>216000</v>
      </c>
      <c r="P90" s="1">
        <f t="array" ref="P90">INDEX(_xlfn.ANCHORARRAY($B$5),MATCH(O90,$G$5:$G$64,1))+1</f>
        <v>58</v>
      </c>
      <c r="S90" s="4"/>
      <c r="T90" s="4"/>
      <c r="U90" s="4"/>
    </row>
    <row r="91" s="1" customFormat="1" spans="3:21">
      <c r="L91" s="4"/>
      <c r="M91" s="4"/>
      <c r="N91" s="4">
        <v>49</v>
      </c>
      <c r="O91" s="4">
        <f t="shared" si="7"/>
        <v>220500</v>
      </c>
      <c r="P91" s="1">
        <f t="array" ref="P91">INDEX(_xlfn.ANCHORARRAY($B$5),MATCH(O91,$G$5:$G$64,1))+1</f>
        <v>59</v>
      </c>
      <c r="S91" s="4"/>
      <c r="T91" s="4"/>
      <c r="U91" s="4"/>
    </row>
    <row r="92" s="1" customFormat="1" spans="3:21">
      <c r="L92" s="4"/>
      <c r="M92" s="4"/>
      <c r="N92" s="4">
        <v>50</v>
      </c>
      <c r="O92" s="4">
        <f t="shared" si="7"/>
        <v>225000</v>
      </c>
      <c r="P92" s="1">
        <f t="array" ref="P92">INDEX(_xlfn.ANCHORARRAY($B$5),MATCH(O92,$G$5:$G$64,1))+1</f>
        <v>59</v>
      </c>
      <c r="S92" s="4"/>
      <c r="T92" s="4"/>
      <c r="U92" s="4"/>
    </row>
    <row r="93" s="1" customFormat="1" spans="3:21">
      <c r="L93" s="4"/>
      <c r="M93" s="4"/>
      <c r="N93" s="4">
        <v>51</v>
      </c>
      <c r="O93" s="4">
        <f t="shared" si="7"/>
        <v>229500</v>
      </c>
      <c r="P93" s="1">
        <f t="array" ref="P93">INDEX(_xlfn.ANCHORARRAY($B$5),MATCH(O93,$G$5:$G$64,1))+1</f>
        <v>59</v>
      </c>
      <c r="S93" s="4"/>
      <c r="T93" s="4"/>
      <c r="U93" s="4"/>
    </row>
    <row r="94" s="1" customFormat="1" spans="3:21">
      <c r="L94" s="4"/>
      <c r="M94" s="4"/>
      <c r="N94" s="4">
        <v>52</v>
      </c>
      <c r="O94" s="4">
        <f t="shared" si="7"/>
        <v>234000</v>
      </c>
      <c r="P94" s="1">
        <f t="array" ref="P94">INDEX(_xlfn.ANCHORARRAY($B$5),MATCH(O94,$G$5:$G$64,1))+1</f>
        <v>59</v>
      </c>
      <c r="S94" s="4"/>
      <c r="T94" s="4"/>
      <c r="U94" s="4"/>
    </row>
    <row r="95" s="1" customFormat="1" spans="3:21">
      <c r="L95" s="4"/>
      <c r="M95" s="4"/>
      <c r="N95" s="4">
        <v>53</v>
      </c>
      <c r="O95" s="4">
        <f t="shared" si="7"/>
        <v>238500</v>
      </c>
      <c r="P95" s="1">
        <f t="array" ref="P95">INDEX(_xlfn.ANCHORARRAY($B$5),MATCH(O95,$G$5:$G$64,1))+1</f>
        <v>59</v>
      </c>
      <c r="S95" s="4"/>
      <c r="T95" s="4"/>
      <c r="U95" s="4"/>
    </row>
    <row r="96" s="1" customFormat="1" spans="3:21">
      <c r="L96" s="4"/>
      <c r="M96" s="4"/>
      <c r="N96" s="4">
        <v>54</v>
      </c>
      <c r="O96" s="4">
        <f t="shared" si="7"/>
        <v>243000</v>
      </c>
      <c r="P96" s="1">
        <f t="array" ref="P96">INDEX(_xlfn.ANCHORARRAY($B$5),MATCH(O96,$G$5:$G$64,1))+1</f>
        <v>59</v>
      </c>
      <c r="S96" s="4"/>
      <c r="T96" s="4"/>
      <c r="U96" s="4"/>
    </row>
    <row r="97" s="1" customFormat="1" spans="12:21">
      <c r="L97" s="4"/>
      <c r="M97" s="4"/>
      <c r="N97" s="4">
        <v>55</v>
      </c>
      <c r="O97" s="4">
        <f t="shared" si="7"/>
        <v>247500</v>
      </c>
      <c r="P97" s="1">
        <f t="array" ref="P97">INDEX(_xlfn.ANCHORARRAY($B$5),MATCH(O97,$G$5:$G$64,1))+1</f>
        <v>60</v>
      </c>
      <c r="S97" s="4"/>
      <c r="T97" s="4"/>
      <c r="U97" s="4"/>
    </row>
    <row r="98" s="1" customFormat="1" spans="12:21">
      <c r="L98" s="4"/>
      <c r="M98" s="4"/>
      <c r="N98" s="4">
        <v>56</v>
      </c>
      <c r="O98" s="4">
        <f t="shared" si="7"/>
        <v>252000</v>
      </c>
      <c r="P98" s="1">
        <f t="array" ref="P98">INDEX(_xlfn.ANCHORARRAY($B$5),MATCH(O98,$G$5:$G$64,1))+1</f>
        <v>60</v>
      </c>
      <c r="S98" s="4"/>
      <c r="T98" s="4"/>
      <c r="U98" s="4"/>
    </row>
    <row r="99" s="1" customFormat="1" spans="12:21">
      <c r="L99" s="4"/>
      <c r="M99" s="4"/>
      <c r="N99" s="4"/>
      <c r="O99" s="1"/>
      <c r="S99" s="4"/>
      <c r="T99" s="4"/>
      <c r="U99" s="4"/>
    </row>
    <row r="100" s="1" customFormat="1" spans="12:21">
      <c r="L100" s="4"/>
      <c r="M100" s="4"/>
      <c r="N100" s="4"/>
      <c r="O100" s="1"/>
      <c r="S100" s="4"/>
      <c r="T100" s="4"/>
      <c r="U100" s="4"/>
    </row>
    <row r="101" s="1" customFormat="1" spans="12:21">
      <c r="L101" s="4"/>
      <c r="M101" s="4"/>
      <c r="N101" s="4"/>
      <c r="O101" s="1"/>
      <c r="S101" s="4"/>
      <c r="T101" s="4"/>
      <c r="U101" s="4"/>
    </row>
    <row r="102" s="1" customFormat="1" spans="12:21">
      <c r="L102" s="4"/>
      <c r="M102" s="4"/>
      <c r="N102" s="4"/>
      <c r="O102" s="1"/>
      <c r="S102" s="4"/>
      <c r="T102" s="4"/>
      <c r="U102" s="4"/>
    </row>
    <row r="103" s="1" customFormat="1" spans="12:21">
      <c r="L103" s="4"/>
      <c r="M103" s="4"/>
      <c r="N103" s="4"/>
      <c r="O103" s="1"/>
      <c r="S103" s="4"/>
      <c r="T103" s="4"/>
      <c r="U103" s="4"/>
    </row>
    <row r="104" s="1" customFormat="1" spans="12:21">
      <c r="L104" s="4"/>
      <c r="M104" s="4"/>
      <c r="N104" s="4"/>
      <c r="O104" s="1"/>
      <c r="S104" s="4"/>
      <c r="T104" s="4"/>
      <c r="U104" s="4"/>
    </row>
    <row r="105" s="1" customFormat="1" spans="12:21">
      <c r="L105" s="4"/>
      <c r="M105" s="4"/>
      <c r="N105" s="4"/>
      <c r="O105" s="1"/>
      <c r="S105" s="4"/>
      <c r="T105" s="4"/>
      <c r="U105" s="4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L74"/>
  <sheetViews>
    <sheetView topLeftCell="B1" workbookViewId="0">
      <selection activeCell="K34" sqref="K34:K43"/>
    </sheetView>
  </sheetViews>
  <sheetFormatPr defaultColWidth="9" defaultRowHeight="16.5"/>
  <cols>
    <col min="1" max="2" width="9" style="1" customWidth="1"/>
    <col min="3" max="3" width="12.875" style="1" customWidth="1"/>
    <col min="4" max="4" width="16.125" style="1" customWidth="1"/>
    <col min="5" max="6" width="9" style="1" customWidth="1"/>
    <col min="7" max="7" width="9.25" style="1" customWidth="1"/>
    <col min="8" max="16384" width="9" style="1" customWidth="1"/>
  </cols>
  <sheetData>
    <row r="1" spans="3:8">
      <c r="D1" s="1" t="s">
        <v>692</v>
      </c>
      <c r="E1" s="4">
        <f>'主角等级（从新手引导复制） '!D2</f>
        <v>60</v>
      </c>
    </row>
    <row r="2" spans="3:8">
      <c r="D2" s="1" t="s">
        <v>693</v>
      </c>
      <c r="E2" s="9">
        <v>320</v>
      </c>
      <c r="F2" s="1" t="s">
        <v>694</v>
      </c>
      <c r="H2" s="1">
        <f>MAX(F5:F43)</f>
        <v>248</v>
      </c>
    </row>
    <row r="3" spans="3:8">
      <c r="D3" s="1" t="s">
        <v>695</v>
      </c>
      <c r="E3" s="9">
        <v>40</v>
      </c>
      <c r="F3" s="4"/>
      <c r="G3" s="4"/>
    </row>
    <row r="4" spans="3:8">
      <c r="C4" s="1" t="s">
        <v>665</v>
      </c>
      <c r="D4" s="1" t="s">
        <v>666</v>
      </c>
      <c r="E4" s="4" t="s">
        <v>414</v>
      </c>
      <c r="F4" s="4"/>
      <c r="G4" s="4"/>
      <c r="H4" s="4" t="s">
        <v>610</v>
      </c>
    </row>
    <row r="5" spans="3:8">
      <c r="C5" s="10">
        <v>0</v>
      </c>
      <c r="D5" s="10">
        <v>1</v>
      </c>
      <c r="E5" s="11">
        <f t="array" ref="E5:E64">_xlfn.SEQUENCE(E1,1,1,1)</f>
        <v>1</v>
      </c>
      <c r="F5" s="1">
        <f t="array" ref="F5">_xlfn.XLOOKUP(C5&amp;D5,玩家战力曲线!$C$12:$C$116&amp;玩家战力曲线!$D$12:$D$116,玩家战力曲线!$AO$12:$AO$116)</f>
        <v>5</v>
      </c>
      <c r="G5" s="1">
        <f t="shared" ref="G5:G64" si="0">_xlfn.IFNA(F5,1/($E$1-$E$3)*($E$2-$H$2)+G4)</f>
        <v>5</v>
      </c>
      <c r="H5" s="12">
        <f t="shared" ref="H5:H64" si="1">ROUND(G5,0)</f>
        <v>5</v>
      </c>
    </row>
    <row r="6" spans="3:8">
      <c r="C6" s="10">
        <v>0</v>
      </c>
      <c r="D6" s="10">
        <v>2</v>
      </c>
      <c r="E6" s="11">
        <v>2</v>
      </c>
      <c r="F6" s="1">
        <f t="array" ref="F6">_xlfn.XLOOKUP(C6&amp;D6,玩家战力曲线!$C$12:$C$116&amp;玩家战力曲线!$D$12:$D$116,玩家战力曲线!$AO$12:$AO$116)</f>
        <v>6</v>
      </c>
      <c r="G6" s="1">
        <f t="shared" si="0"/>
        <v>6</v>
      </c>
      <c r="H6" s="12">
        <f t="shared" si="1"/>
        <v>6</v>
      </c>
    </row>
    <row r="7" spans="3:8">
      <c r="C7" s="10">
        <v>0</v>
      </c>
      <c r="D7" s="10">
        <v>3</v>
      </c>
      <c r="E7" s="11">
        <v>3</v>
      </c>
      <c r="F7" s="1">
        <f t="array" ref="F7">_xlfn.XLOOKUP(C7&amp;D7,玩家战力曲线!$C$12:$C$116&amp;玩家战力曲线!$D$12:$D$116,玩家战力曲线!$AO$12:$AO$116)</f>
        <v>6</v>
      </c>
      <c r="G7" s="1">
        <f t="shared" si="0"/>
        <v>6</v>
      </c>
      <c r="H7" s="12">
        <f t="shared" si="1"/>
        <v>6</v>
      </c>
    </row>
    <row r="8" spans="3:8">
      <c r="C8" s="10">
        <v>0</v>
      </c>
      <c r="D8" s="10">
        <v>4</v>
      </c>
      <c r="E8" s="11">
        <v>4</v>
      </c>
      <c r="F8" s="1">
        <f t="array" ref="F8">_xlfn.XLOOKUP(C8&amp;D8,玩家战力曲线!$C$12:$C$116&amp;玩家战力曲线!$D$12:$D$116,玩家战力曲线!$AO$12:$AO$116)</f>
        <v>10</v>
      </c>
      <c r="G8" s="1">
        <f t="shared" si="0"/>
        <v>10</v>
      </c>
      <c r="H8" s="12">
        <f t="shared" si="1"/>
        <v>10</v>
      </c>
    </row>
    <row r="9" spans="3:8">
      <c r="C9" s="10">
        <v>0</v>
      </c>
      <c r="D9" s="10">
        <v>5</v>
      </c>
      <c r="E9" s="11">
        <v>5</v>
      </c>
      <c r="F9" s="1">
        <f t="array" ref="F9">_xlfn.XLOOKUP(C9&amp;D9,玩家战力曲线!$C$12:$C$116&amp;玩家战力曲线!$D$12:$D$116,玩家战力曲线!$AO$12:$AO$116)</f>
        <v>12</v>
      </c>
      <c r="G9" s="1">
        <f t="shared" si="0"/>
        <v>12</v>
      </c>
      <c r="H9" s="12">
        <f t="shared" si="1"/>
        <v>12</v>
      </c>
    </row>
    <row r="10" spans="3:8">
      <c r="C10" s="10">
        <v>1</v>
      </c>
      <c r="D10" s="10">
        <v>1</v>
      </c>
      <c r="E10" s="11">
        <v>6</v>
      </c>
      <c r="F10" s="1">
        <f t="array" ref="F10">_xlfn.XLOOKUP(C10&amp;D10,玩家战力曲线!$C$12:$C$116&amp;玩家战力曲线!$D$12:$D$116,玩家战力曲线!$AO$12:$AO$116)</f>
        <v>13</v>
      </c>
      <c r="G10" s="1">
        <f t="shared" si="0"/>
        <v>13</v>
      </c>
      <c r="H10" s="12">
        <f t="shared" si="1"/>
        <v>13</v>
      </c>
    </row>
    <row r="11" spans="3:8">
      <c r="C11" s="10">
        <v>1</v>
      </c>
      <c r="D11" s="10">
        <v>3</v>
      </c>
      <c r="E11" s="11">
        <v>7</v>
      </c>
      <c r="F11" s="1">
        <f t="array" ref="F11">_xlfn.XLOOKUP(C11&amp;D11,玩家战力曲线!$C$12:$C$116&amp;玩家战力曲线!$D$12:$D$116,玩家战力曲线!$AO$12:$AO$116)</f>
        <v>19</v>
      </c>
      <c r="G11" s="1">
        <f t="shared" si="0"/>
        <v>19</v>
      </c>
      <c r="H11" s="12">
        <f t="shared" si="1"/>
        <v>19</v>
      </c>
    </row>
    <row r="12" spans="3:8">
      <c r="C12" s="10">
        <v>1</v>
      </c>
      <c r="D12" s="10">
        <v>4</v>
      </c>
      <c r="E12" s="11">
        <v>8</v>
      </c>
      <c r="F12" s="1">
        <f t="array" ref="F12">_xlfn.XLOOKUP(C12&amp;D12,玩家战力曲线!$C$12:$C$116&amp;玩家战力曲线!$D$12:$D$116,玩家战力曲线!$AO$12:$AO$116)</f>
        <v>21</v>
      </c>
      <c r="G12" s="1">
        <f t="shared" si="0"/>
        <v>21</v>
      </c>
      <c r="H12" s="12">
        <f t="shared" si="1"/>
        <v>21</v>
      </c>
    </row>
    <row r="13" spans="3:8">
      <c r="C13" s="10">
        <v>1</v>
      </c>
      <c r="D13" s="10">
        <v>5</v>
      </c>
      <c r="E13" s="11">
        <v>9</v>
      </c>
      <c r="F13" s="1">
        <f t="array" ref="F13">_xlfn.XLOOKUP(C13&amp;D13,玩家战力曲线!$C$12:$C$116&amp;玩家战力曲线!$D$12:$D$116,玩家战力曲线!$AO$12:$AO$116)</f>
        <v>24</v>
      </c>
      <c r="G13" s="1">
        <f t="shared" si="0"/>
        <v>24</v>
      </c>
      <c r="H13" s="12">
        <f t="shared" si="1"/>
        <v>24</v>
      </c>
    </row>
    <row r="14" spans="3:8">
      <c r="C14" s="10">
        <v>1</v>
      </c>
      <c r="D14" s="10">
        <v>6</v>
      </c>
      <c r="E14" s="11">
        <v>10</v>
      </c>
      <c r="F14" s="1">
        <f t="array" ref="F14">_xlfn.XLOOKUP(C14&amp;D14,玩家战力曲线!$C$12:$C$116&amp;玩家战力曲线!$D$12:$D$116,玩家战力曲线!$AO$12:$AO$116)</f>
        <v>26</v>
      </c>
      <c r="G14" s="1">
        <f t="shared" si="0"/>
        <v>26</v>
      </c>
      <c r="H14" s="12">
        <f t="shared" si="1"/>
        <v>26</v>
      </c>
    </row>
    <row r="15" spans="3:8">
      <c r="C15" s="10">
        <v>1</v>
      </c>
      <c r="D15" s="10">
        <v>8</v>
      </c>
      <c r="E15" s="11">
        <v>11</v>
      </c>
      <c r="F15" s="1">
        <f t="array" ref="F15">_xlfn.XLOOKUP(C15&amp;D15,玩家战力曲线!$C$12:$C$116&amp;玩家战力曲线!$D$12:$D$116,玩家战力曲线!$AO$12:$AO$116)</f>
        <v>29</v>
      </c>
      <c r="G15" s="1">
        <f t="shared" si="0"/>
        <v>29</v>
      </c>
      <c r="H15" s="12">
        <f t="shared" si="1"/>
        <v>29</v>
      </c>
    </row>
    <row r="16" spans="3:8">
      <c r="C16" s="10">
        <v>1</v>
      </c>
      <c r="D16" s="10">
        <v>9</v>
      </c>
      <c r="E16" s="11">
        <v>12</v>
      </c>
      <c r="F16" s="1">
        <f t="array" ref="F16">_xlfn.XLOOKUP(C16&amp;D16,玩家战力曲线!$C$12:$C$116&amp;玩家战力曲线!$D$12:$D$116,玩家战力曲线!$AO$12:$AO$116)</f>
        <v>30</v>
      </c>
      <c r="G16" s="1">
        <f t="shared" si="0"/>
        <v>30</v>
      </c>
      <c r="H16" s="12">
        <f t="shared" si="1"/>
        <v>30</v>
      </c>
    </row>
    <row r="17" spans="3:8">
      <c r="C17" s="10">
        <v>1</v>
      </c>
      <c r="D17" s="10">
        <v>10</v>
      </c>
      <c r="E17" s="11">
        <v>13</v>
      </c>
      <c r="F17" s="1">
        <f t="array" ref="F17">_xlfn.XLOOKUP(C17&amp;D17,玩家战力曲线!$C$12:$C$116&amp;玩家战力曲线!$D$12:$D$116,玩家战力曲线!$AO$12:$AO$116)</f>
        <v>32</v>
      </c>
      <c r="G17" s="1">
        <f t="shared" si="0"/>
        <v>32</v>
      </c>
      <c r="H17" s="12">
        <f t="shared" si="1"/>
        <v>32</v>
      </c>
    </row>
    <row r="18" spans="3:8">
      <c r="C18" s="10">
        <v>2</v>
      </c>
      <c r="D18" s="10">
        <v>3</v>
      </c>
      <c r="E18" s="11">
        <v>14</v>
      </c>
      <c r="F18" s="1">
        <f t="array" ref="F18">_xlfn.XLOOKUP(C18&amp;D18,玩家战力曲线!$C$12:$C$116&amp;玩家战力曲线!$D$12:$D$116,玩家战力曲线!$AO$12:$AO$116)</f>
        <v>39</v>
      </c>
      <c r="G18" s="1">
        <f t="shared" si="0"/>
        <v>39</v>
      </c>
      <c r="H18" s="12">
        <f t="shared" si="1"/>
        <v>39</v>
      </c>
    </row>
    <row r="19" spans="3:8">
      <c r="C19" s="10">
        <v>2</v>
      </c>
      <c r="D19" s="10">
        <v>5</v>
      </c>
      <c r="E19" s="11">
        <v>15</v>
      </c>
      <c r="F19" s="1">
        <f t="array" ref="F19">_xlfn.XLOOKUP(C19&amp;D19,玩家战力曲线!$C$12:$C$116&amp;玩家战力曲线!$D$12:$D$116,玩家战力曲线!$AO$12:$AO$116)</f>
        <v>43</v>
      </c>
      <c r="G19" s="1">
        <f t="shared" si="0"/>
        <v>43</v>
      </c>
      <c r="H19" s="12">
        <f t="shared" si="1"/>
        <v>43</v>
      </c>
    </row>
    <row r="20" spans="3:8">
      <c r="C20" s="10">
        <v>2</v>
      </c>
      <c r="D20" s="10">
        <v>8</v>
      </c>
      <c r="E20" s="11">
        <v>16</v>
      </c>
      <c r="F20" s="1">
        <f t="array" ref="F20">_xlfn.XLOOKUP(C20&amp;D20,玩家战力曲线!$C$12:$C$116&amp;玩家战力曲线!$D$12:$D$116,玩家战力曲线!$AO$12:$AO$116)</f>
        <v>50</v>
      </c>
      <c r="G20" s="1">
        <f t="shared" si="0"/>
        <v>50</v>
      </c>
      <c r="H20" s="12">
        <f t="shared" si="1"/>
        <v>50</v>
      </c>
    </row>
    <row r="21" spans="3:8">
      <c r="C21" s="10">
        <v>2</v>
      </c>
      <c r="D21" s="10">
        <v>10</v>
      </c>
      <c r="E21" s="11">
        <v>17</v>
      </c>
      <c r="F21" s="1">
        <f t="array" ref="F21">_xlfn.XLOOKUP(C21&amp;D21,玩家战力曲线!$C$12:$C$116&amp;玩家战力曲线!$D$12:$D$116,玩家战力曲线!$AO$12:$AO$116)</f>
        <v>54</v>
      </c>
      <c r="G21" s="1">
        <f t="shared" si="0"/>
        <v>54</v>
      </c>
      <c r="H21" s="12">
        <f t="shared" si="1"/>
        <v>54</v>
      </c>
    </row>
    <row r="22" spans="3:8">
      <c r="C22" s="10">
        <v>2</v>
      </c>
      <c r="D22" s="10">
        <v>13</v>
      </c>
      <c r="E22" s="11">
        <v>18</v>
      </c>
      <c r="F22" s="1">
        <f t="array" ref="F22">_xlfn.XLOOKUP(C22&amp;D22,玩家战力曲线!$C$12:$C$116&amp;玩家战力曲线!$D$12:$D$116,玩家战力曲线!$AO$12:$AO$116)</f>
        <v>58</v>
      </c>
      <c r="G22" s="1">
        <f t="shared" si="0"/>
        <v>58</v>
      </c>
      <c r="H22" s="12">
        <f t="shared" si="1"/>
        <v>58</v>
      </c>
    </row>
    <row r="23" spans="3:8">
      <c r="C23" s="10">
        <v>2</v>
      </c>
      <c r="D23" s="10">
        <v>15</v>
      </c>
      <c r="E23" s="11">
        <v>19</v>
      </c>
      <c r="F23" s="1">
        <f t="array" ref="F23">_xlfn.XLOOKUP(C23&amp;D23,玩家战力曲线!$C$12:$C$116&amp;玩家战力曲线!$D$12:$D$116,玩家战力曲线!$AO$12:$AO$116)</f>
        <v>61</v>
      </c>
      <c r="G23" s="1">
        <f t="shared" si="0"/>
        <v>61</v>
      </c>
      <c r="H23" s="12">
        <f t="shared" si="1"/>
        <v>61</v>
      </c>
    </row>
    <row r="24" spans="3:8">
      <c r="C24" s="10">
        <v>3</v>
      </c>
      <c r="D24" s="10">
        <v>3</v>
      </c>
      <c r="E24" s="11">
        <v>20</v>
      </c>
      <c r="F24" s="1">
        <f t="array" ref="F24">_xlfn.XLOOKUP(C24&amp;D24,玩家战力曲线!$C$12:$C$116&amp;玩家战力曲线!$D$12:$D$116,玩家战力曲线!$AO$12:$AO$116)</f>
        <v>75</v>
      </c>
      <c r="G24" s="1">
        <f t="shared" si="0"/>
        <v>75</v>
      </c>
      <c r="H24" s="12">
        <f t="shared" si="1"/>
        <v>75</v>
      </c>
    </row>
    <row r="25" spans="3:8">
      <c r="C25" s="10">
        <v>3</v>
      </c>
      <c r="D25" s="10">
        <v>6</v>
      </c>
      <c r="E25" s="11">
        <v>21</v>
      </c>
      <c r="F25" s="1">
        <f t="array" ref="F25">_xlfn.XLOOKUP(C25&amp;D25,玩家战力曲线!$C$12:$C$116&amp;玩家战力曲线!$D$12:$D$116,玩家战力曲线!$AO$12:$AO$116)</f>
        <v>87</v>
      </c>
      <c r="G25" s="1">
        <f t="shared" si="0"/>
        <v>87</v>
      </c>
      <c r="H25" s="12">
        <f t="shared" si="1"/>
        <v>87</v>
      </c>
    </row>
    <row r="26" spans="3:8">
      <c r="C26" s="10">
        <v>3</v>
      </c>
      <c r="D26" s="10">
        <v>9</v>
      </c>
      <c r="E26" s="11">
        <v>22</v>
      </c>
      <c r="F26" s="1">
        <f t="array" ref="F26">_xlfn.XLOOKUP(C26&amp;D26,玩家战力曲线!$C$12:$C$116&amp;玩家战力曲线!$D$12:$D$116,玩家战力曲线!$AO$12:$AO$116)</f>
        <v>99</v>
      </c>
      <c r="G26" s="1">
        <f t="shared" si="0"/>
        <v>99</v>
      </c>
      <c r="H26" s="12">
        <f t="shared" si="1"/>
        <v>99</v>
      </c>
    </row>
    <row r="27" spans="3:8">
      <c r="C27" s="10">
        <v>3</v>
      </c>
      <c r="D27" s="10">
        <v>12</v>
      </c>
      <c r="E27" s="11">
        <v>23</v>
      </c>
      <c r="F27" s="1">
        <f t="array" ref="F27">_xlfn.XLOOKUP(C27&amp;D27,玩家战力曲线!$C$12:$C$116&amp;玩家战力曲线!$D$12:$D$116,玩家战力曲线!$AO$12:$AO$116)</f>
        <v>110</v>
      </c>
      <c r="G27" s="1">
        <f t="shared" si="0"/>
        <v>110</v>
      </c>
      <c r="H27" s="12">
        <f t="shared" si="1"/>
        <v>110</v>
      </c>
    </row>
    <row r="28" spans="3:8">
      <c r="C28" s="10">
        <v>3</v>
      </c>
      <c r="D28" s="10">
        <v>15</v>
      </c>
      <c r="E28" s="11">
        <v>24</v>
      </c>
      <c r="F28" s="1">
        <f t="array" ref="F28">_xlfn.XLOOKUP(C28&amp;D28,玩家战力曲线!$C$12:$C$116&amp;玩家战力曲线!$D$12:$D$116,玩家战力曲线!$AO$12:$AO$116)</f>
        <v>120</v>
      </c>
      <c r="G28" s="1">
        <f t="shared" si="0"/>
        <v>120</v>
      </c>
      <c r="H28" s="12">
        <f t="shared" si="1"/>
        <v>120</v>
      </c>
    </row>
    <row r="29" spans="3:8">
      <c r="C29" s="10">
        <v>4</v>
      </c>
      <c r="D29" s="10">
        <v>3</v>
      </c>
      <c r="E29" s="11">
        <v>25</v>
      </c>
      <c r="F29" s="1">
        <f t="array" ref="F29">_xlfn.XLOOKUP(C29&amp;D29,玩家战力曲线!$C$12:$C$116&amp;玩家战力曲线!$D$12:$D$116,玩家战力曲线!$AO$12:$AO$116)</f>
        <v>129</v>
      </c>
      <c r="G29" s="1">
        <f t="shared" si="0"/>
        <v>129</v>
      </c>
      <c r="H29" s="12">
        <f t="shared" si="1"/>
        <v>129</v>
      </c>
    </row>
    <row r="30" spans="3:8">
      <c r="C30" s="10">
        <v>4</v>
      </c>
      <c r="D30" s="10">
        <v>6</v>
      </c>
      <c r="E30" s="11">
        <v>26</v>
      </c>
      <c r="F30" s="1">
        <f t="array" ref="F30">_xlfn.XLOOKUP(C30&amp;D30,玩家战力曲线!$C$12:$C$116&amp;玩家战力曲线!$D$12:$D$116,玩家战力曲线!$AO$12:$AO$116)</f>
        <v>139</v>
      </c>
      <c r="G30" s="1">
        <f t="shared" si="0"/>
        <v>139</v>
      </c>
      <c r="H30" s="12">
        <f t="shared" si="1"/>
        <v>139</v>
      </c>
    </row>
    <row r="31" spans="3:8">
      <c r="C31" s="10">
        <v>4</v>
      </c>
      <c r="D31" s="10">
        <v>9</v>
      </c>
      <c r="E31" s="11">
        <v>27</v>
      </c>
      <c r="F31" s="1">
        <f t="array" ref="F31">_xlfn.XLOOKUP(C31&amp;D31,玩家战力曲线!$C$12:$C$116&amp;玩家战力曲线!$D$12:$D$116,玩家战力曲线!$AO$12:$AO$116)</f>
        <v>149</v>
      </c>
      <c r="G31" s="1">
        <f t="shared" si="0"/>
        <v>149</v>
      </c>
      <c r="H31" s="12">
        <f t="shared" si="1"/>
        <v>149</v>
      </c>
    </row>
    <row r="32" spans="3:8">
      <c r="C32" s="10">
        <v>4</v>
      </c>
      <c r="D32" s="10">
        <v>12</v>
      </c>
      <c r="E32" s="11">
        <v>28</v>
      </c>
      <c r="F32" s="1">
        <f t="array" ref="F32">_xlfn.XLOOKUP(C32&amp;D32,玩家战力曲线!$C$12:$C$116&amp;玩家战力曲线!$D$12:$D$116,玩家战力曲线!$AO$12:$AO$116)</f>
        <v>158</v>
      </c>
      <c r="G32" s="1">
        <f t="shared" si="0"/>
        <v>158</v>
      </c>
      <c r="H32" s="12">
        <f t="shared" si="1"/>
        <v>158</v>
      </c>
    </row>
    <row r="33" spans="3:12">
      <c r="C33" s="10">
        <v>4</v>
      </c>
      <c r="D33" s="10">
        <v>15</v>
      </c>
      <c r="E33" s="11">
        <v>29</v>
      </c>
      <c r="F33" s="1">
        <f t="array" ref="F33">_xlfn.XLOOKUP(C33&amp;D33,玩家战力曲线!$C$12:$C$116&amp;玩家战力曲线!$D$12:$D$116,玩家战力曲线!$AO$12:$AO$116)</f>
        <v>167</v>
      </c>
      <c r="G33" s="1">
        <f t="shared" si="0"/>
        <v>167</v>
      </c>
      <c r="H33" s="12">
        <f t="shared" si="1"/>
        <v>167</v>
      </c>
    </row>
    <row r="34" spans="3:12">
      <c r="C34" s="10">
        <v>5</v>
      </c>
      <c r="D34" s="10">
        <v>4</v>
      </c>
      <c r="E34" s="11">
        <v>30</v>
      </c>
      <c r="F34" s="1">
        <f t="array" ref="F34">_xlfn.XLOOKUP(C34&amp;D34,玩家战力曲线!$C$12:$C$116&amp;玩家战力曲线!$D$12:$D$116,玩家战力曲线!$AO$12:$AO$116)</f>
        <v>178</v>
      </c>
      <c r="G34" s="1">
        <f t="shared" si="0"/>
        <v>178</v>
      </c>
      <c r="H34" s="12">
        <f t="shared" si="1"/>
        <v>178</v>
      </c>
      <c r="J34" s="1">
        <v>1</v>
      </c>
      <c r="K34" s="1">
        <v>60</v>
      </c>
    </row>
    <row r="35" spans="3:12">
      <c r="C35" s="10">
        <v>5</v>
      </c>
      <c r="D35" s="10">
        <v>8</v>
      </c>
      <c r="E35" s="11">
        <v>31</v>
      </c>
      <c r="F35" s="1">
        <f t="array" ref="F35">_xlfn.XLOOKUP(C35&amp;D35,玩家战力曲线!$C$12:$C$116&amp;玩家战力曲线!$D$12:$D$116,玩家战力曲线!$AO$12:$AO$116)</f>
        <v>188</v>
      </c>
      <c r="G35" s="1">
        <f t="shared" si="0"/>
        <v>188</v>
      </c>
      <c r="H35" s="12">
        <f t="shared" si="1"/>
        <v>188</v>
      </c>
      <c r="J35" s="1">
        <v>2</v>
      </c>
      <c r="K35" s="1">
        <v>90</v>
      </c>
    </row>
    <row r="36" spans="3:12">
      <c r="C36" s="10">
        <v>5</v>
      </c>
      <c r="D36" s="10">
        <v>11</v>
      </c>
      <c r="E36" s="11">
        <v>32</v>
      </c>
      <c r="F36" s="1">
        <f t="array" ref="F36">_xlfn.XLOOKUP(C36&amp;D36,玩家战力曲线!$C$12:$C$116&amp;玩家战力曲线!$D$12:$D$116,玩家战力曲线!$AO$12:$AO$116)</f>
        <v>194</v>
      </c>
      <c r="G36" s="1">
        <f t="shared" si="0"/>
        <v>194</v>
      </c>
      <c r="H36" s="12">
        <f t="shared" si="1"/>
        <v>194</v>
      </c>
      <c r="J36" s="1">
        <v>3</v>
      </c>
      <c r="K36" s="1">
        <v>120</v>
      </c>
    </row>
    <row r="37" spans="3:12">
      <c r="C37" s="10">
        <v>5</v>
      </c>
      <c r="D37" s="10">
        <v>15</v>
      </c>
      <c r="E37" s="11">
        <v>33</v>
      </c>
      <c r="F37" s="1">
        <f t="array" ref="F37">_xlfn.XLOOKUP(C37&amp;D37,玩家战力曲线!$C$12:$C$116&amp;玩家战力曲线!$D$12:$D$116,玩家战力曲线!$AO$12:$AO$116)</f>
        <v>203</v>
      </c>
      <c r="G37" s="1">
        <f t="shared" si="0"/>
        <v>203</v>
      </c>
      <c r="H37" s="12">
        <f t="shared" si="1"/>
        <v>203</v>
      </c>
      <c r="J37" s="1">
        <v>4</v>
      </c>
      <c r="K37" s="1">
        <v>150</v>
      </c>
      <c r="L37" s="1">
        <f>K43-K36</f>
        <v>210</v>
      </c>
    </row>
    <row r="38" spans="3:12">
      <c r="C38" s="10">
        <v>6</v>
      </c>
      <c r="D38" s="10">
        <v>5</v>
      </c>
      <c r="E38" s="11">
        <v>34</v>
      </c>
      <c r="F38" s="1">
        <f t="array" ref="F38">_xlfn.XLOOKUP(C38&amp;D38,玩家战力曲线!$C$12:$C$116&amp;玩家战力曲线!$D$12:$D$116,玩家战力曲线!$AO$12:$AO$116)</f>
        <v>212</v>
      </c>
      <c r="G38" s="1">
        <f t="shared" si="0"/>
        <v>212</v>
      </c>
      <c r="H38" s="12">
        <f t="shared" si="1"/>
        <v>212</v>
      </c>
      <c r="J38" s="1">
        <v>5</v>
      </c>
      <c r="K38" s="1">
        <v>180</v>
      </c>
    </row>
    <row r="39" spans="3:12">
      <c r="C39" s="10">
        <v>6</v>
      </c>
      <c r="D39" s="10">
        <v>10</v>
      </c>
      <c r="E39" s="11">
        <v>35</v>
      </c>
      <c r="F39" s="1">
        <f t="array" ref="F39">_xlfn.XLOOKUP(C39&amp;D39,玩家战力曲线!$C$12:$C$116&amp;玩家战力曲线!$D$12:$D$116,玩家战力曲线!$AO$12:$AO$116)</f>
        <v>220</v>
      </c>
      <c r="G39" s="1">
        <f t="shared" si="0"/>
        <v>220</v>
      </c>
      <c r="H39" s="12">
        <f t="shared" si="1"/>
        <v>220</v>
      </c>
      <c r="J39" s="1">
        <v>6</v>
      </c>
      <c r="K39" s="1">
        <v>210</v>
      </c>
    </row>
    <row r="40" spans="3:12">
      <c r="C40" s="10">
        <v>6</v>
      </c>
      <c r="D40" s="10">
        <v>15</v>
      </c>
      <c r="E40" s="11">
        <v>36</v>
      </c>
      <c r="F40" s="1">
        <f t="array" ref="F40">_xlfn.XLOOKUP(C40&amp;D40,玩家战力曲线!$C$12:$C$116&amp;玩家战力曲线!$D$12:$D$116,玩家战力曲线!$AO$12:$AO$116)</f>
        <v>228</v>
      </c>
      <c r="G40" s="1">
        <f t="shared" si="0"/>
        <v>228</v>
      </c>
      <c r="H40" s="12">
        <f t="shared" si="1"/>
        <v>228</v>
      </c>
      <c r="J40" s="1">
        <v>7</v>
      </c>
      <c r="K40" s="1">
        <v>240</v>
      </c>
    </row>
    <row r="41" spans="3:12">
      <c r="C41" s="10">
        <v>7</v>
      </c>
      <c r="D41" s="10">
        <v>5</v>
      </c>
      <c r="E41" s="11">
        <v>37</v>
      </c>
      <c r="F41" s="1">
        <f t="array" ref="F41">_xlfn.XLOOKUP(C41&amp;D41,玩家战力曲线!$C$12:$C$116&amp;玩家战力曲线!$D$12:$D$116,玩家战力曲线!$AO$12:$AO$116)</f>
        <v>235</v>
      </c>
      <c r="G41" s="1">
        <f t="shared" si="0"/>
        <v>235</v>
      </c>
      <c r="H41" s="12">
        <f t="shared" si="1"/>
        <v>235</v>
      </c>
      <c r="J41" s="1">
        <v>8</v>
      </c>
      <c r="K41" s="1">
        <v>270</v>
      </c>
    </row>
    <row r="42" spans="3:12">
      <c r="C42" s="10">
        <v>7</v>
      </c>
      <c r="D42" s="10">
        <v>10</v>
      </c>
      <c r="E42" s="11">
        <v>38</v>
      </c>
      <c r="F42" s="1">
        <f t="array" ref="F42">_xlfn.XLOOKUP(C42&amp;D42,玩家战力曲线!$C$12:$C$116&amp;玩家战力曲线!$D$12:$D$116,玩家战力曲线!$AO$12:$AO$116)</f>
        <v>242</v>
      </c>
      <c r="G42" s="1">
        <f t="shared" si="0"/>
        <v>242</v>
      </c>
      <c r="H42" s="12">
        <f t="shared" si="1"/>
        <v>242</v>
      </c>
      <c r="J42" s="1">
        <v>9</v>
      </c>
      <c r="K42" s="1">
        <v>300</v>
      </c>
    </row>
    <row r="43" spans="3:12">
      <c r="C43" s="10">
        <v>7</v>
      </c>
      <c r="D43" s="10">
        <v>15</v>
      </c>
      <c r="E43" s="11">
        <v>39</v>
      </c>
      <c r="F43" s="1">
        <f t="array" ref="F43">_xlfn.XLOOKUP(C43&amp;D43,玩家战力曲线!$C$12:$C$116&amp;玩家战力曲线!$D$12:$D$116,玩家战力曲线!$AO$12:$AO$116)</f>
        <v>248</v>
      </c>
      <c r="G43" s="1">
        <f t="shared" si="0"/>
        <v>248</v>
      </c>
      <c r="H43" s="12">
        <f t="shared" si="1"/>
        <v>248</v>
      </c>
      <c r="J43" s="1">
        <v>10</v>
      </c>
      <c r="K43" s="1">
        <v>330</v>
      </c>
    </row>
    <row r="44" spans="3:12">
      <c r="E44" s="11">
        <v>40</v>
      </c>
      <c r="F44" s="1" t="e">
        <f t="array" ref="F44">_xlfn.XLOOKUP(C44&amp;D44,玩家战力曲线!$C$12:$C$116&amp;玩家战力曲线!$D$12:$D$116,玩家战力曲线!$AO$12:$AO$116)</f>
        <v>#N/A</v>
      </c>
      <c r="G44" s="1">
        <f t="shared" si="0"/>
        <v>251.6</v>
      </c>
      <c r="H44" s="12">
        <f t="shared" si="1"/>
        <v>252</v>
      </c>
    </row>
    <row r="45" spans="3:12">
      <c r="E45" s="11">
        <v>41</v>
      </c>
      <c r="F45" s="1" t="e">
        <f t="array" ref="F45">_xlfn.XLOOKUP(C45&amp;D45,玩家战力曲线!$C$12:$C$116&amp;玩家战力曲线!$D$12:$D$116,玩家战力曲线!$AO$12:$AO$116)</f>
        <v>#N/A</v>
      </c>
      <c r="G45" s="1">
        <f t="shared" si="0"/>
        <v>255.2</v>
      </c>
      <c r="H45" s="12">
        <f t="shared" si="1"/>
        <v>255</v>
      </c>
    </row>
    <row r="46" spans="3:12">
      <c r="E46" s="11">
        <v>42</v>
      </c>
      <c r="F46" s="1" t="e">
        <f t="array" ref="F46">_xlfn.XLOOKUP(C46&amp;D46,玩家战力曲线!$C$12:$C$116&amp;玩家战力曲线!$D$12:$D$116,玩家战力曲线!$AO$12:$AO$116)</f>
        <v>#N/A</v>
      </c>
      <c r="G46" s="1">
        <f t="shared" si="0"/>
        <v>258.8</v>
      </c>
      <c r="H46" s="12">
        <f t="shared" si="1"/>
        <v>259</v>
      </c>
    </row>
    <row r="47" spans="3:12">
      <c r="E47" s="11">
        <v>43</v>
      </c>
      <c r="F47" s="1" t="e">
        <f t="array" ref="F47">_xlfn.XLOOKUP(C47&amp;D47,玩家战力曲线!$C$12:$C$116&amp;玩家战力曲线!$D$12:$D$116,玩家战力曲线!$AO$12:$AO$116)</f>
        <v>#N/A</v>
      </c>
      <c r="G47" s="1">
        <f t="shared" si="0"/>
        <v>262.4</v>
      </c>
      <c r="H47" s="12">
        <f t="shared" si="1"/>
        <v>262</v>
      </c>
    </row>
    <row r="48" spans="3:12">
      <c r="E48" s="11">
        <v>44</v>
      </c>
      <c r="F48" s="1" t="e">
        <f t="array" ref="F48">_xlfn.XLOOKUP(C48&amp;D48,玩家战力曲线!$C$12:$C$116&amp;玩家战力曲线!$D$12:$D$116,玩家战力曲线!$AO$12:$AO$116)</f>
        <v>#N/A</v>
      </c>
      <c r="G48" s="1">
        <f t="shared" si="0"/>
        <v>266</v>
      </c>
      <c r="H48" s="12">
        <f t="shared" si="1"/>
        <v>266</v>
      </c>
    </row>
    <row r="49" spans="5:8">
      <c r="E49" s="11">
        <v>45</v>
      </c>
      <c r="F49" s="1" t="e">
        <f t="array" ref="F49">_xlfn.XLOOKUP(C49&amp;D49,玩家战力曲线!$C$12:$C$116&amp;玩家战力曲线!$D$12:$D$116,玩家战力曲线!$AO$12:$AO$116)</f>
        <v>#N/A</v>
      </c>
      <c r="G49" s="1">
        <f t="shared" si="0"/>
        <v>269.6</v>
      </c>
      <c r="H49" s="12">
        <f t="shared" si="1"/>
        <v>270</v>
      </c>
    </row>
    <row r="50" spans="5:8">
      <c r="E50" s="11">
        <v>46</v>
      </c>
      <c r="F50" s="1" t="e">
        <f t="array" ref="F50">_xlfn.XLOOKUP(C50&amp;D50,玩家战力曲线!$C$12:$C$116&amp;玩家战力曲线!$D$12:$D$116,玩家战力曲线!$AO$12:$AO$116)</f>
        <v>#N/A</v>
      </c>
      <c r="G50" s="1">
        <f t="shared" si="0"/>
        <v>273.2</v>
      </c>
      <c r="H50" s="12">
        <f t="shared" si="1"/>
        <v>273</v>
      </c>
    </row>
    <row r="51" spans="5:8">
      <c r="E51" s="11">
        <v>47</v>
      </c>
      <c r="F51" s="1" t="e">
        <f t="array" ref="F51">_xlfn.XLOOKUP(C51&amp;D51,玩家战力曲线!$C$12:$C$116&amp;玩家战力曲线!$D$12:$D$116,玩家战力曲线!$AO$12:$AO$116)</f>
        <v>#N/A</v>
      </c>
      <c r="G51" s="1">
        <f t="shared" si="0"/>
        <v>276.8</v>
      </c>
      <c r="H51" s="12">
        <f t="shared" si="1"/>
        <v>277</v>
      </c>
    </row>
    <row r="52" spans="5:8">
      <c r="E52" s="11">
        <v>48</v>
      </c>
      <c r="F52" s="1" t="e">
        <f t="array" ref="F52">_xlfn.XLOOKUP(C52&amp;D52,玩家战力曲线!$C$12:$C$116&amp;玩家战力曲线!$D$12:$D$116,玩家战力曲线!$AO$12:$AO$116)</f>
        <v>#N/A</v>
      </c>
      <c r="G52" s="1">
        <f t="shared" si="0"/>
        <v>280.4</v>
      </c>
      <c r="H52" s="12">
        <f t="shared" si="1"/>
        <v>280</v>
      </c>
    </row>
    <row r="53" spans="5:8">
      <c r="E53" s="11">
        <v>49</v>
      </c>
      <c r="F53" s="1" t="e">
        <f t="array" ref="F53">_xlfn.XLOOKUP(C53&amp;D53,玩家战力曲线!$C$12:$C$116&amp;玩家战力曲线!$D$12:$D$116,玩家战力曲线!$AO$12:$AO$116)</f>
        <v>#N/A</v>
      </c>
      <c r="G53" s="1">
        <f t="shared" si="0"/>
        <v>284</v>
      </c>
      <c r="H53" s="12">
        <f t="shared" si="1"/>
        <v>284</v>
      </c>
    </row>
    <row r="54" spans="5:8">
      <c r="E54" s="11">
        <v>50</v>
      </c>
      <c r="F54" s="1" t="e">
        <f t="array" ref="F54">_xlfn.XLOOKUP(C54&amp;D54,玩家战力曲线!$C$12:$C$116&amp;玩家战力曲线!$D$12:$D$116,玩家战力曲线!$AO$12:$AO$116)</f>
        <v>#N/A</v>
      </c>
      <c r="G54" s="1">
        <f t="shared" si="0"/>
        <v>287.6</v>
      </c>
      <c r="H54" s="12">
        <f t="shared" si="1"/>
        <v>288</v>
      </c>
    </row>
    <row r="55" spans="5:8">
      <c r="E55" s="11">
        <v>51</v>
      </c>
      <c r="F55" s="1" t="e">
        <f t="array" ref="F55">_xlfn.XLOOKUP(C55&amp;D55,玩家战力曲线!$C$12:$C$116&amp;玩家战力曲线!$D$12:$D$116,玩家战力曲线!$AO$12:$AO$116)</f>
        <v>#N/A</v>
      </c>
      <c r="G55" s="1">
        <f t="shared" si="0"/>
        <v>291.2</v>
      </c>
      <c r="H55" s="12">
        <f t="shared" si="1"/>
        <v>291</v>
      </c>
    </row>
    <row r="56" spans="5:8">
      <c r="E56" s="11">
        <v>52</v>
      </c>
      <c r="F56" s="1" t="e">
        <f t="array" ref="F56">_xlfn.XLOOKUP(C56&amp;D56,玩家战力曲线!$C$12:$C$116&amp;玩家战力曲线!$D$12:$D$116,玩家战力曲线!$AO$12:$AO$116)</f>
        <v>#N/A</v>
      </c>
      <c r="G56" s="1">
        <f t="shared" si="0"/>
        <v>294.8</v>
      </c>
      <c r="H56" s="12">
        <f t="shared" si="1"/>
        <v>295</v>
      </c>
    </row>
    <row r="57" spans="5:8">
      <c r="E57" s="11">
        <v>53</v>
      </c>
      <c r="F57" s="1" t="e">
        <f t="array" ref="F57">_xlfn.XLOOKUP(C57&amp;D57,玩家战力曲线!$C$12:$C$116&amp;玩家战力曲线!$D$12:$D$116,玩家战力曲线!$AO$12:$AO$116)</f>
        <v>#N/A</v>
      </c>
      <c r="G57" s="1">
        <f t="shared" si="0"/>
        <v>298.4</v>
      </c>
      <c r="H57" s="12">
        <f t="shared" si="1"/>
        <v>298</v>
      </c>
    </row>
    <row r="58" spans="5:8">
      <c r="E58" s="11">
        <v>54</v>
      </c>
      <c r="F58" s="1" t="e">
        <f t="array" ref="F58">_xlfn.XLOOKUP(C58&amp;D58,玩家战力曲线!$C$12:$C$116&amp;玩家战力曲线!$D$12:$D$116,玩家战力曲线!$AO$12:$AO$116)</f>
        <v>#N/A</v>
      </c>
      <c r="G58" s="1">
        <f t="shared" si="0"/>
        <v>302</v>
      </c>
      <c r="H58" s="12">
        <f t="shared" si="1"/>
        <v>302</v>
      </c>
    </row>
    <row r="59" spans="5:8">
      <c r="E59" s="11">
        <v>55</v>
      </c>
      <c r="F59" s="1" t="e">
        <f t="array" ref="F59">_xlfn.XLOOKUP(C59&amp;D59,玩家战力曲线!$C$12:$C$116&amp;玩家战力曲线!$D$12:$D$116,玩家战力曲线!$AO$12:$AO$116)</f>
        <v>#N/A</v>
      </c>
      <c r="G59" s="1">
        <f t="shared" si="0"/>
        <v>305.6</v>
      </c>
      <c r="H59" s="12">
        <f t="shared" si="1"/>
        <v>306</v>
      </c>
    </row>
    <row r="60" spans="5:8">
      <c r="E60" s="11">
        <v>56</v>
      </c>
      <c r="F60" s="1" t="e">
        <f t="array" ref="F60">_xlfn.XLOOKUP(C60&amp;D60,玩家战力曲线!$C$12:$C$116&amp;玩家战力曲线!$D$12:$D$116,玩家战力曲线!$AO$12:$AO$116)</f>
        <v>#N/A</v>
      </c>
      <c r="G60" s="1">
        <f t="shared" si="0"/>
        <v>309.2</v>
      </c>
      <c r="H60" s="12">
        <f t="shared" si="1"/>
        <v>309</v>
      </c>
    </row>
    <row r="61" spans="5:8">
      <c r="E61" s="11">
        <v>57</v>
      </c>
      <c r="F61" s="1" t="e">
        <f t="array" ref="F61">_xlfn.XLOOKUP(C61&amp;D61,玩家战力曲线!$C$12:$C$116&amp;玩家战力曲线!$D$12:$D$116,玩家战力曲线!$AO$12:$AO$116)</f>
        <v>#N/A</v>
      </c>
      <c r="G61" s="1">
        <f t="shared" si="0"/>
        <v>312.8</v>
      </c>
      <c r="H61" s="12">
        <f t="shared" si="1"/>
        <v>313</v>
      </c>
    </row>
    <row r="62" spans="5:8">
      <c r="E62" s="11">
        <v>58</v>
      </c>
      <c r="F62" s="1" t="e">
        <f t="array" ref="F62">_xlfn.XLOOKUP(C62&amp;D62,玩家战力曲线!$C$12:$C$116&amp;玩家战力曲线!$D$12:$D$116,玩家战力曲线!$AO$12:$AO$116)</f>
        <v>#N/A</v>
      </c>
      <c r="G62" s="1">
        <f t="shared" si="0"/>
        <v>316.4</v>
      </c>
      <c r="H62" s="12">
        <f t="shared" si="1"/>
        <v>316</v>
      </c>
    </row>
    <row r="63" spans="5:8">
      <c r="E63" s="11">
        <v>59</v>
      </c>
      <c r="F63" s="1" t="e">
        <f t="array" ref="F63">_xlfn.XLOOKUP(C63&amp;D63,玩家战力曲线!$C$12:$C$116&amp;玩家战力曲线!$D$12:$D$116,玩家战力曲线!$AO$12:$AO$116)</f>
        <v>#N/A</v>
      </c>
      <c r="G63" s="1">
        <f t="shared" si="0"/>
        <v>320</v>
      </c>
      <c r="H63" s="12">
        <f t="shared" si="1"/>
        <v>320</v>
      </c>
    </row>
    <row r="64" spans="5:8">
      <c r="E64" s="11">
        <v>60</v>
      </c>
      <c r="F64" s="1" t="e">
        <f t="array" ref="F64">_xlfn.XLOOKUP(C64&amp;D64,玩家战力曲线!$C$12:$C$116&amp;玩家战力曲线!$D$12:$D$116,玩家战力曲线!$AO$12:$AO$116)</f>
        <v>#N/A</v>
      </c>
      <c r="G64" s="1">
        <f t="shared" si="0"/>
        <v>323.6</v>
      </c>
      <c r="H64" s="12">
        <f t="shared" si="1"/>
        <v>324</v>
      </c>
    </row>
    <row r="65" spans="5:5">
      <c r="E65" s="4"/>
    </row>
    <row r="66" spans="5:5">
      <c r="E66" s="4"/>
    </row>
    <row r="67" spans="5:5">
      <c r="E67" s="4"/>
    </row>
    <row r="68" spans="5:5">
      <c r="E68" s="4"/>
    </row>
    <row r="69" spans="5:5">
      <c r="E69" s="4"/>
    </row>
    <row r="70" spans="5:5">
      <c r="E70" s="4"/>
    </row>
    <row r="71" spans="5:5">
      <c r="E71" s="4"/>
    </row>
    <row r="72" spans="5:5">
      <c r="E72" s="4"/>
    </row>
    <row r="73" spans="5:5">
      <c r="E73" s="4"/>
    </row>
    <row r="74" spans="5:5">
      <c r="E74" s="4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V119"/>
  <sheetViews>
    <sheetView topLeftCell="A26" workbookViewId="0">
      <selection activeCell="V20" sqref="V19:V20"/>
    </sheetView>
  </sheetViews>
  <sheetFormatPr defaultColWidth="9" defaultRowHeight="16.5"/>
  <cols>
    <col min="1" max="1" width="9" style="4" customWidth="1"/>
    <col min="2" max="2" width="17.125" style="4" customWidth="1"/>
    <col min="3" max="4" width="9" style="4" customWidth="1"/>
    <col min="5" max="5" width="10.625" style="4" customWidth="1"/>
    <col min="6" max="6" width="11.375" style="4" customWidth="1"/>
    <col min="7" max="7" width="9" style="4" customWidth="1"/>
    <col min="8" max="8" width="14.125" style="4" customWidth="1"/>
    <col min="9" max="15" width="9" style="4" customWidth="1"/>
    <col min="16" max="17" width="9.25" style="4" customWidth="1"/>
    <col min="18" max="19" width="14.125" style="4" customWidth="1"/>
    <col min="20" max="20" width="12.875" style="4" customWidth="1"/>
    <col min="21" max="22" width="14.125" style="4" customWidth="1"/>
    <col min="23" max="16384" width="9" style="4" customWidth="1"/>
  </cols>
  <sheetData>
    <row r="2" spans="2:6">
      <c r="C2" s="3" t="s">
        <v>696</v>
      </c>
      <c r="D2" s="4" t="s">
        <v>697</v>
      </c>
      <c r="E2" s="4" t="s">
        <v>698</v>
      </c>
    </row>
    <row r="3" spans="2:6">
      <c r="B3" s="3" t="s">
        <v>699</v>
      </c>
      <c r="C3" s="4">
        <v>0</v>
      </c>
      <c r="D3" s="4">
        <v>8</v>
      </c>
      <c r="E3" s="5">
        <v>0.05</v>
      </c>
    </row>
    <row r="4" spans="2:6">
      <c r="B4" s="3" t="s">
        <v>700</v>
      </c>
      <c r="C4" s="4">
        <v>1</v>
      </c>
      <c r="D4" s="4">
        <v>1</v>
      </c>
      <c r="E4" s="5">
        <v>0.2</v>
      </c>
    </row>
    <row r="5" spans="2:6">
      <c r="B5" s="3" t="s">
        <v>701</v>
      </c>
      <c r="C5" s="4">
        <v>2</v>
      </c>
      <c r="D5" s="4">
        <v>1</v>
      </c>
      <c r="E5" s="5">
        <v>0.4</v>
      </c>
    </row>
    <row r="6" spans="2:6">
      <c r="E6" s="4">
        <f t="array" ref="E6">SUMPRODUCT(D3:D5,E3:E5)</f>
        <v>1</v>
      </c>
    </row>
    <row r="13" spans="2:6">
      <c r="B13" s="3" t="s">
        <v>697</v>
      </c>
      <c r="C13" s="5">
        <v>100</v>
      </c>
    </row>
    <row r="14" spans="2:6">
      <c r="F14" s="3" t="s">
        <v>702</v>
      </c>
    </row>
    <row r="15" spans="2:6">
      <c r="B15" s="8" t="s">
        <v>703</v>
      </c>
      <c r="E15" s="4" t="s">
        <v>704</v>
      </c>
      <c r="F15" s="5">
        <v>18</v>
      </c>
    </row>
    <row r="16" spans="2:6">
      <c r="B16" s="8" t="s">
        <v>705</v>
      </c>
      <c r="C16" s="5">
        <v>60</v>
      </c>
      <c r="F16" s="4">
        <f>C16</f>
        <v>60</v>
      </c>
    </row>
    <row r="17" spans="2:22">
      <c r="B17" s="8" t="s">
        <v>706</v>
      </c>
      <c r="C17" s="5">
        <v>1</v>
      </c>
      <c r="F17" s="5">
        <v>0.85</v>
      </c>
    </row>
    <row r="18" spans="2:22">
      <c r="B18" s="8" t="s">
        <v>707</v>
      </c>
      <c r="C18" s="5">
        <v>60</v>
      </c>
    </row>
    <row r="19" spans="2:22">
      <c r="B19" s="8" t="s">
        <v>708</v>
      </c>
      <c r="C19" s="5">
        <v>9</v>
      </c>
      <c r="E19" s="3" t="s">
        <v>687</v>
      </c>
      <c r="F19" s="3" t="s">
        <v>702</v>
      </c>
      <c r="G19" s="3" t="s">
        <v>702</v>
      </c>
      <c r="H19" s="3" t="s">
        <v>591</v>
      </c>
      <c r="K19" s="3" t="s">
        <v>696</v>
      </c>
      <c r="L19" s="3" t="s">
        <v>697</v>
      </c>
      <c r="V19" s="4" t="s">
        <v>610</v>
      </c>
    </row>
    <row r="20" spans="2:22">
      <c r="B20" s="4" t="s">
        <v>709</v>
      </c>
      <c r="C20" s="5">
        <v>20</v>
      </c>
      <c r="E20" s="4">
        <f t="array" ref="E20:E79">_xlfn.SEQUENCE(C18,1,1,1)</f>
        <v>1</v>
      </c>
      <c r="F20" s="4">
        <f t="shared" ref="F20:F79" si="0">IF(E20&gt;$C$19,(E20-$C$19)/($C$18-$C$19)*($C$13-$C$16)+$C$16,$F$15+($F$16-$F$15)*(POWER($F$17,$E20-1)-1)/(POWER($F$17,$C$19-1)-1))</f>
        <v>18</v>
      </c>
      <c r="G20" s="4">
        <f t="shared" ref="G20:G79" si="1">ROUND(F20,0)</f>
        <v>18</v>
      </c>
      <c r="H20" s="4">
        <f>_xlfn.IFNA(VLOOKUP(E20,'主角等级（从新手引导复制） '!$N$43:$P$98,3,0),H19)</f>
        <v>25</v>
      </c>
      <c r="K20" s="4">
        <v>0</v>
      </c>
      <c r="L20" s="4">
        <f t="array" ref="L20:L119">_xlfn.SEQUENCE(C13,1,1,1)</f>
        <v>1</v>
      </c>
      <c r="M20" s="4">
        <f t="shared" ref="M20:M83" si="2">_xlfn.XLOOKUP(L20,$G$20:$G$79,$G$20:$G$79,,1)</f>
        <v>18</v>
      </c>
      <c r="N20" s="4">
        <f t="shared" ref="N20:N83" si="3">VLOOKUP(M20,$G$20:$H$79,2,0)</f>
        <v>25</v>
      </c>
      <c r="O20" s="4">
        <f t="shared" ref="O20:O83" si="4">COUNTIF($N$20:$N$119,N20)</f>
        <v>18</v>
      </c>
      <c r="P20" s="4">
        <f t="array" ref="P20">INDEX('玩家等级对应关卡（从新手节奏复制）'!$H$5:$H$64,MATCH(N20,_xlfn.ANCHORARRAY('玩家等级对应关卡（从新手节奏复制）'!$E$5)))</f>
        <v>129</v>
      </c>
      <c r="Q20" s="4">
        <f>P20</f>
        <v>129</v>
      </c>
      <c r="R20" s="4">
        <f t="shared" ref="R20:R83" si="5">Q20/O20</f>
        <v>7.16666666666667</v>
      </c>
      <c r="S20" s="4">
        <f t="shared" ref="S20:S83" si="6">VLOOKUP(K20,$C$3:$E$5,3,0)</f>
        <v>0.05</v>
      </c>
      <c r="T20" s="4">
        <f>SUM(R20:R29)-C21</f>
        <v>61.6666666666667</v>
      </c>
      <c r="U20" s="4">
        <f t="shared" ref="U20:U83" si="7">T20*S20</f>
        <v>3.08333333333333</v>
      </c>
      <c r="V20" s="5">
        <f>$C$20</f>
        <v>20</v>
      </c>
    </row>
    <row r="21" spans="2:22">
      <c r="B21" s="4" t="s">
        <v>710</v>
      </c>
      <c r="C21" s="5">
        <v>10</v>
      </c>
      <c r="E21" s="4">
        <v>2</v>
      </c>
      <c r="F21" s="4">
        <f t="shared" si="0"/>
        <v>26.6596810307361</v>
      </c>
      <c r="G21" s="4">
        <f t="shared" si="1"/>
        <v>27</v>
      </c>
      <c r="H21" s="4">
        <f>_xlfn.IFNA(VLOOKUP(E21,'主角等级（从新手引导复制） '!$N$43:$P$98,3,0),H20)</f>
        <v>31</v>
      </c>
      <c r="K21" s="4">
        <v>0</v>
      </c>
      <c r="L21" s="4">
        <v>2</v>
      </c>
      <c r="M21" s="4">
        <f t="shared" si="2"/>
        <v>18</v>
      </c>
      <c r="N21" s="4">
        <f t="shared" si="3"/>
        <v>25</v>
      </c>
      <c r="O21" s="4">
        <f t="shared" si="4"/>
        <v>18</v>
      </c>
      <c r="P21" s="4">
        <f t="array" ref="P21">INDEX('玩家等级对应关卡（从新手节奏复制）'!$H$5:$H$64,MATCH(N21,_xlfn.ANCHORARRAY('玩家等级对应关卡（从新手节奏复制）'!$E$5)))</f>
        <v>129</v>
      </c>
      <c r="Q21" s="4">
        <f t="shared" ref="Q21:Q84" si="8">IF(P21&lt;&gt;P20,P21-P20,Q20)</f>
        <v>129</v>
      </c>
      <c r="R21" s="4">
        <f t="shared" si="5"/>
        <v>7.16666666666667</v>
      </c>
      <c r="S21" s="4">
        <f t="shared" si="6"/>
        <v>0.05</v>
      </c>
      <c r="T21" s="4">
        <f t="shared" ref="T21:T29" si="9">T20</f>
        <v>61.6666666666667</v>
      </c>
      <c r="U21" s="4">
        <f t="shared" si="7"/>
        <v>3.08333333333333</v>
      </c>
      <c r="V21" s="4">
        <f t="shared" ref="V21:V84" si="10">ROUND(V20+U21,0)</f>
        <v>23</v>
      </c>
    </row>
    <row r="22" spans="2:22">
      <c r="B22" s="4" t="s">
        <v>711</v>
      </c>
      <c r="C22" s="4">
        <f>C20-C21</f>
        <v>10</v>
      </c>
      <c r="E22" s="4">
        <v>3</v>
      </c>
      <c r="F22" s="4">
        <f t="shared" si="0"/>
        <v>34.0204099068618</v>
      </c>
      <c r="G22" s="4">
        <f t="shared" si="1"/>
        <v>34</v>
      </c>
      <c r="H22" s="4">
        <f>_xlfn.IFNA(VLOOKUP(E22,'主角等级（从新手引导复制） '!$N$43:$P$98,3,0),H21)</f>
        <v>34</v>
      </c>
      <c r="K22" s="4">
        <v>0</v>
      </c>
      <c r="L22" s="4">
        <v>3</v>
      </c>
      <c r="M22" s="4">
        <f t="shared" si="2"/>
        <v>18</v>
      </c>
      <c r="N22" s="4">
        <f t="shared" si="3"/>
        <v>25</v>
      </c>
      <c r="O22" s="4">
        <f t="shared" si="4"/>
        <v>18</v>
      </c>
      <c r="P22" s="4">
        <f t="array" ref="P22">INDEX('玩家等级对应关卡（从新手节奏复制）'!$H$5:$H$64,MATCH(N22,_xlfn.ANCHORARRAY('玩家等级对应关卡（从新手节奏复制）'!$E$5)))</f>
        <v>129</v>
      </c>
      <c r="Q22" s="4">
        <f t="shared" si="8"/>
        <v>129</v>
      </c>
      <c r="R22" s="4">
        <f t="shared" si="5"/>
        <v>7.16666666666667</v>
      </c>
      <c r="S22" s="4">
        <f t="shared" si="6"/>
        <v>0.05</v>
      </c>
      <c r="T22" s="4">
        <f t="shared" si="9"/>
        <v>61.6666666666667</v>
      </c>
      <c r="U22" s="4">
        <f t="shared" si="7"/>
        <v>3.08333333333333</v>
      </c>
      <c r="V22" s="4">
        <f t="shared" si="10"/>
        <v>26</v>
      </c>
    </row>
    <row r="23" spans="2:22">
      <c r="E23" s="4">
        <v>4</v>
      </c>
      <c r="F23" s="4">
        <f t="shared" si="0"/>
        <v>40.2770294515686</v>
      </c>
      <c r="G23" s="4">
        <f t="shared" si="1"/>
        <v>40</v>
      </c>
      <c r="H23" s="4">
        <f>_xlfn.IFNA(VLOOKUP(E23,'主角等级（从新手引导复制） '!$N$43:$P$98,3,0),H22)</f>
        <v>36</v>
      </c>
      <c r="K23" s="4">
        <v>0</v>
      </c>
      <c r="L23" s="4">
        <v>4</v>
      </c>
      <c r="M23" s="4">
        <f t="shared" si="2"/>
        <v>18</v>
      </c>
      <c r="N23" s="4">
        <f t="shared" si="3"/>
        <v>25</v>
      </c>
      <c r="O23" s="4">
        <f t="shared" si="4"/>
        <v>18</v>
      </c>
      <c r="P23" s="4">
        <f t="array" ref="P23">INDEX('玩家等级对应关卡（从新手节奏复制）'!$H$5:$H$64,MATCH(N23,_xlfn.ANCHORARRAY('玩家等级对应关卡（从新手节奏复制）'!$E$5)))</f>
        <v>129</v>
      </c>
      <c r="Q23" s="4">
        <f t="shared" si="8"/>
        <v>129</v>
      </c>
      <c r="R23" s="4">
        <f t="shared" si="5"/>
        <v>7.16666666666667</v>
      </c>
      <c r="S23" s="4">
        <f t="shared" si="6"/>
        <v>0.05</v>
      </c>
      <c r="T23" s="4">
        <f t="shared" si="9"/>
        <v>61.6666666666667</v>
      </c>
      <c r="U23" s="4">
        <f t="shared" si="7"/>
        <v>3.08333333333333</v>
      </c>
      <c r="V23" s="4">
        <f t="shared" si="10"/>
        <v>29</v>
      </c>
    </row>
    <row r="24" spans="2:22">
      <c r="E24" s="4">
        <v>5</v>
      </c>
      <c r="F24" s="4">
        <f t="shared" si="0"/>
        <v>45.5951560645694</v>
      </c>
      <c r="G24" s="4">
        <f t="shared" si="1"/>
        <v>46</v>
      </c>
      <c r="H24" s="4">
        <f>_xlfn.IFNA(VLOOKUP(E24,'主角等级（从新手引导复制） '!$N$43:$P$98,3,0),H23)</f>
        <v>38</v>
      </c>
      <c r="K24" s="4">
        <v>1</v>
      </c>
      <c r="L24" s="4">
        <v>5</v>
      </c>
      <c r="M24" s="4">
        <f t="shared" si="2"/>
        <v>18</v>
      </c>
      <c r="N24" s="4">
        <f t="shared" si="3"/>
        <v>25</v>
      </c>
      <c r="O24" s="4">
        <f t="shared" si="4"/>
        <v>18</v>
      </c>
      <c r="P24" s="4">
        <f t="array" ref="P24">INDEX('玩家等级对应关卡（从新手节奏复制）'!$H$5:$H$64,MATCH(N24,_xlfn.ANCHORARRAY('玩家等级对应关卡（从新手节奏复制）'!$E$5)))</f>
        <v>129</v>
      </c>
      <c r="Q24" s="4">
        <f t="shared" si="8"/>
        <v>129</v>
      </c>
      <c r="R24" s="4">
        <f t="shared" si="5"/>
        <v>7.16666666666667</v>
      </c>
      <c r="S24" s="4">
        <f t="shared" si="6"/>
        <v>0.2</v>
      </c>
      <c r="T24" s="4">
        <f t="shared" si="9"/>
        <v>61.6666666666667</v>
      </c>
      <c r="U24" s="4">
        <f t="shared" si="7"/>
        <v>12.3333333333333</v>
      </c>
      <c r="V24" s="4">
        <f t="shared" si="10"/>
        <v>41</v>
      </c>
    </row>
    <row r="25" spans="2:22">
      <c r="E25" s="4">
        <v>6</v>
      </c>
      <c r="F25" s="4">
        <f t="shared" si="0"/>
        <v>50.1155636856201</v>
      </c>
      <c r="G25" s="4">
        <f t="shared" si="1"/>
        <v>50</v>
      </c>
      <c r="H25" s="4">
        <f>_xlfn.IFNA(VLOOKUP(E25,'主角等级（从新手引导复制） '!$N$43:$P$98,3,0),H24)</f>
        <v>39</v>
      </c>
      <c r="K25" s="4">
        <v>0</v>
      </c>
      <c r="L25" s="4">
        <v>6</v>
      </c>
      <c r="M25" s="4">
        <f t="shared" si="2"/>
        <v>18</v>
      </c>
      <c r="N25" s="4">
        <f t="shared" si="3"/>
        <v>25</v>
      </c>
      <c r="O25" s="4">
        <f t="shared" si="4"/>
        <v>18</v>
      </c>
      <c r="P25" s="4">
        <f t="array" ref="P25">INDEX('玩家等级对应关卡（从新手节奏复制）'!$H$5:$H$64,MATCH(N25,_xlfn.ANCHORARRAY('玩家等级对应关卡（从新手节奏复制）'!$E$5)))</f>
        <v>129</v>
      </c>
      <c r="Q25" s="4">
        <f t="shared" si="8"/>
        <v>129</v>
      </c>
      <c r="R25" s="4">
        <f t="shared" si="5"/>
        <v>7.16666666666667</v>
      </c>
      <c r="S25" s="4">
        <f t="shared" si="6"/>
        <v>0.05</v>
      </c>
      <c r="T25" s="4">
        <f t="shared" si="9"/>
        <v>61.6666666666667</v>
      </c>
      <c r="U25" s="4">
        <f t="shared" si="7"/>
        <v>3.08333333333333</v>
      </c>
      <c r="V25" s="4">
        <f t="shared" si="10"/>
        <v>44</v>
      </c>
    </row>
    <row r="26" spans="2:22">
      <c r="E26" s="4">
        <v>7</v>
      </c>
      <c r="F26" s="4">
        <f t="shared" si="0"/>
        <v>53.9579101635131</v>
      </c>
      <c r="G26" s="4">
        <f t="shared" si="1"/>
        <v>54</v>
      </c>
      <c r="H26" s="4">
        <f>_xlfn.IFNA(VLOOKUP(E26,'主角等级（从新手引导复制） '!$N$43:$P$98,3,0),H25)</f>
        <v>41</v>
      </c>
      <c r="K26" s="4">
        <v>0</v>
      </c>
      <c r="L26" s="4">
        <v>7</v>
      </c>
      <c r="M26" s="4">
        <f t="shared" si="2"/>
        <v>18</v>
      </c>
      <c r="N26" s="4">
        <f t="shared" si="3"/>
        <v>25</v>
      </c>
      <c r="O26" s="4">
        <f t="shared" si="4"/>
        <v>18</v>
      </c>
      <c r="P26" s="4">
        <f t="array" ref="P26">INDEX('玩家等级对应关卡（从新手节奏复制）'!$H$5:$H$64,MATCH(N26,_xlfn.ANCHORARRAY('玩家等级对应关卡（从新手节奏复制）'!$E$5)))</f>
        <v>129</v>
      </c>
      <c r="Q26" s="4">
        <f t="shared" si="8"/>
        <v>129</v>
      </c>
      <c r="R26" s="4">
        <f t="shared" si="5"/>
        <v>7.16666666666667</v>
      </c>
      <c r="S26" s="4">
        <f t="shared" si="6"/>
        <v>0.05</v>
      </c>
      <c r="T26" s="4">
        <f t="shared" si="9"/>
        <v>61.6666666666667</v>
      </c>
      <c r="U26" s="4">
        <f t="shared" si="7"/>
        <v>3.08333333333333</v>
      </c>
      <c r="V26" s="4">
        <f t="shared" si="10"/>
        <v>47</v>
      </c>
    </row>
    <row r="27" spans="2:22">
      <c r="E27" s="4">
        <v>8</v>
      </c>
      <c r="F27" s="4">
        <f t="shared" si="0"/>
        <v>57.2239046697222</v>
      </c>
      <c r="G27" s="4">
        <f t="shared" si="1"/>
        <v>57</v>
      </c>
      <c r="H27" s="4">
        <f>_xlfn.IFNA(VLOOKUP(E27,'主角等级（从新手引导复制） '!$N$43:$P$98,3,0),H26)</f>
        <v>42</v>
      </c>
      <c r="K27" s="4">
        <v>0</v>
      </c>
      <c r="L27" s="4">
        <v>8</v>
      </c>
      <c r="M27" s="4">
        <f t="shared" si="2"/>
        <v>18</v>
      </c>
      <c r="N27" s="4">
        <f t="shared" si="3"/>
        <v>25</v>
      </c>
      <c r="O27" s="4">
        <f t="shared" si="4"/>
        <v>18</v>
      </c>
      <c r="P27" s="4">
        <f t="array" ref="P27">INDEX('玩家等级对应关卡（从新手节奏复制）'!$H$5:$H$64,MATCH(N27,_xlfn.ANCHORARRAY('玩家等级对应关卡（从新手节奏复制）'!$E$5)))</f>
        <v>129</v>
      </c>
      <c r="Q27" s="4">
        <f t="shared" si="8"/>
        <v>129</v>
      </c>
      <c r="R27" s="4">
        <f t="shared" si="5"/>
        <v>7.16666666666667</v>
      </c>
      <c r="S27" s="4">
        <f t="shared" si="6"/>
        <v>0.05</v>
      </c>
      <c r="T27" s="4">
        <f t="shared" si="9"/>
        <v>61.6666666666667</v>
      </c>
      <c r="U27" s="4">
        <f t="shared" si="7"/>
        <v>3.08333333333333</v>
      </c>
      <c r="V27" s="4">
        <f t="shared" si="10"/>
        <v>50</v>
      </c>
    </row>
    <row r="28" spans="2:22">
      <c r="E28" s="4">
        <v>9</v>
      </c>
      <c r="F28" s="4">
        <f t="shared" si="0"/>
        <v>60</v>
      </c>
      <c r="G28" s="4">
        <f t="shared" si="1"/>
        <v>60</v>
      </c>
      <c r="H28" s="4">
        <f>_xlfn.IFNA(VLOOKUP(E28,'主角等级（从新手引导复制） '!$N$43:$P$98,3,0),H27)</f>
        <v>43</v>
      </c>
      <c r="K28" s="4">
        <v>0</v>
      </c>
      <c r="L28" s="4">
        <v>9</v>
      </c>
      <c r="M28" s="4">
        <f t="shared" si="2"/>
        <v>18</v>
      </c>
      <c r="N28" s="4">
        <f t="shared" si="3"/>
        <v>25</v>
      </c>
      <c r="O28" s="4">
        <f t="shared" si="4"/>
        <v>18</v>
      </c>
      <c r="P28" s="4">
        <f t="array" ref="P28">INDEX('玩家等级对应关卡（从新手节奏复制）'!$H$5:$H$64,MATCH(N28,_xlfn.ANCHORARRAY('玩家等级对应关卡（从新手节奏复制）'!$E$5)))</f>
        <v>129</v>
      </c>
      <c r="Q28" s="4">
        <f t="shared" si="8"/>
        <v>129</v>
      </c>
      <c r="R28" s="4">
        <f t="shared" si="5"/>
        <v>7.16666666666667</v>
      </c>
      <c r="S28" s="4">
        <f t="shared" si="6"/>
        <v>0.05</v>
      </c>
      <c r="T28" s="4">
        <f t="shared" si="9"/>
        <v>61.6666666666667</v>
      </c>
      <c r="U28" s="4">
        <f t="shared" si="7"/>
        <v>3.08333333333333</v>
      </c>
      <c r="V28" s="4">
        <f t="shared" si="10"/>
        <v>53</v>
      </c>
    </row>
    <row r="29" spans="2:22">
      <c r="E29" s="4">
        <v>10</v>
      </c>
      <c r="F29" s="4">
        <f t="shared" si="0"/>
        <v>60.7843137254902</v>
      </c>
      <c r="G29" s="4">
        <f t="shared" si="1"/>
        <v>61</v>
      </c>
      <c r="H29" s="4">
        <f>_xlfn.IFNA(VLOOKUP(E29,'主角等级（从新手引导复制） '!$N$43:$P$98,3,0),H28)</f>
        <v>44</v>
      </c>
      <c r="K29" s="4">
        <v>2</v>
      </c>
      <c r="L29" s="4">
        <v>10</v>
      </c>
      <c r="M29" s="4">
        <f t="shared" si="2"/>
        <v>18</v>
      </c>
      <c r="N29" s="4">
        <f t="shared" si="3"/>
        <v>25</v>
      </c>
      <c r="O29" s="4">
        <f t="shared" si="4"/>
        <v>18</v>
      </c>
      <c r="P29" s="4">
        <f t="array" ref="P29">INDEX('玩家等级对应关卡（从新手节奏复制）'!$H$5:$H$64,MATCH(N29,_xlfn.ANCHORARRAY('玩家等级对应关卡（从新手节奏复制）'!$E$5)))</f>
        <v>129</v>
      </c>
      <c r="Q29" s="4">
        <f t="shared" si="8"/>
        <v>129</v>
      </c>
      <c r="R29" s="4">
        <f t="shared" si="5"/>
        <v>7.16666666666667</v>
      </c>
      <c r="S29" s="4">
        <f t="shared" si="6"/>
        <v>0.4</v>
      </c>
      <c r="T29" s="4">
        <f t="shared" si="9"/>
        <v>61.6666666666667</v>
      </c>
      <c r="U29" s="4">
        <f t="shared" si="7"/>
        <v>24.6666666666667</v>
      </c>
      <c r="V29" s="4">
        <f t="shared" si="10"/>
        <v>78</v>
      </c>
    </row>
    <row r="30" spans="2:22">
      <c r="E30" s="4">
        <v>11</v>
      </c>
      <c r="F30" s="4">
        <f t="shared" si="0"/>
        <v>61.5686274509804</v>
      </c>
      <c r="G30" s="4">
        <f t="shared" si="1"/>
        <v>62</v>
      </c>
      <c r="H30" s="4">
        <f>_xlfn.IFNA(VLOOKUP(E30,'主角等级（从新手引导复制） '!$N$43:$P$98,3,0),H29)</f>
        <v>45</v>
      </c>
      <c r="K30" s="4">
        <v>0</v>
      </c>
      <c r="L30" s="4">
        <v>11</v>
      </c>
      <c r="M30" s="4">
        <f t="shared" si="2"/>
        <v>18</v>
      </c>
      <c r="N30" s="4">
        <f t="shared" si="3"/>
        <v>25</v>
      </c>
      <c r="O30" s="4">
        <f t="shared" si="4"/>
        <v>18</v>
      </c>
      <c r="P30" s="4">
        <f t="array" ref="P30">INDEX('玩家等级对应关卡（从新手节奏复制）'!$H$5:$H$64,MATCH(N30,_xlfn.ANCHORARRAY('玩家等级对应关卡（从新手节奏复制）'!$E$5)))</f>
        <v>129</v>
      </c>
      <c r="Q30" s="4">
        <f t="shared" si="8"/>
        <v>129</v>
      </c>
      <c r="R30" s="4">
        <f t="shared" si="5"/>
        <v>7.16666666666667</v>
      </c>
      <c r="S30" s="4">
        <f t="shared" si="6"/>
        <v>0.05</v>
      </c>
      <c r="T30" s="4">
        <f>SUM(R30:R39)-C22</f>
        <v>60.4444444444444</v>
      </c>
      <c r="U30" s="4">
        <f t="shared" si="7"/>
        <v>3.02222222222222</v>
      </c>
      <c r="V30" s="4">
        <f t="shared" si="10"/>
        <v>81</v>
      </c>
    </row>
    <row r="31" spans="2:22">
      <c r="E31" s="4">
        <v>12</v>
      </c>
      <c r="F31" s="4">
        <f t="shared" si="0"/>
        <v>62.3529411764706</v>
      </c>
      <c r="G31" s="4">
        <f t="shared" si="1"/>
        <v>62</v>
      </c>
      <c r="H31" s="4">
        <f>_xlfn.IFNA(VLOOKUP(E31,'主角等级（从新手引导复制） '!$N$43:$P$98,3,0),H30)</f>
        <v>45</v>
      </c>
      <c r="K31" s="4">
        <v>0</v>
      </c>
      <c r="L31" s="4">
        <v>12</v>
      </c>
      <c r="M31" s="4">
        <f t="shared" si="2"/>
        <v>18</v>
      </c>
      <c r="N31" s="4">
        <f t="shared" si="3"/>
        <v>25</v>
      </c>
      <c r="O31" s="4">
        <f t="shared" si="4"/>
        <v>18</v>
      </c>
      <c r="P31" s="4">
        <f t="array" ref="P31">INDEX('玩家等级对应关卡（从新手节奏复制）'!$H$5:$H$64,MATCH(N31,_xlfn.ANCHORARRAY('玩家等级对应关卡（从新手节奏复制）'!$E$5)))</f>
        <v>129</v>
      </c>
      <c r="Q31" s="4">
        <f t="shared" si="8"/>
        <v>129</v>
      </c>
      <c r="R31" s="4">
        <f t="shared" si="5"/>
        <v>7.16666666666667</v>
      </c>
      <c r="S31" s="4">
        <f t="shared" si="6"/>
        <v>0.05</v>
      </c>
      <c r="T31" s="4">
        <f t="shared" ref="T31:T39" si="11">T30</f>
        <v>60.4444444444444</v>
      </c>
      <c r="U31" s="4">
        <f t="shared" si="7"/>
        <v>3.02222222222222</v>
      </c>
      <c r="V31" s="4">
        <f t="shared" si="10"/>
        <v>84</v>
      </c>
    </row>
    <row r="32" spans="2:22">
      <c r="E32" s="4">
        <v>13</v>
      </c>
      <c r="F32" s="4">
        <f t="shared" si="0"/>
        <v>63.1372549019608</v>
      </c>
      <c r="G32" s="4">
        <f t="shared" si="1"/>
        <v>63</v>
      </c>
      <c r="H32" s="4">
        <f>_xlfn.IFNA(VLOOKUP(E32,'主角等级（从新手引导复制） '!$N$43:$P$98,3,0),H31)</f>
        <v>46</v>
      </c>
      <c r="K32" s="4">
        <v>0</v>
      </c>
      <c r="L32" s="4">
        <v>13</v>
      </c>
      <c r="M32" s="4">
        <f t="shared" si="2"/>
        <v>18</v>
      </c>
      <c r="N32" s="4">
        <f t="shared" si="3"/>
        <v>25</v>
      </c>
      <c r="O32" s="4">
        <f t="shared" si="4"/>
        <v>18</v>
      </c>
      <c r="P32" s="4">
        <f t="array" ref="P32">INDEX('玩家等级对应关卡（从新手节奏复制）'!$H$5:$H$64,MATCH(N32,_xlfn.ANCHORARRAY('玩家等级对应关卡（从新手节奏复制）'!$E$5)))</f>
        <v>129</v>
      </c>
      <c r="Q32" s="4">
        <f t="shared" si="8"/>
        <v>129</v>
      </c>
      <c r="R32" s="4">
        <f t="shared" si="5"/>
        <v>7.16666666666667</v>
      </c>
      <c r="S32" s="4">
        <f t="shared" si="6"/>
        <v>0.05</v>
      </c>
      <c r="T32" s="4">
        <f t="shared" si="11"/>
        <v>60.4444444444444</v>
      </c>
      <c r="U32" s="4">
        <f t="shared" si="7"/>
        <v>3.02222222222222</v>
      </c>
      <c r="V32" s="4">
        <f t="shared" si="10"/>
        <v>87</v>
      </c>
    </row>
    <row r="33" spans="5:22">
      <c r="E33" s="4">
        <v>14</v>
      </c>
      <c r="F33" s="4">
        <f t="shared" si="0"/>
        <v>63.921568627451</v>
      </c>
      <c r="G33" s="4">
        <f t="shared" si="1"/>
        <v>64</v>
      </c>
      <c r="H33" s="4">
        <f>_xlfn.IFNA(VLOOKUP(E33,'主角等级（从新手引导复制） '!$N$43:$P$98,3,0),H32)</f>
        <v>47</v>
      </c>
      <c r="K33" s="4">
        <v>0</v>
      </c>
      <c r="L33" s="4">
        <v>14</v>
      </c>
      <c r="M33" s="4">
        <f t="shared" si="2"/>
        <v>18</v>
      </c>
      <c r="N33" s="4">
        <f t="shared" si="3"/>
        <v>25</v>
      </c>
      <c r="O33" s="4">
        <f t="shared" si="4"/>
        <v>18</v>
      </c>
      <c r="P33" s="4">
        <f t="array" ref="P33">INDEX('玩家等级对应关卡（从新手节奏复制）'!$H$5:$H$64,MATCH(N33,_xlfn.ANCHORARRAY('玩家等级对应关卡（从新手节奏复制）'!$E$5)))</f>
        <v>129</v>
      </c>
      <c r="Q33" s="4">
        <f t="shared" si="8"/>
        <v>129</v>
      </c>
      <c r="R33" s="4">
        <f t="shared" si="5"/>
        <v>7.16666666666667</v>
      </c>
      <c r="S33" s="4">
        <f t="shared" si="6"/>
        <v>0.05</v>
      </c>
      <c r="T33" s="4">
        <f t="shared" si="11"/>
        <v>60.4444444444444</v>
      </c>
      <c r="U33" s="4">
        <f t="shared" si="7"/>
        <v>3.02222222222222</v>
      </c>
      <c r="V33" s="4">
        <f t="shared" si="10"/>
        <v>90</v>
      </c>
    </row>
    <row r="34" spans="5:22">
      <c r="E34" s="4">
        <v>15</v>
      </c>
      <c r="F34" s="4">
        <f t="shared" si="0"/>
        <v>64.7058823529412</v>
      </c>
      <c r="G34" s="4">
        <f t="shared" si="1"/>
        <v>65</v>
      </c>
      <c r="H34" s="4">
        <f>_xlfn.IFNA(VLOOKUP(E34,'主角等级（从新手引导复制） '!$N$43:$P$98,3,0),H33)</f>
        <v>47</v>
      </c>
      <c r="K34" s="4">
        <v>1</v>
      </c>
      <c r="L34" s="4">
        <v>15</v>
      </c>
      <c r="M34" s="4">
        <f t="shared" si="2"/>
        <v>18</v>
      </c>
      <c r="N34" s="4">
        <f t="shared" si="3"/>
        <v>25</v>
      </c>
      <c r="O34" s="4">
        <f t="shared" si="4"/>
        <v>18</v>
      </c>
      <c r="P34" s="4">
        <f t="array" ref="P34">INDEX('玩家等级对应关卡（从新手节奏复制）'!$H$5:$H$64,MATCH(N34,_xlfn.ANCHORARRAY('玩家等级对应关卡（从新手节奏复制）'!$E$5)))</f>
        <v>129</v>
      </c>
      <c r="Q34" s="4">
        <f t="shared" si="8"/>
        <v>129</v>
      </c>
      <c r="R34" s="4">
        <f t="shared" si="5"/>
        <v>7.16666666666667</v>
      </c>
      <c r="S34" s="4">
        <f t="shared" si="6"/>
        <v>0.2</v>
      </c>
      <c r="T34" s="4">
        <f t="shared" si="11"/>
        <v>60.4444444444444</v>
      </c>
      <c r="U34" s="4">
        <f t="shared" si="7"/>
        <v>12.0888888888889</v>
      </c>
      <c r="V34" s="4">
        <f t="shared" si="10"/>
        <v>102</v>
      </c>
    </row>
    <row r="35" spans="5:22">
      <c r="E35" s="4">
        <v>16</v>
      </c>
      <c r="F35" s="4">
        <f t="shared" si="0"/>
        <v>65.4901960784314</v>
      </c>
      <c r="G35" s="4">
        <f t="shared" si="1"/>
        <v>65</v>
      </c>
      <c r="H35" s="4">
        <f>_xlfn.IFNA(VLOOKUP(E35,'主角等级（从新手引导复制） '!$N$43:$P$98,3,0),H34)</f>
        <v>48</v>
      </c>
      <c r="K35" s="4">
        <v>0</v>
      </c>
      <c r="L35" s="4">
        <v>16</v>
      </c>
      <c r="M35" s="4">
        <f t="shared" si="2"/>
        <v>18</v>
      </c>
      <c r="N35" s="4">
        <f t="shared" si="3"/>
        <v>25</v>
      </c>
      <c r="O35" s="4">
        <f t="shared" si="4"/>
        <v>18</v>
      </c>
      <c r="P35" s="4">
        <f t="array" ref="P35">INDEX('玩家等级对应关卡（从新手节奏复制）'!$H$5:$H$64,MATCH(N35,_xlfn.ANCHORARRAY('玩家等级对应关卡（从新手节奏复制）'!$E$5)))</f>
        <v>129</v>
      </c>
      <c r="Q35" s="4">
        <f t="shared" si="8"/>
        <v>129</v>
      </c>
      <c r="R35" s="4">
        <f t="shared" si="5"/>
        <v>7.16666666666667</v>
      </c>
      <c r="S35" s="4">
        <f t="shared" si="6"/>
        <v>0.05</v>
      </c>
      <c r="T35" s="4">
        <f t="shared" si="11"/>
        <v>60.4444444444444</v>
      </c>
      <c r="U35" s="4">
        <f t="shared" si="7"/>
        <v>3.02222222222222</v>
      </c>
      <c r="V35" s="4">
        <f t="shared" si="10"/>
        <v>105</v>
      </c>
    </row>
    <row r="36" spans="5:22">
      <c r="E36" s="4">
        <v>17</v>
      </c>
      <c r="F36" s="4">
        <f t="shared" si="0"/>
        <v>66.2745098039216</v>
      </c>
      <c r="G36" s="4">
        <f t="shared" si="1"/>
        <v>66</v>
      </c>
      <c r="H36" s="4">
        <f>_xlfn.IFNA(VLOOKUP(E36,'主角等级（从新手引导复制） '!$N$43:$P$98,3,0),H35)</f>
        <v>48</v>
      </c>
      <c r="K36" s="4">
        <v>0</v>
      </c>
      <c r="L36" s="4">
        <v>17</v>
      </c>
      <c r="M36" s="4">
        <f t="shared" si="2"/>
        <v>18</v>
      </c>
      <c r="N36" s="4">
        <f t="shared" si="3"/>
        <v>25</v>
      </c>
      <c r="O36" s="4">
        <f t="shared" si="4"/>
        <v>18</v>
      </c>
      <c r="P36" s="4">
        <f t="array" ref="P36">INDEX('玩家等级对应关卡（从新手节奏复制）'!$H$5:$H$64,MATCH(N36,_xlfn.ANCHORARRAY('玩家等级对应关卡（从新手节奏复制）'!$E$5)))</f>
        <v>129</v>
      </c>
      <c r="Q36" s="4">
        <f t="shared" si="8"/>
        <v>129</v>
      </c>
      <c r="R36" s="4">
        <f t="shared" si="5"/>
        <v>7.16666666666667</v>
      </c>
      <c r="S36" s="4">
        <f t="shared" si="6"/>
        <v>0.05</v>
      </c>
      <c r="T36" s="4">
        <f t="shared" si="11"/>
        <v>60.4444444444444</v>
      </c>
      <c r="U36" s="4">
        <f t="shared" si="7"/>
        <v>3.02222222222222</v>
      </c>
      <c r="V36" s="4">
        <f t="shared" si="10"/>
        <v>108</v>
      </c>
    </row>
    <row r="37" spans="5:22">
      <c r="E37" s="4">
        <v>18</v>
      </c>
      <c r="F37" s="4">
        <f t="shared" si="0"/>
        <v>67.0588235294118</v>
      </c>
      <c r="G37" s="4">
        <f t="shared" si="1"/>
        <v>67</v>
      </c>
      <c r="H37" s="4">
        <f>_xlfn.IFNA(VLOOKUP(E37,'主角等级（从新手引导复制） '!$N$43:$P$98,3,0),H36)</f>
        <v>49</v>
      </c>
      <c r="K37" s="4">
        <v>0</v>
      </c>
      <c r="L37" s="4">
        <v>18</v>
      </c>
      <c r="M37" s="4">
        <f t="shared" si="2"/>
        <v>18</v>
      </c>
      <c r="N37" s="4">
        <f t="shared" si="3"/>
        <v>25</v>
      </c>
      <c r="O37" s="4">
        <f t="shared" si="4"/>
        <v>18</v>
      </c>
      <c r="P37" s="4">
        <f t="array" ref="P37">INDEX('玩家等级对应关卡（从新手节奏复制）'!$H$5:$H$64,MATCH(N37,_xlfn.ANCHORARRAY('玩家等级对应关卡（从新手节奏复制）'!$E$5)))</f>
        <v>129</v>
      </c>
      <c r="Q37" s="4">
        <f t="shared" si="8"/>
        <v>129</v>
      </c>
      <c r="R37" s="4">
        <f t="shared" si="5"/>
        <v>7.16666666666667</v>
      </c>
      <c r="S37" s="4">
        <f t="shared" si="6"/>
        <v>0.05</v>
      </c>
      <c r="T37" s="4">
        <f t="shared" si="11"/>
        <v>60.4444444444444</v>
      </c>
      <c r="U37" s="4">
        <f t="shared" si="7"/>
        <v>3.02222222222222</v>
      </c>
      <c r="V37" s="4">
        <f t="shared" si="10"/>
        <v>111</v>
      </c>
    </row>
    <row r="38" spans="5:22">
      <c r="E38" s="4">
        <v>19</v>
      </c>
      <c r="F38" s="4">
        <f t="shared" si="0"/>
        <v>67.843137254902</v>
      </c>
      <c r="G38" s="4">
        <f t="shared" si="1"/>
        <v>68</v>
      </c>
      <c r="H38" s="4">
        <f>_xlfn.IFNA(VLOOKUP(E38,'主角等级（从新手引导复制） '!$N$43:$P$98,3,0),H37)</f>
        <v>50</v>
      </c>
      <c r="K38" s="4">
        <v>0</v>
      </c>
      <c r="L38" s="4">
        <v>19</v>
      </c>
      <c r="M38" s="4">
        <f t="shared" si="2"/>
        <v>27</v>
      </c>
      <c r="N38" s="4">
        <f t="shared" si="3"/>
        <v>31</v>
      </c>
      <c r="O38" s="4">
        <f t="shared" si="4"/>
        <v>9</v>
      </c>
      <c r="P38" s="4">
        <f t="array" ref="P38">INDEX('玩家等级对应关卡（从新手节奏复制）'!$H$5:$H$64,MATCH(N38,_xlfn.ANCHORARRAY('玩家等级对应关卡（从新手节奏复制）'!$E$5)))</f>
        <v>188</v>
      </c>
      <c r="Q38" s="4">
        <f t="shared" si="8"/>
        <v>59</v>
      </c>
      <c r="R38" s="4">
        <f t="shared" si="5"/>
        <v>6.55555555555556</v>
      </c>
      <c r="S38" s="4">
        <f t="shared" si="6"/>
        <v>0.05</v>
      </c>
      <c r="T38" s="4">
        <f t="shared" si="11"/>
        <v>60.4444444444444</v>
      </c>
      <c r="U38" s="4">
        <f t="shared" si="7"/>
        <v>3.02222222222222</v>
      </c>
      <c r="V38" s="4">
        <f t="shared" si="10"/>
        <v>114</v>
      </c>
    </row>
    <row r="39" spans="5:22">
      <c r="E39" s="4">
        <v>20</v>
      </c>
      <c r="F39" s="4">
        <f t="shared" si="0"/>
        <v>68.6274509803922</v>
      </c>
      <c r="G39" s="4">
        <f t="shared" si="1"/>
        <v>69</v>
      </c>
      <c r="H39" s="4">
        <f>_xlfn.IFNA(VLOOKUP(E39,'主角等级（从新手引导复制） '!$N$43:$P$98,3,0),H38)</f>
        <v>50</v>
      </c>
      <c r="K39" s="4">
        <v>2</v>
      </c>
      <c r="L39" s="4">
        <v>20</v>
      </c>
      <c r="M39" s="4">
        <f t="shared" si="2"/>
        <v>27</v>
      </c>
      <c r="N39" s="4">
        <f t="shared" si="3"/>
        <v>31</v>
      </c>
      <c r="O39" s="4">
        <f t="shared" si="4"/>
        <v>9</v>
      </c>
      <c r="P39" s="4">
        <f t="array" ref="P39">INDEX('玩家等级对应关卡（从新手节奏复制）'!$H$5:$H$64,MATCH(N39,_xlfn.ANCHORARRAY('玩家等级对应关卡（从新手节奏复制）'!$E$5)))</f>
        <v>188</v>
      </c>
      <c r="Q39" s="4">
        <f t="shared" si="8"/>
        <v>59</v>
      </c>
      <c r="R39" s="4">
        <f t="shared" si="5"/>
        <v>6.55555555555556</v>
      </c>
      <c r="S39" s="4">
        <f t="shared" si="6"/>
        <v>0.4</v>
      </c>
      <c r="T39" s="4">
        <f t="shared" si="11"/>
        <v>60.4444444444444</v>
      </c>
      <c r="U39" s="4">
        <f t="shared" si="7"/>
        <v>24.1777777777778</v>
      </c>
      <c r="V39" s="4">
        <f t="shared" si="10"/>
        <v>138</v>
      </c>
    </row>
    <row r="40" spans="5:22">
      <c r="E40" s="4">
        <v>21</v>
      </c>
      <c r="F40" s="4">
        <f t="shared" si="0"/>
        <v>69.4117647058823</v>
      </c>
      <c r="G40" s="4">
        <f t="shared" si="1"/>
        <v>69</v>
      </c>
      <c r="H40" s="4">
        <f>_xlfn.IFNA(VLOOKUP(E40,'主角等级（从新手引导复制） '!$N$43:$P$98,3,0),H39)</f>
        <v>50</v>
      </c>
      <c r="K40" s="4">
        <v>0</v>
      </c>
      <c r="L40" s="4">
        <v>21</v>
      </c>
      <c r="M40" s="4">
        <f t="shared" si="2"/>
        <v>27</v>
      </c>
      <c r="N40" s="4">
        <f t="shared" si="3"/>
        <v>31</v>
      </c>
      <c r="O40" s="4">
        <f t="shared" si="4"/>
        <v>9</v>
      </c>
      <c r="P40" s="4">
        <f t="array" ref="P40">INDEX('玩家等级对应关卡（从新手节奏复制）'!$H$5:$H$64,MATCH(N40,_xlfn.ANCHORARRAY('玩家等级对应关卡（从新手节奏复制）'!$E$5)))</f>
        <v>188</v>
      </c>
      <c r="Q40" s="4">
        <f t="shared" si="8"/>
        <v>59</v>
      </c>
      <c r="R40" s="4">
        <f t="shared" si="5"/>
        <v>6.55555555555556</v>
      </c>
      <c r="S40" s="4">
        <f t="shared" si="6"/>
        <v>0.05</v>
      </c>
      <c r="T40" s="4">
        <f>SUM(R40:R49)</f>
        <v>56.1746031746032</v>
      </c>
      <c r="U40" s="4">
        <f t="shared" si="7"/>
        <v>2.80873015873016</v>
      </c>
      <c r="V40" s="4">
        <f t="shared" si="10"/>
        <v>141</v>
      </c>
    </row>
    <row r="41" spans="5:22">
      <c r="E41" s="4">
        <v>22</v>
      </c>
      <c r="F41" s="4">
        <f t="shared" si="0"/>
        <v>70.1960784313725</v>
      </c>
      <c r="G41" s="4">
        <f t="shared" si="1"/>
        <v>70</v>
      </c>
      <c r="H41" s="4">
        <f>_xlfn.IFNA(VLOOKUP(E41,'主角等级（从新手引导复制） '!$N$43:$P$98,3,0),H40)</f>
        <v>51</v>
      </c>
      <c r="K41" s="4">
        <v>0</v>
      </c>
      <c r="L41" s="4">
        <v>22</v>
      </c>
      <c r="M41" s="4">
        <f t="shared" si="2"/>
        <v>27</v>
      </c>
      <c r="N41" s="4">
        <f t="shared" si="3"/>
        <v>31</v>
      </c>
      <c r="O41" s="4">
        <f t="shared" si="4"/>
        <v>9</v>
      </c>
      <c r="P41" s="4">
        <f t="array" ref="P41">INDEX('玩家等级对应关卡（从新手节奏复制）'!$H$5:$H$64,MATCH(N41,_xlfn.ANCHORARRAY('玩家等级对应关卡（从新手节奏复制）'!$E$5)))</f>
        <v>188</v>
      </c>
      <c r="Q41" s="4">
        <f t="shared" si="8"/>
        <v>59</v>
      </c>
      <c r="R41" s="4">
        <f t="shared" si="5"/>
        <v>6.55555555555556</v>
      </c>
      <c r="S41" s="4">
        <f t="shared" si="6"/>
        <v>0.05</v>
      </c>
      <c r="T41" s="4">
        <f t="shared" ref="T41:T49" si="12">T40</f>
        <v>56.1746031746032</v>
      </c>
      <c r="U41" s="4">
        <f t="shared" si="7"/>
        <v>2.80873015873016</v>
      </c>
      <c r="V41" s="4">
        <f t="shared" si="10"/>
        <v>144</v>
      </c>
    </row>
    <row r="42" spans="5:22">
      <c r="E42" s="4">
        <v>23</v>
      </c>
      <c r="F42" s="4">
        <f t="shared" si="0"/>
        <v>70.9803921568627</v>
      </c>
      <c r="G42" s="4">
        <f t="shared" si="1"/>
        <v>71</v>
      </c>
      <c r="H42" s="4">
        <f>_xlfn.IFNA(VLOOKUP(E42,'主角等级（从新手引导复制） '!$N$43:$P$98,3,0),H41)</f>
        <v>51</v>
      </c>
      <c r="K42" s="4">
        <v>0</v>
      </c>
      <c r="L42" s="4">
        <v>23</v>
      </c>
      <c r="M42" s="4">
        <f t="shared" si="2"/>
        <v>27</v>
      </c>
      <c r="N42" s="4">
        <f t="shared" si="3"/>
        <v>31</v>
      </c>
      <c r="O42" s="4">
        <f t="shared" si="4"/>
        <v>9</v>
      </c>
      <c r="P42" s="4">
        <f t="array" ref="P42">INDEX('玩家等级对应关卡（从新手节奏复制）'!$H$5:$H$64,MATCH(N42,_xlfn.ANCHORARRAY('玩家等级对应关卡（从新手节奏复制）'!$E$5)))</f>
        <v>188</v>
      </c>
      <c r="Q42" s="4">
        <f t="shared" si="8"/>
        <v>59</v>
      </c>
      <c r="R42" s="4">
        <f t="shared" si="5"/>
        <v>6.55555555555556</v>
      </c>
      <c r="S42" s="4">
        <f t="shared" si="6"/>
        <v>0.05</v>
      </c>
      <c r="T42" s="4">
        <f t="shared" si="12"/>
        <v>56.1746031746032</v>
      </c>
      <c r="U42" s="4">
        <f t="shared" si="7"/>
        <v>2.80873015873016</v>
      </c>
      <c r="V42" s="4">
        <f t="shared" si="10"/>
        <v>147</v>
      </c>
    </row>
    <row r="43" spans="5:22">
      <c r="E43" s="4">
        <v>24</v>
      </c>
      <c r="F43" s="4">
        <f t="shared" si="0"/>
        <v>71.7647058823529</v>
      </c>
      <c r="G43" s="4">
        <f t="shared" si="1"/>
        <v>72</v>
      </c>
      <c r="H43" s="4">
        <f>_xlfn.IFNA(VLOOKUP(E43,'主角等级（从新手引导复制） '!$N$43:$P$98,3,0),H42)</f>
        <v>52</v>
      </c>
      <c r="K43" s="4">
        <v>0</v>
      </c>
      <c r="L43" s="4">
        <v>24</v>
      </c>
      <c r="M43" s="4">
        <f t="shared" si="2"/>
        <v>27</v>
      </c>
      <c r="N43" s="4">
        <f t="shared" si="3"/>
        <v>31</v>
      </c>
      <c r="O43" s="4">
        <f t="shared" si="4"/>
        <v>9</v>
      </c>
      <c r="P43" s="4">
        <f t="array" ref="P43">INDEX('玩家等级对应关卡（从新手节奏复制）'!$H$5:$H$64,MATCH(N43,_xlfn.ANCHORARRAY('玩家等级对应关卡（从新手节奏复制）'!$E$5)))</f>
        <v>188</v>
      </c>
      <c r="Q43" s="4">
        <f t="shared" si="8"/>
        <v>59</v>
      </c>
      <c r="R43" s="4">
        <f t="shared" si="5"/>
        <v>6.55555555555556</v>
      </c>
      <c r="S43" s="4">
        <f t="shared" si="6"/>
        <v>0.05</v>
      </c>
      <c r="T43" s="4">
        <f t="shared" si="12"/>
        <v>56.1746031746032</v>
      </c>
      <c r="U43" s="4">
        <f t="shared" si="7"/>
        <v>2.80873015873016</v>
      </c>
      <c r="V43" s="4">
        <f t="shared" si="10"/>
        <v>150</v>
      </c>
    </row>
    <row r="44" spans="5:22">
      <c r="E44" s="4">
        <v>25</v>
      </c>
      <c r="F44" s="4">
        <f t="shared" si="0"/>
        <v>72.5490196078431</v>
      </c>
      <c r="G44" s="4">
        <f t="shared" si="1"/>
        <v>73</v>
      </c>
      <c r="H44" s="4">
        <f>_xlfn.IFNA(VLOOKUP(E44,'主角等级（从新手引导复制） '!$N$43:$P$98,3,0),H43)</f>
        <v>52</v>
      </c>
      <c r="K44" s="4">
        <v>1</v>
      </c>
      <c r="L44" s="4">
        <v>25</v>
      </c>
      <c r="M44" s="4">
        <f t="shared" si="2"/>
        <v>27</v>
      </c>
      <c r="N44" s="4">
        <f t="shared" si="3"/>
        <v>31</v>
      </c>
      <c r="O44" s="4">
        <f t="shared" si="4"/>
        <v>9</v>
      </c>
      <c r="P44" s="4">
        <f t="array" ref="P44">INDEX('玩家等级对应关卡（从新手节奏复制）'!$H$5:$H$64,MATCH(N44,_xlfn.ANCHORARRAY('玩家等级对应关卡（从新手节奏复制）'!$E$5)))</f>
        <v>188</v>
      </c>
      <c r="Q44" s="4">
        <f t="shared" si="8"/>
        <v>59</v>
      </c>
      <c r="R44" s="4">
        <f t="shared" si="5"/>
        <v>6.55555555555556</v>
      </c>
      <c r="S44" s="4">
        <f t="shared" si="6"/>
        <v>0.2</v>
      </c>
      <c r="T44" s="4">
        <f t="shared" si="12"/>
        <v>56.1746031746032</v>
      </c>
      <c r="U44" s="4">
        <f t="shared" si="7"/>
        <v>11.2349206349206</v>
      </c>
      <c r="V44" s="4">
        <f t="shared" si="10"/>
        <v>161</v>
      </c>
    </row>
    <row r="45" spans="5:22">
      <c r="E45" s="4">
        <v>26</v>
      </c>
      <c r="F45" s="4">
        <f t="shared" si="0"/>
        <v>73.3333333333333</v>
      </c>
      <c r="G45" s="4">
        <f t="shared" si="1"/>
        <v>73</v>
      </c>
      <c r="H45" s="4">
        <f>_xlfn.IFNA(VLOOKUP(E45,'主角等级（从新手引导复制） '!$N$43:$P$98,3,0),H44)</f>
        <v>52</v>
      </c>
      <c r="K45" s="4">
        <v>0</v>
      </c>
      <c r="L45" s="4">
        <v>26</v>
      </c>
      <c r="M45" s="4">
        <f t="shared" si="2"/>
        <v>27</v>
      </c>
      <c r="N45" s="4">
        <f t="shared" si="3"/>
        <v>31</v>
      </c>
      <c r="O45" s="4">
        <f t="shared" si="4"/>
        <v>9</v>
      </c>
      <c r="P45" s="4">
        <f t="array" ref="P45">INDEX('玩家等级对应关卡（从新手节奏复制）'!$H$5:$H$64,MATCH(N45,_xlfn.ANCHORARRAY('玩家等级对应关卡（从新手节奏复制）'!$E$5)))</f>
        <v>188</v>
      </c>
      <c r="Q45" s="4">
        <f t="shared" si="8"/>
        <v>59</v>
      </c>
      <c r="R45" s="4">
        <f t="shared" si="5"/>
        <v>6.55555555555556</v>
      </c>
      <c r="S45" s="4">
        <f t="shared" si="6"/>
        <v>0.05</v>
      </c>
      <c r="T45" s="4">
        <f t="shared" si="12"/>
        <v>56.1746031746032</v>
      </c>
      <c r="U45" s="4">
        <f t="shared" si="7"/>
        <v>2.80873015873016</v>
      </c>
      <c r="V45" s="4">
        <f t="shared" si="10"/>
        <v>164</v>
      </c>
    </row>
    <row r="46" spans="5:22">
      <c r="E46" s="4">
        <v>27</v>
      </c>
      <c r="F46" s="4">
        <f t="shared" si="0"/>
        <v>74.1176470588235</v>
      </c>
      <c r="G46" s="4">
        <f t="shared" si="1"/>
        <v>74</v>
      </c>
      <c r="H46" s="4">
        <f>_xlfn.IFNA(VLOOKUP(E46,'主角等级（从新手引导复制） '!$N$43:$P$98,3,0),H45)</f>
        <v>53</v>
      </c>
      <c r="K46" s="4">
        <v>0</v>
      </c>
      <c r="L46" s="4">
        <v>27</v>
      </c>
      <c r="M46" s="4">
        <f t="shared" si="2"/>
        <v>27</v>
      </c>
      <c r="N46" s="4">
        <f t="shared" si="3"/>
        <v>31</v>
      </c>
      <c r="O46" s="4">
        <f t="shared" si="4"/>
        <v>9</v>
      </c>
      <c r="P46" s="4">
        <f t="array" ref="P46">INDEX('玩家等级对应关卡（从新手节奏复制）'!$H$5:$H$64,MATCH(N46,_xlfn.ANCHORARRAY('玩家等级对应关卡（从新手节奏复制）'!$E$5)))</f>
        <v>188</v>
      </c>
      <c r="Q46" s="4">
        <f t="shared" si="8"/>
        <v>59</v>
      </c>
      <c r="R46" s="4">
        <f t="shared" si="5"/>
        <v>6.55555555555556</v>
      </c>
      <c r="S46" s="4">
        <f t="shared" si="6"/>
        <v>0.05</v>
      </c>
      <c r="T46" s="4">
        <f t="shared" si="12"/>
        <v>56.1746031746032</v>
      </c>
      <c r="U46" s="4">
        <f t="shared" si="7"/>
        <v>2.80873015873016</v>
      </c>
      <c r="V46" s="4">
        <f t="shared" si="10"/>
        <v>167</v>
      </c>
    </row>
    <row r="47" spans="5:22">
      <c r="E47" s="4">
        <v>28</v>
      </c>
      <c r="F47" s="4">
        <f t="shared" si="0"/>
        <v>74.9019607843137</v>
      </c>
      <c r="G47" s="4">
        <f t="shared" si="1"/>
        <v>75</v>
      </c>
      <c r="H47" s="4">
        <f>_xlfn.IFNA(VLOOKUP(E47,'主角等级（从新手引导复制） '!$N$43:$P$98,3,0),H46)</f>
        <v>53</v>
      </c>
      <c r="K47" s="4">
        <v>0</v>
      </c>
      <c r="L47" s="4">
        <v>28</v>
      </c>
      <c r="M47" s="4">
        <f t="shared" si="2"/>
        <v>34</v>
      </c>
      <c r="N47" s="4">
        <f t="shared" si="3"/>
        <v>34</v>
      </c>
      <c r="O47" s="4">
        <f t="shared" si="4"/>
        <v>7</v>
      </c>
      <c r="P47" s="4">
        <f t="array" ref="P47">INDEX('玩家等级对应关卡（从新手节奏复制）'!$H$5:$H$64,MATCH(N47,_xlfn.ANCHORARRAY('玩家等级对应关卡（从新手节奏复制）'!$E$5)))</f>
        <v>212</v>
      </c>
      <c r="Q47" s="4">
        <f t="shared" si="8"/>
        <v>24</v>
      </c>
      <c r="R47" s="4">
        <f t="shared" si="5"/>
        <v>3.42857142857143</v>
      </c>
      <c r="S47" s="4">
        <f t="shared" si="6"/>
        <v>0.05</v>
      </c>
      <c r="T47" s="4">
        <f t="shared" si="12"/>
        <v>56.1746031746032</v>
      </c>
      <c r="U47" s="4">
        <f t="shared" si="7"/>
        <v>2.80873015873016</v>
      </c>
      <c r="V47" s="4">
        <f t="shared" si="10"/>
        <v>170</v>
      </c>
    </row>
    <row r="48" spans="5:22">
      <c r="E48" s="4">
        <v>29</v>
      </c>
      <c r="F48" s="4">
        <f t="shared" si="0"/>
        <v>75.6862745098039</v>
      </c>
      <c r="G48" s="4">
        <f t="shared" si="1"/>
        <v>76</v>
      </c>
      <c r="H48" s="4">
        <f>_xlfn.IFNA(VLOOKUP(E48,'主角等级（从新手引导复制） '!$N$43:$P$98,3,0),H47)</f>
        <v>54</v>
      </c>
      <c r="K48" s="4">
        <v>0</v>
      </c>
      <c r="L48" s="4">
        <v>29</v>
      </c>
      <c r="M48" s="4">
        <f t="shared" si="2"/>
        <v>34</v>
      </c>
      <c r="N48" s="4">
        <f t="shared" si="3"/>
        <v>34</v>
      </c>
      <c r="O48" s="4">
        <f t="shared" si="4"/>
        <v>7</v>
      </c>
      <c r="P48" s="4">
        <f t="array" ref="P48">INDEX('玩家等级对应关卡（从新手节奏复制）'!$H$5:$H$64,MATCH(N48,_xlfn.ANCHORARRAY('玩家等级对应关卡（从新手节奏复制）'!$E$5)))</f>
        <v>212</v>
      </c>
      <c r="Q48" s="4">
        <f t="shared" si="8"/>
        <v>24</v>
      </c>
      <c r="R48" s="4">
        <f t="shared" si="5"/>
        <v>3.42857142857143</v>
      </c>
      <c r="S48" s="4">
        <f t="shared" si="6"/>
        <v>0.05</v>
      </c>
      <c r="T48" s="4">
        <f t="shared" si="12"/>
        <v>56.1746031746032</v>
      </c>
      <c r="U48" s="4">
        <f t="shared" si="7"/>
        <v>2.80873015873016</v>
      </c>
      <c r="V48" s="4">
        <f t="shared" si="10"/>
        <v>173</v>
      </c>
    </row>
    <row r="49" spans="5:22">
      <c r="E49" s="4">
        <v>30</v>
      </c>
      <c r="F49" s="4">
        <f t="shared" si="0"/>
        <v>76.4705882352941</v>
      </c>
      <c r="G49" s="4">
        <f t="shared" si="1"/>
        <v>76</v>
      </c>
      <c r="H49" s="4">
        <f>_xlfn.IFNA(VLOOKUP(E49,'主角等级（从新手引导复制） '!$N$43:$P$98,3,0),H48)</f>
        <v>54</v>
      </c>
      <c r="K49" s="4">
        <v>2</v>
      </c>
      <c r="L49" s="4">
        <v>30</v>
      </c>
      <c r="M49" s="4">
        <f t="shared" si="2"/>
        <v>34</v>
      </c>
      <c r="N49" s="4">
        <f t="shared" si="3"/>
        <v>34</v>
      </c>
      <c r="O49" s="4">
        <f t="shared" si="4"/>
        <v>7</v>
      </c>
      <c r="P49" s="4">
        <f t="array" ref="P49">INDEX('玩家等级对应关卡（从新手节奏复制）'!$H$5:$H$64,MATCH(N49,_xlfn.ANCHORARRAY('玩家等级对应关卡（从新手节奏复制）'!$E$5)))</f>
        <v>212</v>
      </c>
      <c r="Q49" s="4">
        <f t="shared" si="8"/>
        <v>24</v>
      </c>
      <c r="R49" s="4">
        <f t="shared" si="5"/>
        <v>3.42857142857143</v>
      </c>
      <c r="S49" s="4">
        <f t="shared" si="6"/>
        <v>0.4</v>
      </c>
      <c r="T49" s="4">
        <f t="shared" si="12"/>
        <v>56.1746031746032</v>
      </c>
      <c r="U49" s="4">
        <f t="shared" si="7"/>
        <v>22.4698412698413</v>
      </c>
      <c r="V49" s="4">
        <f t="shared" si="10"/>
        <v>195</v>
      </c>
    </row>
    <row r="50" spans="5:22">
      <c r="E50" s="4">
        <v>31</v>
      </c>
      <c r="F50" s="4">
        <f t="shared" si="0"/>
        <v>77.2549019607843</v>
      </c>
      <c r="G50" s="4">
        <f t="shared" si="1"/>
        <v>77</v>
      </c>
      <c r="H50" s="4">
        <f>_xlfn.IFNA(VLOOKUP(E50,'主角等级（从新手引导复制） '!$N$43:$P$98,3,0),H49)</f>
        <v>54</v>
      </c>
      <c r="K50" s="4">
        <v>0</v>
      </c>
      <c r="L50" s="4">
        <v>31</v>
      </c>
      <c r="M50" s="4">
        <f t="shared" si="2"/>
        <v>34</v>
      </c>
      <c r="N50" s="4">
        <f t="shared" si="3"/>
        <v>34</v>
      </c>
      <c r="O50" s="4">
        <f t="shared" si="4"/>
        <v>7</v>
      </c>
      <c r="P50" s="4">
        <f t="array" ref="P50">INDEX('玩家等级对应关卡（从新手节奏复制）'!$H$5:$H$64,MATCH(N50,_xlfn.ANCHORARRAY('玩家等级对应关卡（从新手节奏复制）'!$E$5)))</f>
        <v>212</v>
      </c>
      <c r="Q50" s="4">
        <f t="shared" si="8"/>
        <v>24</v>
      </c>
      <c r="R50" s="4">
        <f t="shared" si="5"/>
        <v>3.42857142857143</v>
      </c>
      <c r="S50" s="4">
        <f t="shared" si="6"/>
        <v>0.05</v>
      </c>
      <c r="T50" s="4">
        <f>SUM(R50:R59)</f>
        <v>29.7142857142857</v>
      </c>
      <c r="U50" s="4">
        <f t="shared" si="7"/>
        <v>1.48571428571429</v>
      </c>
      <c r="V50" s="4">
        <f t="shared" si="10"/>
        <v>196</v>
      </c>
    </row>
    <row r="51" spans="5:22">
      <c r="E51" s="4">
        <v>32</v>
      </c>
      <c r="F51" s="4">
        <f t="shared" si="0"/>
        <v>78.0392156862745</v>
      </c>
      <c r="G51" s="4">
        <f t="shared" si="1"/>
        <v>78</v>
      </c>
      <c r="H51" s="4">
        <f>_xlfn.IFNA(VLOOKUP(E51,'主角等级（从新手引导复制） '!$N$43:$P$98,3,0),H50)</f>
        <v>54</v>
      </c>
      <c r="K51" s="4">
        <v>0</v>
      </c>
      <c r="L51" s="4">
        <v>32</v>
      </c>
      <c r="M51" s="4">
        <f t="shared" si="2"/>
        <v>34</v>
      </c>
      <c r="N51" s="4">
        <f t="shared" si="3"/>
        <v>34</v>
      </c>
      <c r="O51" s="4">
        <f t="shared" si="4"/>
        <v>7</v>
      </c>
      <c r="P51" s="4">
        <f t="array" ref="P51">INDEX('玩家等级对应关卡（从新手节奏复制）'!$H$5:$H$64,MATCH(N51,_xlfn.ANCHORARRAY('玩家等级对应关卡（从新手节奏复制）'!$E$5)))</f>
        <v>212</v>
      </c>
      <c r="Q51" s="4">
        <f t="shared" si="8"/>
        <v>24</v>
      </c>
      <c r="R51" s="4">
        <f t="shared" si="5"/>
        <v>3.42857142857143</v>
      </c>
      <c r="S51" s="4">
        <f t="shared" si="6"/>
        <v>0.05</v>
      </c>
      <c r="T51" s="4">
        <f t="shared" ref="T51:T59" si="13">T50</f>
        <v>29.7142857142857</v>
      </c>
      <c r="U51" s="4">
        <f t="shared" si="7"/>
        <v>1.48571428571429</v>
      </c>
      <c r="V51" s="4">
        <f t="shared" si="10"/>
        <v>197</v>
      </c>
    </row>
    <row r="52" spans="5:22">
      <c r="E52" s="4">
        <v>33</v>
      </c>
      <c r="F52" s="4">
        <f t="shared" si="0"/>
        <v>78.8235294117647</v>
      </c>
      <c r="G52" s="4">
        <f t="shared" si="1"/>
        <v>79</v>
      </c>
      <c r="H52" s="4">
        <f>_xlfn.IFNA(VLOOKUP(E52,'主角等级（从新手引导复制） '!$N$43:$P$98,3,0),H51)</f>
        <v>55</v>
      </c>
      <c r="K52" s="4">
        <v>0</v>
      </c>
      <c r="L52" s="4">
        <v>33</v>
      </c>
      <c r="M52" s="4">
        <f t="shared" si="2"/>
        <v>34</v>
      </c>
      <c r="N52" s="4">
        <f t="shared" si="3"/>
        <v>34</v>
      </c>
      <c r="O52" s="4">
        <f t="shared" si="4"/>
        <v>7</v>
      </c>
      <c r="P52" s="4">
        <f t="array" ref="P52">INDEX('玩家等级对应关卡（从新手节奏复制）'!$H$5:$H$64,MATCH(N52,_xlfn.ANCHORARRAY('玩家等级对应关卡（从新手节奏复制）'!$E$5)))</f>
        <v>212</v>
      </c>
      <c r="Q52" s="4">
        <f t="shared" si="8"/>
        <v>24</v>
      </c>
      <c r="R52" s="4">
        <f t="shared" si="5"/>
        <v>3.42857142857143</v>
      </c>
      <c r="S52" s="4">
        <f t="shared" si="6"/>
        <v>0.05</v>
      </c>
      <c r="T52" s="4">
        <f t="shared" si="13"/>
        <v>29.7142857142857</v>
      </c>
      <c r="U52" s="4">
        <f t="shared" si="7"/>
        <v>1.48571428571429</v>
      </c>
      <c r="V52" s="4">
        <f t="shared" si="10"/>
        <v>198</v>
      </c>
    </row>
    <row r="53" spans="5:22">
      <c r="E53" s="4">
        <v>34</v>
      </c>
      <c r="F53" s="4">
        <f t="shared" si="0"/>
        <v>79.6078431372549</v>
      </c>
      <c r="G53" s="4">
        <f t="shared" si="1"/>
        <v>80</v>
      </c>
      <c r="H53" s="4">
        <f>_xlfn.IFNA(VLOOKUP(E53,'主角等级（从新手引导复制） '!$N$43:$P$98,3,0),H52)</f>
        <v>55</v>
      </c>
      <c r="K53" s="4">
        <v>0</v>
      </c>
      <c r="L53" s="4">
        <v>34</v>
      </c>
      <c r="M53" s="4">
        <f t="shared" si="2"/>
        <v>34</v>
      </c>
      <c r="N53" s="4">
        <f t="shared" si="3"/>
        <v>34</v>
      </c>
      <c r="O53" s="4">
        <f t="shared" si="4"/>
        <v>7</v>
      </c>
      <c r="P53" s="4">
        <f t="array" ref="P53">INDEX('玩家等级对应关卡（从新手节奏复制）'!$H$5:$H$64,MATCH(N53,_xlfn.ANCHORARRAY('玩家等级对应关卡（从新手节奏复制）'!$E$5)))</f>
        <v>212</v>
      </c>
      <c r="Q53" s="4">
        <f t="shared" si="8"/>
        <v>24</v>
      </c>
      <c r="R53" s="4">
        <f t="shared" si="5"/>
        <v>3.42857142857143</v>
      </c>
      <c r="S53" s="4">
        <f t="shared" si="6"/>
        <v>0.05</v>
      </c>
      <c r="T53" s="4">
        <f t="shared" si="13"/>
        <v>29.7142857142857</v>
      </c>
      <c r="U53" s="4">
        <f t="shared" si="7"/>
        <v>1.48571428571429</v>
      </c>
      <c r="V53" s="4">
        <f t="shared" si="10"/>
        <v>199</v>
      </c>
    </row>
    <row r="54" spans="5:22">
      <c r="E54" s="4">
        <v>35</v>
      </c>
      <c r="F54" s="4">
        <f t="shared" si="0"/>
        <v>80.3921568627451</v>
      </c>
      <c r="G54" s="4">
        <f t="shared" si="1"/>
        <v>80</v>
      </c>
      <c r="H54" s="4">
        <f>_xlfn.IFNA(VLOOKUP(E54,'主角等级（从新手引导复制） '!$N$43:$P$98,3,0),H53)</f>
        <v>55</v>
      </c>
      <c r="K54" s="4">
        <v>1</v>
      </c>
      <c r="L54" s="4">
        <v>35</v>
      </c>
      <c r="M54" s="4">
        <f t="shared" si="2"/>
        <v>40</v>
      </c>
      <c r="N54" s="4">
        <f t="shared" si="3"/>
        <v>36</v>
      </c>
      <c r="O54" s="4">
        <f t="shared" si="4"/>
        <v>6</v>
      </c>
      <c r="P54" s="4">
        <f t="array" ref="P54">INDEX('玩家等级对应关卡（从新手节奏复制）'!$H$5:$H$64,MATCH(N54,_xlfn.ANCHORARRAY('玩家等级对应关卡（从新手节奏复制）'!$E$5)))</f>
        <v>228</v>
      </c>
      <c r="Q54" s="4">
        <f t="shared" si="8"/>
        <v>16</v>
      </c>
      <c r="R54" s="4">
        <f t="shared" si="5"/>
        <v>2.66666666666667</v>
      </c>
      <c r="S54" s="4">
        <f t="shared" si="6"/>
        <v>0.2</v>
      </c>
      <c r="T54" s="4">
        <f t="shared" si="13"/>
        <v>29.7142857142857</v>
      </c>
      <c r="U54" s="4">
        <f t="shared" si="7"/>
        <v>5.94285714285714</v>
      </c>
      <c r="V54" s="4">
        <f t="shared" si="10"/>
        <v>205</v>
      </c>
    </row>
    <row r="55" spans="5:22">
      <c r="E55" s="4">
        <v>36</v>
      </c>
      <c r="F55" s="4">
        <f t="shared" si="0"/>
        <v>81.1764705882353</v>
      </c>
      <c r="G55" s="4">
        <f t="shared" si="1"/>
        <v>81</v>
      </c>
      <c r="H55" s="4">
        <f>_xlfn.IFNA(VLOOKUP(E55,'主角等级（从新手引导复制） '!$N$43:$P$98,3,0),H54)</f>
        <v>56</v>
      </c>
      <c r="K55" s="4">
        <v>0</v>
      </c>
      <c r="L55" s="4">
        <v>36</v>
      </c>
      <c r="M55" s="4">
        <f t="shared" si="2"/>
        <v>40</v>
      </c>
      <c r="N55" s="4">
        <f t="shared" si="3"/>
        <v>36</v>
      </c>
      <c r="O55" s="4">
        <f t="shared" si="4"/>
        <v>6</v>
      </c>
      <c r="P55" s="4">
        <f t="array" ref="P55">INDEX('玩家等级对应关卡（从新手节奏复制）'!$H$5:$H$64,MATCH(N55,_xlfn.ANCHORARRAY('玩家等级对应关卡（从新手节奏复制）'!$E$5)))</f>
        <v>228</v>
      </c>
      <c r="Q55" s="4">
        <f t="shared" si="8"/>
        <v>16</v>
      </c>
      <c r="R55" s="4">
        <f t="shared" si="5"/>
        <v>2.66666666666667</v>
      </c>
      <c r="S55" s="4">
        <f t="shared" si="6"/>
        <v>0.05</v>
      </c>
      <c r="T55" s="4">
        <f t="shared" si="13"/>
        <v>29.7142857142857</v>
      </c>
      <c r="U55" s="4">
        <f t="shared" si="7"/>
        <v>1.48571428571429</v>
      </c>
      <c r="V55" s="4">
        <f t="shared" si="10"/>
        <v>206</v>
      </c>
    </row>
    <row r="56" spans="5:22">
      <c r="E56" s="4">
        <v>37</v>
      </c>
      <c r="F56" s="4">
        <f t="shared" si="0"/>
        <v>81.9607843137255</v>
      </c>
      <c r="G56" s="4">
        <f t="shared" si="1"/>
        <v>82</v>
      </c>
      <c r="H56" s="4">
        <f>_xlfn.IFNA(VLOOKUP(E56,'主角等级（从新手引导复制） '!$N$43:$P$98,3,0),H55)</f>
        <v>56</v>
      </c>
      <c r="K56" s="4">
        <v>0</v>
      </c>
      <c r="L56" s="4">
        <v>37</v>
      </c>
      <c r="M56" s="4">
        <f t="shared" si="2"/>
        <v>40</v>
      </c>
      <c r="N56" s="4">
        <f t="shared" si="3"/>
        <v>36</v>
      </c>
      <c r="O56" s="4">
        <f t="shared" si="4"/>
        <v>6</v>
      </c>
      <c r="P56" s="4">
        <f t="array" ref="P56">INDEX('玩家等级对应关卡（从新手节奏复制）'!$H$5:$H$64,MATCH(N56,_xlfn.ANCHORARRAY('玩家等级对应关卡（从新手节奏复制）'!$E$5)))</f>
        <v>228</v>
      </c>
      <c r="Q56" s="4">
        <f t="shared" si="8"/>
        <v>16</v>
      </c>
      <c r="R56" s="4">
        <f t="shared" si="5"/>
        <v>2.66666666666667</v>
      </c>
      <c r="S56" s="4">
        <f t="shared" si="6"/>
        <v>0.05</v>
      </c>
      <c r="T56" s="4">
        <f t="shared" si="13"/>
        <v>29.7142857142857</v>
      </c>
      <c r="U56" s="4">
        <f t="shared" si="7"/>
        <v>1.48571428571429</v>
      </c>
      <c r="V56" s="4">
        <f t="shared" si="10"/>
        <v>207</v>
      </c>
    </row>
    <row r="57" spans="5:22">
      <c r="E57" s="4">
        <v>38</v>
      </c>
      <c r="F57" s="4">
        <f t="shared" si="0"/>
        <v>82.7450980392157</v>
      </c>
      <c r="G57" s="4">
        <f t="shared" si="1"/>
        <v>83</v>
      </c>
      <c r="H57" s="4">
        <f>_xlfn.IFNA(VLOOKUP(E57,'主角等级（从新手引导复制） '!$N$43:$P$98,3,0),H56)</f>
        <v>56</v>
      </c>
      <c r="K57" s="4">
        <v>0</v>
      </c>
      <c r="L57" s="4">
        <v>38</v>
      </c>
      <c r="M57" s="4">
        <f t="shared" si="2"/>
        <v>40</v>
      </c>
      <c r="N57" s="4">
        <f t="shared" si="3"/>
        <v>36</v>
      </c>
      <c r="O57" s="4">
        <f t="shared" si="4"/>
        <v>6</v>
      </c>
      <c r="P57" s="4">
        <f t="array" ref="P57">INDEX('玩家等级对应关卡（从新手节奏复制）'!$H$5:$H$64,MATCH(N57,_xlfn.ANCHORARRAY('玩家等级对应关卡（从新手节奏复制）'!$E$5)))</f>
        <v>228</v>
      </c>
      <c r="Q57" s="4">
        <f t="shared" si="8"/>
        <v>16</v>
      </c>
      <c r="R57" s="4">
        <f t="shared" si="5"/>
        <v>2.66666666666667</v>
      </c>
      <c r="S57" s="4">
        <f t="shared" si="6"/>
        <v>0.05</v>
      </c>
      <c r="T57" s="4">
        <f t="shared" si="13"/>
        <v>29.7142857142857</v>
      </c>
      <c r="U57" s="4">
        <f t="shared" si="7"/>
        <v>1.48571428571429</v>
      </c>
      <c r="V57" s="4">
        <f t="shared" si="10"/>
        <v>208</v>
      </c>
    </row>
    <row r="58" spans="5:22">
      <c r="E58" s="4">
        <v>39</v>
      </c>
      <c r="F58" s="4">
        <f t="shared" si="0"/>
        <v>83.5294117647059</v>
      </c>
      <c r="G58" s="4">
        <f t="shared" si="1"/>
        <v>84</v>
      </c>
      <c r="H58" s="4">
        <f>_xlfn.IFNA(VLOOKUP(E58,'主角等级（从新手引导复制） '!$N$43:$P$98,3,0),H57)</f>
        <v>56</v>
      </c>
      <c r="K58" s="4">
        <v>0</v>
      </c>
      <c r="L58" s="4">
        <v>39</v>
      </c>
      <c r="M58" s="4">
        <f t="shared" si="2"/>
        <v>40</v>
      </c>
      <c r="N58" s="4">
        <f t="shared" si="3"/>
        <v>36</v>
      </c>
      <c r="O58" s="4">
        <f t="shared" si="4"/>
        <v>6</v>
      </c>
      <c r="P58" s="4">
        <f t="array" ref="P58">INDEX('玩家等级对应关卡（从新手节奏复制）'!$H$5:$H$64,MATCH(N58,_xlfn.ANCHORARRAY('玩家等级对应关卡（从新手节奏复制）'!$E$5)))</f>
        <v>228</v>
      </c>
      <c r="Q58" s="4">
        <f t="shared" si="8"/>
        <v>16</v>
      </c>
      <c r="R58" s="4">
        <f t="shared" si="5"/>
        <v>2.66666666666667</v>
      </c>
      <c r="S58" s="4">
        <f t="shared" si="6"/>
        <v>0.05</v>
      </c>
      <c r="T58" s="4">
        <f t="shared" si="13"/>
        <v>29.7142857142857</v>
      </c>
      <c r="U58" s="4">
        <f t="shared" si="7"/>
        <v>1.48571428571429</v>
      </c>
      <c r="V58" s="4">
        <f t="shared" si="10"/>
        <v>209</v>
      </c>
    </row>
    <row r="59" spans="5:22">
      <c r="E59" s="4">
        <v>40</v>
      </c>
      <c r="F59" s="4">
        <f t="shared" si="0"/>
        <v>84.3137254901961</v>
      </c>
      <c r="G59" s="4">
        <f t="shared" si="1"/>
        <v>84</v>
      </c>
      <c r="H59" s="4">
        <f>_xlfn.IFNA(VLOOKUP(E59,'主角等级（从新手引导复制） '!$N$43:$P$98,3,0),H58)</f>
        <v>57</v>
      </c>
      <c r="K59" s="4">
        <v>2</v>
      </c>
      <c r="L59" s="4">
        <v>40</v>
      </c>
      <c r="M59" s="4">
        <f t="shared" si="2"/>
        <v>40</v>
      </c>
      <c r="N59" s="4">
        <f t="shared" si="3"/>
        <v>36</v>
      </c>
      <c r="O59" s="4">
        <f t="shared" si="4"/>
        <v>6</v>
      </c>
      <c r="P59" s="4">
        <f t="array" ref="P59">INDEX('玩家等级对应关卡（从新手节奏复制）'!$H$5:$H$64,MATCH(N59,_xlfn.ANCHORARRAY('玩家等级对应关卡（从新手节奏复制）'!$E$5)))</f>
        <v>228</v>
      </c>
      <c r="Q59" s="4">
        <f t="shared" si="8"/>
        <v>16</v>
      </c>
      <c r="R59" s="4">
        <f t="shared" si="5"/>
        <v>2.66666666666667</v>
      </c>
      <c r="S59" s="4">
        <f t="shared" si="6"/>
        <v>0.4</v>
      </c>
      <c r="T59" s="4">
        <f t="shared" si="13"/>
        <v>29.7142857142857</v>
      </c>
      <c r="U59" s="4">
        <f t="shared" si="7"/>
        <v>11.8857142857143</v>
      </c>
      <c r="V59" s="4">
        <f t="shared" si="10"/>
        <v>221</v>
      </c>
    </row>
    <row r="60" spans="5:22">
      <c r="E60" s="4">
        <v>41</v>
      </c>
      <c r="F60" s="4">
        <f t="shared" si="0"/>
        <v>85.0980392156863</v>
      </c>
      <c r="G60" s="4">
        <f t="shared" si="1"/>
        <v>85</v>
      </c>
      <c r="H60" s="4">
        <f>_xlfn.IFNA(VLOOKUP(E60,'主角等级（从新手引导复制） '!$N$43:$P$98,3,0),H59)</f>
        <v>57</v>
      </c>
      <c r="K60" s="4">
        <v>0</v>
      </c>
      <c r="L60" s="4">
        <v>41</v>
      </c>
      <c r="M60" s="4">
        <f t="shared" si="2"/>
        <v>46</v>
      </c>
      <c r="N60" s="4">
        <f t="shared" si="3"/>
        <v>38</v>
      </c>
      <c r="O60" s="4">
        <f t="shared" si="4"/>
        <v>6</v>
      </c>
      <c r="P60" s="4">
        <f t="array" ref="P60">INDEX('玩家等级对应关卡（从新手节奏复制）'!$H$5:$H$64,MATCH(N60,_xlfn.ANCHORARRAY('玩家等级对应关卡（从新手节奏复制）'!$E$5)))</f>
        <v>242</v>
      </c>
      <c r="Q60" s="4">
        <f t="shared" si="8"/>
        <v>14</v>
      </c>
      <c r="R60" s="4">
        <f t="shared" si="5"/>
        <v>2.33333333333333</v>
      </c>
      <c r="S60" s="4">
        <f t="shared" si="6"/>
        <v>0.05</v>
      </c>
      <c r="T60" s="4">
        <f>SUM(R60:R69)</f>
        <v>20</v>
      </c>
      <c r="U60" s="4">
        <f t="shared" si="7"/>
        <v>1</v>
      </c>
      <c r="V60" s="4">
        <f t="shared" si="10"/>
        <v>222</v>
      </c>
    </row>
    <row r="61" spans="5:22">
      <c r="E61" s="4">
        <v>42</v>
      </c>
      <c r="F61" s="4">
        <f t="shared" si="0"/>
        <v>85.8823529411765</v>
      </c>
      <c r="G61" s="4">
        <f t="shared" si="1"/>
        <v>86</v>
      </c>
      <c r="H61" s="4">
        <f>_xlfn.IFNA(VLOOKUP(E61,'主角等级（从新手引导复制） '!$N$43:$P$98,3,0),H60)</f>
        <v>57</v>
      </c>
      <c r="K61" s="4">
        <v>0</v>
      </c>
      <c r="L61" s="4">
        <v>42</v>
      </c>
      <c r="M61" s="4">
        <f t="shared" si="2"/>
        <v>46</v>
      </c>
      <c r="N61" s="4">
        <f t="shared" si="3"/>
        <v>38</v>
      </c>
      <c r="O61" s="4">
        <f t="shared" si="4"/>
        <v>6</v>
      </c>
      <c r="P61" s="4">
        <f t="array" ref="P61">INDEX('玩家等级对应关卡（从新手节奏复制）'!$H$5:$H$64,MATCH(N61,_xlfn.ANCHORARRAY('玩家等级对应关卡（从新手节奏复制）'!$E$5)))</f>
        <v>242</v>
      </c>
      <c r="Q61" s="4">
        <f t="shared" si="8"/>
        <v>14</v>
      </c>
      <c r="R61" s="4">
        <f t="shared" si="5"/>
        <v>2.33333333333333</v>
      </c>
      <c r="S61" s="4">
        <f t="shared" si="6"/>
        <v>0.05</v>
      </c>
      <c r="T61" s="4">
        <f t="shared" ref="T61:T69" si="14">T60</f>
        <v>20</v>
      </c>
      <c r="U61" s="4">
        <f t="shared" si="7"/>
        <v>1</v>
      </c>
      <c r="V61" s="4">
        <f t="shared" si="10"/>
        <v>223</v>
      </c>
    </row>
    <row r="62" spans="5:22">
      <c r="E62" s="4">
        <v>43</v>
      </c>
      <c r="F62" s="4">
        <f t="shared" si="0"/>
        <v>86.6666666666667</v>
      </c>
      <c r="G62" s="4">
        <f t="shared" si="1"/>
        <v>87</v>
      </c>
      <c r="H62" s="4">
        <f>_xlfn.IFNA(VLOOKUP(E62,'主角等级（从新手引导复制） '!$N$43:$P$98,3,0),H61)</f>
        <v>57</v>
      </c>
      <c r="K62" s="4">
        <v>0</v>
      </c>
      <c r="L62" s="4">
        <v>43</v>
      </c>
      <c r="M62" s="4">
        <f t="shared" si="2"/>
        <v>46</v>
      </c>
      <c r="N62" s="4">
        <f t="shared" si="3"/>
        <v>38</v>
      </c>
      <c r="O62" s="4">
        <f t="shared" si="4"/>
        <v>6</v>
      </c>
      <c r="P62" s="4">
        <f t="array" ref="P62">INDEX('玩家等级对应关卡（从新手节奏复制）'!$H$5:$H$64,MATCH(N62,_xlfn.ANCHORARRAY('玩家等级对应关卡（从新手节奏复制）'!$E$5)))</f>
        <v>242</v>
      </c>
      <c r="Q62" s="4">
        <f t="shared" si="8"/>
        <v>14</v>
      </c>
      <c r="R62" s="4">
        <f t="shared" si="5"/>
        <v>2.33333333333333</v>
      </c>
      <c r="S62" s="4">
        <f t="shared" si="6"/>
        <v>0.05</v>
      </c>
      <c r="T62" s="4">
        <f t="shared" si="14"/>
        <v>20</v>
      </c>
      <c r="U62" s="4">
        <f t="shared" si="7"/>
        <v>1</v>
      </c>
      <c r="V62" s="4">
        <f t="shared" si="10"/>
        <v>224</v>
      </c>
    </row>
    <row r="63" spans="5:22">
      <c r="E63" s="4">
        <v>44</v>
      </c>
      <c r="F63" s="4">
        <f t="shared" si="0"/>
        <v>87.4509803921569</v>
      </c>
      <c r="G63" s="4">
        <f t="shared" si="1"/>
        <v>87</v>
      </c>
      <c r="H63" s="4">
        <f>_xlfn.IFNA(VLOOKUP(E63,'主角等级（从新手引导复制） '!$N$43:$P$98,3,0),H62)</f>
        <v>58</v>
      </c>
      <c r="K63" s="4">
        <v>0</v>
      </c>
      <c r="L63" s="4">
        <v>44</v>
      </c>
      <c r="M63" s="4">
        <f t="shared" si="2"/>
        <v>46</v>
      </c>
      <c r="N63" s="4">
        <f t="shared" si="3"/>
        <v>38</v>
      </c>
      <c r="O63" s="4">
        <f t="shared" si="4"/>
        <v>6</v>
      </c>
      <c r="P63" s="4">
        <f t="array" ref="P63">INDEX('玩家等级对应关卡（从新手节奏复制）'!$H$5:$H$64,MATCH(N63,_xlfn.ANCHORARRAY('玩家等级对应关卡（从新手节奏复制）'!$E$5)))</f>
        <v>242</v>
      </c>
      <c r="Q63" s="4">
        <f t="shared" si="8"/>
        <v>14</v>
      </c>
      <c r="R63" s="4">
        <f t="shared" si="5"/>
        <v>2.33333333333333</v>
      </c>
      <c r="S63" s="4">
        <f t="shared" si="6"/>
        <v>0.05</v>
      </c>
      <c r="T63" s="4">
        <f t="shared" si="14"/>
        <v>20</v>
      </c>
      <c r="U63" s="4">
        <f t="shared" si="7"/>
        <v>1</v>
      </c>
      <c r="V63" s="4">
        <f t="shared" si="10"/>
        <v>225</v>
      </c>
    </row>
    <row r="64" spans="5:22">
      <c r="E64" s="4">
        <v>45</v>
      </c>
      <c r="F64" s="4">
        <f t="shared" si="0"/>
        <v>88.2352941176471</v>
      </c>
      <c r="G64" s="4">
        <f t="shared" si="1"/>
        <v>88</v>
      </c>
      <c r="H64" s="4">
        <f>_xlfn.IFNA(VLOOKUP(E64,'主角等级（从新手引导复制） '!$N$43:$P$98,3,0),H63)</f>
        <v>58</v>
      </c>
      <c r="K64" s="4">
        <v>1</v>
      </c>
      <c r="L64" s="4">
        <v>45</v>
      </c>
      <c r="M64" s="4">
        <f t="shared" si="2"/>
        <v>46</v>
      </c>
      <c r="N64" s="4">
        <f t="shared" si="3"/>
        <v>38</v>
      </c>
      <c r="O64" s="4">
        <f t="shared" si="4"/>
        <v>6</v>
      </c>
      <c r="P64" s="4">
        <f t="array" ref="P64">INDEX('玩家等级对应关卡（从新手节奏复制）'!$H$5:$H$64,MATCH(N64,_xlfn.ANCHORARRAY('玩家等级对应关卡（从新手节奏复制）'!$E$5)))</f>
        <v>242</v>
      </c>
      <c r="Q64" s="4">
        <f t="shared" si="8"/>
        <v>14</v>
      </c>
      <c r="R64" s="4">
        <f t="shared" si="5"/>
        <v>2.33333333333333</v>
      </c>
      <c r="S64" s="4">
        <f t="shared" si="6"/>
        <v>0.2</v>
      </c>
      <c r="T64" s="4">
        <f t="shared" si="14"/>
        <v>20</v>
      </c>
      <c r="U64" s="4">
        <f t="shared" si="7"/>
        <v>4</v>
      </c>
      <c r="V64" s="4">
        <f t="shared" si="10"/>
        <v>229</v>
      </c>
    </row>
    <row r="65" spans="5:22">
      <c r="E65" s="4">
        <v>46</v>
      </c>
      <c r="F65" s="4">
        <f t="shared" si="0"/>
        <v>89.0196078431373</v>
      </c>
      <c r="G65" s="4">
        <f t="shared" si="1"/>
        <v>89</v>
      </c>
      <c r="H65" s="4">
        <f>_xlfn.IFNA(VLOOKUP(E65,'主角等级（从新手引导复制） '!$N$43:$P$98,3,0),H64)</f>
        <v>58</v>
      </c>
      <c r="K65" s="4">
        <v>0</v>
      </c>
      <c r="L65" s="4">
        <v>46</v>
      </c>
      <c r="M65" s="4">
        <f t="shared" si="2"/>
        <v>46</v>
      </c>
      <c r="N65" s="4">
        <f t="shared" si="3"/>
        <v>38</v>
      </c>
      <c r="O65" s="4">
        <f t="shared" si="4"/>
        <v>6</v>
      </c>
      <c r="P65" s="4">
        <f t="array" ref="P65">INDEX('玩家等级对应关卡（从新手节奏复制）'!$H$5:$H$64,MATCH(N65,_xlfn.ANCHORARRAY('玩家等级对应关卡（从新手节奏复制）'!$E$5)))</f>
        <v>242</v>
      </c>
      <c r="Q65" s="4">
        <f t="shared" si="8"/>
        <v>14</v>
      </c>
      <c r="R65" s="4">
        <f t="shared" si="5"/>
        <v>2.33333333333333</v>
      </c>
      <c r="S65" s="4">
        <f t="shared" si="6"/>
        <v>0.05</v>
      </c>
      <c r="T65" s="4">
        <f t="shared" si="14"/>
        <v>20</v>
      </c>
      <c r="U65" s="4">
        <f t="shared" si="7"/>
        <v>1</v>
      </c>
      <c r="V65" s="4">
        <f t="shared" si="10"/>
        <v>230</v>
      </c>
    </row>
    <row r="66" spans="5:22">
      <c r="E66" s="4">
        <v>47</v>
      </c>
      <c r="F66" s="4">
        <f t="shared" si="0"/>
        <v>89.8039215686275</v>
      </c>
      <c r="G66" s="4">
        <f t="shared" si="1"/>
        <v>90</v>
      </c>
      <c r="H66" s="4">
        <f>_xlfn.IFNA(VLOOKUP(E66,'主角等级（从新手引导复制） '!$N$43:$P$98,3,0),H65)</f>
        <v>58</v>
      </c>
      <c r="K66" s="4">
        <v>0</v>
      </c>
      <c r="L66" s="4">
        <v>47</v>
      </c>
      <c r="M66" s="4">
        <f t="shared" si="2"/>
        <v>50</v>
      </c>
      <c r="N66" s="4">
        <f t="shared" si="3"/>
        <v>39</v>
      </c>
      <c r="O66" s="4">
        <f t="shared" si="4"/>
        <v>4</v>
      </c>
      <c r="P66" s="4">
        <f t="array" ref="P66">INDEX('玩家等级对应关卡（从新手节奏复制）'!$H$5:$H$64,MATCH(N66,_xlfn.ANCHORARRAY('玩家等级对应关卡（从新手节奏复制）'!$E$5)))</f>
        <v>248</v>
      </c>
      <c r="Q66" s="4">
        <f t="shared" si="8"/>
        <v>6</v>
      </c>
      <c r="R66" s="4">
        <f t="shared" si="5"/>
        <v>1.5</v>
      </c>
      <c r="S66" s="4">
        <f t="shared" si="6"/>
        <v>0.05</v>
      </c>
      <c r="T66" s="4">
        <f t="shared" si="14"/>
        <v>20</v>
      </c>
      <c r="U66" s="4">
        <f t="shared" si="7"/>
        <v>1</v>
      </c>
      <c r="V66" s="4">
        <f t="shared" si="10"/>
        <v>231</v>
      </c>
    </row>
    <row r="67" spans="5:22">
      <c r="E67" s="4">
        <v>48</v>
      </c>
      <c r="F67" s="4">
        <f t="shared" si="0"/>
        <v>90.5882352941177</v>
      </c>
      <c r="G67" s="4">
        <f t="shared" si="1"/>
        <v>91</v>
      </c>
      <c r="H67" s="4">
        <f>_xlfn.IFNA(VLOOKUP(E67,'主角等级（从新手引导复制） '!$N$43:$P$98,3,0),H66)</f>
        <v>58</v>
      </c>
      <c r="K67" s="4">
        <v>0</v>
      </c>
      <c r="L67" s="4">
        <v>48</v>
      </c>
      <c r="M67" s="4">
        <f t="shared" si="2"/>
        <v>50</v>
      </c>
      <c r="N67" s="4">
        <f t="shared" si="3"/>
        <v>39</v>
      </c>
      <c r="O67" s="4">
        <f t="shared" si="4"/>
        <v>4</v>
      </c>
      <c r="P67" s="4">
        <f t="array" ref="P67">INDEX('玩家等级对应关卡（从新手节奏复制）'!$H$5:$H$64,MATCH(N67,_xlfn.ANCHORARRAY('玩家等级对应关卡（从新手节奏复制）'!$E$5)))</f>
        <v>248</v>
      </c>
      <c r="Q67" s="4">
        <f t="shared" si="8"/>
        <v>6</v>
      </c>
      <c r="R67" s="4">
        <f t="shared" si="5"/>
        <v>1.5</v>
      </c>
      <c r="S67" s="4">
        <f t="shared" si="6"/>
        <v>0.05</v>
      </c>
      <c r="T67" s="4">
        <f t="shared" si="14"/>
        <v>20</v>
      </c>
      <c r="U67" s="4">
        <f t="shared" si="7"/>
        <v>1</v>
      </c>
      <c r="V67" s="4">
        <f t="shared" si="10"/>
        <v>232</v>
      </c>
    </row>
    <row r="68" spans="5:22">
      <c r="E68" s="4">
        <v>49</v>
      </c>
      <c r="F68" s="4">
        <f t="shared" si="0"/>
        <v>91.3725490196078</v>
      </c>
      <c r="G68" s="4">
        <f t="shared" si="1"/>
        <v>91</v>
      </c>
      <c r="H68" s="4">
        <f>_xlfn.IFNA(VLOOKUP(E68,'主角等级（从新手引导复制） '!$N$43:$P$98,3,0),H67)</f>
        <v>59</v>
      </c>
      <c r="K68" s="4">
        <v>0</v>
      </c>
      <c r="L68" s="4">
        <v>49</v>
      </c>
      <c r="M68" s="4">
        <f t="shared" si="2"/>
        <v>50</v>
      </c>
      <c r="N68" s="4">
        <f t="shared" si="3"/>
        <v>39</v>
      </c>
      <c r="O68" s="4">
        <f t="shared" si="4"/>
        <v>4</v>
      </c>
      <c r="P68" s="4">
        <f t="array" ref="P68">INDEX('玩家等级对应关卡（从新手节奏复制）'!$H$5:$H$64,MATCH(N68,_xlfn.ANCHORARRAY('玩家等级对应关卡（从新手节奏复制）'!$E$5)))</f>
        <v>248</v>
      </c>
      <c r="Q68" s="4">
        <f t="shared" si="8"/>
        <v>6</v>
      </c>
      <c r="R68" s="4">
        <f t="shared" si="5"/>
        <v>1.5</v>
      </c>
      <c r="S68" s="4">
        <f t="shared" si="6"/>
        <v>0.05</v>
      </c>
      <c r="T68" s="4">
        <f t="shared" si="14"/>
        <v>20</v>
      </c>
      <c r="U68" s="4">
        <f t="shared" si="7"/>
        <v>1</v>
      </c>
      <c r="V68" s="4">
        <f t="shared" si="10"/>
        <v>233</v>
      </c>
    </row>
    <row r="69" spans="5:22">
      <c r="E69" s="4">
        <v>50</v>
      </c>
      <c r="F69" s="4">
        <f t="shared" si="0"/>
        <v>92.156862745098</v>
      </c>
      <c r="G69" s="4">
        <f t="shared" si="1"/>
        <v>92</v>
      </c>
      <c r="H69" s="4">
        <f>_xlfn.IFNA(VLOOKUP(E69,'主角等级（从新手引导复制） '!$N$43:$P$98,3,0),H68)</f>
        <v>59</v>
      </c>
      <c r="K69" s="4">
        <v>2</v>
      </c>
      <c r="L69" s="4">
        <v>50</v>
      </c>
      <c r="M69" s="4">
        <f t="shared" si="2"/>
        <v>50</v>
      </c>
      <c r="N69" s="4">
        <f t="shared" si="3"/>
        <v>39</v>
      </c>
      <c r="O69" s="4">
        <f t="shared" si="4"/>
        <v>4</v>
      </c>
      <c r="P69" s="4">
        <f t="array" ref="P69">INDEX('玩家等级对应关卡（从新手节奏复制）'!$H$5:$H$64,MATCH(N69,_xlfn.ANCHORARRAY('玩家等级对应关卡（从新手节奏复制）'!$E$5)))</f>
        <v>248</v>
      </c>
      <c r="Q69" s="4">
        <f t="shared" si="8"/>
        <v>6</v>
      </c>
      <c r="R69" s="4">
        <f t="shared" si="5"/>
        <v>1.5</v>
      </c>
      <c r="S69" s="4">
        <f t="shared" si="6"/>
        <v>0.4</v>
      </c>
      <c r="T69" s="4">
        <f t="shared" si="14"/>
        <v>20</v>
      </c>
      <c r="U69" s="4">
        <f t="shared" si="7"/>
        <v>8</v>
      </c>
      <c r="V69" s="4">
        <f t="shared" si="10"/>
        <v>241</v>
      </c>
    </row>
    <row r="70" spans="5:22">
      <c r="E70" s="4">
        <v>51</v>
      </c>
      <c r="F70" s="4">
        <f t="shared" si="0"/>
        <v>92.9411764705882</v>
      </c>
      <c r="G70" s="4">
        <f t="shared" si="1"/>
        <v>93</v>
      </c>
      <c r="H70" s="4">
        <f>_xlfn.IFNA(VLOOKUP(E70,'主角等级（从新手引导复制） '!$N$43:$P$98,3,0),H69)</f>
        <v>59</v>
      </c>
      <c r="K70" s="4">
        <v>0</v>
      </c>
      <c r="L70" s="4">
        <v>51</v>
      </c>
      <c r="M70" s="4">
        <f t="shared" si="2"/>
        <v>54</v>
      </c>
      <c r="N70" s="4">
        <f t="shared" si="3"/>
        <v>41</v>
      </c>
      <c r="O70" s="4">
        <f t="shared" si="4"/>
        <v>4</v>
      </c>
      <c r="P70" s="4">
        <f t="array" ref="P70">INDEX('玩家等级对应关卡（从新手节奏复制）'!$H$5:$H$64,MATCH(N70,_xlfn.ANCHORARRAY('玩家等级对应关卡（从新手节奏复制）'!$E$5)))</f>
        <v>255</v>
      </c>
      <c r="Q70" s="4">
        <f t="shared" si="8"/>
        <v>7</v>
      </c>
      <c r="R70" s="4">
        <f t="shared" si="5"/>
        <v>1.75</v>
      </c>
      <c r="S70" s="4">
        <f t="shared" si="6"/>
        <v>0.05</v>
      </c>
      <c r="T70" s="4">
        <f>SUM(R70:R79)</f>
        <v>14</v>
      </c>
      <c r="U70" s="4">
        <f t="shared" si="7"/>
        <v>0.7</v>
      </c>
      <c r="V70" s="4">
        <f t="shared" si="10"/>
        <v>242</v>
      </c>
    </row>
    <row r="71" spans="5:22">
      <c r="E71" s="4">
        <v>52</v>
      </c>
      <c r="F71" s="4">
        <f t="shared" si="0"/>
        <v>93.7254901960784</v>
      </c>
      <c r="G71" s="4">
        <f t="shared" si="1"/>
        <v>94</v>
      </c>
      <c r="H71" s="4">
        <f>_xlfn.IFNA(VLOOKUP(E71,'主角等级（从新手引导复制） '!$N$43:$P$98,3,0),H70)</f>
        <v>59</v>
      </c>
      <c r="K71" s="4">
        <v>0</v>
      </c>
      <c r="L71" s="4">
        <v>52</v>
      </c>
      <c r="M71" s="4">
        <f t="shared" si="2"/>
        <v>54</v>
      </c>
      <c r="N71" s="4">
        <f t="shared" si="3"/>
        <v>41</v>
      </c>
      <c r="O71" s="4">
        <f t="shared" si="4"/>
        <v>4</v>
      </c>
      <c r="P71" s="4">
        <f t="array" ref="P71">INDEX('玩家等级对应关卡（从新手节奏复制）'!$H$5:$H$64,MATCH(N71,_xlfn.ANCHORARRAY('玩家等级对应关卡（从新手节奏复制）'!$E$5)))</f>
        <v>255</v>
      </c>
      <c r="Q71" s="4">
        <f t="shared" si="8"/>
        <v>7</v>
      </c>
      <c r="R71" s="4">
        <f t="shared" si="5"/>
        <v>1.75</v>
      </c>
      <c r="S71" s="4">
        <f t="shared" si="6"/>
        <v>0.05</v>
      </c>
      <c r="T71" s="4">
        <f t="shared" ref="T71:T79" si="15">T70</f>
        <v>14</v>
      </c>
      <c r="U71" s="4">
        <f t="shared" si="7"/>
        <v>0.7</v>
      </c>
      <c r="V71" s="4">
        <f t="shared" si="10"/>
        <v>243</v>
      </c>
    </row>
    <row r="72" spans="5:22">
      <c r="E72" s="4">
        <v>53</v>
      </c>
      <c r="F72" s="4">
        <f t="shared" si="0"/>
        <v>94.5098039215686</v>
      </c>
      <c r="G72" s="4">
        <f t="shared" si="1"/>
        <v>95</v>
      </c>
      <c r="H72" s="4">
        <f>_xlfn.IFNA(VLOOKUP(E72,'主角等级（从新手引导复制） '!$N$43:$P$98,3,0),H71)</f>
        <v>59</v>
      </c>
      <c r="K72" s="4">
        <v>0</v>
      </c>
      <c r="L72" s="4">
        <v>53</v>
      </c>
      <c r="M72" s="4">
        <f t="shared" si="2"/>
        <v>54</v>
      </c>
      <c r="N72" s="4">
        <f t="shared" si="3"/>
        <v>41</v>
      </c>
      <c r="O72" s="4">
        <f t="shared" si="4"/>
        <v>4</v>
      </c>
      <c r="P72" s="4">
        <f t="array" ref="P72">INDEX('玩家等级对应关卡（从新手节奏复制）'!$H$5:$H$64,MATCH(N72,_xlfn.ANCHORARRAY('玩家等级对应关卡（从新手节奏复制）'!$E$5)))</f>
        <v>255</v>
      </c>
      <c r="Q72" s="4">
        <f t="shared" si="8"/>
        <v>7</v>
      </c>
      <c r="R72" s="4">
        <f t="shared" si="5"/>
        <v>1.75</v>
      </c>
      <c r="S72" s="4">
        <f t="shared" si="6"/>
        <v>0.05</v>
      </c>
      <c r="T72" s="4">
        <f t="shared" si="15"/>
        <v>14</v>
      </c>
      <c r="U72" s="4">
        <f t="shared" si="7"/>
        <v>0.7</v>
      </c>
      <c r="V72" s="4">
        <f t="shared" si="10"/>
        <v>244</v>
      </c>
    </row>
    <row r="73" spans="5:22">
      <c r="E73" s="4">
        <v>54</v>
      </c>
      <c r="F73" s="4">
        <f t="shared" si="0"/>
        <v>95.2941176470588</v>
      </c>
      <c r="G73" s="4">
        <f t="shared" si="1"/>
        <v>95</v>
      </c>
      <c r="H73" s="4">
        <f>_xlfn.IFNA(VLOOKUP(E73,'主角等级（从新手引导复制） '!$N$43:$P$98,3,0),H72)</f>
        <v>59</v>
      </c>
      <c r="K73" s="4">
        <v>0</v>
      </c>
      <c r="L73" s="4">
        <v>54</v>
      </c>
      <c r="M73" s="4">
        <f t="shared" si="2"/>
        <v>54</v>
      </c>
      <c r="N73" s="4">
        <f t="shared" si="3"/>
        <v>41</v>
      </c>
      <c r="O73" s="4">
        <f t="shared" si="4"/>
        <v>4</v>
      </c>
      <c r="P73" s="4">
        <f t="array" ref="P73">INDEX('玩家等级对应关卡（从新手节奏复制）'!$H$5:$H$64,MATCH(N73,_xlfn.ANCHORARRAY('玩家等级对应关卡（从新手节奏复制）'!$E$5)))</f>
        <v>255</v>
      </c>
      <c r="Q73" s="4">
        <f t="shared" si="8"/>
        <v>7</v>
      </c>
      <c r="R73" s="4">
        <f t="shared" si="5"/>
        <v>1.75</v>
      </c>
      <c r="S73" s="4">
        <f t="shared" si="6"/>
        <v>0.05</v>
      </c>
      <c r="T73" s="4">
        <f t="shared" si="15"/>
        <v>14</v>
      </c>
      <c r="U73" s="4">
        <f t="shared" si="7"/>
        <v>0.7</v>
      </c>
      <c r="V73" s="4">
        <f t="shared" si="10"/>
        <v>245</v>
      </c>
    </row>
    <row r="74" spans="5:22">
      <c r="E74" s="4">
        <v>55</v>
      </c>
      <c r="F74" s="4">
        <f t="shared" si="0"/>
        <v>96.078431372549</v>
      </c>
      <c r="G74" s="4">
        <f t="shared" si="1"/>
        <v>96</v>
      </c>
      <c r="H74" s="4">
        <f>_xlfn.IFNA(VLOOKUP(E74,'主角等级（从新手引导复制） '!$N$43:$P$98,3,0),H73)</f>
        <v>60</v>
      </c>
      <c r="K74" s="4">
        <v>1</v>
      </c>
      <c r="L74" s="4">
        <v>55</v>
      </c>
      <c r="M74" s="4">
        <f t="shared" si="2"/>
        <v>57</v>
      </c>
      <c r="N74" s="4">
        <f t="shared" si="3"/>
        <v>42</v>
      </c>
      <c r="O74" s="4">
        <f t="shared" si="4"/>
        <v>3</v>
      </c>
      <c r="P74" s="4">
        <f t="array" ref="P74">INDEX('玩家等级对应关卡（从新手节奏复制）'!$H$5:$H$64,MATCH(N74,_xlfn.ANCHORARRAY('玩家等级对应关卡（从新手节奏复制）'!$E$5)))</f>
        <v>259</v>
      </c>
      <c r="Q74" s="4">
        <f t="shared" si="8"/>
        <v>4</v>
      </c>
      <c r="R74" s="4">
        <f t="shared" si="5"/>
        <v>1.33333333333333</v>
      </c>
      <c r="S74" s="4">
        <f t="shared" si="6"/>
        <v>0.2</v>
      </c>
      <c r="T74" s="4">
        <f t="shared" si="15"/>
        <v>14</v>
      </c>
      <c r="U74" s="4">
        <f t="shared" si="7"/>
        <v>2.8</v>
      </c>
      <c r="V74" s="4">
        <f t="shared" si="10"/>
        <v>248</v>
      </c>
    </row>
    <row r="75" spans="5:22">
      <c r="E75" s="4">
        <v>56</v>
      </c>
      <c r="F75" s="4">
        <f t="shared" si="0"/>
        <v>96.8627450980392</v>
      </c>
      <c r="G75" s="4">
        <f t="shared" si="1"/>
        <v>97</v>
      </c>
      <c r="H75" s="4">
        <f>_xlfn.IFNA(VLOOKUP(E75,'主角等级（从新手引导复制） '!$N$43:$P$98,3,0),H74)</f>
        <v>60</v>
      </c>
      <c r="K75" s="4">
        <v>0</v>
      </c>
      <c r="L75" s="4">
        <v>56</v>
      </c>
      <c r="M75" s="4">
        <f t="shared" si="2"/>
        <v>57</v>
      </c>
      <c r="N75" s="4">
        <f t="shared" si="3"/>
        <v>42</v>
      </c>
      <c r="O75" s="4">
        <f t="shared" si="4"/>
        <v>3</v>
      </c>
      <c r="P75" s="4">
        <f t="array" ref="P75">INDEX('玩家等级对应关卡（从新手节奏复制）'!$H$5:$H$64,MATCH(N75,_xlfn.ANCHORARRAY('玩家等级对应关卡（从新手节奏复制）'!$E$5)))</f>
        <v>259</v>
      </c>
      <c r="Q75" s="4">
        <f t="shared" si="8"/>
        <v>4</v>
      </c>
      <c r="R75" s="4">
        <f t="shared" si="5"/>
        <v>1.33333333333333</v>
      </c>
      <c r="S75" s="4">
        <f t="shared" si="6"/>
        <v>0.05</v>
      </c>
      <c r="T75" s="4">
        <f t="shared" si="15"/>
        <v>14</v>
      </c>
      <c r="U75" s="4">
        <f t="shared" si="7"/>
        <v>0.7</v>
      </c>
      <c r="V75" s="4">
        <f t="shared" si="10"/>
        <v>249</v>
      </c>
    </row>
    <row r="76" spans="5:22">
      <c r="E76" s="4">
        <v>57</v>
      </c>
      <c r="F76" s="4">
        <f t="shared" si="0"/>
        <v>97.6470588235294</v>
      </c>
      <c r="G76" s="4">
        <f t="shared" si="1"/>
        <v>98</v>
      </c>
      <c r="H76" s="4">
        <f>_xlfn.IFNA(VLOOKUP(E76,'主角等级（从新手引导复制） '!$N$43:$P$98,3,0),H75)</f>
        <v>60</v>
      </c>
      <c r="K76" s="4">
        <v>0</v>
      </c>
      <c r="L76" s="4">
        <v>57</v>
      </c>
      <c r="M76" s="4">
        <f t="shared" si="2"/>
        <v>57</v>
      </c>
      <c r="N76" s="4">
        <f t="shared" si="3"/>
        <v>42</v>
      </c>
      <c r="O76" s="4">
        <f t="shared" si="4"/>
        <v>3</v>
      </c>
      <c r="P76" s="4">
        <f t="array" ref="P76">INDEX('玩家等级对应关卡（从新手节奏复制）'!$H$5:$H$64,MATCH(N76,_xlfn.ANCHORARRAY('玩家等级对应关卡（从新手节奏复制）'!$E$5)))</f>
        <v>259</v>
      </c>
      <c r="Q76" s="4">
        <f t="shared" si="8"/>
        <v>4</v>
      </c>
      <c r="R76" s="4">
        <f t="shared" si="5"/>
        <v>1.33333333333333</v>
      </c>
      <c r="S76" s="4">
        <f t="shared" si="6"/>
        <v>0.05</v>
      </c>
      <c r="T76" s="4">
        <f t="shared" si="15"/>
        <v>14</v>
      </c>
      <c r="U76" s="4">
        <f t="shared" si="7"/>
        <v>0.7</v>
      </c>
      <c r="V76" s="4">
        <f t="shared" si="10"/>
        <v>250</v>
      </c>
    </row>
    <row r="77" spans="5:22">
      <c r="E77" s="4">
        <v>58</v>
      </c>
      <c r="F77" s="4">
        <f t="shared" si="0"/>
        <v>98.4313725490196</v>
      </c>
      <c r="G77" s="4">
        <f t="shared" si="1"/>
        <v>98</v>
      </c>
      <c r="H77" s="4">
        <f>_xlfn.IFNA(VLOOKUP(E77,'主角等级（从新手引导复制） '!$N$43:$P$98,3,0),H76)</f>
        <v>60</v>
      </c>
      <c r="K77" s="4">
        <v>0</v>
      </c>
      <c r="L77" s="4">
        <v>58</v>
      </c>
      <c r="M77" s="4">
        <f t="shared" si="2"/>
        <v>60</v>
      </c>
      <c r="N77" s="4">
        <f t="shared" si="3"/>
        <v>43</v>
      </c>
      <c r="O77" s="4">
        <f t="shared" si="4"/>
        <v>3</v>
      </c>
      <c r="P77" s="4">
        <f t="array" ref="P77">INDEX('玩家等级对应关卡（从新手节奏复制）'!$H$5:$H$64,MATCH(N77,_xlfn.ANCHORARRAY('玩家等级对应关卡（从新手节奏复制）'!$E$5)))</f>
        <v>262</v>
      </c>
      <c r="Q77" s="4">
        <f t="shared" si="8"/>
        <v>3</v>
      </c>
      <c r="R77" s="4">
        <f t="shared" si="5"/>
        <v>1</v>
      </c>
      <c r="S77" s="4">
        <f t="shared" si="6"/>
        <v>0.05</v>
      </c>
      <c r="T77" s="4">
        <f t="shared" si="15"/>
        <v>14</v>
      </c>
      <c r="U77" s="4">
        <f t="shared" si="7"/>
        <v>0.7</v>
      </c>
      <c r="V77" s="4">
        <f t="shared" si="10"/>
        <v>251</v>
      </c>
    </row>
    <row r="78" spans="5:22">
      <c r="E78" s="4">
        <v>59</v>
      </c>
      <c r="F78" s="4">
        <f t="shared" si="0"/>
        <v>99.2156862745098</v>
      </c>
      <c r="G78" s="4">
        <f t="shared" si="1"/>
        <v>99</v>
      </c>
      <c r="H78" s="4">
        <f>_xlfn.IFNA(VLOOKUP(E78,'主角等级（从新手引导复制） '!$N$43:$P$98,3,0),H77)</f>
        <v>60</v>
      </c>
      <c r="K78" s="4">
        <v>0</v>
      </c>
      <c r="L78" s="4">
        <v>59</v>
      </c>
      <c r="M78" s="4">
        <f t="shared" si="2"/>
        <v>60</v>
      </c>
      <c r="N78" s="4">
        <f t="shared" si="3"/>
        <v>43</v>
      </c>
      <c r="O78" s="4">
        <f t="shared" si="4"/>
        <v>3</v>
      </c>
      <c r="P78" s="4">
        <f t="array" ref="P78">INDEX('玩家等级对应关卡（从新手节奏复制）'!$H$5:$H$64,MATCH(N78,_xlfn.ANCHORARRAY('玩家等级对应关卡（从新手节奏复制）'!$E$5)))</f>
        <v>262</v>
      </c>
      <c r="Q78" s="4">
        <f t="shared" si="8"/>
        <v>3</v>
      </c>
      <c r="R78" s="4">
        <f t="shared" si="5"/>
        <v>1</v>
      </c>
      <c r="S78" s="4">
        <f t="shared" si="6"/>
        <v>0.05</v>
      </c>
      <c r="T78" s="4">
        <f t="shared" si="15"/>
        <v>14</v>
      </c>
      <c r="U78" s="4">
        <f t="shared" si="7"/>
        <v>0.7</v>
      </c>
      <c r="V78" s="4">
        <f t="shared" si="10"/>
        <v>252</v>
      </c>
    </row>
    <row r="79" spans="5:22">
      <c r="E79" s="4">
        <v>60</v>
      </c>
      <c r="F79" s="4">
        <f t="shared" si="0"/>
        <v>100</v>
      </c>
      <c r="G79" s="4">
        <f t="shared" si="1"/>
        <v>100</v>
      </c>
      <c r="H79" s="4">
        <f>_xlfn.IFNA(VLOOKUP(E79,'主角等级（从新手引导复制） '!$N$43:$P$98,3,0),H78)</f>
        <v>60</v>
      </c>
      <c r="K79" s="4">
        <v>2</v>
      </c>
      <c r="L79" s="4">
        <v>60</v>
      </c>
      <c r="M79" s="4">
        <f t="shared" si="2"/>
        <v>60</v>
      </c>
      <c r="N79" s="4">
        <f t="shared" si="3"/>
        <v>43</v>
      </c>
      <c r="O79" s="4">
        <f t="shared" si="4"/>
        <v>3</v>
      </c>
      <c r="P79" s="4">
        <f t="array" ref="P79">INDEX('玩家等级对应关卡（从新手节奏复制）'!$H$5:$H$64,MATCH(N79,_xlfn.ANCHORARRAY('玩家等级对应关卡（从新手节奏复制）'!$E$5)))</f>
        <v>262</v>
      </c>
      <c r="Q79" s="4">
        <f t="shared" si="8"/>
        <v>3</v>
      </c>
      <c r="R79" s="4">
        <f t="shared" si="5"/>
        <v>1</v>
      </c>
      <c r="S79" s="4">
        <f t="shared" si="6"/>
        <v>0.4</v>
      </c>
      <c r="T79" s="4">
        <f t="shared" si="15"/>
        <v>14</v>
      </c>
      <c r="U79" s="4">
        <f t="shared" si="7"/>
        <v>5.6</v>
      </c>
      <c r="V79" s="4">
        <f t="shared" si="10"/>
        <v>258</v>
      </c>
    </row>
    <row r="80" spans="5:22">
      <c r="K80" s="4">
        <v>0</v>
      </c>
      <c r="L80" s="4">
        <v>61</v>
      </c>
      <c r="M80" s="4">
        <f t="shared" si="2"/>
        <v>61</v>
      </c>
      <c r="N80" s="4">
        <f t="shared" si="3"/>
        <v>44</v>
      </c>
      <c r="O80" s="4">
        <f t="shared" si="4"/>
        <v>1</v>
      </c>
      <c r="P80" s="4">
        <f t="array" ref="P80">INDEX('玩家等级对应关卡（从新手节奏复制）'!$H$5:$H$64,MATCH(N80,_xlfn.ANCHORARRAY('玩家等级对应关卡（从新手节奏复制）'!$E$5)))</f>
        <v>266</v>
      </c>
      <c r="Q80" s="4">
        <f t="shared" si="8"/>
        <v>4</v>
      </c>
      <c r="R80" s="4">
        <f t="shared" si="5"/>
        <v>4</v>
      </c>
      <c r="S80" s="4">
        <f t="shared" si="6"/>
        <v>0.05</v>
      </c>
      <c r="T80" s="4">
        <f>SUM(R80:R89)</f>
        <v>27.5</v>
      </c>
      <c r="U80" s="4">
        <f t="shared" si="7"/>
        <v>1.375</v>
      </c>
      <c r="V80" s="4">
        <f t="shared" si="10"/>
        <v>259</v>
      </c>
    </row>
    <row r="81" spans="11:22">
      <c r="K81" s="4">
        <v>0</v>
      </c>
      <c r="L81" s="4">
        <v>62</v>
      </c>
      <c r="M81" s="4">
        <f t="shared" si="2"/>
        <v>62</v>
      </c>
      <c r="N81" s="4">
        <f t="shared" si="3"/>
        <v>45</v>
      </c>
      <c r="O81" s="4">
        <f t="shared" si="4"/>
        <v>1</v>
      </c>
      <c r="P81" s="4">
        <f t="array" ref="P81">INDEX('玩家等级对应关卡（从新手节奏复制）'!$H$5:$H$64,MATCH(N81,_xlfn.ANCHORARRAY('玩家等级对应关卡（从新手节奏复制）'!$E$5)))</f>
        <v>270</v>
      </c>
      <c r="Q81" s="4">
        <f t="shared" si="8"/>
        <v>4</v>
      </c>
      <c r="R81" s="4">
        <f t="shared" si="5"/>
        <v>4</v>
      </c>
      <c r="S81" s="4">
        <f t="shared" si="6"/>
        <v>0.05</v>
      </c>
      <c r="T81" s="4">
        <f t="shared" ref="T81:T89" si="16">T80</f>
        <v>27.5</v>
      </c>
      <c r="U81" s="4">
        <f t="shared" si="7"/>
        <v>1.375</v>
      </c>
      <c r="V81" s="4">
        <f t="shared" si="10"/>
        <v>260</v>
      </c>
    </row>
    <row r="82" spans="11:22">
      <c r="K82" s="4">
        <v>0</v>
      </c>
      <c r="L82" s="4">
        <v>63</v>
      </c>
      <c r="M82" s="4">
        <f t="shared" si="2"/>
        <v>63</v>
      </c>
      <c r="N82" s="4">
        <f t="shared" si="3"/>
        <v>46</v>
      </c>
      <c r="O82" s="4">
        <f t="shared" si="4"/>
        <v>1</v>
      </c>
      <c r="P82" s="4">
        <f t="array" ref="P82">INDEX('玩家等级对应关卡（从新手节奏复制）'!$H$5:$H$64,MATCH(N82,_xlfn.ANCHORARRAY('玩家等级对应关卡（从新手节奏复制）'!$E$5)))</f>
        <v>273</v>
      </c>
      <c r="Q82" s="4">
        <f t="shared" si="8"/>
        <v>3</v>
      </c>
      <c r="R82" s="4">
        <f t="shared" si="5"/>
        <v>3</v>
      </c>
      <c r="S82" s="4">
        <f t="shared" si="6"/>
        <v>0.05</v>
      </c>
      <c r="T82" s="4">
        <f t="shared" si="16"/>
        <v>27.5</v>
      </c>
      <c r="U82" s="4">
        <f t="shared" si="7"/>
        <v>1.375</v>
      </c>
      <c r="V82" s="4">
        <f t="shared" si="10"/>
        <v>261</v>
      </c>
    </row>
    <row r="83" spans="11:22">
      <c r="K83" s="4">
        <v>0</v>
      </c>
      <c r="L83" s="4">
        <v>64</v>
      </c>
      <c r="M83" s="4">
        <f t="shared" si="2"/>
        <v>64</v>
      </c>
      <c r="N83" s="4">
        <f t="shared" si="3"/>
        <v>47</v>
      </c>
      <c r="O83" s="4">
        <f t="shared" si="4"/>
        <v>2</v>
      </c>
      <c r="P83" s="4">
        <f t="array" ref="P83">INDEX('玩家等级对应关卡（从新手节奏复制）'!$H$5:$H$64,MATCH(N83,_xlfn.ANCHORARRAY('玩家等级对应关卡（从新手节奏复制）'!$E$5)))</f>
        <v>277</v>
      </c>
      <c r="Q83" s="4">
        <f t="shared" si="8"/>
        <v>4</v>
      </c>
      <c r="R83" s="4">
        <f t="shared" si="5"/>
        <v>2</v>
      </c>
      <c r="S83" s="4">
        <f t="shared" si="6"/>
        <v>0.05</v>
      </c>
      <c r="T83" s="4">
        <f t="shared" si="16"/>
        <v>27.5</v>
      </c>
      <c r="U83" s="4">
        <f t="shared" si="7"/>
        <v>1.375</v>
      </c>
      <c r="V83" s="4">
        <f t="shared" si="10"/>
        <v>262</v>
      </c>
    </row>
    <row r="84" spans="11:22">
      <c r="K84" s="4">
        <v>1</v>
      </c>
      <c r="L84" s="4">
        <v>65</v>
      </c>
      <c r="M84" s="4">
        <f t="shared" ref="M84:M119" si="17">_xlfn.XLOOKUP(L84,$G$20:$G$79,$G$20:$G$79,,1)</f>
        <v>65</v>
      </c>
      <c r="N84" s="4">
        <f t="shared" ref="N84:N119" si="18">VLOOKUP(M84,$G$20:$H$79,2,0)</f>
        <v>47</v>
      </c>
      <c r="O84" s="4">
        <f t="shared" ref="O84:O119" si="19">COUNTIF($N$20:$N$119,N84)</f>
        <v>2</v>
      </c>
      <c r="P84" s="4">
        <f t="array" ref="P84">INDEX('玩家等级对应关卡（从新手节奏复制）'!$H$5:$H$64,MATCH(N84,_xlfn.ANCHORARRAY('玩家等级对应关卡（从新手节奏复制）'!$E$5)))</f>
        <v>277</v>
      </c>
      <c r="Q84" s="4">
        <f t="shared" si="8"/>
        <v>4</v>
      </c>
      <c r="R84" s="4">
        <f t="shared" ref="R84:R119" si="20">Q84/O84</f>
        <v>2</v>
      </c>
      <c r="S84" s="4">
        <f t="shared" ref="S84:S119" si="21">VLOOKUP(K84,$C$3:$E$5,3,0)</f>
        <v>0.2</v>
      </c>
      <c r="T84" s="4">
        <f t="shared" si="16"/>
        <v>27.5</v>
      </c>
      <c r="U84" s="4">
        <f t="shared" ref="U84:U119" si="22">T84*S84</f>
        <v>5.5</v>
      </c>
      <c r="V84" s="4">
        <f t="shared" si="10"/>
        <v>268</v>
      </c>
    </row>
    <row r="85" spans="11:22">
      <c r="K85" s="4">
        <v>0</v>
      </c>
      <c r="L85" s="4">
        <v>66</v>
      </c>
      <c r="M85" s="4">
        <f t="shared" si="17"/>
        <v>66</v>
      </c>
      <c r="N85" s="4">
        <f t="shared" si="18"/>
        <v>48</v>
      </c>
      <c r="O85" s="4">
        <f t="shared" si="19"/>
        <v>1</v>
      </c>
      <c r="P85" s="4">
        <f t="array" ref="P85">INDEX('玩家等级对应关卡（从新手节奏复制）'!$H$5:$H$64,MATCH(N85,_xlfn.ANCHORARRAY('玩家等级对应关卡（从新手节奏复制）'!$E$5)))</f>
        <v>280</v>
      </c>
      <c r="Q85" s="4">
        <f t="shared" ref="Q85:Q119" si="23">IF(P85&lt;&gt;P84,P85-P84,Q84)</f>
        <v>3</v>
      </c>
      <c r="R85" s="4">
        <f t="shared" si="20"/>
        <v>3</v>
      </c>
      <c r="S85" s="4">
        <f t="shared" si="21"/>
        <v>0.05</v>
      </c>
      <c r="T85" s="4">
        <f t="shared" si="16"/>
        <v>27.5</v>
      </c>
      <c r="U85" s="4">
        <f t="shared" si="22"/>
        <v>1.375</v>
      </c>
      <c r="V85" s="4">
        <f t="shared" ref="V85:V119" si="24">ROUND(V84+U85,0)</f>
        <v>269</v>
      </c>
    </row>
    <row r="86" spans="11:22">
      <c r="K86" s="4">
        <v>0</v>
      </c>
      <c r="L86" s="4">
        <v>67</v>
      </c>
      <c r="M86" s="4">
        <f t="shared" si="17"/>
        <v>67</v>
      </c>
      <c r="N86" s="4">
        <f t="shared" si="18"/>
        <v>49</v>
      </c>
      <c r="O86" s="4">
        <f t="shared" si="19"/>
        <v>1</v>
      </c>
      <c r="P86" s="4">
        <f t="array" ref="P86">INDEX('玩家等级对应关卡（从新手节奏复制）'!$H$5:$H$64,MATCH(N86,_xlfn.ANCHORARRAY('玩家等级对应关卡（从新手节奏复制）'!$E$5)))</f>
        <v>284</v>
      </c>
      <c r="Q86" s="4">
        <f t="shared" si="23"/>
        <v>4</v>
      </c>
      <c r="R86" s="4">
        <f t="shared" si="20"/>
        <v>4</v>
      </c>
      <c r="S86" s="4">
        <f t="shared" si="21"/>
        <v>0.05</v>
      </c>
      <c r="T86" s="4">
        <f t="shared" si="16"/>
        <v>27.5</v>
      </c>
      <c r="U86" s="4">
        <f t="shared" si="22"/>
        <v>1.375</v>
      </c>
      <c r="V86" s="4">
        <f t="shared" si="24"/>
        <v>270</v>
      </c>
    </row>
    <row r="87" spans="11:22">
      <c r="K87" s="4">
        <v>0</v>
      </c>
      <c r="L87" s="4">
        <v>68</v>
      </c>
      <c r="M87" s="4">
        <f t="shared" si="17"/>
        <v>68</v>
      </c>
      <c r="N87" s="4">
        <f t="shared" si="18"/>
        <v>50</v>
      </c>
      <c r="O87" s="4">
        <f t="shared" si="19"/>
        <v>2</v>
      </c>
      <c r="P87" s="4">
        <f t="array" ref="P87">INDEX('玩家等级对应关卡（从新手节奏复制）'!$H$5:$H$64,MATCH(N87,_xlfn.ANCHORARRAY('玩家等级对应关卡（从新手节奏复制）'!$E$5)))</f>
        <v>288</v>
      </c>
      <c r="Q87" s="4">
        <f t="shared" si="23"/>
        <v>4</v>
      </c>
      <c r="R87" s="4">
        <f t="shared" si="20"/>
        <v>2</v>
      </c>
      <c r="S87" s="4">
        <f t="shared" si="21"/>
        <v>0.05</v>
      </c>
      <c r="T87" s="4">
        <f t="shared" si="16"/>
        <v>27.5</v>
      </c>
      <c r="U87" s="4">
        <f t="shared" si="22"/>
        <v>1.375</v>
      </c>
      <c r="V87" s="4">
        <f t="shared" si="24"/>
        <v>271</v>
      </c>
    </row>
    <row r="88" spans="11:22">
      <c r="K88" s="4">
        <v>0</v>
      </c>
      <c r="L88" s="4">
        <v>69</v>
      </c>
      <c r="M88" s="4">
        <f t="shared" si="17"/>
        <v>69</v>
      </c>
      <c r="N88" s="4">
        <f t="shared" si="18"/>
        <v>50</v>
      </c>
      <c r="O88" s="4">
        <f t="shared" si="19"/>
        <v>2</v>
      </c>
      <c r="P88" s="4">
        <f t="array" ref="P88">INDEX('玩家等级对应关卡（从新手节奏复制）'!$H$5:$H$64,MATCH(N88,_xlfn.ANCHORARRAY('玩家等级对应关卡（从新手节奏复制）'!$E$5)))</f>
        <v>288</v>
      </c>
      <c r="Q88" s="4">
        <f t="shared" si="23"/>
        <v>4</v>
      </c>
      <c r="R88" s="4">
        <f t="shared" si="20"/>
        <v>2</v>
      </c>
      <c r="S88" s="4">
        <f t="shared" si="21"/>
        <v>0.05</v>
      </c>
      <c r="T88" s="4">
        <f t="shared" si="16"/>
        <v>27.5</v>
      </c>
      <c r="U88" s="4">
        <f t="shared" si="22"/>
        <v>1.375</v>
      </c>
      <c r="V88" s="4">
        <f t="shared" si="24"/>
        <v>272</v>
      </c>
    </row>
    <row r="89" spans="11:22">
      <c r="K89" s="4">
        <v>2</v>
      </c>
      <c r="L89" s="4">
        <v>70</v>
      </c>
      <c r="M89" s="4">
        <f t="shared" si="17"/>
        <v>70</v>
      </c>
      <c r="N89" s="4">
        <f t="shared" si="18"/>
        <v>51</v>
      </c>
      <c r="O89" s="4">
        <f t="shared" si="19"/>
        <v>2</v>
      </c>
      <c r="P89" s="4">
        <f t="array" ref="P89">INDEX('玩家等级对应关卡（从新手节奏复制）'!$H$5:$H$64,MATCH(N89,_xlfn.ANCHORARRAY('玩家等级对应关卡（从新手节奏复制）'!$E$5)))</f>
        <v>291</v>
      </c>
      <c r="Q89" s="4">
        <f t="shared" si="23"/>
        <v>3</v>
      </c>
      <c r="R89" s="4">
        <f t="shared" si="20"/>
        <v>1.5</v>
      </c>
      <c r="S89" s="4">
        <f t="shared" si="21"/>
        <v>0.4</v>
      </c>
      <c r="T89" s="4">
        <f t="shared" si="16"/>
        <v>27.5</v>
      </c>
      <c r="U89" s="4">
        <f t="shared" si="22"/>
        <v>11</v>
      </c>
      <c r="V89" s="4">
        <f t="shared" si="24"/>
        <v>283</v>
      </c>
    </row>
    <row r="90" spans="11:22">
      <c r="K90" s="4">
        <v>0</v>
      </c>
      <c r="L90" s="4">
        <v>71</v>
      </c>
      <c r="M90" s="4">
        <f t="shared" si="17"/>
        <v>71</v>
      </c>
      <c r="N90" s="4">
        <f t="shared" si="18"/>
        <v>51</v>
      </c>
      <c r="O90" s="4">
        <f t="shared" si="19"/>
        <v>2</v>
      </c>
      <c r="P90" s="4">
        <f t="array" ref="P90">INDEX('玩家等级对应关卡（从新手节奏复制）'!$H$5:$H$64,MATCH(N90,_xlfn.ANCHORARRAY('玩家等级对应关卡（从新手节奏复制）'!$E$5)))</f>
        <v>291</v>
      </c>
      <c r="Q90" s="4">
        <f t="shared" si="23"/>
        <v>3</v>
      </c>
      <c r="R90" s="4">
        <f t="shared" si="20"/>
        <v>1.5</v>
      </c>
      <c r="S90" s="4">
        <f t="shared" si="21"/>
        <v>0.05</v>
      </c>
      <c r="T90" s="4">
        <f>SUM(R90:R99)</f>
        <v>16.5</v>
      </c>
      <c r="U90" s="4">
        <f t="shared" si="22"/>
        <v>0.825</v>
      </c>
      <c r="V90" s="4">
        <f t="shared" si="24"/>
        <v>284</v>
      </c>
    </row>
    <row r="91" spans="11:22">
      <c r="K91" s="4">
        <v>0</v>
      </c>
      <c r="L91" s="4">
        <v>72</v>
      </c>
      <c r="M91" s="4">
        <f t="shared" si="17"/>
        <v>72</v>
      </c>
      <c r="N91" s="4">
        <f t="shared" si="18"/>
        <v>52</v>
      </c>
      <c r="O91" s="4">
        <f t="shared" si="19"/>
        <v>2</v>
      </c>
      <c r="P91" s="4">
        <f t="array" ref="P91">INDEX('玩家等级对应关卡（从新手节奏复制）'!$H$5:$H$64,MATCH(N91,_xlfn.ANCHORARRAY('玩家等级对应关卡（从新手节奏复制）'!$E$5)))</f>
        <v>295</v>
      </c>
      <c r="Q91" s="4">
        <f t="shared" si="23"/>
        <v>4</v>
      </c>
      <c r="R91" s="4">
        <f t="shared" si="20"/>
        <v>2</v>
      </c>
      <c r="S91" s="4">
        <f t="shared" si="21"/>
        <v>0.05</v>
      </c>
      <c r="T91" s="4">
        <f t="shared" ref="T91:T99" si="25">T90</f>
        <v>16.5</v>
      </c>
      <c r="U91" s="4">
        <f t="shared" si="22"/>
        <v>0.825</v>
      </c>
      <c r="V91" s="4">
        <f t="shared" si="24"/>
        <v>285</v>
      </c>
    </row>
    <row r="92" spans="11:22">
      <c r="K92" s="4">
        <v>0</v>
      </c>
      <c r="L92" s="4">
        <v>73</v>
      </c>
      <c r="M92" s="4">
        <f t="shared" si="17"/>
        <v>73</v>
      </c>
      <c r="N92" s="4">
        <f t="shared" si="18"/>
        <v>52</v>
      </c>
      <c r="O92" s="4">
        <f t="shared" si="19"/>
        <v>2</v>
      </c>
      <c r="P92" s="4">
        <f t="array" ref="P92">INDEX('玩家等级对应关卡（从新手节奏复制）'!$H$5:$H$64,MATCH(N92,_xlfn.ANCHORARRAY('玩家等级对应关卡（从新手节奏复制）'!$E$5)))</f>
        <v>295</v>
      </c>
      <c r="Q92" s="4">
        <f t="shared" si="23"/>
        <v>4</v>
      </c>
      <c r="R92" s="4">
        <f t="shared" si="20"/>
        <v>2</v>
      </c>
      <c r="S92" s="4">
        <f t="shared" si="21"/>
        <v>0.05</v>
      </c>
      <c r="T92" s="4">
        <f t="shared" si="25"/>
        <v>16.5</v>
      </c>
      <c r="U92" s="4">
        <f t="shared" si="22"/>
        <v>0.825</v>
      </c>
      <c r="V92" s="4">
        <f t="shared" si="24"/>
        <v>286</v>
      </c>
    </row>
    <row r="93" spans="11:22">
      <c r="K93" s="4">
        <v>0</v>
      </c>
      <c r="L93" s="4">
        <v>74</v>
      </c>
      <c r="M93" s="4">
        <f t="shared" si="17"/>
        <v>74</v>
      </c>
      <c r="N93" s="4">
        <f t="shared" si="18"/>
        <v>53</v>
      </c>
      <c r="O93" s="4">
        <f t="shared" si="19"/>
        <v>2</v>
      </c>
      <c r="P93" s="4">
        <f t="array" ref="P93">INDEX('玩家等级对应关卡（从新手节奏复制）'!$H$5:$H$64,MATCH(N93,_xlfn.ANCHORARRAY('玩家等级对应关卡（从新手节奏复制）'!$E$5)))</f>
        <v>298</v>
      </c>
      <c r="Q93" s="4">
        <f t="shared" si="23"/>
        <v>3</v>
      </c>
      <c r="R93" s="4">
        <f t="shared" si="20"/>
        <v>1.5</v>
      </c>
      <c r="S93" s="4">
        <f t="shared" si="21"/>
        <v>0.05</v>
      </c>
      <c r="T93" s="4">
        <f t="shared" si="25"/>
        <v>16.5</v>
      </c>
      <c r="U93" s="4">
        <f t="shared" si="22"/>
        <v>0.825</v>
      </c>
      <c r="V93" s="4">
        <f t="shared" si="24"/>
        <v>287</v>
      </c>
    </row>
    <row r="94" spans="11:22">
      <c r="K94" s="4">
        <v>1</v>
      </c>
      <c r="L94" s="4">
        <v>75</v>
      </c>
      <c r="M94" s="4">
        <f t="shared" si="17"/>
        <v>75</v>
      </c>
      <c r="N94" s="4">
        <f t="shared" si="18"/>
        <v>53</v>
      </c>
      <c r="O94" s="4">
        <f t="shared" si="19"/>
        <v>2</v>
      </c>
      <c r="P94" s="4">
        <f t="array" ref="P94">INDEX('玩家等级对应关卡（从新手节奏复制）'!$H$5:$H$64,MATCH(N94,_xlfn.ANCHORARRAY('玩家等级对应关卡（从新手节奏复制）'!$E$5)))</f>
        <v>298</v>
      </c>
      <c r="Q94" s="4">
        <f t="shared" si="23"/>
        <v>3</v>
      </c>
      <c r="R94" s="4">
        <f t="shared" si="20"/>
        <v>1.5</v>
      </c>
      <c r="S94" s="4">
        <f t="shared" si="21"/>
        <v>0.2</v>
      </c>
      <c r="T94" s="4">
        <f t="shared" si="25"/>
        <v>16.5</v>
      </c>
      <c r="U94" s="4">
        <f t="shared" si="22"/>
        <v>3.3</v>
      </c>
      <c r="V94" s="4">
        <f t="shared" si="24"/>
        <v>290</v>
      </c>
    </row>
    <row r="95" spans="11:22">
      <c r="K95" s="4">
        <v>0</v>
      </c>
      <c r="L95" s="4">
        <v>76</v>
      </c>
      <c r="M95" s="4">
        <f t="shared" si="17"/>
        <v>76</v>
      </c>
      <c r="N95" s="4">
        <f t="shared" si="18"/>
        <v>54</v>
      </c>
      <c r="O95" s="4">
        <f t="shared" si="19"/>
        <v>3</v>
      </c>
      <c r="P95" s="4">
        <f t="array" ref="P95">INDEX('玩家等级对应关卡（从新手节奏复制）'!$H$5:$H$64,MATCH(N95,_xlfn.ANCHORARRAY('玩家等级对应关卡（从新手节奏复制）'!$E$5)))</f>
        <v>302</v>
      </c>
      <c r="Q95" s="4">
        <f t="shared" si="23"/>
        <v>4</v>
      </c>
      <c r="R95" s="4">
        <f t="shared" si="20"/>
        <v>1.33333333333333</v>
      </c>
      <c r="S95" s="4">
        <f t="shared" si="21"/>
        <v>0.05</v>
      </c>
      <c r="T95" s="4">
        <f t="shared" si="25"/>
        <v>16.5</v>
      </c>
      <c r="U95" s="4">
        <f t="shared" si="22"/>
        <v>0.825</v>
      </c>
      <c r="V95" s="4">
        <f t="shared" si="24"/>
        <v>291</v>
      </c>
    </row>
    <row r="96" spans="11:22">
      <c r="K96" s="4">
        <v>0</v>
      </c>
      <c r="L96" s="4">
        <v>77</v>
      </c>
      <c r="M96" s="4">
        <f t="shared" si="17"/>
        <v>77</v>
      </c>
      <c r="N96" s="4">
        <f t="shared" si="18"/>
        <v>54</v>
      </c>
      <c r="O96" s="4">
        <f t="shared" si="19"/>
        <v>3</v>
      </c>
      <c r="P96" s="4">
        <f t="array" ref="P96">INDEX('玩家等级对应关卡（从新手节奏复制）'!$H$5:$H$64,MATCH(N96,_xlfn.ANCHORARRAY('玩家等级对应关卡（从新手节奏复制）'!$E$5)))</f>
        <v>302</v>
      </c>
      <c r="Q96" s="4">
        <f t="shared" si="23"/>
        <v>4</v>
      </c>
      <c r="R96" s="4">
        <f t="shared" si="20"/>
        <v>1.33333333333333</v>
      </c>
      <c r="S96" s="4">
        <f t="shared" si="21"/>
        <v>0.05</v>
      </c>
      <c r="T96" s="4">
        <f t="shared" si="25"/>
        <v>16.5</v>
      </c>
      <c r="U96" s="4">
        <f t="shared" si="22"/>
        <v>0.825</v>
      </c>
      <c r="V96" s="4">
        <f t="shared" si="24"/>
        <v>292</v>
      </c>
    </row>
    <row r="97" spans="11:22">
      <c r="K97" s="4">
        <v>0</v>
      </c>
      <c r="L97" s="4">
        <v>78</v>
      </c>
      <c r="M97" s="4">
        <f t="shared" si="17"/>
        <v>78</v>
      </c>
      <c r="N97" s="4">
        <f t="shared" si="18"/>
        <v>54</v>
      </c>
      <c r="O97" s="4">
        <f t="shared" si="19"/>
        <v>3</v>
      </c>
      <c r="P97" s="4">
        <f t="array" ref="P97">INDEX('玩家等级对应关卡（从新手节奏复制）'!$H$5:$H$64,MATCH(N97,_xlfn.ANCHORARRAY('玩家等级对应关卡（从新手节奏复制）'!$E$5)))</f>
        <v>302</v>
      </c>
      <c r="Q97" s="4">
        <f t="shared" si="23"/>
        <v>4</v>
      </c>
      <c r="R97" s="4">
        <f t="shared" si="20"/>
        <v>1.33333333333333</v>
      </c>
      <c r="S97" s="4">
        <f t="shared" si="21"/>
        <v>0.05</v>
      </c>
      <c r="T97" s="4">
        <f t="shared" si="25"/>
        <v>16.5</v>
      </c>
      <c r="U97" s="4">
        <f t="shared" si="22"/>
        <v>0.825</v>
      </c>
      <c r="V97" s="4">
        <f t="shared" si="24"/>
        <v>293</v>
      </c>
    </row>
    <row r="98" spans="11:22">
      <c r="K98" s="4">
        <v>0</v>
      </c>
      <c r="L98" s="4">
        <v>79</v>
      </c>
      <c r="M98" s="4">
        <f t="shared" si="17"/>
        <v>79</v>
      </c>
      <c r="N98" s="4">
        <f t="shared" si="18"/>
        <v>55</v>
      </c>
      <c r="O98" s="4">
        <f t="shared" si="19"/>
        <v>2</v>
      </c>
      <c r="P98" s="4">
        <f t="array" ref="P98">INDEX('玩家等级对应关卡（从新手节奏复制）'!$H$5:$H$64,MATCH(N98,_xlfn.ANCHORARRAY('玩家等级对应关卡（从新手节奏复制）'!$E$5)))</f>
        <v>306</v>
      </c>
      <c r="Q98" s="4">
        <f t="shared" si="23"/>
        <v>4</v>
      </c>
      <c r="R98" s="4">
        <f t="shared" si="20"/>
        <v>2</v>
      </c>
      <c r="S98" s="4">
        <f t="shared" si="21"/>
        <v>0.05</v>
      </c>
      <c r="T98" s="4">
        <f t="shared" si="25"/>
        <v>16.5</v>
      </c>
      <c r="U98" s="4">
        <f t="shared" si="22"/>
        <v>0.825</v>
      </c>
      <c r="V98" s="4">
        <f t="shared" si="24"/>
        <v>294</v>
      </c>
    </row>
    <row r="99" spans="11:22">
      <c r="K99" s="4">
        <v>2</v>
      </c>
      <c r="L99" s="4">
        <v>80</v>
      </c>
      <c r="M99" s="4">
        <f t="shared" si="17"/>
        <v>80</v>
      </c>
      <c r="N99" s="4">
        <f t="shared" si="18"/>
        <v>55</v>
      </c>
      <c r="O99" s="4">
        <f t="shared" si="19"/>
        <v>2</v>
      </c>
      <c r="P99" s="4">
        <f t="array" ref="P99">INDEX('玩家等级对应关卡（从新手节奏复制）'!$H$5:$H$64,MATCH(N99,_xlfn.ANCHORARRAY('玩家等级对应关卡（从新手节奏复制）'!$E$5)))</f>
        <v>306</v>
      </c>
      <c r="Q99" s="4">
        <f t="shared" si="23"/>
        <v>4</v>
      </c>
      <c r="R99" s="4">
        <f t="shared" si="20"/>
        <v>2</v>
      </c>
      <c r="S99" s="4">
        <f t="shared" si="21"/>
        <v>0.4</v>
      </c>
      <c r="T99" s="4">
        <f t="shared" si="25"/>
        <v>16.5</v>
      </c>
      <c r="U99" s="4">
        <f t="shared" si="22"/>
        <v>6.6</v>
      </c>
      <c r="V99" s="4">
        <f t="shared" si="24"/>
        <v>301</v>
      </c>
    </row>
    <row r="100" spans="11:22">
      <c r="K100" s="4">
        <v>0</v>
      </c>
      <c r="L100" s="4">
        <v>81</v>
      </c>
      <c r="M100" s="4">
        <f t="shared" si="17"/>
        <v>81</v>
      </c>
      <c r="N100" s="4">
        <f t="shared" si="18"/>
        <v>56</v>
      </c>
      <c r="O100" s="4">
        <f t="shared" si="19"/>
        <v>4</v>
      </c>
      <c r="P100" s="4">
        <f t="array" ref="P100">INDEX('玩家等级对应关卡（从新手节奏复制）'!$H$5:$H$64,MATCH(N100,_xlfn.ANCHORARRAY('玩家等级对应关卡（从新手节奏复制）'!$E$5)))</f>
        <v>309</v>
      </c>
      <c r="Q100" s="4">
        <f t="shared" si="23"/>
        <v>3</v>
      </c>
      <c r="R100" s="4">
        <f t="shared" si="20"/>
        <v>0.75</v>
      </c>
      <c r="S100" s="4">
        <f t="shared" si="21"/>
        <v>0.05</v>
      </c>
      <c r="T100" s="4">
        <f>SUM(R100:R109)</f>
        <v>9.25</v>
      </c>
      <c r="U100" s="4">
        <f t="shared" si="22"/>
        <v>0.4625</v>
      </c>
      <c r="V100" s="4">
        <f t="shared" si="24"/>
        <v>301</v>
      </c>
    </row>
    <row r="101" spans="11:22">
      <c r="K101" s="4">
        <v>0</v>
      </c>
      <c r="L101" s="4">
        <v>82</v>
      </c>
      <c r="M101" s="4">
        <f t="shared" si="17"/>
        <v>82</v>
      </c>
      <c r="N101" s="4">
        <f t="shared" si="18"/>
        <v>56</v>
      </c>
      <c r="O101" s="4">
        <f t="shared" si="19"/>
        <v>4</v>
      </c>
      <c r="P101" s="4">
        <f t="array" ref="P101">INDEX('玩家等级对应关卡（从新手节奏复制）'!$H$5:$H$64,MATCH(N101,_xlfn.ANCHORARRAY('玩家等级对应关卡（从新手节奏复制）'!$E$5)))</f>
        <v>309</v>
      </c>
      <c r="Q101" s="4">
        <f t="shared" si="23"/>
        <v>3</v>
      </c>
      <c r="R101" s="4">
        <f t="shared" si="20"/>
        <v>0.75</v>
      </c>
      <c r="S101" s="4">
        <f t="shared" si="21"/>
        <v>0.05</v>
      </c>
      <c r="T101" s="4">
        <f t="shared" ref="T101:T109" si="26">T100</f>
        <v>9.25</v>
      </c>
      <c r="U101" s="4">
        <f t="shared" si="22"/>
        <v>0.4625</v>
      </c>
      <c r="V101" s="4">
        <f t="shared" si="24"/>
        <v>301</v>
      </c>
    </row>
    <row r="102" spans="11:22">
      <c r="K102" s="4">
        <v>0</v>
      </c>
      <c r="L102" s="4">
        <v>83</v>
      </c>
      <c r="M102" s="4">
        <f t="shared" si="17"/>
        <v>83</v>
      </c>
      <c r="N102" s="4">
        <f t="shared" si="18"/>
        <v>56</v>
      </c>
      <c r="O102" s="4">
        <f t="shared" si="19"/>
        <v>4</v>
      </c>
      <c r="P102" s="4">
        <f t="array" ref="P102">INDEX('玩家等级对应关卡（从新手节奏复制）'!$H$5:$H$64,MATCH(N102,_xlfn.ANCHORARRAY('玩家等级对应关卡（从新手节奏复制）'!$E$5)))</f>
        <v>309</v>
      </c>
      <c r="Q102" s="4">
        <f t="shared" si="23"/>
        <v>3</v>
      </c>
      <c r="R102" s="4">
        <f t="shared" si="20"/>
        <v>0.75</v>
      </c>
      <c r="S102" s="4">
        <f t="shared" si="21"/>
        <v>0.05</v>
      </c>
      <c r="T102" s="4">
        <f t="shared" si="26"/>
        <v>9.25</v>
      </c>
      <c r="U102" s="4">
        <f t="shared" si="22"/>
        <v>0.4625</v>
      </c>
      <c r="V102" s="4">
        <f t="shared" si="24"/>
        <v>301</v>
      </c>
    </row>
    <row r="103" spans="11:22">
      <c r="K103" s="4">
        <v>0</v>
      </c>
      <c r="L103" s="4">
        <v>84</v>
      </c>
      <c r="M103" s="4">
        <f t="shared" si="17"/>
        <v>84</v>
      </c>
      <c r="N103" s="4">
        <f t="shared" si="18"/>
        <v>56</v>
      </c>
      <c r="O103" s="4">
        <f t="shared" si="19"/>
        <v>4</v>
      </c>
      <c r="P103" s="4">
        <f t="array" ref="P103">INDEX('玩家等级对应关卡（从新手节奏复制）'!$H$5:$H$64,MATCH(N103,_xlfn.ANCHORARRAY('玩家等级对应关卡（从新手节奏复制）'!$E$5)))</f>
        <v>309</v>
      </c>
      <c r="Q103" s="4">
        <f t="shared" si="23"/>
        <v>3</v>
      </c>
      <c r="R103" s="4">
        <f t="shared" si="20"/>
        <v>0.75</v>
      </c>
      <c r="S103" s="4">
        <f t="shared" si="21"/>
        <v>0.05</v>
      </c>
      <c r="T103" s="4">
        <f t="shared" si="26"/>
        <v>9.25</v>
      </c>
      <c r="U103" s="4">
        <f t="shared" si="22"/>
        <v>0.4625</v>
      </c>
      <c r="V103" s="4">
        <f t="shared" si="24"/>
        <v>301</v>
      </c>
    </row>
    <row r="104" spans="11:22">
      <c r="K104" s="4">
        <v>1</v>
      </c>
      <c r="L104" s="4">
        <v>85</v>
      </c>
      <c r="M104" s="4">
        <f t="shared" si="17"/>
        <v>85</v>
      </c>
      <c r="N104" s="4">
        <f t="shared" si="18"/>
        <v>57</v>
      </c>
      <c r="O104" s="4">
        <f t="shared" si="19"/>
        <v>3</v>
      </c>
      <c r="P104" s="4">
        <f t="array" ref="P104">INDEX('玩家等级对应关卡（从新手节奏复制）'!$H$5:$H$64,MATCH(N104,_xlfn.ANCHORARRAY('玩家等级对应关卡（从新手节奏复制）'!$E$5)))</f>
        <v>313</v>
      </c>
      <c r="Q104" s="4">
        <f t="shared" si="23"/>
        <v>4</v>
      </c>
      <c r="R104" s="4">
        <f t="shared" si="20"/>
        <v>1.33333333333333</v>
      </c>
      <c r="S104" s="4">
        <f t="shared" si="21"/>
        <v>0.2</v>
      </c>
      <c r="T104" s="4">
        <f t="shared" si="26"/>
        <v>9.25</v>
      </c>
      <c r="U104" s="4">
        <f t="shared" si="22"/>
        <v>1.85</v>
      </c>
      <c r="V104" s="4">
        <f t="shared" si="24"/>
        <v>303</v>
      </c>
    </row>
    <row r="105" spans="11:22">
      <c r="K105" s="4">
        <v>0</v>
      </c>
      <c r="L105" s="4">
        <v>86</v>
      </c>
      <c r="M105" s="4">
        <f t="shared" si="17"/>
        <v>86</v>
      </c>
      <c r="N105" s="4">
        <f t="shared" si="18"/>
        <v>57</v>
      </c>
      <c r="O105" s="4">
        <f t="shared" si="19"/>
        <v>3</v>
      </c>
      <c r="P105" s="4">
        <f t="array" ref="P105">INDEX('玩家等级对应关卡（从新手节奏复制）'!$H$5:$H$64,MATCH(N105,_xlfn.ANCHORARRAY('玩家等级对应关卡（从新手节奏复制）'!$E$5)))</f>
        <v>313</v>
      </c>
      <c r="Q105" s="4">
        <f t="shared" si="23"/>
        <v>4</v>
      </c>
      <c r="R105" s="4">
        <f t="shared" si="20"/>
        <v>1.33333333333333</v>
      </c>
      <c r="S105" s="4">
        <f t="shared" si="21"/>
        <v>0.05</v>
      </c>
      <c r="T105" s="4">
        <f t="shared" si="26"/>
        <v>9.25</v>
      </c>
      <c r="U105" s="4">
        <f t="shared" si="22"/>
        <v>0.4625</v>
      </c>
      <c r="V105" s="4">
        <f t="shared" si="24"/>
        <v>303</v>
      </c>
    </row>
    <row r="106" spans="11:22">
      <c r="K106" s="4">
        <v>0</v>
      </c>
      <c r="L106" s="4">
        <v>87</v>
      </c>
      <c r="M106" s="4">
        <f t="shared" si="17"/>
        <v>87</v>
      </c>
      <c r="N106" s="4">
        <f t="shared" si="18"/>
        <v>57</v>
      </c>
      <c r="O106" s="4">
        <f t="shared" si="19"/>
        <v>3</v>
      </c>
      <c r="P106" s="4">
        <f t="array" ref="P106">INDEX('玩家等级对应关卡（从新手节奏复制）'!$H$5:$H$64,MATCH(N106,_xlfn.ANCHORARRAY('玩家等级对应关卡（从新手节奏复制）'!$E$5)))</f>
        <v>313</v>
      </c>
      <c r="Q106" s="4">
        <f t="shared" si="23"/>
        <v>4</v>
      </c>
      <c r="R106" s="4">
        <f t="shared" si="20"/>
        <v>1.33333333333333</v>
      </c>
      <c r="S106" s="4">
        <f t="shared" si="21"/>
        <v>0.05</v>
      </c>
      <c r="T106" s="4">
        <f t="shared" si="26"/>
        <v>9.25</v>
      </c>
      <c r="U106" s="4">
        <f t="shared" si="22"/>
        <v>0.4625</v>
      </c>
      <c r="V106" s="4">
        <f t="shared" si="24"/>
        <v>303</v>
      </c>
    </row>
    <row r="107" spans="11:22">
      <c r="K107" s="4">
        <v>0</v>
      </c>
      <c r="L107" s="4">
        <v>88</v>
      </c>
      <c r="M107" s="4">
        <f t="shared" si="17"/>
        <v>88</v>
      </c>
      <c r="N107" s="4">
        <f t="shared" si="18"/>
        <v>58</v>
      </c>
      <c r="O107" s="4">
        <f t="shared" si="19"/>
        <v>4</v>
      </c>
      <c r="P107" s="4">
        <f t="array" ref="P107">INDEX('玩家等级对应关卡（从新手节奏复制）'!$H$5:$H$64,MATCH(N107,_xlfn.ANCHORARRAY('玩家等级对应关卡（从新手节奏复制）'!$E$5)))</f>
        <v>316</v>
      </c>
      <c r="Q107" s="4">
        <f t="shared" si="23"/>
        <v>3</v>
      </c>
      <c r="R107" s="4">
        <f t="shared" si="20"/>
        <v>0.75</v>
      </c>
      <c r="S107" s="4">
        <f t="shared" si="21"/>
        <v>0.05</v>
      </c>
      <c r="T107" s="4">
        <f t="shared" si="26"/>
        <v>9.25</v>
      </c>
      <c r="U107" s="4">
        <f t="shared" si="22"/>
        <v>0.4625</v>
      </c>
      <c r="V107" s="4">
        <f t="shared" si="24"/>
        <v>303</v>
      </c>
    </row>
    <row r="108" spans="11:22">
      <c r="K108" s="4">
        <v>0</v>
      </c>
      <c r="L108" s="4">
        <v>89</v>
      </c>
      <c r="M108" s="4">
        <f t="shared" si="17"/>
        <v>89</v>
      </c>
      <c r="N108" s="4">
        <f t="shared" si="18"/>
        <v>58</v>
      </c>
      <c r="O108" s="4">
        <f t="shared" si="19"/>
        <v>4</v>
      </c>
      <c r="P108" s="4">
        <f t="array" ref="P108">INDEX('玩家等级对应关卡（从新手节奏复制）'!$H$5:$H$64,MATCH(N108,_xlfn.ANCHORARRAY('玩家等级对应关卡（从新手节奏复制）'!$E$5)))</f>
        <v>316</v>
      </c>
      <c r="Q108" s="4">
        <f t="shared" si="23"/>
        <v>3</v>
      </c>
      <c r="R108" s="4">
        <f t="shared" si="20"/>
        <v>0.75</v>
      </c>
      <c r="S108" s="4">
        <f t="shared" si="21"/>
        <v>0.05</v>
      </c>
      <c r="T108" s="4">
        <f t="shared" si="26"/>
        <v>9.25</v>
      </c>
      <c r="U108" s="4">
        <f t="shared" si="22"/>
        <v>0.4625</v>
      </c>
      <c r="V108" s="4">
        <f t="shared" si="24"/>
        <v>303</v>
      </c>
    </row>
    <row r="109" spans="11:22">
      <c r="K109" s="4">
        <v>2</v>
      </c>
      <c r="L109" s="4">
        <v>90</v>
      </c>
      <c r="M109" s="4">
        <f t="shared" si="17"/>
        <v>90</v>
      </c>
      <c r="N109" s="4">
        <f t="shared" si="18"/>
        <v>58</v>
      </c>
      <c r="O109" s="4">
        <f t="shared" si="19"/>
        <v>4</v>
      </c>
      <c r="P109" s="4">
        <f t="array" ref="P109">INDEX('玩家等级对应关卡（从新手节奏复制）'!$H$5:$H$64,MATCH(N109,_xlfn.ANCHORARRAY('玩家等级对应关卡（从新手节奏复制）'!$E$5)))</f>
        <v>316</v>
      </c>
      <c r="Q109" s="4">
        <f t="shared" si="23"/>
        <v>3</v>
      </c>
      <c r="R109" s="4">
        <f t="shared" si="20"/>
        <v>0.75</v>
      </c>
      <c r="S109" s="4">
        <f t="shared" si="21"/>
        <v>0.4</v>
      </c>
      <c r="T109" s="4">
        <f t="shared" si="26"/>
        <v>9.25</v>
      </c>
      <c r="U109" s="4">
        <f t="shared" si="22"/>
        <v>3.7</v>
      </c>
      <c r="V109" s="4">
        <f t="shared" si="24"/>
        <v>307</v>
      </c>
    </row>
    <row r="110" spans="11:22">
      <c r="K110" s="4">
        <v>0</v>
      </c>
      <c r="L110" s="4">
        <v>91</v>
      </c>
      <c r="M110" s="4">
        <f t="shared" si="17"/>
        <v>91</v>
      </c>
      <c r="N110" s="4">
        <f t="shared" si="18"/>
        <v>58</v>
      </c>
      <c r="O110" s="4">
        <f t="shared" si="19"/>
        <v>4</v>
      </c>
      <c r="P110" s="4">
        <f t="array" ref="P110">INDEX('玩家等级对应关卡（从新手节奏复制）'!$H$5:$H$64,MATCH(N110,_xlfn.ANCHORARRAY('玩家等级对应关卡（从新手节奏复制）'!$E$5)))</f>
        <v>316</v>
      </c>
      <c r="Q110" s="4">
        <f t="shared" si="23"/>
        <v>3</v>
      </c>
      <c r="R110" s="4">
        <f t="shared" si="20"/>
        <v>0.75</v>
      </c>
      <c r="S110" s="4">
        <f t="shared" si="21"/>
        <v>0.05</v>
      </c>
      <c r="T110" s="4">
        <f>SUM(R110:R119)</f>
        <v>8.75</v>
      </c>
      <c r="U110" s="4">
        <f t="shared" si="22"/>
        <v>0.4375</v>
      </c>
      <c r="V110" s="4">
        <f t="shared" si="24"/>
        <v>307</v>
      </c>
    </row>
    <row r="111" spans="11:22">
      <c r="K111" s="4">
        <v>0</v>
      </c>
      <c r="L111" s="4">
        <v>92</v>
      </c>
      <c r="M111" s="4">
        <f t="shared" si="17"/>
        <v>92</v>
      </c>
      <c r="N111" s="4">
        <f t="shared" si="18"/>
        <v>59</v>
      </c>
      <c r="O111" s="4">
        <f t="shared" si="19"/>
        <v>4</v>
      </c>
      <c r="P111" s="4">
        <f t="array" ref="P111">INDEX('玩家等级对应关卡（从新手节奏复制）'!$H$5:$H$64,MATCH(N111,_xlfn.ANCHORARRAY('玩家等级对应关卡（从新手节奏复制）'!$E$5)))</f>
        <v>320</v>
      </c>
      <c r="Q111" s="4">
        <f t="shared" si="23"/>
        <v>4</v>
      </c>
      <c r="R111" s="4">
        <f t="shared" si="20"/>
        <v>1</v>
      </c>
      <c r="S111" s="4">
        <f t="shared" si="21"/>
        <v>0.05</v>
      </c>
      <c r="T111" s="4">
        <f t="shared" ref="T111:T119" si="27">T110</f>
        <v>8.75</v>
      </c>
      <c r="U111" s="4">
        <f t="shared" si="22"/>
        <v>0.4375</v>
      </c>
      <c r="V111" s="4">
        <f t="shared" si="24"/>
        <v>307</v>
      </c>
    </row>
    <row r="112" spans="11:22">
      <c r="K112" s="4">
        <v>0</v>
      </c>
      <c r="L112" s="4">
        <v>93</v>
      </c>
      <c r="M112" s="4">
        <f t="shared" si="17"/>
        <v>93</v>
      </c>
      <c r="N112" s="4">
        <f t="shared" si="18"/>
        <v>59</v>
      </c>
      <c r="O112" s="4">
        <f t="shared" si="19"/>
        <v>4</v>
      </c>
      <c r="P112" s="4">
        <f t="array" ref="P112">INDEX('玩家等级对应关卡（从新手节奏复制）'!$H$5:$H$64,MATCH(N112,_xlfn.ANCHORARRAY('玩家等级对应关卡（从新手节奏复制）'!$E$5)))</f>
        <v>320</v>
      </c>
      <c r="Q112" s="4">
        <f t="shared" si="23"/>
        <v>4</v>
      </c>
      <c r="R112" s="4">
        <f t="shared" si="20"/>
        <v>1</v>
      </c>
      <c r="S112" s="4">
        <f t="shared" si="21"/>
        <v>0.05</v>
      </c>
      <c r="T112" s="4">
        <f t="shared" si="27"/>
        <v>8.75</v>
      </c>
      <c r="U112" s="4">
        <f t="shared" si="22"/>
        <v>0.4375</v>
      </c>
      <c r="V112" s="4">
        <f t="shared" si="24"/>
        <v>307</v>
      </c>
    </row>
    <row r="113" spans="11:22">
      <c r="K113" s="4">
        <v>0</v>
      </c>
      <c r="L113" s="4">
        <v>94</v>
      </c>
      <c r="M113" s="4">
        <f t="shared" si="17"/>
        <v>94</v>
      </c>
      <c r="N113" s="4">
        <f t="shared" si="18"/>
        <v>59</v>
      </c>
      <c r="O113" s="4">
        <f t="shared" si="19"/>
        <v>4</v>
      </c>
      <c r="P113" s="4">
        <f t="array" ref="P113">INDEX('玩家等级对应关卡（从新手节奏复制）'!$H$5:$H$64,MATCH(N113,_xlfn.ANCHORARRAY('玩家等级对应关卡（从新手节奏复制）'!$E$5)))</f>
        <v>320</v>
      </c>
      <c r="Q113" s="4">
        <f t="shared" si="23"/>
        <v>4</v>
      </c>
      <c r="R113" s="4">
        <f t="shared" si="20"/>
        <v>1</v>
      </c>
      <c r="S113" s="4">
        <f t="shared" si="21"/>
        <v>0.05</v>
      </c>
      <c r="T113" s="4">
        <f t="shared" si="27"/>
        <v>8.75</v>
      </c>
      <c r="U113" s="4">
        <f t="shared" si="22"/>
        <v>0.4375</v>
      </c>
      <c r="V113" s="4">
        <f t="shared" si="24"/>
        <v>307</v>
      </c>
    </row>
    <row r="114" spans="11:22">
      <c r="K114" s="4">
        <v>1</v>
      </c>
      <c r="L114" s="4">
        <v>95</v>
      </c>
      <c r="M114" s="4">
        <f t="shared" si="17"/>
        <v>95</v>
      </c>
      <c r="N114" s="4">
        <f t="shared" si="18"/>
        <v>59</v>
      </c>
      <c r="O114" s="4">
        <f t="shared" si="19"/>
        <v>4</v>
      </c>
      <c r="P114" s="4">
        <f t="array" ref="P114">INDEX('玩家等级对应关卡（从新手节奏复制）'!$H$5:$H$64,MATCH(N114,_xlfn.ANCHORARRAY('玩家等级对应关卡（从新手节奏复制）'!$E$5)))</f>
        <v>320</v>
      </c>
      <c r="Q114" s="4">
        <f t="shared" si="23"/>
        <v>4</v>
      </c>
      <c r="R114" s="4">
        <f t="shared" si="20"/>
        <v>1</v>
      </c>
      <c r="S114" s="4">
        <f t="shared" si="21"/>
        <v>0.2</v>
      </c>
      <c r="T114" s="4">
        <f t="shared" si="27"/>
        <v>8.75</v>
      </c>
      <c r="U114" s="4">
        <f t="shared" si="22"/>
        <v>1.75</v>
      </c>
      <c r="V114" s="4">
        <f t="shared" si="24"/>
        <v>309</v>
      </c>
    </row>
    <row r="115" spans="11:22">
      <c r="K115" s="4">
        <v>0</v>
      </c>
      <c r="L115" s="4">
        <v>96</v>
      </c>
      <c r="M115" s="4">
        <f t="shared" si="17"/>
        <v>96</v>
      </c>
      <c r="N115" s="4">
        <f t="shared" si="18"/>
        <v>60</v>
      </c>
      <c r="O115" s="4">
        <f t="shared" si="19"/>
        <v>5</v>
      </c>
      <c r="P115" s="4">
        <f t="array" ref="P115">INDEX('玩家等级对应关卡（从新手节奏复制）'!$H$5:$H$64,MATCH(N115,_xlfn.ANCHORARRAY('玩家等级对应关卡（从新手节奏复制）'!$E$5)))</f>
        <v>324</v>
      </c>
      <c r="Q115" s="4">
        <f t="shared" si="23"/>
        <v>4</v>
      </c>
      <c r="R115" s="4">
        <f t="shared" si="20"/>
        <v>0.8</v>
      </c>
      <c r="S115" s="4">
        <f t="shared" si="21"/>
        <v>0.05</v>
      </c>
      <c r="T115" s="4">
        <f t="shared" si="27"/>
        <v>8.75</v>
      </c>
      <c r="U115" s="4">
        <f t="shared" si="22"/>
        <v>0.4375</v>
      </c>
      <c r="V115" s="4">
        <f t="shared" si="24"/>
        <v>309</v>
      </c>
    </row>
    <row r="116" spans="11:22">
      <c r="K116" s="4">
        <v>0</v>
      </c>
      <c r="L116" s="4">
        <v>97</v>
      </c>
      <c r="M116" s="4">
        <f t="shared" si="17"/>
        <v>97</v>
      </c>
      <c r="N116" s="4">
        <f t="shared" si="18"/>
        <v>60</v>
      </c>
      <c r="O116" s="4">
        <f t="shared" si="19"/>
        <v>5</v>
      </c>
      <c r="P116" s="4">
        <f t="array" ref="P116">INDEX('玩家等级对应关卡（从新手节奏复制）'!$H$5:$H$64,MATCH(N116,_xlfn.ANCHORARRAY('玩家等级对应关卡（从新手节奏复制）'!$E$5)))</f>
        <v>324</v>
      </c>
      <c r="Q116" s="4">
        <f t="shared" si="23"/>
        <v>4</v>
      </c>
      <c r="R116" s="4">
        <f t="shared" si="20"/>
        <v>0.8</v>
      </c>
      <c r="S116" s="4">
        <f t="shared" si="21"/>
        <v>0.05</v>
      </c>
      <c r="T116" s="4">
        <f t="shared" si="27"/>
        <v>8.75</v>
      </c>
      <c r="U116" s="4">
        <f t="shared" si="22"/>
        <v>0.4375</v>
      </c>
      <c r="V116" s="4">
        <f t="shared" si="24"/>
        <v>309</v>
      </c>
    </row>
    <row r="117" spans="11:22">
      <c r="K117" s="4">
        <v>0</v>
      </c>
      <c r="L117" s="4">
        <v>98</v>
      </c>
      <c r="M117" s="4">
        <f t="shared" si="17"/>
        <v>98</v>
      </c>
      <c r="N117" s="4">
        <f t="shared" si="18"/>
        <v>60</v>
      </c>
      <c r="O117" s="4">
        <f t="shared" si="19"/>
        <v>5</v>
      </c>
      <c r="P117" s="4">
        <f t="array" ref="P117">INDEX('玩家等级对应关卡（从新手节奏复制）'!$H$5:$H$64,MATCH(N117,_xlfn.ANCHORARRAY('玩家等级对应关卡（从新手节奏复制）'!$E$5)))</f>
        <v>324</v>
      </c>
      <c r="Q117" s="4">
        <f t="shared" si="23"/>
        <v>4</v>
      </c>
      <c r="R117" s="4">
        <f t="shared" si="20"/>
        <v>0.8</v>
      </c>
      <c r="S117" s="4">
        <f t="shared" si="21"/>
        <v>0.05</v>
      </c>
      <c r="T117" s="4">
        <f t="shared" si="27"/>
        <v>8.75</v>
      </c>
      <c r="U117" s="4">
        <f t="shared" si="22"/>
        <v>0.4375</v>
      </c>
      <c r="V117" s="4">
        <f t="shared" si="24"/>
        <v>309</v>
      </c>
    </row>
    <row r="118" spans="11:22">
      <c r="K118" s="4">
        <v>0</v>
      </c>
      <c r="L118" s="4">
        <v>99</v>
      </c>
      <c r="M118" s="4">
        <f t="shared" si="17"/>
        <v>99</v>
      </c>
      <c r="N118" s="4">
        <f t="shared" si="18"/>
        <v>60</v>
      </c>
      <c r="O118" s="4">
        <f t="shared" si="19"/>
        <v>5</v>
      </c>
      <c r="P118" s="4">
        <f t="array" ref="P118">INDEX('玩家等级对应关卡（从新手节奏复制）'!$H$5:$H$64,MATCH(N118,_xlfn.ANCHORARRAY('玩家等级对应关卡（从新手节奏复制）'!$E$5)))</f>
        <v>324</v>
      </c>
      <c r="Q118" s="4">
        <f t="shared" si="23"/>
        <v>4</v>
      </c>
      <c r="R118" s="4">
        <f t="shared" si="20"/>
        <v>0.8</v>
      </c>
      <c r="S118" s="4">
        <f t="shared" si="21"/>
        <v>0.05</v>
      </c>
      <c r="T118" s="4">
        <f t="shared" si="27"/>
        <v>8.75</v>
      </c>
      <c r="U118" s="4">
        <f t="shared" si="22"/>
        <v>0.4375</v>
      </c>
      <c r="V118" s="4">
        <f t="shared" si="24"/>
        <v>309</v>
      </c>
    </row>
    <row r="119" spans="11:22">
      <c r="K119" s="4">
        <v>2</v>
      </c>
      <c r="L119" s="4">
        <v>100</v>
      </c>
      <c r="M119" s="4">
        <f t="shared" si="17"/>
        <v>100</v>
      </c>
      <c r="N119" s="4">
        <f t="shared" si="18"/>
        <v>60</v>
      </c>
      <c r="O119" s="4">
        <f t="shared" si="19"/>
        <v>5</v>
      </c>
      <c r="P119" s="4">
        <f t="array" ref="P119">INDEX('玩家等级对应关卡（从新手节奏复制）'!$H$5:$H$64,MATCH(N119,_xlfn.ANCHORARRAY('玩家等级对应关卡（从新手节奏复制）'!$E$5)))</f>
        <v>324</v>
      </c>
      <c r="Q119" s="4">
        <f t="shared" si="23"/>
        <v>4</v>
      </c>
      <c r="R119" s="4">
        <f t="shared" si="20"/>
        <v>0.8</v>
      </c>
      <c r="S119" s="4">
        <f t="shared" si="21"/>
        <v>0.4</v>
      </c>
      <c r="T119" s="4">
        <f t="shared" si="27"/>
        <v>8.75</v>
      </c>
      <c r="U119" s="4">
        <f t="shared" si="22"/>
        <v>3.5</v>
      </c>
      <c r="V119" s="4">
        <f t="shared" si="24"/>
        <v>313</v>
      </c>
    </row>
  </sheetData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L117"/>
  <sheetViews>
    <sheetView workbookViewId="0">
      <selection activeCell="N18" sqref="N18:N32"/>
    </sheetView>
  </sheetViews>
  <sheetFormatPr defaultColWidth="9" defaultRowHeight="16.5"/>
  <cols>
    <col min="1" max="1" width="9" style="1" customWidth="1"/>
    <col min="2" max="2" width="12.875" style="1" customWidth="1"/>
    <col min="3" max="3" width="9" style="1" customWidth="1"/>
    <col min="4" max="4" width="12.125" style="1" customWidth="1"/>
    <col min="5" max="5" width="13.625" style="1" customWidth="1"/>
    <col min="6" max="6" width="12.875" style="1" customWidth="1"/>
    <col min="7" max="8" width="10.875" style="1" customWidth="1"/>
    <col min="9" max="11" width="9" style="1" customWidth="1"/>
    <col min="12" max="12" width="13.625" style="1" customWidth="1"/>
    <col min="13" max="14" width="12.875" style="1" customWidth="1"/>
    <col min="15" max="17" width="10.875" style="1" customWidth="1"/>
    <col min="18" max="20" width="9" style="1" customWidth="1"/>
    <col min="21" max="21" width="12.875" style="1" customWidth="1"/>
    <col min="22" max="22" width="8.875" style="1" customWidth="1"/>
    <col min="23" max="25" width="10.875" style="1" customWidth="1"/>
    <col min="26" max="27" width="9" style="1" customWidth="1"/>
    <col min="28" max="28" width="12.875" style="1" customWidth="1"/>
    <col min="29" max="29" width="12" style="1" customWidth="1"/>
    <col min="30" max="32" width="10.875" style="1" customWidth="1"/>
    <col min="33" max="33" width="9" style="1" customWidth="1"/>
    <col min="34" max="34" width="13.25" style="1" customWidth="1"/>
    <col min="35" max="37" width="9" style="1" customWidth="1"/>
    <col min="38" max="38" width="16.25" style="1" customWidth="1"/>
    <col min="39" max="16384" width="9" style="1" customWidth="1"/>
  </cols>
  <sheetData>
    <row r="2" spans="2:38">
      <c r="B2" s="3" t="s">
        <v>712</v>
      </c>
    </row>
    <row r="3" spans="2:38">
      <c r="B3" s="4" t="s">
        <v>713</v>
      </c>
      <c r="AL3" s="3" t="s">
        <v>393</v>
      </c>
    </row>
    <row r="4" spans="2:38">
      <c r="B4" s="4" t="s">
        <v>714</v>
      </c>
      <c r="AL4" s="4">
        <v>1.05</v>
      </c>
    </row>
    <row r="5" spans="2:38">
      <c r="B5" s="4" t="s">
        <v>715</v>
      </c>
      <c r="AL5" s="4">
        <v>1</v>
      </c>
    </row>
    <row r="6" spans="2:38">
      <c r="B6" s="4" t="s">
        <v>716</v>
      </c>
      <c r="AL6" s="5">
        <v>0.997</v>
      </c>
    </row>
    <row r="7" spans="2:38">
      <c r="B7" s="4" t="s">
        <v>717</v>
      </c>
    </row>
    <row r="8" spans="2:38">
      <c r="B8" s="4" t="s">
        <v>718</v>
      </c>
      <c r="AH8" s="3" t="s">
        <v>697</v>
      </c>
      <c r="AI8" s="2">
        <v>100</v>
      </c>
      <c r="AK8" s="3" t="s">
        <v>687</v>
      </c>
      <c r="AL8" s="3" t="s">
        <v>719</v>
      </c>
    </row>
    <row r="9" spans="2:38">
      <c r="B9" s="4" t="s">
        <v>720</v>
      </c>
      <c r="AK9" s="4">
        <v>1</v>
      </c>
      <c r="AL9" s="1" t="e">
        <f>$AU$5+($AU$6-$AU$5)*(POWER($AU$7,$B11-1)-1)/(POWER($AU$7,$B$3-1)-1)</f>
        <v>#VALUE!</v>
      </c>
    </row>
    <row r="10" spans="2:38">
      <c r="B10" s="4" t="s">
        <v>721</v>
      </c>
      <c r="AH10" s="1" t="s">
        <v>703</v>
      </c>
      <c r="AK10" s="4">
        <v>2</v>
      </c>
    </row>
    <row r="11" spans="2:38">
      <c r="B11" s="4" t="s">
        <v>722</v>
      </c>
      <c r="AH11" s="1" t="s">
        <v>705</v>
      </c>
      <c r="AI11" s="2">
        <v>60</v>
      </c>
      <c r="AK11" s="4">
        <v>3</v>
      </c>
    </row>
    <row r="12" spans="2:38">
      <c r="B12" s="4" t="s">
        <v>723</v>
      </c>
      <c r="AA12" s="1">
        <v>25</v>
      </c>
      <c r="AC12" s="3" t="s">
        <v>388</v>
      </c>
      <c r="AH12" s="1" t="s">
        <v>706</v>
      </c>
      <c r="AI12" s="2">
        <v>1</v>
      </c>
      <c r="AK12" s="4">
        <v>4</v>
      </c>
    </row>
    <row r="13" spans="2:38">
      <c r="B13" s="4" t="s">
        <v>724</v>
      </c>
      <c r="AC13" s="4">
        <v>40</v>
      </c>
      <c r="AH13" s="1" t="s">
        <v>707</v>
      </c>
      <c r="AI13" s="2">
        <v>30</v>
      </c>
      <c r="AK13" s="4">
        <v>5</v>
      </c>
    </row>
    <row r="14" spans="2:38">
      <c r="O14" s="3" t="s">
        <v>725</v>
      </c>
      <c r="P14" s="3" t="s">
        <v>726</v>
      </c>
      <c r="AC14" s="4">
        <v>220</v>
      </c>
      <c r="AK14" s="4">
        <v>6</v>
      </c>
    </row>
    <row r="15" spans="2:38">
      <c r="O15" s="2">
        <v>1.3</v>
      </c>
      <c r="P15" s="2">
        <v>1.2</v>
      </c>
      <c r="AC15" s="5">
        <v>0.999999</v>
      </c>
      <c r="AK15" s="4">
        <v>7</v>
      </c>
    </row>
    <row r="16" spans="2:38">
      <c r="B16" s="4" t="s">
        <v>713</v>
      </c>
      <c r="J16" s="4" t="s">
        <v>727</v>
      </c>
      <c r="T16" s="4" t="s">
        <v>728</v>
      </c>
      <c r="AA16" s="4" t="s">
        <v>720</v>
      </c>
      <c r="AH16" s="4" t="s">
        <v>718</v>
      </c>
      <c r="AK16" s="4">
        <v>8</v>
      </c>
    </row>
    <row r="17" spans="2:35">
      <c r="B17" s="3" t="s">
        <v>593</v>
      </c>
      <c r="C17" s="3" t="s">
        <v>594</v>
      </c>
      <c r="D17" s="3" t="s">
        <v>729</v>
      </c>
      <c r="E17" s="3" t="s">
        <v>610</v>
      </c>
      <c r="F17" s="3" t="s">
        <v>725</v>
      </c>
      <c r="G17" s="3" t="s">
        <v>726</v>
      </c>
      <c r="H17" s="3" t="s">
        <v>730</v>
      </c>
      <c r="J17" s="3" t="s">
        <v>593</v>
      </c>
      <c r="K17" s="3" t="s">
        <v>594</v>
      </c>
      <c r="L17" s="3" t="s">
        <v>665</v>
      </c>
      <c r="M17" s="3" t="s">
        <v>665</v>
      </c>
      <c r="N17" s="3" t="s">
        <v>731</v>
      </c>
      <c r="O17" s="3" t="s">
        <v>725</v>
      </c>
      <c r="P17" s="3" t="s">
        <v>726</v>
      </c>
      <c r="Q17" s="3" t="s">
        <v>730</v>
      </c>
      <c r="T17" s="3" t="s">
        <v>732</v>
      </c>
      <c r="U17" s="3" t="s">
        <v>729</v>
      </c>
      <c r="V17" s="3" t="s">
        <v>610</v>
      </c>
      <c r="W17" s="3" t="s">
        <v>725</v>
      </c>
      <c r="X17" s="3" t="s">
        <v>726</v>
      </c>
      <c r="Y17" s="3" t="s">
        <v>730</v>
      </c>
      <c r="AA17" s="3" t="s">
        <v>732</v>
      </c>
      <c r="AB17" s="3" t="s">
        <v>729</v>
      </c>
      <c r="AC17" s="3" t="s">
        <v>610</v>
      </c>
      <c r="AD17" s="3" t="s">
        <v>725</v>
      </c>
      <c r="AE17" s="3" t="s">
        <v>726</v>
      </c>
      <c r="AF17" s="3" t="s">
        <v>730</v>
      </c>
      <c r="AH17" s="3" t="s">
        <v>732</v>
      </c>
      <c r="AI17" s="3" t="s">
        <v>610</v>
      </c>
    </row>
    <row r="18" spans="2:35">
      <c r="B18" s="4">
        <v>0</v>
      </c>
      <c r="C18" s="4">
        <v>1</v>
      </c>
      <c r="D18" s="1">
        <f t="array" ref="D18">_xlfn.XLOOKUP(B18&amp;C18,玩家战力曲线!$C$12:$C$116&amp;玩家战力曲线!$D$12:$D$116,玩家战力曲线!$A$12:$A$116)</f>
        <v>1</v>
      </c>
      <c r="E18" s="1">
        <f t="array" ref="E18">_xlfn.XLOOKUP(B18&amp;C18,玩家战力曲线!$C$12:$C$116&amp;玩家战力曲线!$D$12:$D$116,玩家战力曲线!$AO$12:$AO$116)</f>
        <v>5</v>
      </c>
      <c r="F18" s="1">
        <v>0.8</v>
      </c>
      <c r="G18" s="1">
        <v>0.5</v>
      </c>
      <c r="J18" s="1">
        <v>2</v>
      </c>
      <c r="K18" s="1">
        <v>1</v>
      </c>
      <c r="L18" s="1">
        <f t="shared" ref="L18:L32" si="0">J18</f>
        <v>2</v>
      </c>
      <c r="M18" s="1">
        <f t="shared" ref="M18:M32" si="1">K18*3</f>
        <v>3</v>
      </c>
      <c r="N18" s="1">
        <f t="array" ref="N18">_xlfn.XLOOKUP(L18&amp;M18,$B$18:$B$77&amp;$C$18:$C$77,$E$18:$E$77)</f>
        <v>39</v>
      </c>
      <c r="O18" s="1">
        <f t="shared" ref="O18:O32" si="2">$O$15</f>
        <v>1.3</v>
      </c>
      <c r="P18" s="1">
        <f t="shared" ref="P18:P32" si="3">$P$15</f>
        <v>1.2</v>
      </c>
      <c r="T18" s="1">
        <v>1</v>
      </c>
      <c r="U18" s="6">
        <v>10</v>
      </c>
      <c r="V18" s="1">
        <v>10</v>
      </c>
      <c r="AA18" s="1">
        <v>1</v>
      </c>
      <c r="AC18" s="1">
        <f t="shared" ref="AC18:AC42" si="4">ROUND(AC$13+(AC$14-AC$13)*(POWER(AC$15,$AA18-1)-1)/(POWER(AC$15,$AA$12-1)-1),0)</f>
        <v>40</v>
      </c>
      <c r="AH18" s="1">
        <f t="array" ref="AH18:AH117">_xlfn.SEQUENCE(AI8,1,1,1)</f>
        <v>1</v>
      </c>
    </row>
    <row r="19" spans="2:35">
      <c r="B19" s="4">
        <v>0</v>
      </c>
      <c r="C19" s="4">
        <v>2</v>
      </c>
      <c r="D19" s="1">
        <f t="array" ref="D19">_xlfn.XLOOKUP(B19&amp;C19,玩家战力曲线!$C$12:$C$116&amp;玩家战力曲线!$D$12:$D$116,玩家战力曲线!$A$12:$A$116)</f>
        <v>2</v>
      </c>
      <c r="E19" s="1">
        <f t="array" ref="E19">_xlfn.XLOOKUP(B19&amp;C19,玩家战力曲线!$C$12:$C$116&amp;玩家战力曲线!$D$12:$D$116,玩家战力曲线!$AO$12:$AO$116)</f>
        <v>6</v>
      </c>
      <c r="F19" s="1">
        <v>0.7</v>
      </c>
      <c r="G19" s="1">
        <v>0.4</v>
      </c>
      <c r="J19" s="1">
        <v>2</v>
      </c>
      <c r="K19" s="1">
        <v>2</v>
      </c>
      <c r="L19" s="1">
        <f t="shared" si="0"/>
        <v>2</v>
      </c>
      <c r="M19" s="1">
        <f t="shared" si="1"/>
        <v>6</v>
      </c>
      <c r="N19" s="1">
        <f t="array" ref="N19">_xlfn.XLOOKUP(L19&amp;M19,$B$18:$B$77&amp;$C$18:$C$77,$E$18:$E$77)</f>
        <v>47</v>
      </c>
      <c r="O19" s="1">
        <f t="shared" si="2"/>
        <v>1.3</v>
      </c>
      <c r="P19" s="1">
        <f t="shared" si="3"/>
        <v>1.2</v>
      </c>
      <c r="T19" s="1">
        <v>2</v>
      </c>
      <c r="U19" s="6">
        <v>15</v>
      </c>
      <c r="V19" s="1">
        <v>25</v>
      </c>
      <c r="AA19" s="1">
        <v>2</v>
      </c>
      <c r="AC19" s="1">
        <f t="shared" si="4"/>
        <v>48</v>
      </c>
      <c r="AH19" s="1">
        <v>2</v>
      </c>
    </row>
    <row r="20" spans="2:35">
      <c r="B20" s="4">
        <v>0</v>
      </c>
      <c r="C20" s="4">
        <v>3</v>
      </c>
      <c r="D20" s="1">
        <f t="array" ref="D20">_xlfn.XLOOKUP(B20&amp;C20,玩家战力曲线!$C$12:$C$116&amp;玩家战力曲线!$D$12:$D$116,玩家战力曲线!$A$12:$A$116)</f>
        <v>3</v>
      </c>
      <c r="E20" s="1">
        <f t="array" ref="E20">_xlfn.XLOOKUP(B20&amp;C20,玩家战力曲线!$C$12:$C$116&amp;玩家战力曲线!$D$12:$D$116,玩家战力曲线!$AO$12:$AO$116)</f>
        <v>6</v>
      </c>
      <c r="F20" s="1">
        <v>0.8</v>
      </c>
      <c r="G20" s="1">
        <v>0.5</v>
      </c>
      <c r="J20" s="1">
        <v>2</v>
      </c>
      <c r="K20" s="1">
        <v>3</v>
      </c>
      <c r="L20" s="1">
        <f t="shared" si="0"/>
        <v>2</v>
      </c>
      <c r="M20" s="1">
        <f t="shared" si="1"/>
        <v>9</v>
      </c>
      <c r="N20" s="1">
        <f t="array" ref="N20">_xlfn.XLOOKUP(L20&amp;M20,$B$18:$B$77&amp;$C$18:$C$77,$E$18:$E$77)</f>
        <v>52</v>
      </c>
      <c r="O20" s="1">
        <f t="shared" si="2"/>
        <v>1.3</v>
      </c>
      <c r="P20" s="1">
        <f t="shared" si="3"/>
        <v>1.2</v>
      </c>
      <c r="T20" s="1">
        <v>3</v>
      </c>
      <c r="U20" s="6">
        <v>20</v>
      </c>
      <c r="V20" s="1">
        <v>40</v>
      </c>
      <c r="AA20" s="1">
        <v>3</v>
      </c>
      <c r="AC20" s="1">
        <f t="shared" si="4"/>
        <v>55</v>
      </c>
      <c r="AH20" s="1">
        <v>3</v>
      </c>
    </row>
    <row r="21" spans="2:35">
      <c r="B21" s="4">
        <v>0</v>
      </c>
      <c r="C21" s="4">
        <v>4</v>
      </c>
      <c r="D21" s="1">
        <f t="array" ref="D21">_xlfn.XLOOKUP(B21&amp;C21,玩家战力曲线!$C$12:$C$116&amp;玩家战力曲线!$D$12:$D$116,玩家战力曲线!$A$12:$A$116)</f>
        <v>4</v>
      </c>
      <c r="E21" s="1">
        <f t="array" ref="E21">_xlfn.XLOOKUP(B21&amp;C21,玩家战力曲线!$C$12:$C$116&amp;玩家战力曲线!$D$12:$D$116,玩家战力曲线!$AO$12:$AO$116)</f>
        <v>10</v>
      </c>
      <c r="F21" s="1">
        <v>0.7</v>
      </c>
      <c r="G21" s="1">
        <v>0.4</v>
      </c>
      <c r="J21" s="1">
        <v>2</v>
      </c>
      <c r="K21" s="1">
        <v>4</v>
      </c>
      <c r="L21" s="1">
        <f t="shared" si="0"/>
        <v>2</v>
      </c>
      <c r="M21" s="1">
        <f t="shared" si="1"/>
        <v>12</v>
      </c>
      <c r="N21" s="1">
        <f t="array" ref="N21">_xlfn.XLOOKUP(L21&amp;M21,$B$18:$B$77&amp;$C$18:$C$77,$E$18:$E$77)</f>
        <v>57</v>
      </c>
      <c r="O21" s="1">
        <f t="shared" si="2"/>
        <v>1.3</v>
      </c>
      <c r="P21" s="1">
        <f t="shared" si="3"/>
        <v>1.2</v>
      </c>
      <c r="T21" s="1">
        <v>4</v>
      </c>
      <c r="U21" s="6">
        <v>25</v>
      </c>
      <c r="V21" s="1">
        <v>55</v>
      </c>
      <c r="AA21" s="1">
        <v>4</v>
      </c>
      <c r="AC21" s="1">
        <f t="shared" si="4"/>
        <v>63</v>
      </c>
      <c r="AH21" s="1">
        <v>4</v>
      </c>
    </row>
    <row r="22" spans="2:35">
      <c r="B22" s="4">
        <v>0</v>
      </c>
      <c r="C22" s="4">
        <v>5</v>
      </c>
      <c r="D22" s="1">
        <f t="array" ref="D22">_xlfn.XLOOKUP(B22&amp;C22,玩家战力曲线!$C$12:$C$116&amp;玩家战力曲线!$D$12:$D$116,玩家战力曲线!$A$12:$A$116)</f>
        <v>5</v>
      </c>
      <c r="E22" s="1">
        <f t="array" ref="E22">_xlfn.XLOOKUP(B22&amp;C22,玩家战力曲线!$C$12:$C$116&amp;玩家战力曲线!$D$12:$D$116,玩家战力曲线!$AO$12:$AO$116)</f>
        <v>12</v>
      </c>
      <c r="F22" s="1">
        <v>0.7</v>
      </c>
      <c r="G22" s="1">
        <v>0.5</v>
      </c>
      <c r="J22" s="1">
        <v>2</v>
      </c>
      <c r="K22" s="1">
        <v>5</v>
      </c>
      <c r="L22" s="1">
        <f t="shared" si="0"/>
        <v>2</v>
      </c>
      <c r="M22" s="1">
        <f t="shared" si="1"/>
        <v>15</v>
      </c>
      <c r="N22" s="1">
        <f t="array" ref="N22">_xlfn.XLOOKUP(L22&amp;M22,$B$18:$B$77&amp;$C$18:$C$77,$E$18:$E$77)</f>
        <v>61</v>
      </c>
      <c r="O22" s="1">
        <f t="shared" si="2"/>
        <v>1.3</v>
      </c>
      <c r="P22" s="1">
        <f t="shared" si="3"/>
        <v>1.2</v>
      </c>
      <c r="T22" s="1">
        <v>5</v>
      </c>
      <c r="U22" s="6">
        <v>30</v>
      </c>
      <c r="V22" s="1">
        <v>70</v>
      </c>
      <c r="AA22" s="1">
        <v>5</v>
      </c>
      <c r="AC22" s="1">
        <f t="shared" si="4"/>
        <v>70</v>
      </c>
      <c r="AH22" s="1">
        <v>5</v>
      </c>
    </row>
    <row r="23" spans="2:35">
      <c r="B23" s="4">
        <v>1</v>
      </c>
      <c r="C23" s="4">
        <v>1</v>
      </c>
      <c r="D23" s="1">
        <f t="array" ref="D23">_xlfn.XLOOKUP(B23&amp;C23,玩家战力曲线!$C$12:$C$116&amp;玩家战力曲线!$D$12:$D$116,玩家战力曲线!$A$12:$A$116)</f>
        <v>6</v>
      </c>
      <c r="E23" s="1">
        <f t="array" ref="E23">_xlfn.XLOOKUP(B23&amp;C23,玩家战力曲线!$C$12:$C$116&amp;玩家战力曲线!$D$12:$D$116,玩家战力曲线!$AO$12:$AO$116)</f>
        <v>13</v>
      </c>
      <c r="F23" s="1">
        <v>0.85</v>
      </c>
      <c r="G23" s="1">
        <v>0.7</v>
      </c>
      <c r="J23" s="1">
        <v>3</v>
      </c>
      <c r="K23" s="1">
        <v>1</v>
      </c>
      <c r="L23" s="1">
        <f t="shared" si="0"/>
        <v>3</v>
      </c>
      <c r="M23" s="1">
        <f t="shared" si="1"/>
        <v>3</v>
      </c>
      <c r="N23" s="1">
        <f t="array" ref="N23">_xlfn.XLOOKUP(L23&amp;M23,$B$18:$B$77&amp;$C$18:$C$77,$E$18:$E$77)</f>
        <v>75</v>
      </c>
      <c r="O23" s="1">
        <f t="shared" si="2"/>
        <v>1.3</v>
      </c>
      <c r="P23" s="1">
        <f t="shared" si="3"/>
        <v>1.2</v>
      </c>
      <c r="T23" s="1">
        <v>6</v>
      </c>
      <c r="U23" s="6">
        <v>35</v>
      </c>
      <c r="V23" s="1">
        <v>85</v>
      </c>
      <c r="AA23" s="1">
        <v>6</v>
      </c>
      <c r="AC23" s="1">
        <f t="shared" si="4"/>
        <v>78</v>
      </c>
      <c r="AH23" s="1">
        <v>6</v>
      </c>
    </row>
    <row r="24" spans="2:35">
      <c r="B24" s="4">
        <v>1</v>
      </c>
      <c r="C24" s="4">
        <v>2</v>
      </c>
      <c r="D24" s="1">
        <f t="array" ref="D24">_xlfn.XLOOKUP(B24&amp;C24,玩家战力曲线!$C$12:$C$116&amp;玩家战力曲线!$D$12:$D$116,玩家战力曲线!$A$12:$A$116)</f>
        <v>6</v>
      </c>
      <c r="E24" s="1">
        <f t="array" ref="E24">_xlfn.XLOOKUP(B24&amp;C24,玩家战力曲线!$C$12:$C$116&amp;玩家战力曲线!$D$12:$D$116,玩家战力曲线!$AO$12:$AO$116)</f>
        <v>17</v>
      </c>
      <c r="F24" s="1">
        <v>0.85</v>
      </c>
      <c r="G24" s="1">
        <v>0.7</v>
      </c>
      <c r="J24" s="1">
        <v>3</v>
      </c>
      <c r="K24" s="1">
        <v>2</v>
      </c>
      <c r="L24" s="1">
        <f t="shared" si="0"/>
        <v>3</v>
      </c>
      <c r="M24" s="1">
        <f t="shared" si="1"/>
        <v>6</v>
      </c>
      <c r="N24" s="1">
        <f t="array" ref="N24">_xlfn.XLOOKUP(L24&amp;M24,$B$18:$B$77&amp;$C$18:$C$77,$E$18:$E$77)</f>
        <v>87</v>
      </c>
      <c r="O24" s="1">
        <f t="shared" si="2"/>
        <v>1.3</v>
      </c>
      <c r="P24" s="1">
        <f t="shared" si="3"/>
        <v>1.2</v>
      </c>
      <c r="T24" s="1">
        <v>7</v>
      </c>
      <c r="U24" s="6">
        <v>40</v>
      </c>
      <c r="V24" s="1">
        <v>100</v>
      </c>
      <c r="AA24" s="1">
        <v>7</v>
      </c>
      <c r="AC24" s="1">
        <f t="shared" si="4"/>
        <v>85</v>
      </c>
      <c r="AH24" s="1">
        <v>7</v>
      </c>
    </row>
    <row r="25" spans="2:35">
      <c r="B25" s="4">
        <v>1</v>
      </c>
      <c r="C25" s="4">
        <v>3</v>
      </c>
      <c r="D25" s="1">
        <f t="array" ref="D25">_xlfn.XLOOKUP(B25&amp;C25,玩家战力曲线!$C$12:$C$116&amp;玩家战力曲线!$D$12:$D$116,玩家战力曲线!$A$12:$A$116)</f>
        <v>7</v>
      </c>
      <c r="E25" s="1">
        <f t="array" ref="E25">_xlfn.XLOOKUP(B25&amp;C25,玩家战力曲线!$C$12:$C$116&amp;玩家战力曲线!$D$12:$D$116,玩家战力曲线!$AO$12:$AO$116)</f>
        <v>19</v>
      </c>
      <c r="F25" s="1">
        <v>0.9</v>
      </c>
      <c r="G25" s="1">
        <v>0.7</v>
      </c>
      <c r="J25" s="1">
        <v>3</v>
      </c>
      <c r="K25" s="1">
        <v>3</v>
      </c>
      <c r="L25" s="1">
        <f t="shared" si="0"/>
        <v>3</v>
      </c>
      <c r="M25" s="1">
        <f t="shared" si="1"/>
        <v>9</v>
      </c>
      <c r="N25" s="1">
        <f t="array" ref="N25">_xlfn.XLOOKUP(L25&amp;M25,$B$18:$B$77&amp;$C$18:$C$77,$E$18:$E$77)</f>
        <v>99</v>
      </c>
      <c r="O25" s="1">
        <f t="shared" si="2"/>
        <v>1.3</v>
      </c>
      <c r="P25" s="1">
        <f t="shared" si="3"/>
        <v>1.2</v>
      </c>
      <c r="T25" s="1">
        <v>8</v>
      </c>
      <c r="U25" s="6">
        <v>45</v>
      </c>
      <c r="V25" s="1">
        <v>115</v>
      </c>
      <c r="AA25" s="1">
        <v>8</v>
      </c>
      <c r="AC25" s="1">
        <f t="shared" si="4"/>
        <v>93</v>
      </c>
      <c r="AH25" s="1">
        <v>8</v>
      </c>
    </row>
    <row r="26" spans="2:35">
      <c r="B26" s="4">
        <v>1</v>
      </c>
      <c r="C26" s="4">
        <v>4</v>
      </c>
      <c r="D26" s="1">
        <f t="array" ref="D26">_xlfn.XLOOKUP(B26&amp;C26,玩家战力曲线!$C$12:$C$116&amp;玩家战力曲线!$D$12:$D$116,玩家战力曲线!$A$12:$A$116)</f>
        <v>8</v>
      </c>
      <c r="E26" s="1">
        <f t="array" ref="E26">_xlfn.XLOOKUP(B26&amp;C26,玩家战力曲线!$C$12:$C$116&amp;玩家战力曲线!$D$12:$D$116,玩家战力曲线!$AO$12:$AO$116)</f>
        <v>21</v>
      </c>
      <c r="F26" s="1">
        <v>0.9</v>
      </c>
      <c r="G26" s="1">
        <v>0.85</v>
      </c>
      <c r="J26" s="1">
        <v>3</v>
      </c>
      <c r="K26" s="1">
        <v>4</v>
      </c>
      <c r="L26" s="1">
        <f t="shared" si="0"/>
        <v>3</v>
      </c>
      <c r="M26" s="1">
        <f t="shared" si="1"/>
        <v>12</v>
      </c>
      <c r="N26" s="1">
        <f t="array" ref="N26">_xlfn.XLOOKUP(L26&amp;M26,$B$18:$B$77&amp;$C$18:$C$77,$E$18:$E$77)</f>
        <v>110</v>
      </c>
      <c r="O26" s="1">
        <f t="shared" si="2"/>
        <v>1.3</v>
      </c>
      <c r="P26" s="1">
        <f t="shared" si="3"/>
        <v>1.2</v>
      </c>
      <c r="T26" s="1">
        <v>9</v>
      </c>
      <c r="U26" s="6">
        <v>50</v>
      </c>
      <c r="V26" s="1">
        <v>130</v>
      </c>
      <c r="AA26" s="1">
        <v>9</v>
      </c>
      <c r="AC26" s="1">
        <f t="shared" si="4"/>
        <v>100</v>
      </c>
      <c r="AH26" s="1">
        <v>9</v>
      </c>
    </row>
    <row r="27" spans="2:35">
      <c r="B27" s="4">
        <v>1</v>
      </c>
      <c r="C27" s="4">
        <v>5</v>
      </c>
      <c r="D27" s="1">
        <f t="array" ref="D27">_xlfn.XLOOKUP(B27&amp;C27,玩家战力曲线!$C$12:$C$116&amp;玩家战力曲线!$D$12:$D$116,玩家战力曲线!$A$12:$A$116)</f>
        <v>9</v>
      </c>
      <c r="E27" s="1">
        <f t="array" ref="E27">_xlfn.XLOOKUP(B27&amp;C27,玩家战力曲线!$C$12:$C$116&amp;玩家战力曲线!$D$12:$D$116,玩家战力曲线!$AO$12:$AO$116)</f>
        <v>24</v>
      </c>
      <c r="F27" s="1">
        <v>0.9</v>
      </c>
      <c r="G27" s="1">
        <v>0.85</v>
      </c>
      <c r="J27" s="1">
        <v>3</v>
      </c>
      <c r="K27" s="1">
        <v>5</v>
      </c>
      <c r="L27" s="1">
        <f t="shared" si="0"/>
        <v>3</v>
      </c>
      <c r="M27" s="1">
        <f t="shared" si="1"/>
        <v>15</v>
      </c>
      <c r="N27" s="1">
        <f t="array" ref="N27">_xlfn.XLOOKUP(L27&amp;M27,$B$18:$B$77&amp;$C$18:$C$77,$E$18:$E$77)</f>
        <v>120</v>
      </c>
      <c r="O27" s="1">
        <f t="shared" si="2"/>
        <v>1.3</v>
      </c>
      <c r="P27" s="1">
        <f t="shared" si="3"/>
        <v>1.2</v>
      </c>
      <c r="AA27" s="1">
        <v>10</v>
      </c>
      <c r="AC27" s="1">
        <f t="shared" si="4"/>
        <v>108</v>
      </c>
      <c r="AH27" s="1">
        <v>10</v>
      </c>
    </row>
    <row r="28" spans="2:35">
      <c r="B28" s="4">
        <v>1</v>
      </c>
      <c r="C28" s="4">
        <v>6</v>
      </c>
      <c r="D28" s="1">
        <f t="array" ref="D28">_xlfn.XLOOKUP(B28&amp;C28,玩家战力曲线!$C$12:$C$116&amp;玩家战力曲线!$D$12:$D$116,玩家战力曲线!$A$12:$A$116)</f>
        <v>10</v>
      </c>
      <c r="E28" s="1">
        <f t="array" ref="E28">_xlfn.XLOOKUP(B28&amp;C28,玩家战力曲线!$C$12:$C$116&amp;玩家战力曲线!$D$12:$D$116,玩家战力曲线!$AO$12:$AO$116)</f>
        <v>26</v>
      </c>
      <c r="F28" s="1">
        <v>0.9</v>
      </c>
      <c r="G28" s="1">
        <v>0.85</v>
      </c>
      <c r="J28" s="1">
        <v>4</v>
      </c>
      <c r="K28" s="1">
        <v>1</v>
      </c>
      <c r="L28" s="1">
        <f t="shared" si="0"/>
        <v>4</v>
      </c>
      <c r="M28" s="1">
        <f t="shared" si="1"/>
        <v>3</v>
      </c>
      <c r="N28" s="1">
        <f t="array" ref="N28">_xlfn.XLOOKUP(L28&amp;M28,$B$18:$B$77&amp;$C$18:$C$77,$E$18:$E$77)</f>
        <v>129</v>
      </c>
      <c r="O28" s="1">
        <f t="shared" si="2"/>
        <v>1.3</v>
      </c>
      <c r="P28" s="1">
        <f t="shared" si="3"/>
        <v>1.2</v>
      </c>
      <c r="AA28" s="1">
        <v>11</v>
      </c>
      <c r="AC28" s="1">
        <f t="shared" si="4"/>
        <v>115</v>
      </c>
      <c r="AH28" s="1">
        <v>11</v>
      </c>
    </row>
    <row r="29" spans="2:35">
      <c r="B29" s="4">
        <v>1</v>
      </c>
      <c r="C29" s="4">
        <v>7</v>
      </c>
      <c r="D29" s="1">
        <f t="array" ref="D29">_xlfn.XLOOKUP(B29&amp;C29,玩家战力曲线!$C$12:$C$116&amp;玩家战力曲线!$D$12:$D$116,玩家战力曲线!$A$12:$A$116)</f>
        <v>10</v>
      </c>
      <c r="E29" s="1">
        <f t="array" ref="E29">_xlfn.XLOOKUP(B29&amp;C29,玩家战力曲线!$C$12:$C$116&amp;玩家战力曲线!$D$12:$D$116,玩家战力曲线!$AO$12:$AO$116)</f>
        <v>27</v>
      </c>
      <c r="F29" s="1">
        <v>0.9</v>
      </c>
      <c r="G29" s="1">
        <v>0.85</v>
      </c>
      <c r="J29" s="1">
        <v>4</v>
      </c>
      <c r="K29" s="1">
        <v>2</v>
      </c>
      <c r="L29" s="1">
        <f t="shared" si="0"/>
        <v>4</v>
      </c>
      <c r="M29" s="1">
        <f t="shared" si="1"/>
        <v>6</v>
      </c>
      <c r="N29" s="1">
        <f t="array" ref="N29">_xlfn.XLOOKUP(L29&amp;M29,$B$18:$B$77&amp;$C$18:$C$77,$E$18:$E$77)</f>
        <v>139</v>
      </c>
      <c r="O29" s="1">
        <f t="shared" si="2"/>
        <v>1.3</v>
      </c>
      <c r="P29" s="1">
        <f t="shared" si="3"/>
        <v>1.2</v>
      </c>
      <c r="AA29" s="1">
        <v>12</v>
      </c>
      <c r="AC29" s="1">
        <f t="shared" si="4"/>
        <v>123</v>
      </c>
      <c r="AH29" s="1">
        <v>12</v>
      </c>
    </row>
    <row r="30" spans="2:35">
      <c r="B30" s="4">
        <v>1</v>
      </c>
      <c r="C30" s="4">
        <v>8</v>
      </c>
      <c r="D30" s="1">
        <f t="array" ref="D30">_xlfn.XLOOKUP(B30&amp;C30,玩家战力曲线!$C$12:$C$116&amp;玩家战力曲线!$D$12:$D$116,玩家战力曲线!$A$12:$A$116)</f>
        <v>11</v>
      </c>
      <c r="E30" s="1">
        <f t="array" ref="E30">_xlfn.XLOOKUP(B30&amp;C30,玩家战力曲线!$C$12:$C$116&amp;玩家战力曲线!$D$12:$D$116,玩家战力曲线!$AO$12:$AO$116)</f>
        <v>29</v>
      </c>
      <c r="F30" s="1">
        <v>0.9</v>
      </c>
      <c r="G30" s="1">
        <v>0.85</v>
      </c>
      <c r="J30" s="1">
        <v>4</v>
      </c>
      <c r="K30" s="1">
        <v>3</v>
      </c>
      <c r="L30" s="1">
        <f t="shared" si="0"/>
        <v>4</v>
      </c>
      <c r="M30" s="1">
        <f t="shared" si="1"/>
        <v>9</v>
      </c>
      <c r="N30" s="1">
        <f t="array" ref="N30">_xlfn.XLOOKUP(L30&amp;M30,$B$18:$B$77&amp;$C$18:$C$77,$E$18:$E$77)</f>
        <v>149</v>
      </c>
      <c r="O30" s="1">
        <f t="shared" si="2"/>
        <v>1.3</v>
      </c>
      <c r="P30" s="1">
        <f t="shared" si="3"/>
        <v>1.2</v>
      </c>
      <c r="T30" s="4" t="s">
        <v>733</v>
      </c>
      <c r="AA30" s="1">
        <v>13</v>
      </c>
      <c r="AC30" s="1">
        <f t="shared" si="4"/>
        <v>130</v>
      </c>
      <c r="AH30" s="1">
        <v>13</v>
      </c>
    </row>
    <row r="31" spans="2:35">
      <c r="B31" s="4">
        <v>1</v>
      </c>
      <c r="C31" s="4">
        <v>9</v>
      </c>
      <c r="D31" s="1">
        <f t="array" ref="D31">_xlfn.XLOOKUP(B31&amp;C31,玩家战力曲线!$C$12:$C$116&amp;玩家战力曲线!$D$12:$D$116,玩家战力曲线!$A$12:$A$116)</f>
        <v>12</v>
      </c>
      <c r="E31" s="1">
        <f t="array" ref="E31">_xlfn.XLOOKUP(B31&amp;C31,玩家战力曲线!$C$12:$C$116&amp;玩家战力曲线!$D$12:$D$116,玩家战力曲线!$AO$12:$AO$116)</f>
        <v>30</v>
      </c>
      <c r="F31" s="1">
        <v>0.9</v>
      </c>
      <c r="G31" s="1">
        <v>0.85</v>
      </c>
      <c r="J31" s="1">
        <v>4</v>
      </c>
      <c r="K31" s="1">
        <v>4</v>
      </c>
      <c r="L31" s="1">
        <f t="shared" si="0"/>
        <v>4</v>
      </c>
      <c r="M31" s="1">
        <f t="shared" si="1"/>
        <v>12</v>
      </c>
      <c r="N31" s="1">
        <f t="array" ref="N31">_xlfn.XLOOKUP(L31&amp;M31,$B$18:$B$77&amp;$C$18:$C$77,$E$18:$E$77)</f>
        <v>158</v>
      </c>
      <c r="O31" s="1">
        <f t="shared" si="2"/>
        <v>1.3</v>
      </c>
      <c r="P31" s="1">
        <f t="shared" si="3"/>
        <v>1.2</v>
      </c>
      <c r="T31" s="3" t="s">
        <v>732</v>
      </c>
      <c r="U31" s="3" t="s">
        <v>729</v>
      </c>
      <c r="V31" s="3" t="s">
        <v>610</v>
      </c>
      <c r="W31" s="3" t="s">
        <v>725</v>
      </c>
      <c r="X31" s="3" t="s">
        <v>726</v>
      </c>
      <c r="Y31" s="3" t="s">
        <v>730</v>
      </c>
      <c r="AA31" s="1">
        <v>14</v>
      </c>
      <c r="AC31" s="1">
        <f t="shared" si="4"/>
        <v>138</v>
      </c>
      <c r="AH31" s="1">
        <v>14</v>
      </c>
    </row>
    <row r="32" spans="2:35">
      <c r="B32" s="4">
        <v>1</v>
      </c>
      <c r="C32" s="4">
        <v>10</v>
      </c>
      <c r="D32" s="1">
        <f t="array" ref="D32">_xlfn.XLOOKUP(B32&amp;C32,玩家战力曲线!$C$12:$C$116&amp;玩家战力曲线!$D$12:$D$116,玩家战力曲线!$A$12:$A$116)</f>
        <v>13</v>
      </c>
      <c r="E32" s="1">
        <f t="array" ref="E32">_xlfn.XLOOKUP(B32&amp;C32,玩家战力曲线!$C$12:$C$116&amp;玩家战力曲线!$D$12:$D$116,玩家战力曲线!$AO$12:$AO$116)</f>
        <v>32</v>
      </c>
      <c r="J32" s="1">
        <v>4</v>
      </c>
      <c r="K32" s="1">
        <v>5</v>
      </c>
      <c r="L32" s="1">
        <f t="shared" si="0"/>
        <v>4</v>
      </c>
      <c r="M32" s="1">
        <f t="shared" si="1"/>
        <v>15</v>
      </c>
      <c r="N32" s="1">
        <f t="array" ref="N32">_xlfn.XLOOKUP(L32&amp;M32,$B$18:$B$77&amp;$C$18:$C$77,$E$18:$E$77)</f>
        <v>167</v>
      </c>
      <c r="O32" s="1">
        <f t="shared" si="2"/>
        <v>1.3</v>
      </c>
      <c r="P32" s="1">
        <f t="shared" si="3"/>
        <v>1.2</v>
      </c>
      <c r="T32" s="1">
        <v>1</v>
      </c>
      <c r="U32" s="6">
        <v>10</v>
      </c>
      <c r="V32" s="1">
        <v>20</v>
      </c>
      <c r="AA32" s="1">
        <v>15</v>
      </c>
      <c r="AC32" s="1">
        <f t="shared" si="4"/>
        <v>145</v>
      </c>
      <c r="AH32" s="1">
        <v>15</v>
      </c>
    </row>
    <row r="33" spans="2:34">
      <c r="B33" s="4">
        <v>2</v>
      </c>
      <c r="C33" s="4">
        <v>1</v>
      </c>
      <c r="D33" s="1">
        <f t="array" ref="D33">_xlfn.XLOOKUP(B33&amp;C33,玩家战力曲线!$C$12:$C$116&amp;玩家战力曲线!$D$12:$D$116,玩家战力曲线!$A$12:$A$116)</f>
        <v>13</v>
      </c>
      <c r="E33" s="1">
        <f t="array" ref="E33">_xlfn.XLOOKUP(B33&amp;C33,玩家战力曲线!$C$12:$C$116&amp;玩家战力曲线!$D$12:$D$116,玩家战力曲线!$AO$12:$AO$116)</f>
        <v>35</v>
      </c>
      <c r="F33" s="1">
        <v>0.95</v>
      </c>
      <c r="G33" s="1">
        <v>0.9</v>
      </c>
      <c r="T33" s="1">
        <v>2</v>
      </c>
      <c r="U33" s="6">
        <v>15</v>
      </c>
      <c r="V33" s="1">
        <v>40</v>
      </c>
      <c r="AA33" s="1">
        <v>16</v>
      </c>
      <c r="AC33" s="1">
        <f t="shared" si="4"/>
        <v>153</v>
      </c>
      <c r="AH33" s="1">
        <v>16</v>
      </c>
    </row>
    <row r="34" spans="2:34">
      <c r="B34" s="4">
        <v>2</v>
      </c>
      <c r="C34" s="4">
        <v>2</v>
      </c>
      <c r="D34" s="1">
        <f t="array" ref="D34">_xlfn.XLOOKUP(B34&amp;C34,玩家战力曲线!$C$12:$C$116&amp;玩家战力曲线!$D$12:$D$116,玩家战力曲线!$A$12:$A$116)</f>
        <v>13</v>
      </c>
      <c r="E34" s="1">
        <f t="array" ref="E34">_xlfn.XLOOKUP(B34&amp;C34,玩家战力曲线!$C$12:$C$116&amp;玩家战力曲线!$D$12:$D$116,玩家战力曲线!$AO$12:$AO$116)</f>
        <v>37</v>
      </c>
      <c r="F34" s="1">
        <v>0.95</v>
      </c>
      <c r="G34" s="1">
        <v>0.9</v>
      </c>
      <c r="T34" s="1">
        <v>3</v>
      </c>
      <c r="U34" s="6">
        <v>20</v>
      </c>
      <c r="V34" s="1">
        <v>55</v>
      </c>
      <c r="AA34" s="1">
        <v>17</v>
      </c>
      <c r="AC34" s="1">
        <f t="shared" si="4"/>
        <v>160</v>
      </c>
      <c r="AH34" s="1">
        <v>17</v>
      </c>
    </row>
    <row r="35" spans="2:34">
      <c r="B35" s="4">
        <v>2</v>
      </c>
      <c r="C35" s="4">
        <v>3</v>
      </c>
      <c r="D35" s="1">
        <f t="array" ref="D35">_xlfn.XLOOKUP(B35&amp;C35,玩家战力曲线!$C$12:$C$116&amp;玩家战力曲线!$D$12:$D$116,玩家战力曲线!$A$12:$A$116)</f>
        <v>14</v>
      </c>
      <c r="E35" s="1">
        <f t="array" ref="E35">_xlfn.XLOOKUP(B35&amp;C35,玩家战力曲线!$C$12:$C$116&amp;玩家战力曲线!$D$12:$D$116,玩家战力曲线!$AO$12:$AO$116)</f>
        <v>39</v>
      </c>
      <c r="F35" s="1">
        <v>0.95</v>
      </c>
      <c r="G35" s="1">
        <v>0.9</v>
      </c>
      <c r="T35" s="1">
        <v>4</v>
      </c>
      <c r="U35" s="6">
        <v>25</v>
      </c>
      <c r="V35" s="1">
        <v>70</v>
      </c>
      <c r="AA35" s="1">
        <v>18</v>
      </c>
      <c r="AC35" s="1">
        <f t="shared" si="4"/>
        <v>168</v>
      </c>
      <c r="AH35" s="1">
        <v>18</v>
      </c>
    </row>
    <row r="36" spans="2:34">
      <c r="B36" s="4">
        <v>2</v>
      </c>
      <c r="C36" s="4">
        <v>4</v>
      </c>
      <c r="D36" s="1">
        <f t="array" ref="D36">_xlfn.XLOOKUP(B36&amp;C36,玩家战力曲线!$C$12:$C$116&amp;玩家战力曲线!$D$12:$D$116,玩家战力曲线!$A$12:$A$116)</f>
        <v>14</v>
      </c>
      <c r="E36" s="1">
        <f t="array" ref="E36">_xlfn.XLOOKUP(B36&amp;C36,玩家战力曲线!$C$12:$C$116&amp;玩家战力曲线!$D$12:$D$116,玩家战力曲线!$AO$12:$AO$116)</f>
        <v>41</v>
      </c>
      <c r="F36" s="1">
        <v>0.95</v>
      </c>
      <c r="G36" s="1">
        <v>0.9</v>
      </c>
      <c r="T36" s="1">
        <v>5</v>
      </c>
      <c r="U36" s="6">
        <v>30</v>
      </c>
      <c r="V36" s="1">
        <v>85</v>
      </c>
      <c r="AA36" s="1">
        <v>19</v>
      </c>
      <c r="AC36" s="1">
        <f t="shared" si="4"/>
        <v>175</v>
      </c>
      <c r="AH36" s="1">
        <v>19</v>
      </c>
    </row>
    <row r="37" spans="2:34">
      <c r="B37" s="4">
        <v>2</v>
      </c>
      <c r="C37" s="4">
        <v>5</v>
      </c>
      <c r="D37" s="1">
        <f t="array" ref="D37">_xlfn.XLOOKUP(B37&amp;C37,玩家战力曲线!$C$12:$C$116&amp;玩家战力曲线!$D$12:$D$116,玩家战力曲线!$A$12:$A$116)</f>
        <v>15</v>
      </c>
      <c r="E37" s="1">
        <f t="array" ref="E37">_xlfn.XLOOKUP(B37&amp;C37,玩家战力曲线!$C$12:$C$116&amp;玩家战力曲线!$D$12:$D$116,玩家战力曲线!$AO$12:$AO$116)</f>
        <v>43</v>
      </c>
      <c r="T37" s="1">
        <v>6</v>
      </c>
      <c r="U37" s="6">
        <v>35</v>
      </c>
      <c r="V37" s="1">
        <v>100</v>
      </c>
      <c r="AA37" s="1">
        <v>20</v>
      </c>
      <c r="AC37" s="1">
        <f t="shared" si="4"/>
        <v>183</v>
      </c>
      <c r="AH37" s="1">
        <v>20</v>
      </c>
    </row>
    <row r="38" spans="2:34">
      <c r="B38" s="4">
        <v>2</v>
      </c>
      <c r="C38" s="4">
        <v>6</v>
      </c>
      <c r="D38" s="1">
        <f t="array" ref="D38">_xlfn.XLOOKUP(B38&amp;C38,玩家战力曲线!$C$12:$C$116&amp;玩家战力曲线!$D$12:$D$116,玩家战力曲线!$A$12:$A$116)</f>
        <v>15</v>
      </c>
      <c r="E38" s="1">
        <f t="array" ref="E38">_xlfn.XLOOKUP(B38&amp;C38,玩家战力曲线!$C$12:$C$116&amp;玩家战力曲线!$D$12:$D$116,玩家战力曲线!$AO$12:$AO$116)</f>
        <v>47</v>
      </c>
      <c r="F38" s="1">
        <v>0.95</v>
      </c>
      <c r="G38" s="1">
        <v>0.9</v>
      </c>
      <c r="T38" s="1">
        <v>7</v>
      </c>
      <c r="U38" s="6">
        <v>40</v>
      </c>
      <c r="V38" s="1">
        <v>115</v>
      </c>
      <c r="AA38" s="1">
        <v>21</v>
      </c>
      <c r="AC38" s="1">
        <f t="shared" si="4"/>
        <v>190</v>
      </c>
      <c r="AH38" s="1">
        <v>21</v>
      </c>
    </row>
    <row r="39" spans="2:34">
      <c r="B39" s="4">
        <v>2</v>
      </c>
      <c r="C39" s="4">
        <v>7</v>
      </c>
      <c r="D39" s="1">
        <f t="array" ref="D39">_xlfn.XLOOKUP(B39&amp;C39,玩家战力曲线!$C$12:$C$116&amp;玩家战力曲线!$D$12:$D$116,玩家战力曲线!$A$12:$A$116)</f>
        <v>15</v>
      </c>
      <c r="E39" s="1">
        <f t="array" ref="E39">_xlfn.XLOOKUP(B39&amp;C39,玩家战力曲线!$C$12:$C$116&amp;玩家战力曲线!$D$12:$D$116,玩家战力曲线!$AO$12:$AO$116)</f>
        <v>49</v>
      </c>
      <c r="F39" s="1">
        <v>0.95</v>
      </c>
      <c r="G39" s="1">
        <v>0.9</v>
      </c>
      <c r="T39" s="1">
        <v>8</v>
      </c>
      <c r="U39" s="6">
        <v>45</v>
      </c>
      <c r="V39" s="1">
        <v>130</v>
      </c>
      <c r="AA39" s="1">
        <v>22</v>
      </c>
      <c r="AC39" s="1">
        <f t="shared" si="4"/>
        <v>198</v>
      </c>
      <c r="AH39" s="1">
        <v>22</v>
      </c>
    </row>
    <row r="40" spans="2:34">
      <c r="B40" s="4">
        <v>2</v>
      </c>
      <c r="C40" s="4">
        <v>8</v>
      </c>
      <c r="D40" s="1">
        <f t="array" ref="D40">_xlfn.XLOOKUP(B40&amp;C40,玩家战力曲线!$C$12:$C$116&amp;玩家战力曲线!$D$12:$D$116,玩家战力曲线!$A$12:$A$116)</f>
        <v>16</v>
      </c>
      <c r="E40" s="1">
        <f t="array" ref="E40">_xlfn.XLOOKUP(B40&amp;C40,玩家战力曲线!$C$12:$C$116&amp;玩家战力曲线!$D$12:$D$116,玩家战力曲线!$AO$12:$AO$116)</f>
        <v>50</v>
      </c>
      <c r="F40" s="1">
        <v>0.95</v>
      </c>
      <c r="G40" s="1">
        <v>0.9</v>
      </c>
      <c r="T40" s="1">
        <v>9</v>
      </c>
      <c r="U40" s="6">
        <v>50</v>
      </c>
      <c r="V40" s="1">
        <v>145</v>
      </c>
      <c r="AA40" s="1">
        <v>23</v>
      </c>
      <c r="AC40" s="1">
        <f t="shared" si="4"/>
        <v>205</v>
      </c>
      <c r="AH40" s="1">
        <v>23</v>
      </c>
    </row>
    <row r="41" spans="2:34">
      <c r="B41" s="4">
        <v>2</v>
      </c>
      <c r="C41" s="4">
        <v>9</v>
      </c>
      <c r="D41" s="1">
        <f t="array" ref="D41">_xlfn.XLOOKUP(B41&amp;C41,玩家战力曲线!$C$12:$C$116&amp;玩家战力曲线!$D$12:$D$116,玩家战力曲线!$A$12:$A$116)</f>
        <v>16</v>
      </c>
      <c r="E41" s="1">
        <f t="array" ref="E41">_xlfn.XLOOKUP(B41&amp;C41,玩家战力曲线!$C$12:$C$116&amp;玩家战力曲线!$D$12:$D$116,玩家战力曲线!$AO$12:$AO$116)</f>
        <v>52</v>
      </c>
      <c r="F41" s="1">
        <v>0.95</v>
      </c>
      <c r="G41" s="1">
        <v>0.9</v>
      </c>
      <c r="AA41" s="1">
        <v>24</v>
      </c>
      <c r="AC41" s="1">
        <f t="shared" si="4"/>
        <v>213</v>
      </c>
      <c r="AH41" s="1">
        <v>24</v>
      </c>
    </row>
    <row r="42" spans="2:34">
      <c r="B42" s="4">
        <v>2</v>
      </c>
      <c r="C42" s="4">
        <v>10</v>
      </c>
      <c r="D42" s="1">
        <f t="array" ref="D42">_xlfn.XLOOKUP(B42&amp;C42,玩家战力曲线!$C$12:$C$116&amp;玩家战力曲线!$D$12:$D$116,玩家战力曲线!$A$12:$A$116)</f>
        <v>17</v>
      </c>
      <c r="E42" s="1">
        <f t="array" ref="E42">_xlfn.XLOOKUP(B42&amp;C42,玩家战力曲线!$C$12:$C$116&amp;玩家战力曲线!$D$12:$D$116,玩家战力曲线!$AO$12:$AO$116)</f>
        <v>54</v>
      </c>
      <c r="F42" s="1">
        <v>0.7</v>
      </c>
      <c r="AA42" s="1">
        <v>25</v>
      </c>
      <c r="AC42" s="1">
        <f t="shared" si="4"/>
        <v>220</v>
      </c>
      <c r="AH42" s="1">
        <v>25</v>
      </c>
    </row>
    <row r="43" spans="2:34">
      <c r="B43" s="4">
        <v>2</v>
      </c>
      <c r="C43" s="4">
        <v>11</v>
      </c>
      <c r="D43" s="1">
        <f t="array" ref="D43">_xlfn.XLOOKUP(B43&amp;C43,玩家战力曲线!$C$12:$C$116&amp;玩家战力曲线!$D$12:$D$116,玩家战力曲线!$A$12:$A$116)</f>
        <v>17</v>
      </c>
      <c r="E43" s="1">
        <f t="array" ref="E43">_xlfn.XLOOKUP(B43&amp;C43,玩家战力曲线!$C$12:$C$116&amp;玩家战力曲线!$D$12:$D$116,玩家战力曲线!$AO$12:$AO$116)</f>
        <v>55</v>
      </c>
      <c r="F43" s="1">
        <v>0.95</v>
      </c>
      <c r="G43" s="1">
        <v>0.9</v>
      </c>
      <c r="T43" s="4" t="s">
        <v>734</v>
      </c>
      <c r="AH43" s="1">
        <v>26</v>
      </c>
    </row>
    <row r="44" spans="2:34">
      <c r="B44" s="4">
        <v>2</v>
      </c>
      <c r="C44" s="4">
        <v>12</v>
      </c>
      <c r="D44" s="1">
        <f t="array" ref="D44">_xlfn.XLOOKUP(B44&amp;C44,玩家战力曲线!$C$12:$C$116&amp;玩家战力曲线!$D$12:$D$116,玩家战力曲线!$A$12:$A$116)</f>
        <v>17</v>
      </c>
      <c r="E44" s="1">
        <f t="array" ref="E44">_xlfn.XLOOKUP(B44&amp;C44,玩家战力曲线!$C$12:$C$116&amp;玩家战力曲线!$D$12:$D$116,玩家战力曲线!$AO$12:$AO$116)</f>
        <v>57</v>
      </c>
      <c r="F44" s="1">
        <v>0.95</v>
      </c>
      <c r="G44" s="1">
        <v>0.9</v>
      </c>
      <c r="T44" s="3" t="s">
        <v>732</v>
      </c>
      <c r="U44" s="3" t="s">
        <v>729</v>
      </c>
      <c r="V44" s="3" t="s">
        <v>610</v>
      </c>
      <c r="W44" s="3" t="s">
        <v>725</v>
      </c>
      <c r="X44" s="3" t="s">
        <v>726</v>
      </c>
      <c r="Y44" s="3" t="s">
        <v>730</v>
      </c>
      <c r="AH44" s="1">
        <v>27</v>
      </c>
    </row>
    <row r="45" spans="2:34">
      <c r="B45" s="4">
        <v>2</v>
      </c>
      <c r="C45" s="4">
        <v>13</v>
      </c>
      <c r="D45" s="1">
        <f t="array" ref="D45">_xlfn.XLOOKUP(B45&amp;C45,玩家战力曲线!$C$12:$C$116&amp;玩家战力曲线!$D$12:$D$116,玩家战力曲线!$A$12:$A$116)</f>
        <v>18</v>
      </c>
      <c r="E45" s="1">
        <f t="array" ref="E45">_xlfn.XLOOKUP(B45&amp;C45,玩家战力曲线!$C$12:$C$116&amp;玩家战力曲线!$D$12:$D$116,玩家战力曲线!$AO$12:$AO$116)</f>
        <v>58</v>
      </c>
      <c r="F45" s="1">
        <v>0.95</v>
      </c>
      <c r="G45" s="1">
        <v>0.9</v>
      </c>
      <c r="T45" s="1">
        <v>1</v>
      </c>
      <c r="U45" s="7">
        <v>25</v>
      </c>
      <c r="V45" s="1">
        <v>40</v>
      </c>
      <c r="AH45" s="1">
        <v>28</v>
      </c>
    </row>
    <row r="46" spans="2:34">
      <c r="B46" s="4">
        <v>2</v>
      </c>
      <c r="C46" s="4">
        <v>14</v>
      </c>
      <c r="D46" s="1">
        <f t="array" ref="D46">_xlfn.XLOOKUP(B46&amp;C46,玩家战力曲线!$C$12:$C$116&amp;玩家战力曲线!$D$12:$D$116,玩家战力曲线!$A$12:$A$116)</f>
        <v>18</v>
      </c>
      <c r="E46" s="1">
        <f t="array" ref="E46">_xlfn.XLOOKUP(B46&amp;C46,玩家战力曲线!$C$12:$C$116&amp;玩家战力曲线!$D$12:$D$116,玩家战力曲线!$AO$12:$AO$116)</f>
        <v>60</v>
      </c>
      <c r="F46" s="1">
        <v>0.95</v>
      </c>
      <c r="G46" s="1">
        <v>0.9</v>
      </c>
      <c r="T46" s="1">
        <v>2</v>
      </c>
      <c r="U46" s="7">
        <v>30</v>
      </c>
      <c r="V46" s="1">
        <v>55</v>
      </c>
      <c r="AH46" s="1">
        <v>29</v>
      </c>
    </row>
    <row r="47" spans="2:34">
      <c r="B47" s="4">
        <v>2</v>
      </c>
      <c r="C47" s="4">
        <v>15</v>
      </c>
      <c r="D47" s="1">
        <f t="array" ref="D47">_xlfn.XLOOKUP(B47&amp;C47,玩家战力曲线!$C$12:$C$116&amp;玩家战力曲线!$D$12:$D$116,玩家战力曲线!$A$12:$A$116)</f>
        <v>19</v>
      </c>
      <c r="E47" s="1">
        <f t="array" ref="E47">_xlfn.XLOOKUP(B47&amp;C47,玩家战力曲线!$C$12:$C$116&amp;玩家战力曲线!$D$12:$D$116,玩家战力曲线!$AO$12:$AO$116)</f>
        <v>61</v>
      </c>
      <c r="T47" s="1">
        <v>3</v>
      </c>
      <c r="U47" s="7">
        <v>33</v>
      </c>
      <c r="V47" s="1">
        <v>70</v>
      </c>
      <c r="AH47" s="1">
        <v>30</v>
      </c>
    </row>
    <row r="48" spans="2:34">
      <c r="B48" s="4">
        <f t="shared" ref="B48:B77" si="5">B33+1</f>
        <v>3</v>
      </c>
      <c r="C48" s="4">
        <f t="shared" ref="C48:C77" si="6">C33</f>
        <v>1</v>
      </c>
      <c r="D48" s="1">
        <f t="array" ref="D48">_xlfn.XLOOKUP(B48&amp;C48,玩家战力曲线!$C$12:$C$116&amp;玩家战力曲线!$D$12:$D$116,玩家战力曲线!$A$12:$A$116)</f>
        <v>19</v>
      </c>
      <c r="E48" s="1">
        <f t="array" ref="E48">_xlfn.XLOOKUP(B48&amp;C48,玩家战力曲线!$C$12:$C$116&amp;玩家战力曲线!$D$12:$D$116,玩家战力曲线!$AO$12:$AO$116)</f>
        <v>67</v>
      </c>
      <c r="T48" s="1">
        <v>4</v>
      </c>
      <c r="U48" s="7">
        <v>36</v>
      </c>
      <c r="V48" s="1">
        <v>85</v>
      </c>
      <c r="AH48" s="1">
        <v>31</v>
      </c>
    </row>
    <row r="49" spans="2:34">
      <c r="B49" s="4">
        <f t="shared" si="5"/>
        <v>3</v>
      </c>
      <c r="C49" s="4">
        <f t="shared" si="6"/>
        <v>2</v>
      </c>
      <c r="D49" s="1">
        <f t="array" ref="D49">_xlfn.XLOOKUP(B49&amp;C49,玩家战力曲线!$C$12:$C$116&amp;玩家战力曲线!$D$12:$D$116,玩家战力曲线!$A$12:$A$116)</f>
        <v>19</v>
      </c>
      <c r="E49" s="1">
        <f t="array" ref="E49">_xlfn.XLOOKUP(B49&amp;C49,玩家战力曲线!$C$12:$C$116&amp;玩家战力曲线!$D$12:$D$116,玩家战力曲线!$AO$12:$AO$116)</f>
        <v>71</v>
      </c>
      <c r="T49" s="1">
        <v>5</v>
      </c>
      <c r="U49" s="7">
        <v>39</v>
      </c>
      <c r="V49" s="1">
        <v>100</v>
      </c>
      <c r="AH49" s="1">
        <v>32</v>
      </c>
    </row>
    <row r="50" spans="2:34">
      <c r="B50" s="4">
        <f t="shared" si="5"/>
        <v>3</v>
      </c>
      <c r="C50" s="4">
        <f t="shared" si="6"/>
        <v>3</v>
      </c>
      <c r="D50" s="1">
        <f t="array" ref="D50">_xlfn.XLOOKUP(B50&amp;C50,玩家战力曲线!$C$12:$C$116&amp;玩家战力曲线!$D$12:$D$116,玩家战力曲线!$A$12:$A$116)</f>
        <v>20</v>
      </c>
      <c r="E50" s="1">
        <f t="array" ref="E50">_xlfn.XLOOKUP(B50&amp;C50,玩家战力曲线!$C$12:$C$116&amp;玩家战力曲线!$D$12:$D$116,玩家战力曲线!$AO$12:$AO$116)</f>
        <v>75</v>
      </c>
      <c r="T50" s="1">
        <v>6</v>
      </c>
      <c r="U50" s="7">
        <v>42</v>
      </c>
      <c r="V50" s="1">
        <v>115</v>
      </c>
      <c r="AH50" s="1">
        <v>33</v>
      </c>
    </row>
    <row r="51" spans="2:34">
      <c r="B51" s="4">
        <f t="shared" si="5"/>
        <v>3</v>
      </c>
      <c r="C51" s="4">
        <f t="shared" si="6"/>
        <v>4</v>
      </c>
      <c r="D51" s="1">
        <f t="array" ref="D51">_xlfn.XLOOKUP(B51&amp;C51,玩家战力曲线!$C$12:$C$116&amp;玩家战力曲线!$D$12:$D$116,玩家战力曲线!$A$12:$A$116)</f>
        <v>20</v>
      </c>
      <c r="E51" s="1">
        <f t="array" ref="E51">_xlfn.XLOOKUP(B51&amp;C51,玩家战力曲线!$C$12:$C$116&amp;玩家战力曲线!$D$12:$D$116,玩家战力曲线!$AO$12:$AO$116)</f>
        <v>79</v>
      </c>
      <c r="T51" s="1">
        <v>7</v>
      </c>
      <c r="U51" s="7">
        <v>45</v>
      </c>
      <c r="V51" s="1">
        <v>130</v>
      </c>
      <c r="AH51" s="1">
        <v>34</v>
      </c>
    </row>
    <row r="52" spans="2:34">
      <c r="B52" s="4">
        <f t="shared" si="5"/>
        <v>3</v>
      </c>
      <c r="C52" s="4">
        <f t="shared" si="6"/>
        <v>5</v>
      </c>
      <c r="D52" s="1">
        <f t="array" ref="D52">_xlfn.XLOOKUP(B52&amp;C52,玩家战力曲线!$C$12:$C$116&amp;玩家战力曲线!$D$12:$D$116,玩家战力曲线!$A$12:$A$116)</f>
        <v>20</v>
      </c>
      <c r="E52" s="1">
        <f t="array" ref="E52">_xlfn.XLOOKUP(B52&amp;C52,玩家战力曲线!$C$12:$C$116&amp;玩家战力曲线!$D$12:$D$116,玩家战力曲线!$AO$12:$AO$116)</f>
        <v>83</v>
      </c>
      <c r="T52" s="1">
        <v>8</v>
      </c>
      <c r="U52" s="7">
        <v>48</v>
      </c>
      <c r="V52" s="1">
        <v>150</v>
      </c>
      <c r="AH52" s="1">
        <v>35</v>
      </c>
    </row>
    <row r="53" spans="2:34">
      <c r="B53" s="4">
        <f t="shared" si="5"/>
        <v>3</v>
      </c>
      <c r="C53" s="4">
        <f t="shared" si="6"/>
        <v>6</v>
      </c>
      <c r="D53" s="1">
        <f t="array" ref="D53">_xlfn.XLOOKUP(B53&amp;C53,玩家战力曲线!$C$12:$C$116&amp;玩家战力曲线!$D$12:$D$116,玩家战力曲线!$A$12:$A$116)</f>
        <v>21</v>
      </c>
      <c r="E53" s="1">
        <f t="array" ref="E53">_xlfn.XLOOKUP(B53&amp;C53,玩家战力曲线!$C$12:$C$116&amp;玩家战力曲线!$D$12:$D$116,玩家战力曲线!$AO$12:$AO$116)</f>
        <v>87</v>
      </c>
      <c r="T53" s="1">
        <v>9</v>
      </c>
      <c r="U53" s="7">
        <v>51</v>
      </c>
      <c r="V53" s="1">
        <v>170</v>
      </c>
      <c r="AH53" s="1">
        <v>36</v>
      </c>
    </row>
    <row r="54" spans="2:34">
      <c r="B54" s="4">
        <f t="shared" si="5"/>
        <v>3</v>
      </c>
      <c r="C54" s="4">
        <f t="shared" si="6"/>
        <v>7</v>
      </c>
      <c r="D54" s="1">
        <f t="array" ref="D54">_xlfn.XLOOKUP(B54&amp;C54,玩家战力曲线!$C$12:$C$116&amp;玩家战力曲线!$D$12:$D$116,玩家战力曲线!$A$12:$A$116)</f>
        <v>21</v>
      </c>
      <c r="E54" s="1">
        <f t="array" ref="E54">_xlfn.XLOOKUP(B54&amp;C54,玩家战力曲线!$C$12:$C$116&amp;玩家战力曲线!$D$12:$D$116,玩家战力曲线!$AO$12:$AO$116)</f>
        <v>91</v>
      </c>
      <c r="T54" s="1">
        <v>10</v>
      </c>
      <c r="U54" s="7">
        <v>54</v>
      </c>
      <c r="V54" s="1">
        <v>190</v>
      </c>
      <c r="AH54" s="1">
        <v>37</v>
      </c>
    </row>
    <row r="55" spans="2:34">
      <c r="B55" s="4">
        <f t="shared" si="5"/>
        <v>3</v>
      </c>
      <c r="C55" s="4">
        <f t="shared" si="6"/>
        <v>8</v>
      </c>
      <c r="D55" s="1">
        <f t="array" ref="D55">_xlfn.XLOOKUP(B55&amp;C55,玩家战力曲线!$C$12:$C$116&amp;玩家战力曲线!$D$12:$D$116,玩家战力曲线!$A$12:$A$116)</f>
        <v>21</v>
      </c>
      <c r="E55" s="1">
        <f t="array" ref="E55">_xlfn.XLOOKUP(B55&amp;C55,玩家战力曲线!$C$12:$C$116&amp;玩家战力曲线!$D$12:$D$116,玩家战力曲线!$AO$12:$AO$116)</f>
        <v>95</v>
      </c>
      <c r="AH55" s="1">
        <v>38</v>
      </c>
    </row>
    <row r="56" spans="2:34">
      <c r="B56" s="4">
        <f t="shared" si="5"/>
        <v>3</v>
      </c>
      <c r="C56" s="4">
        <f t="shared" si="6"/>
        <v>9</v>
      </c>
      <c r="D56" s="1">
        <f t="array" ref="D56">_xlfn.XLOOKUP(B56&amp;C56,玩家战力曲线!$C$12:$C$116&amp;玩家战力曲线!$D$12:$D$116,玩家战力曲线!$A$12:$A$116)</f>
        <v>22</v>
      </c>
      <c r="E56" s="1">
        <f t="array" ref="E56">_xlfn.XLOOKUP(B56&amp;C56,玩家战力曲线!$C$12:$C$116&amp;玩家战力曲线!$D$12:$D$116,玩家战力曲线!$AO$12:$AO$116)</f>
        <v>99</v>
      </c>
      <c r="AH56" s="1">
        <v>39</v>
      </c>
    </row>
    <row r="57" spans="2:34">
      <c r="B57" s="4">
        <f t="shared" si="5"/>
        <v>3</v>
      </c>
      <c r="C57" s="4">
        <f t="shared" si="6"/>
        <v>10</v>
      </c>
      <c r="D57" s="1">
        <f t="array" ref="D57">_xlfn.XLOOKUP(B57&amp;C57,玩家战力曲线!$C$12:$C$116&amp;玩家战力曲线!$D$12:$D$116,玩家战力曲线!$A$12:$A$116)</f>
        <v>22</v>
      </c>
      <c r="E57" s="1">
        <f t="array" ref="E57">_xlfn.XLOOKUP(B57&amp;C57,玩家战力曲线!$C$12:$C$116&amp;玩家战力曲线!$D$12:$D$116,玩家战力曲线!$AO$12:$AO$116)</f>
        <v>102</v>
      </c>
      <c r="T57" s="4" t="s">
        <v>735</v>
      </c>
      <c r="AH57" s="1">
        <v>40</v>
      </c>
    </row>
    <row r="58" spans="2:34">
      <c r="B58" s="4">
        <f t="shared" si="5"/>
        <v>3</v>
      </c>
      <c r="C58" s="4">
        <f t="shared" si="6"/>
        <v>11</v>
      </c>
      <c r="D58" s="1">
        <f t="array" ref="D58">_xlfn.XLOOKUP(B58&amp;C58,玩家战力曲线!$C$12:$C$116&amp;玩家战力曲线!$D$12:$D$116,玩家战力曲线!$A$12:$A$116)</f>
        <v>22</v>
      </c>
      <c r="E58" s="1">
        <f t="array" ref="E58">_xlfn.XLOOKUP(B58&amp;C58,玩家战力曲线!$C$12:$C$116&amp;玩家战力曲线!$D$12:$D$116,玩家战力曲线!$AO$12:$AO$116)</f>
        <v>106</v>
      </c>
      <c r="T58" s="3" t="s">
        <v>732</v>
      </c>
      <c r="U58" s="3" t="s">
        <v>729</v>
      </c>
      <c r="V58" s="3" t="s">
        <v>610</v>
      </c>
      <c r="W58" s="3" t="s">
        <v>725</v>
      </c>
      <c r="X58" s="3" t="s">
        <v>726</v>
      </c>
      <c r="Y58" s="3" t="s">
        <v>730</v>
      </c>
      <c r="AH58" s="1">
        <v>41</v>
      </c>
    </row>
    <row r="59" spans="2:34">
      <c r="B59" s="4">
        <f t="shared" si="5"/>
        <v>3</v>
      </c>
      <c r="C59" s="4">
        <f t="shared" si="6"/>
        <v>12</v>
      </c>
      <c r="D59" s="1">
        <f t="array" ref="D59">_xlfn.XLOOKUP(B59&amp;C59,玩家战力曲线!$C$12:$C$116&amp;玩家战力曲线!$D$12:$D$116,玩家战力曲线!$A$12:$A$116)</f>
        <v>23</v>
      </c>
      <c r="E59" s="1">
        <f t="array" ref="E59">_xlfn.XLOOKUP(B59&amp;C59,玩家战力曲线!$C$12:$C$116&amp;玩家战力曲线!$D$12:$D$116,玩家战力曲线!$AO$12:$AO$116)</f>
        <v>110</v>
      </c>
      <c r="T59" s="1">
        <v>1</v>
      </c>
      <c r="U59" s="1">
        <v>15</v>
      </c>
      <c r="V59" s="1">
        <v>30</v>
      </c>
      <c r="AH59" s="1">
        <v>42</v>
      </c>
    </row>
    <row r="60" spans="2:34">
      <c r="B60" s="4">
        <f t="shared" si="5"/>
        <v>3</v>
      </c>
      <c r="C60" s="4">
        <f t="shared" si="6"/>
        <v>13</v>
      </c>
      <c r="D60" s="1">
        <f t="array" ref="D60">_xlfn.XLOOKUP(B60&amp;C60,玩家战力曲线!$C$12:$C$116&amp;玩家战力曲线!$D$12:$D$116,玩家战力曲线!$A$12:$A$116)</f>
        <v>23</v>
      </c>
      <c r="E60" s="1">
        <f t="array" ref="E60">_xlfn.XLOOKUP(B60&amp;C60,玩家战力曲线!$C$12:$C$116&amp;玩家战力曲线!$D$12:$D$116,玩家战力曲线!$AO$12:$AO$116)</f>
        <v>113</v>
      </c>
      <c r="T60" s="1">
        <v>2</v>
      </c>
      <c r="V60" s="1">
        <v>40</v>
      </c>
      <c r="AH60" s="1">
        <v>43</v>
      </c>
    </row>
    <row r="61" spans="2:34">
      <c r="B61" s="4">
        <f t="shared" si="5"/>
        <v>3</v>
      </c>
      <c r="C61" s="4">
        <f t="shared" si="6"/>
        <v>14</v>
      </c>
      <c r="D61" s="1">
        <f t="array" ref="D61">_xlfn.XLOOKUP(B61&amp;C61,玩家战力曲线!$C$12:$C$116&amp;玩家战力曲线!$D$12:$D$116,玩家战力曲线!$A$12:$A$116)</f>
        <v>23</v>
      </c>
      <c r="E61" s="1">
        <f t="array" ref="E61">_xlfn.XLOOKUP(B61&amp;C61,玩家战力曲线!$C$12:$C$116&amp;玩家战力曲线!$D$12:$D$116,玩家战力曲线!$AO$12:$AO$116)</f>
        <v>116</v>
      </c>
      <c r="T61" s="1">
        <v>3</v>
      </c>
      <c r="V61" s="1">
        <v>50</v>
      </c>
      <c r="AH61" s="1">
        <v>44</v>
      </c>
    </row>
    <row r="62" spans="2:34">
      <c r="B62" s="4">
        <f t="shared" si="5"/>
        <v>3</v>
      </c>
      <c r="C62" s="4">
        <f t="shared" si="6"/>
        <v>15</v>
      </c>
      <c r="D62" s="1">
        <f t="array" ref="D62">_xlfn.XLOOKUP(B62&amp;C62,玩家战力曲线!$C$12:$C$116&amp;玩家战力曲线!$D$12:$D$116,玩家战力曲线!$A$12:$A$116)</f>
        <v>24</v>
      </c>
      <c r="E62" s="1">
        <f t="array" ref="E62">_xlfn.XLOOKUP(B62&amp;C62,玩家战力曲线!$C$12:$C$116&amp;玩家战力曲线!$D$12:$D$116,玩家战力曲线!$AO$12:$AO$116)</f>
        <v>120</v>
      </c>
      <c r="T62" s="1">
        <v>4</v>
      </c>
      <c r="V62" s="1">
        <v>60</v>
      </c>
      <c r="AH62" s="1">
        <v>45</v>
      </c>
    </row>
    <row r="63" spans="2:34">
      <c r="B63" s="4">
        <f t="shared" si="5"/>
        <v>4</v>
      </c>
      <c r="C63" s="4">
        <f t="shared" si="6"/>
        <v>1</v>
      </c>
      <c r="D63" s="1">
        <f t="array" ref="D63">_xlfn.XLOOKUP(B63&amp;C63,玩家战力曲线!$C$12:$C$116&amp;玩家战力曲线!$D$12:$D$116,玩家战力曲线!$A$12:$A$116)</f>
        <v>24</v>
      </c>
      <c r="E63" s="1">
        <f t="array" ref="E63">_xlfn.XLOOKUP(B63&amp;C63,玩家战力曲线!$C$12:$C$116&amp;玩家战力曲线!$D$12:$D$116,玩家战力曲线!$AO$12:$AO$116)</f>
        <v>123</v>
      </c>
      <c r="T63" s="1">
        <v>5</v>
      </c>
      <c r="V63" s="1">
        <v>75</v>
      </c>
      <c r="AH63" s="1">
        <v>46</v>
      </c>
    </row>
    <row r="64" spans="2:34">
      <c r="B64" s="4">
        <f t="shared" si="5"/>
        <v>4</v>
      </c>
      <c r="C64" s="4">
        <f t="shared" si="6"/>
        <v>2</v>
      </c>
      <c r="D64" s="1">
        <f t="array" ref="D64">_xlfn.XLOOKUP(B64&amp;C64,玩家战力曲线!$C$12:$C$116&amp;玩家战力曲线!$D$12:$D$116,玩家战力曲线!$A$12:$A$116)</f>
        <v>24</v>
      </c>
      <c r="E64" s="1">
        <f t="array" ref="E64">_xlfn.XLOOKUP(B64&amp;C64,玩家战力曲线!$C$12:$C$116&amp;玩家战力曲线!$D$12:$D$116,玩家战力曲线!$AO$12:$AO$116)</f>
        <v>126</v>
      </c>
      <c r="T64" s="1">
        <v>6</v>
      </c>
      <c r="V64" s="1">
        <v>90</v>
      </c>
      <c r="AH64" s="1">
        <v>47</v>
      </c>
    </row>
    <row r="65" spans="2:34">
      <c r="B65" s="4">
        <f t="shared" si="5"/>
        <v>4</v>
      </c>
      <c r="C65" s="4">
        <f t="shared" si="6"/>
        <v>3</v>
      </c>
      <c r="D65" s="1">
        <f t="array" ref="D65">_xlfn.XLOOKUP(B65&amp;C65,玩家战力曲线!$C$12:$C$116&amp;玩家战力曲线!$D$12:$D$116,玩家战力曲线!$A$12:$A$116)</f>
        <v>25</v>
      </c>
      <c r="E65" s="1">
        <f t="array" ref="E65">_xlfn.XLOOKUP(B65&amp;C65,玩家战力曲线!$C$12:$C$116&amp;玩家战力曲线!$D$12:$D$116,玩家战力曲线!$AO$12:$AO$116)</f>
        <v>129</v>
      </c>
      <c r="T65" s="1">
        <v>7</v>
      </c>
      <c r="V65" s="1">
        <v>105</v>
      </c>
      <c r="AH65" s="1">
        <v>48</v>
      </c>
    </row>
    <row r="66" spans="2:34">
      <c r="B66" s="4">
        <f t="shared" si="5"/>
        <v>4</v>
      </c>
      <c r="C66" s="4">
        <f t="shared" si="6"/>
        <v>4</v>
      </c>
      <c r="D66" s="1">
        <f t="array" ref="D66">_xlfn.XLOOKUP(B66&amp;C66,玩家战力曲线!$C$12:$C$116&amp;玩家战力曲线!$D$12:$D$116,玩家战力曲线!$A$12:$A$116)</f>
        <v>25</v>
      </c>
      <c r="E66" s="1">
        <f t="array" ref="E66">_xlfn.XLOOKUP(B66&amp;C66,玩家战力曲线!$C$12:$C$116&amp;玩家战力曲线!$D$12:$D$116,玩家战力曲线!$AO$12:$AO$116)</f>
        <v>132</v>
      </c>
      <c r="T66" s="1">
        <v>8</v>
      </c>
      <c r="V66" s="1">
        <v>120</v>
      </c>
      <c r="AH66" s="1">
        <v>49</v>
      </c>
    </row>
    <row r="67" spans="2:34">
      <c r="B67" s="4">
        <f t="shared" si="5"/>
        <v>4</v>
      </c>
      <c r="C67" s="4">
        <f t="shared" si="6"/>
        <v>5</v>
      </c>
      <c r="D67" s="1">
        <f t="array" ref="D67">_xlfn.XLOOKUP(B67&amp;C67,玩家战力曲线!$C$12:$C$116&amp;玩家战力曲线!$D$12:$D$116,玩家战力曲线!$A$12:$A$116)</f>
        <v>25</v>
      </c>
      <c r="E67" s="1">
        <f t="array" ref="E67">_xlfn.XLOOKUP(B67&amp;C67,玩家战力曲线!$C$12:$C$116&amp;玩家战力曲线!$D$12:$D$116,玩家战力曲线!$AO$12:$AO$116)</f>
        <v>135</v>
      </c>
      <c r="T67" s="1">
        <v>9</v>
      </c>
      <c r="V67" s="1">
        <v>140</v>
      </c>
      <c r="AH67" s="1">
        <v>50</v>
      </c>
    </row>
    <row r="68" spans="2:34">
      <c r="B68" s="4">
        <f t="shared" si="5"/>
        <v>4</v>
      </c>
      <c r="C68" s="4">
        <f t="shared" si="6"/>
        <v>6</v>
      </c>
      <c r="D68" s="1">
        <f t="array" ref="D68">_xlfn.XLOOKUP(B68&amp;C68,玩家战力曲线!$C$12:$C$116&amp;玩家战力曲线!$D$12:$D$116,玩家战力曲线!$A$12:$A$116)</f>
        <v>26</v>
      </c>
      <c r="E68" s="1">
        <f t="array" ref="E68">_xlfn.XLOOKUP(B68&amp;C68,玩家战力曲线!$C$12:$C$116&amp;玩家战力曲线!$D$12:$D$116,玩家战力曲线!$AO$12:$AO$116)</f>
        <v>139</v>
      </c>
      <c r="T68" s="1">
        <v>10</v>
      </c>
      <c r="V68" s="1">
        <v>160</v>
      </c>
      <c r="AH68" s="1">
        <v>51</v>
      </c>
    </row>
    <row r="69" spans="2:34">
      <c r="B69" s="4">
        <f t="shared" si="5"/>
        <v>4</v>
      </c>
      <c r="C69" s="4">
        <f t="shared" si="6"/>
        <v>7</v>
      </c>
      <c r="D69" s="1">
        <f t="array" ref="D69">_xlfn.XLOOKUP(B69&amp;C69,玩家战力曲线!$C$12:$C$116&amp;玩家战力曲线!$D$12:$D$116,玩家战力曲线!$A$12:$A$116)</f>
        <v>26</v>
      </c>
      <c r="E69" s="1">
        <f t="array" ref="E69">_xlfn.XLOOKUP(B69&amp;C69,玩家战力曲线!$C$12:$C$116&amp;玩家战力曲线!$D$12:$D$116,玩家战力曲线!$AO$12:$AO$116)</f>
        <v>142</v>
      </c>
      <c r="AH69" s="1">
        <v>52</v>
      </c>
    </row>
    <row r="70" spans="2:34">
      <c r="B70" s="4">
        <f t="shared" si="5"/>
        <v>4</v>
      </c>
      <c r="C70" s="4">
        <f t="shared" si="6"/>
        <v>8</v>
      </c>
      <c r="D70" s="1">
        <f t="array" ref="D70">_xlfn.XLOOKUP(B70&amp;C70,玩家战力曲线!$C$12:$C$116&amp;玩家战力曲线!$D$12:$D$116,玩家战力曲线!$A$12:$A$116)</f>
        <v>26</v>
      </c>
      <c r="E70" s="1">
        <f t="array" ref="E70">_xlfn.XLOOKUP(B70&amp;C70,玩家战力曲线!$C$12:$C$116&amp;玩家战力曲线!$D$12:$D$116,玩家战力曲线!$AO$12:$AO$116)</f>
        <v>146</v>
      </c>
      <c r="AH70" s="1">
        <v>53</v>
      </c>
    </row>
    <row r="71" spans="2:34">
      <c r="B71" s="4">
        <f t="shared" si="5"/>
        <v>4</v>
      </c>
      <c r="C71" s="4">
        <f t="shared" si="6"/>
        <v>9</v>
      </c>
      <c r="D71" s="1">
        <f t="array" ref="D71">_xlfn.XLOOKUP(B71&amp;C71,玩家战力曲线!$C$12:$C$116&amp;玩家战力曲线!$D$12:$D$116,玩家战力曲线!$A$12:$A$116)</f>
        <v>27</v>
      </c>
      <c r="E71" s="1">
        <f t="array" ref="E71">_xlfn.XLOOKUP(B71&amp;C71,玩家战力曲线!$C$12:$C$116&amp;玩家战力曲线!$D$12:$D$116,玩家战力曲线!$AO$12:$AO$116)</f>
        <v>149</v>
      </c>
      <c r="AH71" s="1">
        <v>54</v>
      </c>
    </row>
    <row r="72" spans="2:34">
      <c r="B72" s="4">
        <f t="shared" si="5"/>
        <v>4</v>
      </c>
      <c r="C72" s="4">
        <f t="shared" si="6"/>
        <v>10</v>
      </c>
      <c r="D72" s="1">
        <f t="array" ref="D72">_xlfn.XLOOKUP(B72&amp;C72,玩家战力曲线!$C$12:$C$116&amp;玩家战力曲线!$D$12:$D$116,玩家战力曲线!$A$12:$A$116)</f>
        <v>27</v>
      </c>
      <c r="E72" s="1">
        <f t="array" ref="E72">_xlfn.XLOOKUP(B72&amp;C72,玩家战力曲线!$C$12:$C$116&amp;玩家战力曲线!$D$12:$D$116,玩家战力曲线!$AO$12:$AO$116)</f>
        <v>152</v>
      </c>
      <c r="AH72" s="1">
        <v>55</v>
      </c>
    </row>
    <row r="73" spans="2:34">
      <c r="B73" s="4">
        <f t="shared" si="5"/>
        <v>4</v>
      </c>
      <c r="C73" s="4">
        <f t="shared" si="6"/>
        <v>11</v>
      </c>
      <c r="D73" s="1">
        <f t="array" ref="D73">_xlfn.XLOOKUP(B73&amp;C73,玩家战力曲线!$C$12:$C$116&amp;玩家战力曲线!$D$12:$D$116,玩家战力曲线!$A$12:$A$116)</f>
        <v>27</v>
      </c>
      <c r="E73" s="1">
        <f t="array" ref="E73">_xlfn.XLOOKUP(B73&amp;C73,玩家战力曲线!$C$12:$C$116&amp;玩家战力曲线!$D$12:$D$116,玩家战力曲线!$AO$12:$AO$116)</f>
        <v>155</v>
      </c>
      <c r="AH73" s="1">
        <v>56</v>
      </c>
    </row>
    <row r="74" spans="2:34">
      <c r="B74" s="4">
        <f t="shared" si="5"/>
        <v>4</v>
      </c>
      <c r="C74" s="4">
        <f t="shared" si="6"/>
        <v>12</v>
      </c>
      <c r="D74" s="1">
        <f t="array" ref="D74">_xlfn.XLOOKUP(B74&amp;C74,玩家战力曲线!$C$12:$C$116&amp;玩家战力曲线!$D$12:$D$116,玩家战力曲线!$A$12:$A$116)</f>
        <v>28</v>
      </c>
      <c r="E74" s="1">
        <f t="array" ref="E74">_xlfn.XLOOKUP(B74&amp;C74,玩家战力曲线!$C$12:$C$116&amp;玩家战力曲线!$D$12:$D$116,玩家战力曲线!$AO$12:$AO$116)</f>
        <v>158</v>
      </c>
      <c r="AH74" s="1">
        <v>57</v>
      </c>
    </row>
    <row r="75" spans="2:34">
      <c r="B75" s="4">
        <f t="shared" si="5"/>
        <v>4</v>
      </c>
      <c r="C75" s="4">
        <f t="shared" si="6"/>
        <v>13</v>
      </c>
      <c r="D75" s="1">
        <f t="array" ref="D75">_xlfn.XLOOKUP(B75&amp;C75,玩家战力曲线!$C$12:$C$116&amp;玩家战力曲线!$D$12:$D$116,玩家战力曲线!$A$12:$A$116)</f>
        <v>28</v>
      </c>
      <c r="E75" s="1">
        <f t="array" ref="E75">_xlfn.XLOOKUP(B75&amp;C75,玩家战力曲线!$C$12:$C$116&amp;玩家战力曲线!$D$12:$D$116,玩家战力曲线!$AO$12:$AO$116)</f>
        <v>161</v>
      </c>
      <c r="AH75" s="1">
        <v>58</v>
      </c>
    </row>
    <row r="76" spans="2:34">
      <c r="B76" s="4">
        <f t="shared" si="5"/>
        <v>4</v>
      </c>
      <c r="C76" s="4">
        <f t="shared" si="6"/>
        <v>14</v>
      </c>
      <c r="D76" s="1">
        <f t="array" ref="D76">_xlfn.XLOOKUP(B76&amp;C76,玩家战力曲线!$C$12:$C$116&amp;玩家战力曲线!$D$12:$D$116,玩家战力曲线!$A$12:$A$116)</f>
        <v>28</v>
      </c>
      <c r="E76" s="1">
        <f t="array" ref="E76">_xlfn.XLOOKUP(B76&amp;C76,玩家战力曲线!$C$12:$C$116&amp;玩家战力曲线!$D$12:$D$116,玩家战力曲线!$AO$12:$AO$116)</f>
        <v>164</v>
      </c>
      <c r="AH76" s="1">
        <v>59</v>
      </c>
    </row>
    <row r="77" spans="2:34">
      <c r="B77" s="4">
        <f t="shared" si="5"/>
        <v>4</v>
      </c>
      <c r="C77" s="4">
        <f t="shared" si="6"/>
        <v>15</v>
      </c>
      <c r="D77" s="1">
        <f t="array" ref="D77">_xlfn.XLOOKUP(B77&amp;C77,玩家战力曲线!$C$12:$C$116&amp;玩家战力曲线!$D$12:$D$116,玩家战力曲线!$A$12:$A$116)</f>
        <v>29</v>
      </c>
      <c r="E77" s="1">
        <f t="array" ref="E77">_xlfn.XLOOKUP(B77&amp;C77,玩家战力曲线!$C$12:$C$116&amp;玩家战力曲线!$D$12:$D$116,玩家战力曲线!$AO$12:$AO$116)</f>
        <v>167</v>
      </c>
      <c r="AH77" s="1">
        <v>60</v>
      </c>
    </row>
    <row r="78" spans="2:34">
      <c r="AH78" s="1">
        <v>61</v>
      </c>
    </row>
    <row r="79" spans="2:34">
      <c r="AH79" s="1">
        <v>62</v>
      </c>
    </row>
    <row r="80" spans="2:34">
      <c r="AH80" s="1">
        <v>63</v>
      </c>
    </row>
    <row r="81" spans="34:34">
      <c r="AH81" s="1">
        <v>64</v>
      </c>
    </row>
    <row r="82" spans="34:34">
      <c r="AH82" s="1">
        <v>65</v>
      </c>
    </row>
    <row r="83" spans="34:34">
      <c r="AH83" s="1">
        <v>66</v>
      </c>
    </row>
    <row r="84" spans="34:34">
      <c r="AH84" s="1">
        <v>67</v>
      </c>
    </row>
    <row r="85" spans="34:34">
      <c r="AH85" s="1">
        <v>68</v>
      </c>
    </row>
    <row r="86" spans="34:34">
      <c r="AH86" s="1">
        <v>69</v>
      </c>
    </row>
    <row r="87" spans="34:34">
      <c r="AH87" s="1">
        <v>70</v>
      </c>
    </row>
    <row r="88" spans="34:34">
      <c r="AH88" s="1">
        <v>71</v>
      </c>
    </row>
    <row r="89" spans="34:34">
      <c r="AH89" s="1">
        <v>72</v>
      </c>
    </row>
    <row r="90" spans="34:34">
      <c r="AH90" s="1">
        <v>73</v>
      </c>
    </row>
    <row r="91" spans="34:34">
      <c r="AH91" s="1">
        <v>74</v>
      </c>
    </row>
    <row r="92" spans="34:34">
      <c r="AH92" s="1">
        <v>75</v>
      </c>
    </row>
    <row r="93" spans="34:34">
      <c r="AH93" s="1">
        <v>76</v>
      </c>
    </row>
    <row r="94" spans="34:34">
      <c r="AH94" s="1">
        <v>77</v>
      </c>
    </row>
    <row r="95" spans="34:34">
      <c r="AH95" s="1">
        <v>78</v>
      </c>
    </row>
    <row r="96" spans="34:34">
      <c r="AH96" s="1">
        <v>79</v>
      </c>
    </row>
    <row r="97" spans="34:34">
      <c r="AH97" s="1">
        <v>80</v>
      </c>
    </row>
    <row r="98" spans="34:34">
      <c r="AH98" s="1">
        <v>81</v>
      </c>
    </row>
    <row r="99" spans="34:34">
      <c r="AH99" s="1">
        <v>82</v>
      </c>
    </row>
    <row r="100" spans="34:34">
      <c r="AH100" s="1">
        <v>83</v>
      </c>
    </row>
    <row r="101" spans="34:34">
      <c r="AH101" s="1">
        <v>84</v>
      </c>
    </row>
    <row r="102" spans="34:34">
      <c r="AH102" s="1">
        <v>85</v>
      </c>
    </row>
    <row r="103" spans="34:34">
      <c r="AH103" s="1">
        <v>86</v>
      </c>
    </row>
    <row r="104" spans="34:34">
      <c r="AH104" s="1">
        <v>87</v>
      </c>
    </row>
    <row r="105" spans="34:34">
      <c r="AH105" s="1">
        <v>88</v>
      </c>
    </row>
    <row r="106" spans="34:34">
      <c r="AH106" s="1">
        <v>89</v>
      </c>
    </row>
    <row r="107" spans="34:34">
      <c r="AH107" s="1">
        <v>90</v>
      </c>
    </row>
    <row r="108" spans="34:34">
      <c r="AH108" s="1">
        <v>91</v>
      </c>
    </row>
    <row r="109" spans="34:34">
      <c r="AH109" s="1">
        <v>92</v>
      </c>
    </row>
    <row r="110" spans="34:34">
      <c r="AH110" s="1">
        <v>93</v>
      </c>
    </row>
    <row r="111" spans="34:34">
      <c r="AH111" s="1">
        <v>94</v>
      </c>
    </row>
    <row r="112" spans="34:34">
      <c r="AH112" s="1">
        <v>95</v>
      </c>
    </row>
    <row r="113" spans="34:34">
      <c r="AH113" s="1">
        <v>96</v>
      </c>
    </row>
    <row r="114" spans="34:34">
      <c r="AH114" s="1">
        <v>97</v>
      </c>
    </row>
    <row r="115" spans="34:34">
      <c r="AH115" s="1">
        <v>98</v>
      </c>
    </row>
    <row r="116" spans="34:34">
      <c r="AH116" s="1">
        <v>99</v>
      </c>
    </row>
    <row r="117" spans="34:34">
      <c r="AH117" s="1">
        <v>100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721"/>
  <sheetViews>
    <sheetView topLeftCell="A677" workbookViewId="0">
      <selection activeCell="M691" sqref="M691"/>
    </sheetView>
  </sheetViews>
  <sheetFormatPr defaultColWidth="9" defaultRowHeight="16.5"/>
  <cols>
    <col min="1" max="1" width="9" style="1" customWidth="1"/>
    <col min="2" max="2" width="10.5" style="1" customWidth="1"/>
    <col min="3" max="3" width="14.125" style="1" customWidth="1"/>
    <col min="4" max="4" width="9" style="1" customWidth="1"/>
    <col min="5" max="5" width="10.375" style="1" customWidth="1"/>
    <col min="6" max="6" width="11.375" style="1" customWidth="1"/>
    <col min="7" max="7" width="12.875" style="1" customWidth="1"/>
    <col min="8" max="8" width="10.875" style="1" customWidth="1"/>
    <col min="9" max="9" width="9" style="1" customWidth="1"/>
    <col min="10" max="10" width="14.125" style="1" customWidth="1"/>
    <col min="11" max="16384" width="9" style="1" customWidth="1"/>
  </cols>
  <sheetData>
    <row r="2" spans="2:11">
      <c r="B2" s="1" t="s">
        <v>736</v>
      </c>
      <c r="G2" s="1" t="s">
        <v>737</v>
      </c>
      <c r="H2" s="2">
        <v>38</v>
      </c>
      <c r="J2" s="1" t="s">
        <v>738</v>
      </c>
    </row>
    <row r="3" spans="2:11">
      <c r="B3" s="1" t="s">
        <v>739</v>
      </c>
      <c r="G3" s="1" t="s">
        <v>740</v>
      </c>
      <c r="H3" s="2">
        <v>27</v>
      </c>
      <c r="J3" s="1">
        <v>1</v>
      </c>
      <c r="K3" s="1">
        <v>0</v>
      </c>
    </row>
    <row r="4" spans="2:11">
      <c r="G4" s="1" t="s">
        <v>741</v>
      </c>
      <c r="H4" s="2">
        <v>1000</v>
      </c>
      <c r="J4" s="1">
        <v>2</v>
      </c>
      <c r="K4" s="1">
        <v>0.33</v>
      </c>
    </row>
    <row r="5" spans="2:11">
      <c r="G5" s="1" t="s">
        <v>742</v>
      </c>
      <c r="H5" s="2">
        <v>500</v>
      </c>
      <c r="J5" s="1">
        <v>3</v>
      </c>
      <c r="K5" s="1">
        <v>0.66</v>
      </c>
    </row>
    <row r="10" spans="2:11">
      <c r="B10" s="1" t="s">
        <v>743</v>
      </c>
      <c r="C10" s="1" t="s">
        <v>610</v>
      </c>
      <c r="E10" s="1" t="s">
        <v>743</v>
      </c>
      <c r="F10" s="1" t="s">
        <v>738</v>
      </c>
      <c r="G10" s="1" t="s">
        <v>744</v>
      </c>
      <c r="H10" s="1" t="s">
        <v>745</v>
      </c>
      <c r="I10" s="1" t="s">
        <v>610</v>
      </c>
    </row>
    <row r="11" spans="2:11">
      <c r="B11" s="1">
        <v>1</v>
      </c>
      <c r="C11" s="1">
        <f t="shared" ref="C11:C74" si="0">IF(ROUND($H$3+$H$4*(B11-1)/((B11-1)+$H$2),0)&gt;$H$5,$H$5,ROUND($H$3+$H$4*(B11-1)/((B11-1)+$H$2),0))</f>
        <v>27</v>
      </c>
      <c r="E11" s="1">
        <f t="array" ref="E11">INDEX($B$11:$B$247,CEILING(ROW(A1)/3,1))</f>
        <v>1</v>
      </c>
      <c r="F11" s="1">
        <v>1</v>
      </c>
      <c r="G11" s="1">
        <v>1</v>
      </c>
      <c r="H11" s="1">
        <f t="shared" ref="H11:H74" si="1">_xlfn.IFNA(VLOOKUP(E14,$B$11:$C$247,2,0)-VLOOKUP(E11,$B$11:$C$247,2,0),0)</f>
        <v>26</v>
      </c>
      <c r="I11" s="1">
        <f t="shared" ref="I11:I74" si="2">ROUND(VLOOKUP(E11,$B$11:$C$247,2,0)+VLOOKUP(F11,$J$3:$K$5,2,0)*H11,0)</f>
        <v>27</v>
      </c>
    </row>
    <row r="12" spans="2:11">
      <c r="B12" s="1">
        <v>2</v>
      </c>
      <c r="C12" s="1">
        <f t="shared" si="0"/>
        <v>53</v>
      </c>
      <c r="E12" s="1">
        <f t="array" ref="E12">INDEX($B$11:$B$247,CEILING(ROW(A2)/3,1))</f>
        <v>1</v>
      </c>
      <c r="F12" s="1">
        <v>2</v>
      </c>
      <c r="G12" s="1">
        <v>2</v>
      </c>
      <c r="H12" s="1">
        <f t="shared" si="1"/>
        <v>26</v>
      </c>
      <c r="I12" s="1">
        <f t="shared" si="2"/>
        <v>36</v>
      </c>
    </row>
    <row r="13" spans="2:11">
      <c r="B13" s="1">
        <v>3</v>
      </c>
      <c r="C13" s="1">
        <f t="shared" si="0"/>
        <v>77</v>
      </c>
      <c r="E13" s="1">
        <f t="array" ref="E13">INDEX($B$11:$B$247,CEILING(ROW(A3)/3,1))</f>
        <v>1</v>
      </c>
      <c r="F13" s="1">
        <v>3</v>
      </c>
      <c r="G13" s="1">
        <v>3</v>
      </c>
      <c r="H13" s="1">
        <f t="shared" si="1"/>
        <v>26</v>
      </c>
      <c r="I13" s="1">
        <f t="shared" si="2"/>
        <v>44</v>
      </c>
    </row>
    <row r="14" spans="2:11">
      <c r="B14" s="1">
        <v>4</v>
      </c>
      <c r="C14" s="1">
        <f t="shared" si="0"/>
        <v>100</v>
      </c>
      <c r="E14" s="1">
        <f t="array" ref="E14">INDEX($B$11:$B$247,CEILING(ROW(A4)/3,1))</f>
        <v>2</v>
      </c>
      <c r="F14" s="1">
        <f t="shared" ref="F14:F77" si="3">F11</f>
        <v>1</v>
      </c>
      <c r="G14" s="1">
        <v>4</v>
      </c>
      <c r="H14" s="1">
        <f t="shared" si="1"/>
        <v>24</v>
      </c>
      <c r="I14" s="1">
        <f t="shared" si="2"/>
        <v>53</v>
      </c>
    </row>
    <row r="15" spans="2:11">
      <c r="B15" s="1">
        <v>5</v>
      </c>
      <c r="C15" s="1">
        <f t="shared" si="0"/>
        <v>122</v>
      </c>
      <c r="E15" s="1">
        <f t="array" ref="E15">INDEX($B$11:$B$247,CEILING(ROW(A5)/3,1))</f>
        <v>2</v>
      </c>
      <c r="F15" s="1">
        <f t="shared" si="3"/>
        <v>2</v>
      </c>
      <c r="G15" s="1">
        <v>5</v>
      </c>
      <c r="H15" s="1">
        <f t="shared" si="1"/>
        <v>24</v>
      </c>
      <c r="I15" s="1">
        <f t="shared" si="2"/>
        <v>61</v>
      </c>
    </row>
    <row r="16" spans="2:11">
      <c r="B16" s="1">
        <v>6</v>
      </c>
      <c r="C16" s="1">
        <f t="shared" si="0"/>
        <v>143</v>
      </c>
      <c r="E16" s="1">
        <f t="array" ref="E16">INDEX($B$11:$B$247,CEILING(ROW(A6)/3,1))</f>
        <v>2</v>
      </c>
      <c r="F16" s="1">
        <f t="shared" si="3"/>
        <v>3</v>
      </c>
      <c r="G16" s="1">
        <v>6</v>
      </c>
      <c r="H16" s="1">
        <f t="shared" si="1"/>
        <v>24</v>
      </c>
      <c r="I16" s="1">
        <f t="shared" si="2"/>
        <v>69</v>
      </c>
    </row>
    <row r="17" spans="2:9">
      <c r="B17" s="1">
        <v>7</v>
      </c>
      <c r="C17" s="1">
        <f t="shared" si="0"/>
        <v>163</v>
      </c>
      <c r="E17" s="1">
        <f t="array" ref="E17">INDEX($B$11:$B$247,CEILING(ROW(A7)/3,1))</f>
        <v>3</v>
      </c>
      <c r="F17" s="1">
        <f t="shared" si="3"/>
        <v>1</v>
      </c>
      <c r="G17" s="1">
        <v>7</v>
      </c>
      <c r="H17" s="1">
        <f t="shared" si="1"/>
        <v>23</v>
      </c>
      <c r="I17" s="1">
        <f t="shared" si="2"/>
        <v>77</v>
      </c>
    </row>
    <row r="18" spans="2:9">
      <c r="B18" s="1">
        <v>8</v>
      </c>
      <c r="C18" s="1">
        <f t="shared" si="0"/>
        <v>183</v>
      </c>
      <c r="E18" s="1">
        <f t="array" ref="E18">INDEX($B$11:$B$247,CEILING(ROW(A8)/3,1))</f>
        <v>3</v>
      </c>
      <c r="F18" s="1">
        <f t="shared" si="3"/>
        <v>2</v>
      </c>
      <c r="G18" s="1">
        <v>8</v>
      </c>
      <c r="H18" s="1">
        <f t="shared" si="1"/>
        <v>23</v>
      </c>
      <c r="I18" s="1">
        <f t="shared" si="2"/>
        <v>85</v>
      </c>
    </row>
    <row r="19" spans="2:9">
      <c r="B19" s="1">
        <v>9</v>
      </c>
      <c r="C19" s="1">
        <f t="shared" si="0"/>
        <v>201</v>
      </c>
      <c r="E19" s="1">
        <f t="array" ref="E19">INDEX($B$11:$B$247,CEILING(ROW(A9)/3,1))</f>
        <v>3</v>
      </c>
      <c r="F19" s="1">
        <f t="shared" si="3"/>
        <v>3</v>
      </c>
      <c r="G19" s="1">
        <v>9</v>
      </c>
      <c r="H19" s="1">
        <f t="shared" si="1"/>
        <v>23</v>
      </c>
      <c r="I19" s="1">
        <f t="shared" si="2"/>
        <v>92</v>
      </c>
    </row>
    <row r="20" spans="2:9">
      <c r="B20" s="1">
        <v>10</v>
      </c>
      <c r="C20" s="1">
        <f t="shared" si="0"/>
        <v>218</v>
      </c>
      <c r="E20" s="1">
        <f t="array" ref="E20">INDEX($B$11:$B$247,CEILING(ROW(A10)/3,1))</f>
        <v>4</v>
      </c>
      <c r="F20" s="1">
        <f t="shared" si="3"/>
        <v>1</v>
      </c>
      <c r="G20" s="1">
        <v>10</v>
      </c>
      <c r="H20" s="1">
        <f t="shared" si="1"/>
        <v>22</v>
      </c>
      <c r="I20" s="1">
        <f t="shared" si="2"/>
        <v>100</v>
      </c>
    </row>
    <row r="21" spans="2:9">
      <c r="B21" s="1">
        <v>11</v>
      </c>
      <c r="C21" s="1">
        <f t="shared" si="0"/>
        <v>235</v>
      </c>
      <c r="E21" s="1">
        <f t="array" ref="E21">INDEX($B$11:$B$247,CEILING(ROW(A11)/3,1))</f>
        <v>4</v>
      </c>
      <c r="F21" s="1">
        <f t="shared" si="3"/>
        <v>2</v>
      </c>
      <c r="G21" s="1">
        <v>11</v>
      </c>
      <c r="H21" s="1">
        <f t="shared" si="1"/>
        <v>22</v>
      </c>
      <c r="I21" s="1">
        <f t="shared" si="2"/>
        <v>107</v>
      </c>
    </row>
    <row r="22" spans="2:9">
      <c r="B22" s="1">
        <v>12</v>
      </c>
      <c r="C22" s="1">
        <f t="shared" si="0"/>
        <v>251</v>
      </c>
      <c r="E22" s="1">
        <f t="array" ref="E22">INDEX($B$11:$B$247,CEILING(ROW(A12)/3,1))</f>
        <v>4</v>
      </c>
      <c r="F22" s="1">
        <f t="shared" si="3"/>
        <v>3</v>
      </c>
      <c r="G22" s="1">
        <v>12</v>
      </c>
      <c r="H22" s="1">
        <f t="shared" si="1"/>
        <v>22</v>
      </c>
      <c r="I22" s="1">
        <f t="shared" si="2"/>
        <v>115</v>
      </c>
    </row>
    <row r="23" spans="2:9">
      <c r="B23" s="1">
        <v>13</v>
      </c>
      <c r="C23" s="1">
        <f t="shared" si="0"/>
        <v>267</v>
      </c>
      <c r="E23" s="1">
        <f t="array" ref="E23">INDEX($B$11:$B$247,CEILING(ROW(A13)/3,1))</f>
        <v>5</v>
      </c>
      <c r="F23" s="1">
        <f t="shared" si="3"/>
        <v>1</v>
      </c>
      <c r="G23" s="1">
        <v>13</v>
      </c>
      <c r="H23" s="1">
        <f t="shared" si="1"/>
        <v>21</v>
      </c>
      <c r="I23" s="1">
        <f t="shared" si="2"/>
        <v>122</v>
      </c>
    </row>
    <row r="24" spans="2:9">
      <c r="B24" s="1">
        <v>14</v>
      </c>
      <c r="C24" s="1">
        <f t="shared" si="0"/>
        <v>282</v>
      </c>
      <c r="E24" s="1">
        <f t="array" ref="E24">INDEX($B$11:$B$247,CEILING(ROW(A14)/3,1))</f>
        <v>5</v>
      </c>
      <c r="F24" s="1">
        <f t="shared" si="3"/>
        <v>2</v>
      </c>
      <c r="G24" s="1">
        <v>14</v>
      </c>
      <c r="H24" s="1">
        <f t="shared" si="1"/>
        <v>21</v>
      </c>
      <c r="I24" s="1">
        <f t="shared" si="2"/>
        <v>129</v>
      </c>
    </row>
    <row r="25" spans="2:9">
      <c r="B25" s="1">
        <v>15</v>
      </c>
      <c r="C25" s="1">
        <f t="shared" si="0"/>
        <v>296</v>
      </c>
      <c r="E25" s="1">
        <f t="array" ref="E25">INDEX($B$11:$B$247,CEILING(ROW(A15)/3,1))</f>
        <v>5</v>
      </c>
      <c r="F25" s="1">
        <f t="shared" si="3"/>
        <v>3</v>
      </c>
      <c r="G25" s="1">
        <v>15</v>
      </c>
      <c r="H25" s="1">
        <f t="shared" si="1"/>
        <v>21</v>
      </c>
      <c r="I25" s="1">
        <f t="shared" si="2"/>
        <v>136</v>
      </c>
    </row>
    <row r="26" spans="2:9">
      <c r="B26" s="1">
        <v>16</v>
      </c>
      <c r="C26" s="1">
        <f t="shared" si="0"/>
        <v>310</v>
      </c>
      <c r="E26" s="1">
        <f t="array" ref="E26">INDEX($B$11:$B$247,CEILING(ROW(A16)/3,1))</f>
        <v>6</v>
      </c>
      <c r="F26" s="1">
        <f t="shared" si="3"/>
        <v>1</v>
      </c>
      <c r="G26" s="1">
        <v>16</v>
      </c>
      <c r="H26" s="1">
        <f t="shared" si="1"/>
        <v>20</v>
      </c>
      <c r="I26" s="1">
        <f t="shared" si="2"/>
        <v>143</v>
      </c>
    </row>
    <row r="27" spans="2:9">
      <c r="B27" s="1">
        <v>17</v>
      </c>
      <c r="C27" s="1">
        <f t="shared" si="0"/>
        <v>323</v>
      </c>
      <c r="E27" s="1">
        <f t="array" ref="E27">INDEX($B$11:$B$247,CEILING(ROW(A17)/3,1))</f>
        <v>6</v>
      </c>
      <c r="F27" s="1">
        <f t="shared" si="3"/>
        <v>2</v>
      </c>
      <c r="G27" s="1">
        <v>17</v>
      </c>
      <c r="H27" s="1">
        <f t="shared" si="1"/>
        <v>20</v>
      </c>
      <c r="I27" s="1">
        <f t="shared" si="2"/>
        <v>150</v>
      </c>
    </row>
    <row r="28" spans="2:9">
      <c r="B28" s="1">
        <v>18</v>
      </c>
      <c r="C28" s="1">
        <f t="shared" si="0"/>
        <v>336</v>
      </c>
      <c r="E28" s="1">
        <f t="array" ref="E28">INDEX($B$11:$B$247,CEILING(ROW(A18)/3,1))</f>
        <v>6</v>
      </c>
      <c r="F28" s="1">
        <f t="shared" si="3"/>
        <v>3</v>
      </c>
      <c r="G28" s="1">
        <v>18</v>
      </c>
      <c r="H28" s="1">
        <f t="shared" si="1"/>
        <v>20</v>
      </c>
      <c r="I28" s="1">
        <f t="shared" si="2"/>
        <v>156</v>
      </c>
    </row>
    <row r="29" spans="2:9">
      <c r="B29" s="1">
        <v>19</v>
      </c>
      <c r="C29" s="1">
        <f t="shared" si="0"/>
        <v>348</v>
      </c>
      <c r="E29" s="1">
        <f t="array" ref="E29">INDEX($B$11:$B$247,CEILING(ROW(A19)/3,1))</f>
        <v>7</v>
      </c>
      <c r="F29" s="1">
        <f t="shared" si="3"/>
        <v>1</v>
      </c>
      <c r="G29" s="1">
        <v>19</v>
      </c>
      <c r="H29" s="1">
        <f t="shared" si="1"/>
        <v>20</v>
      </c>
      <c r="I29" s="1">
        <f t="shared" si="2"/>
        <v>163</v>
      </c>
    </row>
    <row r="30" spans="2:9">
      <c r="B30" s="1">
        <v>20</v>
      </c>
      <c r="C30" s="1">
        <f t="shared" si="0"/>
        <v>360</v>
      </c>
      <c r="E30" s="1">
        <f t="array" ref="E30">INDEX($B$11:$B$247,CEILING(ROW(A20)/3,1))</f>
        <v>7</v>
      </c>
      <c r="F30" s="1">
        <f t="shared" si="3"/>
        <v>2</v>
      </c>
      <c r="G30" s="1">
        <v>20</v>
      </c>
      <c r="H30" s="1">
        <f t="shared" si="1"/>
        <v>20</v>
      </c>
      <c r="I30" s="1">
        <f t="shared" si="2"/>
        <v>170</v>
      </c>
    </row>
    <row r="31" spans="2:9">
      <c r="B31" s="1">
        <v>21</v>
      </c>
      <c r="C31" s="1">
        <f t="shared" si="0"/>
        <v>372</v>
      </c>
      <c r="E31" s="1">
        <f t="array" ref="E31">INDEX($B$11:$B$247,CEILING(ROW(A21)/3,1))</f>
        <v>7</v>
      </c>
      <c r="F31" s="1">
        <f t="shared" si="3"/>
        <v>3</v>
      </c>
      <c r="G31" s="1">
        <v>21</v>
      </c>
      <c r="H31" s="1">
        <f t="shared" si="1"/>
        <v>20</v>
      </c>
      <c r="I31" s="1">
        <f t="shared" si="2"/>
        <v>176</v>
      </c>
    </row>
    <row r="32" spans="2:9">
      <c r="B32" s="1">
        <v>22</v>
      </c>
      <c r="C32" s="1">
        <f t="shared" si="0"/>
        <v>383</v>
      </c>
      <c r="E32" s="1">
        <f t="array" ref="E32">INDEX($B$11:$B$247,CEILING(ROW(A22)/3,1))</f>
        <v>8</v>
      </c>
      <c r="F32" s="1">
        <f t="shared" si="3"/>
        <v>1</v>
      </c>
      <c r="G32" s="1">
        <v>22</v>
      </c>
      <c r="H32" s="1">
        <f t="shared" si="1"/>
        <v>18</v>
      </c>
      <c r="I32" s="1">
        <f t="shared" si="2"/>
        <v>183</v>
      </c>
    </row>
    <row r="33" spans="2:9">
      <c r="B33" s="1">
        <v>23</v>
      </c>
      <c r="C33" s="1">
        <f t="shared" si="0"/>
        <v>394</v>
      </c>
      <c r="E33" s="1">
        <f t="array" ref="E33">INDEX($B$11:$B$247,CEILING(ROW(A23)/3,1))</f>
        <v>8</v>
      </c>
      <c r="F33" s="1">
        <f t="shared" si="3"/>
        <v>2</v>
      </c>
      <c r="G33" s="1">
        <v>23</v>
      </c>
      <c r="H33" s="1">
        <f t="shared" si="1"/>
        <v>18</v>
      </c>
      <c r="I33" s="1">
        <f t="shared" si="2"/>
        <v>189</v>
      </c>
    </row>
    <row r="34" spans="2:9">
      <c r="B34" s="1">
        <v>24</v>
      </c>
      <c r="C34" s="1">
        <f t="shared" si="0"/>
        <v>404</v>
      </c>
      <c r="E34" s="1">
        <f t="array" ref="E34">INDEX($B$11:$B$247,CEILING(ROW(A24)/3,1))</f>
        <v>8</v>
      </c>
      <c r="F34" s="1">
        <f t="shared" si="3"/>
        <v>3</v>
      </c>
      <c r="G34" s="1">
        <v>24</v>
      </c>
      <c r="H34" s="1">
        <f t="shared" si="1"/>
        <v>18</v>
      </c>
      <c r="I34" s="1">
        <f t="shared" si="2"/>
        <v>195</v>
      </c>
    </row>
    <row r="35" spans="2:9">
      <c r="B35" s="1">
        <v>25</v>
      </c>
      <c r="C35" s="1">
        <f t="shared" si="0"/>
        <v>414</v>
      </c>
      <c r="E35" s="1">
        <f t="array" ref="E35">INDEX($B$11:$B$247,CEILING(ROW(A25)/3,1))</f>
        <v>9</v>
      </c>
      <c r="F35" s="1">
        <f t="shared" si="3"/>
        <v>1</v>
      </c>
      <c r="G35" s="1">
        <v>25</v>
      </c>
      <c r="H35" s="1">
        <f t="shared" si="1"/>
        <v>17</v>
      </c>
      <c r="I35" s="1">
        <f t="shared" si="2"/>
        <v>201</v>
      </c>
    </row>
    <row r="36" spans="2:9">
      <c r="B36" s="1">
        <v>26</v>
      </c>
      <c r="C36" s="1">
        <f t="shared" si="0"/>
        <v>424</v>
      </c>
      <c r="E36" s="1">
        <f t="array" ref="E36">INDEX($B$11:$B$247,CEILING(ROW(A26)/3,1))</f>
        <v>9</v>
      </c>
      <c r="F36" s="1">
        <f t="shared" si="3"/>
        <v>2</v>
      </c>
      <c r="G36" s="1">
        <v>26</v>
      </c>
      <c r="H36" s="1">
        <f t="shared" si="1"/>
        <v>17</v>
      </c>
      <c r="I36" s="1">
        <f t="shared" si="2"/>
        <v>207</v>
      </c>
    </row>
    <row r="37" spans="2:9">
      <c r="B37" s="1">
        <v>27</v>
      </c>
      <c r="C37" s="1">
        <f t="shared" si="0"/>
        <v>433</v>
      </c>
      <c r="E37" s="1">
        <f t="array" ref="E37">INDEX($B$11:$B$247,CEILING(ROW(A27)/3,1))</f>
        <v>9</v>
      </c>
      <c r="F37" s="1">
        <f t="shared" si="3"/>
        <v>3</v>
      </c>
      <c r="G37" s="1">
        <v>27</v>
      </c>
      <c r="H37" s="1">
        <f t="shared" si="1"/>
        <v>17</v>
      </c>
      <c r="I37" s="1">
        <f t="shared" si="2"/>
        <v>212</v>
      </c>
    </row>
    <row r="38" spans="2:9">
      <c r="B38" s="1">
        <v>28</v>
      </c>
      <c r="C38" s="1">
        <f t="shared" si="0"/>
        <v>442</v>
      </c>
      <c r="E38" s="1">
        <f t="array" ref="E38">INDEX($B$11:$B$247,CEILING(ROW(A28)/3,1))</f>
        <v>10</v>
      </c>
      <c r="F38" s="1">
        <f t="shared" si="3"/>
        <v>1</v>
      </c>
      <c r="G38" s="1">
        <v>28</v>
      </c>
      <c r="H38" s="1">
        <f t="shared" si="1"/>
        <v>17</v>
      </c>
      <c r="I38" s="1">
        <f t="shared" si="2"/>
        <v>218</v>
      </c>
    </row>
    <row r="39" spans="2:9">
      <c r="B39" s="1">
        <v>29</v>
      </c>
      <c r="C39" s="1">
        <f t="shared" si="0"/>
        <v>451</v>
      </c>
      <c r="E39" s="1">
        <f t="array" ref="E39">INDEX($B$11:$B$247,CEILING(ROW(A29)/3,1))</f>
        <v>10</v>
      </c>
      <c r="F39" s="1">
        <f t="shared" si="3"/>
        <v>2</v>
      </c>
      <c r="G39" s="1">
        <v>29</v>
      </c>
      <c r="H39" s="1">
        <f t="shared" si="1"/>
        <v>17</v>
      </c>
      <c r="I39" s="1">
        <f t="shared" si="2"/>
        <v>224</v>
      </c>
    </row>
    <row r="40" spans="2:9">
      <c r="B40" s="1">
        <v>30</v>
      </c>
      <c r="C40" s="1">
        <f t="shared" si="0"/>
        <v>460</v>
      </c>
      <c r="E40" s="1">
        <f t="array" ref="E40">INDEX($B$11:$B$247,CEILING(ROW(A30)/3,1))</f>
        <v>10</v>
      </c>
      <c r="F40" s="1">
        <f t="shared" si="3"/>
        <v>3</v>
      </c>
      <c r="G40" s="1">
        <v>30</v>
      </c>
      <c r="H40" s="1">
        <f t="shared" si="1"/>
        <v>17</v>
      </c>
      <c r="I40" s="1">
        <f t="shared" si="2"/>
        <v>229</v>
      </c>
    </row>
    <row r="41" spans="2:9">
      <c r="B41" s="1">
        <v>31</v>
      </c>
      <c r="C41" s="1">
        <f t="shared" si="0"/>
        <v>468</v>
      </c>
      <c r="E41" s="1">
        <f t="array" ref="E41">INDEX($B$11:$B$247,CEILING(ROW(A31)/3,1))</f>
        <v>11</v>
      </c>
      <c r="F41" s="1">
        <f t="shared" si="3"/>
        <v>1</v>
      </c>
      <c r="G41" s="1">
        <v>31</v>
      </c>
      <c r="H41" s="1">
        <f t="shared" si="1"/>
        <v>16</v>
      </c>
      <c r="I41" s="1">
        <f t="shared" si="2"/>
        <v>235</v>
      </c>
    </row>
    <row r="42" spans="2:9">
      <c r="B42" s="1">
        <v>32</v>
      </c>
      <c r="C42" s="1">
        <f t="shared" si="0"/>
        <v>476</v>
      </c>
      <c r="E42" s="1">
        <f t="array" ref="E42">INDEX($B$11:$B$247,CEILING(ROW(A32)/3,1))</f>
        <v>11</v>
      </c>
      <c r="F42" s="1">
        <f t="shared" si="3"/>
        <v>2</v>
      </c>
      <c r="G42" s="1">
        <v>32</v>
      </c>
      <c r="H42" s="1">
        <f t="shared" si="1"/>
        <v>16</v>
      </c>
      <c r="I42" s="1">
        <f t="shared" si="2"/>
        <v>240</v>
      </c>
    </row>
    <row r="43" spans="2:9">
      <c r="B43" s="1">
        <v>33</v>
      </c>
      <c r="C43" s="1">
        <f t="shared" si="0"/>
        <v>484</v>
      </c>
      <c r="E43" s="1">
        <f t="array" ref="E43">INDEX($B$11:$B$247,CEILING(ROW(A33)/3,1))</f>
        <v>11</v>
      </c>
      <c r="F43" s="1">
        <f t="shared" si="3"/>
        <v>3</v>
      </c>
      <c r="G43" s="1">
        <v>33</v>
      </c>
      <c r="H43" s="1">
        <f t="shared" si="1"/>
        <v>16</v>
      </c>
      <c r="I43" s="1">
        <f t="shared" si="2"/>
        <v>246</v>
      </c>
    </row>
    <row r="44" spans="2:9">
      <c r="B44" s="1">
        <v>34</v>
      </c>
      <c r="C44" s="1">
        <f t="shared" si="0"/>
        <v>492</v>
      </c>
      <c r="E44" s="1">
        <f t="array" ref="E44">INDEX($B$11:$B$247,CEILING(ROW(A34)/3,1))</f>
        <v>12</v>
      </c>
      <c r="F44" s="1">
        <f t="shared" si="3"/>
        <v>1</v>
      </c>
      <c r="G44" s="1">
        <v>34</v>
      </c>
      <c r="H44" s="1">
        <f t="shared" si="1"/>
        <v>16</v>
      </c>
      <c r="I44" s="1">
        <f t="shared" si="2"/>
        <v>251</v>
      </c>
    </row>
    <row r="45" spans="2:9">
      <c r="B45" s="1">
        <v>35</v>
      </c>
      <c r="C45" s="1">
        <f t="shared" si="0"/>
        <v>499</v>
      </c>
      <c r="E45" s="1">
        <f t="array" ref="E45">INDEX($B$11:$B$247,CEILING(ROW(A35)/3,1))</f>
        <v>12</v>
      </c>
      <c r="F45" s="1">
        <f t="shared" si="3"/>
        <v>2</v>
      </c>
      <c r="G45" s="1">
        <v>35</v>
      </c>
      <c r="H45" s="1">
        <f t="shared" si="1"/>
        <v>16</v>
      </c>
      <c r="I45" s="1">
        <f t="shared" si="2"/>
        <v>256</v>
      </c>
    </row>
    <row r="46" spans="2:9">
      <c r="B46" s="1">
        <v>36</v>
      </c>
      <c r="C46" s="1">
        <f t="shared" si="0"/>
        <v>500</v>
      </c>
      <c r="E46" s="1">
        <f t="array" ref="E46">INDEX($B$11:$B$247,CEILING(ROW(A36)/3,1))</f>
        <v>12</v>
      </c>
      <c r="F46" s="1">
        <f t="shared" si="3"/>
        <v>3</v>
      </c>
      <c r="G46" s="1">
        <v>36</v>
      </c>
      <c r="H46" s="1">
        <f t="shared" si="1"/>
        <v>16</v>
      </c>
      <c r="I46" s="1">
        <f t="shared" si="2"/>
        <v>262</v>
      </c>
    </row>
    <row r="47" spans="2:9">
      <c r="B47" s="1">
        <v>37</v>
      </c>
      <c r="C47" s="1">
        <f t="shared" si="0"/>
        <v>500</v>
      </c>
      <c r="E47" s="1">
        <f t="array" ref="E47">INDEX($B$11:$B$247,CEILING(ROW(A37)/3,1))</f>
        <v>13</v>
      </c>
      <c r="F47" s="1">
        <f t="shared" si="3"/>
        <v>1</v>
      </c>
      <c r="G47" s="1">
        <v>37</v>
      </c>
      <c r="H47" s="1">
        <f t="shared" si="1"/>
        <v>15</v>
      </c>
      <c r="I47" s="1">
        <f t="shared" si="2"/>
        <v>267</v>
      </c>
    </row>
    <row r="48" spans="2:9">
      <c r="B48" s="1">
        <v>38</v>
      </c>
      <c r="C48" s="1">
        <f t="shared" si="0"/>
        <v>500</v>
      </c>
      <c r="E48" s="1">
        <f t="array" ref="E48">INDEX($B$11:$B$247,CEILING(ROW(A38)/3,1))</f>
        <v>13</v>
      </c>
      <c r="F48" s="1">
        <f t="shared" si="3"/>
        <v>2</v>
      </c>
      <c r="G48" s="1">
        <v>38</v>
      </c>
      <c r="H48" s="1">
        <f t="shared" si="1"/>
        <v>15</v>
      </c>
      <c r="I48" s="1">
        <f t="shared" si="2"/>
        <v>272</v>
      </c>
    </row>
    <row r="49" spans="2:9">
      <c r="B49" s="1">
        <v>39</v>
      </c>
      <c r="C49" s="1">
        <f t="shared" si="0"/>
        <v>500</v>
      </c>
      <c r="E49" s="1">
        <f t="array" ref="E49">INDEX($B$11:$B$247,CEILING(ROW(A39)/3,1))</f>
        <v>13</v>
      </c>
      <c r="F49" s="1">
        <f t="shared" si="3"/>
        <v>3</v>
      </c>
      <c r="G49" s="1">
        <v>39</v>
      </c>
      <c r="H49" s="1">
        <f t="shared" si="1"/>
        <v>15</v>
      </c>
      <c r="I49" s="1">
        <f t="shared" si="2"/>
        <v>277</v>
      </c>
    </row>
    <row r="50" spans="2:9">
      <c r="B50" s="1">
        <v>40</v>
      </c>
      <c r="C50" s="1">
        <f t="shared" si="0"/>
        <v>500</v>
      </c>
      <c r="E50" s="1">
        <f t="array" ref="E50">INDEX($B$11:$B$247,CEILING(ROW(A40)/3,1))</f>
        <v>14</v>
      </c>
      <c r="F50" s="1">
        <f t="shared" si="3"/>
        <v>1</v>
      </c>
      <c r="G50" s="1">
        <v>40</v>
      </c>
      <c r="H50" s="1">
        <f t="shared" si="1"/>
        <v>14</v>
      </c>
      <c r="I50" s="1">
        <f t="shared" si="2"/>
        <v>282</v>
      </c>
    </row>
    <row r="51" spans="2:9">
      <c r="B51" s="1">
        <v>41</v>
      </c>
      <c r="C51" s="1">
        <f t="shared" si="0"/>
        <v>500</v>
      </c>
      <c r="E51" s="1">
        <f t="array" ref="E51">INDEX($B$11:$B$247,CEILING(ROW(A41)/3,1))</f>
        <v>14</v>
      </c>
      <c r="F51" s="1">
        <f t="shared" si="3"/>
        <v>2</v>
      </c>
      <c r="G51" s="1">
        <v>41</v>
      </c>
      <c r="H51" s="1">
        <f t="shared" si="1"/>
        <v>14</v>
      </c>
      <c r="I51" s="1">
        <f t="shared" si="2"/>
        <v>287</v>
      </c>
    </row>
    <row r="52" spans="2:9">
      <c r="B52" s="1">
        <v>42</v>
      </c>
      <c r="C52" s="1">
        <f t="shared" si="0"/>
        <v>500</v>
      </c>
      <c r="E52" s="1">
        <f t="array" ref="E52">INDEX($B$11:$B$247,CEILING(ROW(A42)/3,1))</f>
        <v>14</v>
      </c>
      <c r="F52" s="1">
        <f t="shared" si="3"/>
        <v>3</v>
      </c>
      <c r="G52" s="1">
        <v>42</v>
      </c>
      <c r="H52" s="1">
        <f t="shared" si="1"/>
        <v>14</v>
      </c>
      <c r="I52" s="1">
        <f t="shared" si="2"/>
        <v>291</v>
      </c>
    </row>
    <row r="53" spans="2:9">
      <c r="B53" s="1">
        <v>43</v>
      </c>
      <c r="C53" s="1">
        <f t="shared" si="0"/>
        <v>500</v>
      </c>
      <c r="E53" s="1">
        <f t="array" ref="E53">INDEX($B$11:$B$247,CEILING(ROW(A43)/3,1))</f>
        <v>15</v>
      </c>
      <c r="F53" s="1">
        <f t="shared" si="3"/>
        <v>1</v>
      </c>
      <c r="G53" s="1">
        <v>43</v>
      </c>
      <c r="H53" s="1">
        <f t="shared" si="1"/>
        <v>14</v>
      </c>
      <c r="I53" s="1">
        <f t="shared" si="2"/>
        <v>296</v>
      </c>
    </row>
    <row r="54" spans="2:9">
      <c r="B54" s="1">
        <v>44</v>
      </c>
      <c r="C54" s="1">
        <f t="shared" si="0"/>
        <v>500</v>
      </c>
      <c r="E54" s="1">
        <f t="array" ref="E54">INDEX($B$11:$B$247,CEILING(ROW(A44)/3,1))</f>
        <v>15</v>
      </c>
      <c r="F54" s="1">
        <f t="shared" si="3"/>
        <v>2</v>
      </c>
      <c r="G54" s="1">
        <v>44</v>
      </c>
      <c r="H54" s="1">
        <f t="shared" si="1"/>
        <v>14</v>
      </c>
      <c r="I54" s="1">
        <f t="shared" si="2"/>
        <v>301</v>
      </c>
    </row>
    <row r="55" spans="2:9">
      <c r="B55" s="1">
        <v>45</v>
      </c>
      <c r="C55" s="1">
        <f t="shared" si="0"/>
        <v>500</v>
      </c>
      <c r="E55" s="1">
        <f t="array" ref="E55">INDEX($B$11:$B$247,CEILING(ROW(A45)/3,1))</f>
        <v>15</v>
      </c>
      <c r="F55" s="1">
        <f t="shared" si="3"/>
        <v>3</v>
      </c>
      <c r="G55" s="1">
        <v>45</v>
      </c>
      <c r="H55" s="1">
        <f t="shared" si="1"/>
        <v>14</v>
      </c>
      <c r="I55" s="1">
        <f t="shared" si="2"/>
        <v>305</v>
      </c>
    </row>
    <row r="56" spans="2:9">
      <c r="B56" s="1">
        <v>46</v>
      </c>
      <c r="C56" s="1">
        <f t="shared" si="0"/>
        <v>500</v>
      </c>
      <c r="E56" s="1">
        <f t="array" ref="E56">INDEX($B$11:$B$247,CEILING(ROW(A46)/3,1))</f>
        <v>16</v>
      </c>
      <c r="F56" s="1">
        <f t="shared" si="3"/>
        <v>1</v>
      </c>
      <c r="G56" s="1">
        <v>46</v>
      </c>
      <c r="H56" s="1">
        <f t="shared" si="1"/>
        <v>13</v>
      </c>
      <c r="I56" s="1">
        <f t="shared" si="2"/>
        <v>310</v>
      </c>
    </row>
    <row r="57" spans="2:9">
      <c r="B57" s="1">
        <v>47</v>
      </c>
      <c r="C57" s="1">
        <f t="shared" si="0"/>
        <v>500</v>
      </c>
      <c r="E57" s="1">
        <f t="array" ref="E57">INDEX($B$11:$B$247,CEILING(ROW(A47)/3,1))</f>
        <v>16</v>
      </c>
      <c r="F57" s="1">
        <f t="shared" si="3"/>
        <v>2</v>
      </c>
      <c r="G57" s="1">
        <v>47</v>
      </c>
      <c r="H57" s="1">
        <f t="shared" si="1"/>
        <v>13</v>
      </c>
      <c r="I57" s="1">
        <f t="shared" si="2"/>
        <v>314</v>
      </c>
    </row>
    <row r="58" spans="2:9">
      <c r="B58" s="1">
        <v>48</v>
      </c>
      <c r="C58" s="1">
        <f t="shared" si="0"/>
        <v>500</v>
      </c>
      <c r="E58" s="1">
        <f t="array" ref="E58">INDEX($B$11:$B$247,CEILING(ROW(A48)/3,1))</f>
        <v>16</v>
      </c>
      <c r="F58" s="1">
        <f t="shared" si="3"/>
        <v>3</v>
      </c>
      <c r="G58" s="1">
        <v>48</v>
      </c>
      <c r="H58" s="1">
        <f t="shared" si="1"/>
        <v>13</v>
      </c>
      <c r="I58" s="1">
        <f t="shared" si="2"/>
        <v>319</v>
      </c>
    </row>
    <row r="59" spans="2:9">
      <c r="B59" s="1">
        <v>49</v>
      </c>
      <c r="C59" s="1">
        <f t="shared" si="0"/>
        <v>500</v>
      </c>
      <c r="E59" s="1">
        <f t="array" ref="E59">INDEX($B$11:$B$247,CEILING(ROW(A49)/3,1))</f>
        <v>17</v>
      </c>
      <c r="F59" s="1">
        <f t="shared" si="3"/>
        <v>1</v>
      </c>
      <c r="G59" s="1">
        <v>49</v>
      </c>
      <c r="H59" s="1">
        <f t="shared" si="1"/>
        <v>13</v>
      </c>
      <c r="I59" s="1">
        <f t="shared" si="2"/>
        <v>323</v>
      </c>
    </row>
    <row r="60" spans="2:9">
      <c r="B60" s="1">
        <v>50</v>
      </c>
      <c r="C60" s="1">
        <f t="shared" si="0"/>
        <v>500</v>
      </c>
      <c r="E60" s="1">
        <f t="array" ref="E60">INDEX($B$11:$B$247,CEILING(ROW(A50)/3,1))</f>
        <v>17</v>
      </c>
      <c r="F60" s="1">
        <f t="shared" si="3"/>
        <v>2</v>
      </c>
      <c r="G60" s="1">
        <v>50</v>
      </c>
      <c r="H60" s="1">
        <f t="shared" si="1"/>
        <v>13</v>
      </c>
      <c r="I60" s="1">
        <f t="shared" si="2"/>
        <v>327</v>
      </c>
    </row>
    <row r="61" spans="2:9">
      <c r="B61" s="1">
        <v>51</v>
      </c>
      <c r="C61" s="1">
        <f t="shared" si="0"/>
        <v>500</v>
      </c>
      <c r="E61" s="1">
        <f t="array" ref="E61">INDEX($B$11:$B$247,CEILING(ROW(A51)/3,1))</f>
        <v>17</v>
      </c>
      <c r="F61" s="1">
        <f t="shared" si="3"/>
        <v>3</v>
      </c>
      <c r="G61" s="1">
        <v>51</v>
      </c>
      <c r="H61" s="1">
        <f t="shared" si="1"/>
        <v>13</v>
      </c>
      <c r="I61" s="1">
        <f t="shared" si="2"/>
        <v>332</v>
      </c>
    </row>
    <row r="62" spans="2:9">
      <c r="B62" s="1">
        <v>52</v>
      </c>
      <c r="C62" s="1">
        <f t="shared" si="0"/>
        <v>500</v>
      </c>
      <c r="E62" s="1">
        <f t="array" ref="E62">INDEX($B$11:$B$247,CEILING(ROW(A52)/3,1))</f>
        <v>18</v>
      </c>
      <c r="F62" s="1">
        <f t="shared" si="3"/>
        <v>1</v>
      </c>
      <c r="G62" s="1">
        <v>52</v>
      </c>
      <c r="H62" s="1">
        <f t="shared" si="1"/>
        <v>12</v>
      </c>
      <c r="I62" s="1">
        <f t="shared" si="2"/>
        <v>336</v>
      </c>
    </row>
    <row r="63" spans="2:9">
      <c r="B63" s="1">
        <v>53</v>
      </c>
      <c r="C63" s="1">
        <f t="shared" si="0"/>
        <v>500</v>
      </c>
      <c r="E63" s="1">
        <f t="array" ref="E63">INDEX($B$11:$B$247,CEILING(ROW(A53)/3,1))</f>
        <v>18</v>
      </c>
      <c r="F63" s="1">
        <f t="shared" si="3"/>
        <v>2</v>
      </c>
      <c r="G63" s="1">
        <v>53</v>
      </c>
      <c r="H63" s="1">
        <f t="shared" si="1"/>
        <v>12</v>
      </c>
      <c r="I63" s="1">
        <f t="shared" si="2"/>
        <v>340</v>
      </c>
    </row>
    <row r="64" spans="2:9">
      <c r="B64" s="1">
        <v>54</v>
      </c>
      <c r="C64" s="1">
        <f t="shared" si="0"/>
        <v>500</v>
      </c>
      <c r="E64" s="1">
        <f t="array" ref="E64">INDEX($B$11:$B$247,CEILING(ROW(A54)/3,1))</f>
        <v>18</v>
      </c>
      <c r="F64" s="1">
        <f t="shared" si="3"/>
        <v>3</v>
      </c>
      <c r="G64" s="1">
        <v>54</v>
      </c>
      <c r="H64" s="1">
        <f t="shared" si="1"/>
        <v>12</v>
      </c>
      <c r="I64" s="1">
        <f t="shared" si="2"/>
        <v>344</v>
      </c>
    </row>
    <row r="65" spans="2:9">
      <c r="B65" s="1">
        <v>55</v>
      </c>
      <c r="C65" s="1">
        <f t="shared" si="0"/>
        <v>500</v>
      </c>
      <c r="E65" s="1">
        <f t="array" ref="E65">INDEX($B$11:$B$247,CEILING(ROW(A55)/3,1))</f>
        <v>19</v>
      </c>
      <c r="F65" s="1">
        <f t="shared" si="3"/>
        <v>1</v>
      </c>
      <c r="G65" s="1">
        <v>55</v>
      </c>
      <c r="H65" s="1">
        <f t="shared" si="1"/>
        <v>12</v>
      </c>
      <c r="I65" s="1">
        <f t="shared" si="2"/>
        <v>348</v>
      </c>
    </row>
    <row r="66" spans="2:9">
      <c r="B66" s="1">
        <v>56</v>
      </c>
      <c r="C66" s="1">
        <f t="shared" si="0"/>
        <v>500</v>
      </c>
      <c r="E66" s="1">
        <f t="array" ref="E66">INDEX($B$11:$B$247,CEILING(ROW(A56)/3,1))</f>
        <v>19</v>
      </c>
      <c r="F66" s="1">
        <f t="shared" si="3"/>
        <v>2</v>
      </c>
      <c r="G66" s="1">
        <v>56</v>
      </c>
      <c r="H66" s="1">
        <f t="shared" si="1"/>
        <v>12</v>
      </c>
      <c r="I66" s="1">
        <f t="shared" si="2"/>
        <v>352</v>
      </c>
    </row>
    <row r="67" spans="2:9">
      <c r="B67" s="1">
        <v>57</v>
      </c>
      <c r="C67" s="1">
        <f t="shared" si="0"/>
        <v>500</v>
      </c>
      <c r="E67" s="1">
        <f t="array" ref="E67">INDEX($B$11:$B$247,CEILING(ROW(A57)/3,1))</f>
        <v>19</v>
      </c>
      <c r="F67" s="1">
        <f t="shared" si="3"/>
        <v>3</v>
      </c>
      <c r="G67" s="1">
        <v>57</v>
      </c>
      <c r="H67" s="1">
        <f t="shared" si="1"/>
        <v>12</v>
      </c>
      <c r="I67" s="1">
        <f t="shared" si="2"/>
        <v>356</v>
      </c>
    </row>
    <row r="68" spans="2:9">
      <c r="B68" s="1">
        <v>58</v>
      </c>
      <c r="C68" s="1">
        <f t="shared" si="0"/>
        <v>500</v>
      </c>
      <c r="E68" s="1">
        <f t="array" ref="E68">INDEX($B$11:$B$247,CEILING(ROW(A58)/3,1))</f>
        <v>20</v>
      </c>
      <c r="F68" s="1">
        <f t="shared" si="3"/>
        <v>1</v>
      </c>
      <c r="G68" s="1">
        <v>58</v>
      </c>
      <c r="H68" s="1">
        <f t="shared" si="1"/>
        <v>12</v>
      </c>
      <c r="I68" s="1">
        <f t="shared" si="2"/>
        <v>360</v>
      </c>
    </row>
    <row r="69" spans="2:9">
      <c r="B69" s="1">
        <v>59</v>
      </c>
      <c r="C69" s="1">
        <f t="shared" si="0"/>
        <v>500</v>
      </c>
      <c r="E69" s="1">
        <f t="array" ref="E69">INDEX($B$11:$B$247,CEILING(ROW(A59)/3,1))</f>
        <v>20</v>
      </c>
      <c r="F69" s="1">
        <f t="shared" si="3"/>
        <v>2</v>
      </c>
      <c r="G69" s="1">
        <v>59</v>
      </c>
      <c r="H69" s="1">
        <f t="shared" si="1"/>
        <v>12</v>
      </c>
      <c r="I69" s="1">
        <f t="shared" si="2"/>
        <v>364</v>
      </c>
    </row>
    <row r="70" spans="2:9">
      <c r="B70" s="1">
        <v>60</v>
      </c>
      <c r="C70" s="1">
        <f t="shared" si="0"/>
        <v>500</v>
      </c>
      <c r="E70" s="1">
        <f t="array" ref="E70">INDEX($B$11:$B$247,CEILING(ROW(A60)/3,1))</f>
        <v>20</v>
      </c>
      <c r="F70" s="1">
        <f t="shared" si="3"/>
        <v>3</v>
      </c>
      <c r="G70" s="1">
        <v>60</v>
      </c>
      <c r="H70" s="1">
        <f t="shared" si="1"/>
        <v>12</v>
      </c>
      <c r="I70" s="1">
        <f t="shared" si="2"/>
        <v>368</v>
      </c>
    </row>
    <row r="71" spans="2:9">
      <c r="B71" s="1">
        <v>61</v>
      </c>
      <c r="C71" s="1">
        <f t="shared" si="0"/>
        <v>500</v>
      </c>
      <c r="E71" s="1">
        <f t="array" ref="E71">INDEX($B$11:$B$247,CEILING(ROW(A61)/3,1))</f>
        <v>21</v>
      </c>
      <c r="F71" s="1">
        <f t="shared" si="3"/>
        <v>1</v>
      </c>
      <c r="G71" s="1">
        <v>61</v>
      </c>
      <c r="H71" s="1">
        <f t="shared" si="1"/>
        <v>11</v>
      </c>
      <c r="I71" s="1">
        <f t="shared" si="2"/>
        <v>372</v>
      </c>
    </row>
    <row r="72" spans="2:9">
      <c r="B72" s="1">
        <v>62</v>
      </c>
      <c r="C72" s="1">
        <f t="shared" si="0"/>
        <v>500</v>
      </c>
      <c r="E72" s="1">
        <f t="array" ref="E72">INDEX($B$11:$B$247,CEILING(ROW(A62)/3,1))</f>
        <v>21</v>
      </c>
      <c r="F72" s="1">
        <f t="shared" si="3"/>
        <v>2</v>
      </c>
      <c r="G72" s="1">
        <v>62</v>
      </c>
      <c r="H72" s="1">
        <f t="shared" si="1"/>
        <v>11</v>
      </c>
      <c r="I72" s="1">
        <f t="shared" si="2"/>
        <v>376</v>
      </c>
    </row>
    <row r="73" spans="2:9">
      <c r="B73" s="1">
        <v>63</v>
      </c>
      <c r="C73" s="1">
        <f t="shared" si="0"/>
        <v>500</v>
      </c>
      <c r="E73" s="1">
        <f t="array" ref="E73">INDEX($B$11:$B$247,CEILING(ROW(A63)/3,1))</f>
        <v>21</v>
      </c>
      <c r="F73" s="1">
        <f t="shared" si="3"/>
        <v>3</v>
      </c>
      <c r="G73" s="1">
        <v>63</v>
      </c>
      <c r="H73" s="1">
        <f t="shared" si="1"/>
        <v>11</v>
      </c>
      <c r="I73" s="1">
        <f t="shared" si="2"/>
        <v>379</v>
      </c>
    </row>
    <row r="74" spans="2:9">
      <c r="B74" s="1">
        <v>64</v>
      </c>
      <c r="C74" s="1">
        <f t="shared" si="0"/>
        <v>500</v>
      </c>
      <c r="E74" s="1">
        <f t="array" ref="E74">INDEX($B$11:$B$247,CEILING(ROW(A64)/3,1))</f>
        <v>22</v>
      </c>
      <c r="F74" s="1">
        <f t="shared" si="3"/>
        <v>1</v>
      </c>
      <c r="G74" s="1">
        <v>64</v>
      </c>
      <c r="H74" s="1">
        <f t="shared" si="1"/>
        <v>11</v>
      </c>
      <c r="I74" s="1">
        <f t="shared" si="2"/>
        <v>383</v>
      </c>
    </row>
    <row r="75" spans="2:9">
      <c r="B75" s="1">
        <v>65</v>
      </c>
      <c r="C75" s="1">
        <f t="shared" ref="C75:C138" si="4">IF(ROUND($H$3+$H$4*(B75-1)/((B75-1)+$H$2),0)&gt;$H$5,$H$5,ROUND($H$3+$H$4*(B75-1)/((B75-1)+$H$2),0))</f>
        <v>500</v>
      </c>
      <c r="E75" s="1">
        <f t="array" ref="E75">INDEX($B$11:$B$247,CEILING(ROW(A65)/3,1))</f>
        <v>22</v>
      </c>
      <c r="F75" s="1">
        <f t="shared" si="3"/>
        <v>2</v>
      </c>
      <c r="G75" s="1">
        <v>65</v>
      </c>
      <c r="H75" s="1">
        <f t="shared" ref="H75:H138" si="5">_xlfn.IFNA(VLOOKUP(E78,$B$11:$C$247,2,0)-VLOOKUP(E75,$B$11:$C$247,2,0),0)</f>
        <v>11</v>
      </c>
      <c r="I75" s="1">
        <f t="shared" ref="I75:I138" si="6">ROUND(VLOOKUP(E75,$B$11:$C$247,2,0)+VLOOKUP(F75,$J$3:$K$5,2,0)*H75,0)</f>
        <v>387</v>
      </c>
    </row>
    <row r="76" spans="2:9">
      <c r="B76" s="1">
        <v>66</v>
      </c>
      <c r="C76" s="1">
        <f t="shared" si="4"/>
        <v>500</v>
      </c>
      <c r="E76" s="1">
        <f t="array" ref="E76">INDEX($B$11:$B$247,CEILING(ROW(A66)/3,1))</f>
        <v>22</v>
      </c>
      <c r="F76" s="1">
        <f t="shared" si="3"/>
        <v>3</v>
      </c>
      <c r="G76" s="1">
        <v>66</v>
      </c>
      <c r="H76" s="1">
        <f t="shared" si="5"/>
        <v>11</v>
      </c>
      <c r="I76" s="1">
        <f t="shared" si="6"/>
        <v>390</v>
      </c>
    </row>
    <row r="77" spans="2:9">
      <c r="B77" s="1">
        <v>67</v>
      </c>
      <c r="C77" s="1">
        <f t="shared" si="4"/>
        <v>500</v>
      </c>
      <c r="E77" s="1">
        <f t="array" ref="E77">INDEX($B$11:$B$247,CEILING(ROW(A67)/3,1))</f>
        <v>23</v>
      </c>
      <c r="F77" s="1">
        <f t="shared" si="3"/>
        <v>1</v>
      </c>
      <c r="G77" s="1">
        <v>67</v>
      </c>
      <c r="H77" s="1">
        <f t="shared" si="5"/>
        <v>10</v>
      </c>
      <c r="I77" s="1">
        <f t="shared" si="6"/>
        <v>394</v>
      </c>
    </row>
    <row r="78" spans="2:9">
      <c r="B78" s="1">
        <v>68</v>
      </c>
      <c r="C78" s="1">
        <f t="shared" si="4"/>
        <v>500</v>
      </c>
      <c r="E78" s="1">
        <f t="array" ref="E78">INDEX($B$11:$B$247,CEILING(ROW(A68)/3,1))</f>
        <v>23</v>
      </c>
      <c r="F78" s="1">
        <f t="shared" ref="F78:F141" si="7">F75</f>
        <v>2</v>
      </c>
      <c r="G78" s="1">
        <v>68</v>
      </c>
      <c r="H78" s="1">
        <f t="shared" si="5"/>
        <v>10</v>
      </c>
      <c r="I78" s="1">
        <f t="shared" si="6"/>
        <v>397</v>
      </c>
    </row>
    <row r="79" spans="2:9">
      <c r="B79" s="1">
        <v>69</v>
      </c>
      <c r="C79" s="1">
        <f t="shared" si="4"/>
        <v>500</v>
      </c>
      <c r="E79" s="1">
        <f t="array" ref="E79">INDEX($B$11:$B$247,CEILING(ROW(A69)/3,1))</f>
        <v>23</v>
      </c>
      <c r="F79" s="1">
        <f t="shared" si="7"/>
        <v>3</v>
      </c>
      <c r="G79" s="1">
        <v>69</v>
      </c>
      <c r="H79" s="1">
        <f t="shared" si="5"/>
        <v>10</v>
      </c>
      <c r="I79" s="1">
        <f t="shared" si="6"/>
        <v>401</v>
      </c>
    </row>
    <row r="80" spans="2:9">
      <c r="B80" s="1">
        <v>70</v>
      </c>
      <c r="C80" s="1">
        <f t="shared" si="4"/>
        <v>500</v>
      </c>
      <c r="E80" s="1">
        <f t="array" ref="E80">INDEX($B$11:$B$247,CEILING(ROW(A70)/3,1))</f>
        <v>24</v>
      </c>
      <c r="F80" s="1">
        <f t="shared" si="7"/>
        <v>1</v>
      </c>
      <c r="G80" s="1">
        <v>70</v>
      </c>
      <c r="H80" s="1">
        <f t="shared" si="5"/>
        <v>10</v>
      </c>
      <c r="I80" s="1">
        <f t="shared" si="6"/>
        <v>404</v>
      </c>
    </row>
    <row r="81" spans="2:9">
      <c r="B81" s="1">
        <v>71</v>
      </c>
      <c r="C81" s="1">
        <f t="shared" si="4"/>
        <v>500</v>
      </c>
      <c r="E81" s="1">
        <f t="array" ref="E81">INDEX($B$11:$B$247,CEILING(ROW(A71)/3,1))</f>
        <v>24</v>
      </c>
      <c r="F81" s="1">
        <f t="shared" si="7"/>
        <v>2</v>
      </c>
      <c r="G81" s="1">
        <v>71</v>
      </c>
      <c r="H81" s="1">
        <f t="shared" si="5"/>
        <v>10</v>
      </c>
      <c r="I81" s="1">
        <f t="shared" si="6"/>
        <v>407</v>
      </c>
    </row>
    <row r="82" spans="2:9">
      <c r="B82" s="1">
        <v>72</v>
      </c>
      <c r="C82" s="1">
        <f t="shared" si="4"/>
        <v>500</v>
      </c>
      <c r="E82" s="1">
        <f t="array" ref="E82">INDEX($B$11:$B$247,CEILING(ROW(A72)/3,1))</f>
        <v>24</v>
      </c>
      <c r="F82" s="1">
        <f t="shared" si="7"/>
        <v>3</v>
      </c>
      <c r="G82" s="1">
        <v>72</v>
      </c>
      <c r="H82" s="1">
        <f t="shared" si="5"/>
        <v>10</v>
      </c>
      <c r="I82" s="1">
        <f t="shared" si="6"/>
        <v>411</v>
      </c>
    </row>
    <row r="83" spans="2:9">
      <c r="B83" s="1">
        <v>73</v>
      </c>
      <c r="C83" s="1">
        <f t="shared" si="4"/>
        <v>500</v>
      </c>
      <c r="E83" s="1">
        <f t="array" ref="E83">INDEX($B$11:$B$247,CEILING(ROW(A73)/3,1))</f>
        <v>25</v>
      </c>
      <c r="F83" s="1">
        <f t="shared" si="7"/>
        <v>1</v>
      </c>
      <c r="G83" s="1">
        <v>73</v>
      </c>
      <c r="H83" s="1">
        <f t="shared" si="5"/>
        <v>10</v>
      </c>
      <c r="I83" s="1">
        <f t="shared" si="6"/>
        <v>414</v>
      </c>
    </row>
    <row r="84" spans="2:9">
      <c r="B84" s="1">
        <v>74</v>
      </c>
      <c r="C84" s="1">
        <f t="shared" si="4"/>
        <v>500</v>
      </c>
      <c r="E84" s="1">
        <f t="array" ref="E84">INDEX($B$11:$B$247,CEILING(ROW(A74)/3,1))</f>
        <v>25</v>
      </c>
      <c r="F84" s="1">
        <f t="shared" si="7"/>
        <v>2</v>
      </c>
      <c r="G84" s="1">
        <v>74</v>
      </c>
      <c r="H84" s="1">
        <f t="shared" si="5"/>
        <v>10</v>
      </c>
      <c r="I84" s="1">
        <f t="shared" si="6"/>
        <v>417</v>
      </c>
    </row>
    <row r="85" spans="2:9">
      <c r="B85" s="1">
        <v>75</v>
      </c>
      <c r="C85" s="1">
        <f t="shared" si="4"/>
        <v>500</v>
      </c>
      <c r="E85" s="1">
        <f t="array" ref="E85">INDEX($B$11:$B$247,CEILING(ROW(A75)/3,1))</f>
        <v>25</v>
      </c>
      <c r="F85" s="1">
        <f t="shared" si="7"/>
        <v>3</v>
      </c>
      <c r="G85" s="1">
        <v>75</v>
      </c>
      <c r="H85" s="1">
        <f t="shared" si="5"/>
        <v>10</v>
      </c>
      <c r="I85" s="1">
        <f t="shared" si="6"/>
        <v>421</v>
      </c>
    </row>
    <row r="86" spans="2:9">
      <c r="B86" s="1">
        <v>76</v>
      </c>
      <c r="C86" s="1">
        <f t="shared" si="4"/>
        <v>500</v>
      </c>
      <c r="E86" s="1">
        <f t="array" ref="E86">INDEX($B$11:$B$247,CEILING(ROW(A76)/3,1))</f>
        <v>26</v>
      </c>
      <c r="F86" s="1">
        <f t="shared" si="7"/>
        <v>1</v>
      </c>
      <c r="G86" s="1">
        <v>76</v>
      </c>
      <c r="H86" s="1">
        <f t="shared" si="5"/>
        <v>9</v>
      </c>
      <c r="I86" s="1">
        <f t="shared" si="6"/>
        <v>424</v>
      </c>
    </row>
    <row r="87" spans="2:9">
      <c r="B87" s="1">
        <v>77</v>
      </c>
      <c r="C87" s="1">
        <f t="shared" si="4"/>
        <v>500</v>
      </c>
      <c r="E87" s="1">
        <f t="array" ref="E87">INDEX($B$11:$B$247,CEILING(ROW(A77)/3,1))</f>
        <v>26</v>
      </c>
      <c r="F87" s="1">
        <f t="shared" si="7"/>
        <v>2</v>
      </c>
      <c r="G87" s="1">
        <v>77</v>
      </c>
      <c r="H87" s="1">
        <f t="shared" si="5"/>
        <v>9</v>
      </c>
      <c r="I87" s="1">
        <f t="shared" si="6"/>
        <v>427</v>
      </c>
    </row>
    <row r="88" spans="2:9">
      <c r="B88" s="1">
        <v>78</v>
      </c>
      <c r="C88" s="1">
        <f t="shared" si="4"/>
        <v>500</v>
      </c>
      <c r="E88" s="1">
        <f t="array" ref="E88">INDEX($B$11:$B$247,CEILING(ROW(A78)/3,1))</f>
        <v>26</v>
      </c>
      <c r="F88" s="1">
        <f t="shared" si="7"/>
        <v>3</v>
      </c>
      <c r="G88" s="1">
        <v>78</v>
      </c>
      <c r="H88" s="1">
        <f t="shared" si="5"/>
        <v>9</v>
      </c>
      <c r="I88" s="1">
        <f t="shared" si="6"/>
        <v>430</v>
      </c>
    </row>
    <row r="89" spans="2:9">
      <c r="B89" s="1">
        <v>79</v>
      </c>
      <c r="C89" s="1">
        <f t="shared" si="4"/>
        <v>500</v>
      </c>
      <c r="E89" s="1">
        <f t="array" ref="E89">INDEX($B$11:$B$247,CEILING(ROW(A79)/3,1))</f>
        <v>27</v>
      </c>
      <c r="F89" s="1">
        <f t="shared" si="7"/>
        <v>1</v>
      </c>
      <c r="G89" s="1">
        <v>79</v>
      </c>
      <c r="H89" s="1">
        <f t="shared" si="5"/>
        <v>9</v>
      </c>
      <c r="I89" s="1">
        <f t="shared" si="6"/>
        <v>433</v>
      </c>
    </row>
    <row r="90" spans="2:9">
      <c r="B90" s="1">
        <v>80</v>
      </c>
      <c r="C90" s="1">
        <f t="shared" si="4"/>
        <v>500</v>
      </c>
      <c r="E90" s="1">
        <f t="array" ref="E90">INDEX($B$11:$B$247,CEILING(ROW(A80)/3,1))</f>
        <v>27</v>
      </c>
      <c r="F90" s="1">
        <f t="shared" si="7"/>
        <v>2</v>
      </c>
      <c r="G90" s="1">
        <v>80</v>
      </c>
      <c r="H90" s="1">
        <f t="shared" si="5"/>
        <v>9</v>
      </c>
      <c r="I90" s="1">
        <f t="shared" si="6"/>
        <v>436</v>
      </c>
    </row>
    <row r="91" spans="2:9">
      <c r="B91" s="1">
        <v>81</v>
      </c>
      <c r="C91" s="1">
        <f t="shared" si="4"/>
        <v>500</v>
      </c>
      <c r="E91" s="1">
        <f t="array" ref="E91">INDEX($B$11:$B$247,CEILING(ROW(A81)/3,1))</f>
        <v>27</v>
      </c>
      <c r="F91" s="1">
        <f t="shared" si="7"/>
        <v>3</v>
      </c>
      <c r="G91" s="1">
        <v>81</v>
      </c>
      <c r="H91" s="1">
        <f t="shared" si="5"/>
        <v>9</v>
      </c>
      <c r="I91" s="1">
        <f t="shared" si="6"/>
        <v>439</v>
      </c>
    </row>
    <row r="92" spans="2:9">
      <c r="B92" s="1">
        <v>82</v>
      </c>
      <c r="C92" s="1">
        <f t="shared" si="4"/>
        <v>500</v>
      </c>
      <c r="E92" s="1">
        <f t="array" ref="E92">INDEX($B$11:$B$247,CEILING(ROW(A82)/3,1))</f>
        <v>28</v>
      </c>
      <c r="F92" s="1">
        <f t="shared" si="7"/>
        <v>1</v>
      </c>
      <c r="G92" s="1">
        <v>82</v>
      </c>
      <c r="H92" s="1">
        <f t="shared" si="5"/>
        <v>9</v>
      </c>
      <c r="I92" s="1">
        <f t="shared" si="6"/>
        <v>442</v>
      </c>
    </row>
    <row r="93" spans="2:9">
      <c r="B93" s="1">
        <v>83</v>
      </c>
      <c r="C93" s="1">
        <f t="shared" si="4"/>
        <v>500</v>
      </c>
      <c r="E93" s="1">
        <f t="array" ref="E93">INDEX($B$11:$B$247,CEILING(ROW(A83)/3,1))</f>
        <v>28</v>
      </c>
      <c r="F93" s="1">
        <f t="shared" si="7"/>
        <v>2</v>
      </c>
      <c r="G93" s="1">
        <v>83</v>
      </c>
      <c r="H93" s="1">
        <f t="shared" si="5"/>
        <v>9</v>
      </c>
      <c r="I93" s="1">
        <f t="shared" si="6"/>
        <v>445</v>
      </c>
    </row>
    <row r="94" spans="2:9">
      <c r="B94" s="1">
        <v>84</v>
      </c>
      <c r="C94" s="1">
        <f t="shared" si="4"/>
        <v>500</v>
      </c>
      <c r="E94" s="1">
        <f t="array" ref="E94">INDEX($B$11:$B$247,CEILING(ROW(A84)/3,1))</f>
        <v>28</v>
      </c>
      <c r="F94" s="1">
        <f t="shared" si="7"/>
        <v>3</v>
      </c>
      <c r="G94" s="1">
        <v>84</v>
      </c>
      <c r="H94" s="1">
        <f t="shared" si="5"/>
        <v>9</v>
      </c>
      <c r="I94" s="1">
        <f t="shared" si="6"/>
        <v>448</v>
      </c>
    </row>
    <row r="95" spans="2:9">
      <c r="B95" s="1">
        <v>85</v>
      </c>
      <c r="C95" s="1">
        <f t="shared" si="4"/>
        <v>500</v>
      </c>
      <c r="E95" s="1">
        <f t="array" ref="E95">INDEX($B$11:$B$247,CEILING(ROW(A85)/3,1))</f>
        <v>29</v>
      </c>
      <c r="F95" s="1">
        <f t="shared" si="7"/>
        <v>1</v>
      </c>
      <c r="G95" s="1">
        <v>85</v>
      </c>
      <c r="H95" s="1">
        <f t="shared" si="5"/>
        <v>9</v>
      </c>
      <c r="I95" s="1">
        <f t="shared" si="6"/>
        <v>451</v>
      </c>
    </row>
    <row r="96" spans="2:9">
      <c r="B96" s="1">
        <v>86</v>
      </c>
      <c r="C96" s="1">
        <f t="shared" si="4"/>
        <v>500</v>
      </c>
      <c r="E96" s="1">
        <f t="array" ref="E96">INDEX($B$11:$B$247,CEILING(ROW(A86)/3,1))</f>
        <v>29</v>
      </c>
      <c r="F96" s="1">
        <f t="shared" si="7"/>
        <v>2</v>
      </c>
      <c r="G96" s="1">
        <v>86</v>
      </c>
      <c r="H96" s="1">
        <f t="shared" si="5"/>
        <v>9</v>
      </c>
      <c r="I96" s="1">
        <f t="shared" si="6"/>
        <v>454</v>
      </c>
    </row>
    <row r="97" spans="2:9">
      <c r="B97" s="1">
        <v>87</v>
      </c>
      <c r="C97" s="1">
        <f t="shared" si="4"/>
        <v>500</v>
      </c>
      <c r="E97" s="1">
        <f t="array" ref="E97">INDEX($B$11:$B$247,CEILING(ROW(A87)/3,1))</f>
        <v>29</v>
      </c>
      <c r="F97" s="1">
        <f t="shared" si="7"/>
        <v>3</v>
      </c>
      <c r="G97" s="1">
        <v>87</v>
      </c>
      <c r="H97" s="1">
        <f t="shared" si="5"/>
        <v>9</v>
      </c>
      <c r="I97" s="1">
        <f t="shared" si="6"/>
        <v>457</v>
      </c>
    </row>
    <row r="98" spans="2:9">
      <c r="B98" s="1">
        <v>88</v>
      </c>
      <c r="C98" s="1">
        <f t="shared" si="4"/>
        <v>500</v>
      </c>
      <c r="E98" s="1">
        <f t="array" ref="E98">INDEX($B$11:$B$247,CEILING(ROW(A88)/3,1))</f>
        <v>30</v>
      </c>
      <c r="F98" s="1">
        <f t="shared" si="7"/>
        <v>1</v>
      </c>
      <c r="G98" s="1">
        <v>88</v>
      </c>
      <c r="H98" s="1">
        <f t="shared" si="5"/>
        <v>8</v>
      </c>
      <c r="I98" s="1">
        <f t="shared" si="6"/>
        <v>460</v>
      </c>
    </row>
    <row r="99" spans="2:9">
      <c r="B99" s="1">
        <v>89</v>
      </c>
      <c r="C99" s="1">
        <f t="shared" si="4"/>
        <v>500</v>
      </c>
      <c r="E99" s="1">
        <f t="array" ref="E99">INDEX($B$11:$B$247,CEILING(ROW(A89)/3,1))</f>
        <v>30</v>
      </c>
      <c r="F99" s="1">
        <f t="shared" si="7"/>
        <v>2</v>
      </c>
      <c r="G99" s="1">
        <v>89</v>
      </c>
      <c r="H99" s="1">
        <f t="shared" si="5"/>
        <v>8</v>
      </c>
      <c r="I99" s="1">
        <f t="shared" si="6"/>
        <v>463</v>
      </c>
    </row>
    <row r="100" spans="2:9">
      <c r="B100" s="1">
        <v>90</v>
      </c>
      <c r="C100" s="1">
        <f t="shared" si="4"/>
        <v>500</v>
      </c>
      <c r="E100" s="1">
        <f t="array" ref="E100">INDEX($B$11:$B$247,CEILING(ROW(A90)/3,1))</f>
        <v>30</v>
      </c>
      <c r="F100" s="1">
        <f t="shared" si="7"/>
        <v>3</v>
      </c>
      <c r="G100" s="1">
        <v>90</v>
      </c>
      <c r="H100" s="1">
        <f t="shared" si="5"/>
        <v>8</v>
      </c>
      <c r="I100" s="1">
        <f t="shared" si="6"/>
        <v>465</v>
      </c>
    </row>
    <row r="101" spans="2:9">
      <c r="B101" s="1">
        <v>91</v>
      </c>
      <c r="C101" s="1">
        <f t="shared" si="4"/>
        <v>500</v>
      </c>
      <c r="E101" s="1">
        <f t="array" ref="E101">INDEX($B$11:$B$247,CEILING(ROW(A91)/3,1))</f>
        <v>31</v>
      </c>
      <c r="F101" s="1">
        <f t="shared" si="7"/>
        <v>1</v>
      </c>
      <c r="G101" s="1">
        <v>91</v>
      </c>
      <c r="H101" s="1">
        <f t="shared" si="5"/>
        <v>8</v>
      </c>
      <c r="I101" s="1">
        <f t="shared" si="6"/>
        <v>468</v>
      </c>
    </row>
    <row r="102" spans="2:9">
      <c r="B102" s="1">
        <v>92</v>
      </c>
      <c r="C102" s="1">
        <f t="shared" si="4"/>
        <v>500</v>
      </c>
      <c r="E102" s="1">
        <f t="array" ref="E102">INDEX($B$11:$B$247,CEILING(ROW(A92)/3,1))</f>
        <v>31</v>
      </c>
      <c r="F102" s="1">
        <f t="shared" si="7"/>
        <v>2</v>
      </c>
      <c r="G102" s="1">
        <v>92</v>
      </c>
      <c r="H102" s="1">
        <f t="shared" si="5"/>
        <v>8</v>
      </c>
      <c r="I102" s="1">
        <f t="shared" si="6"/>
        <v>471</v>
      </c>
    </row>
    <row r="103" spans="2:9">
      <c r="B103" s="1">
        <v>93</v>
      </c>
      <c r="C103" s="1">
        <f t="shared" si="4"/>
        <v>500</v>
      </c>
      <c r="E103" s="1">
        <f t="array" ref="E103">INDEX($B$11:$B$247,CEILING(ROW(A93)/3,1))</f>
        <v>31</v>
      </c>
      <c r="F103" s="1">
        <f t="shared" si="7"/>
        <v>3</v>
      </c>
      <c r="G103" s="1">
        <v>93</v>
      </c>
      <c r="H103" s="1">
        <f t="shared" si="5"/>
        <v>8</v>
      </c>
      <c r="I103" s="1">
        <f t="shared" si="6"/>
        <v>473</v>
      </c>
    </row>
    <row r="104" spans="2:9">
      <c r="B104" s="1">
        <v>94</v>
      </c>
      <c r="C104" s="1">
        <f t="shared" si="4"/>
        <v>500</v>
      </c>
      <c r="E104" s="1">
        <f t="array" ref="E104">INDEX($B$11:$B$247,CEILING(ROW(A94)/3,1))</f>
        <v>32</v>
      </c>
      <c r="F104" s="1">
        <f t="shared" si="7"/>
        <v>1</v>
      </c>
      <c r="G104" s="1">
        <v>94</v>
      </c>
      <c r="H104" s="1">
        <f t="shared" si="5"/>
        <v>8</v>
      </c>
      <c r="I104" s="1">
        <f t="shared" si="6"/>
        <v>476</v>
      </c>
    </row>
    <row r="105" spans="2:9">
      <c r="B105" s="1">
        <v>95</v>
      </c>
      <c r="C105" s="1">
        <f t="shared" si="4"/>
        <v>500</v>
      </c>
      <c r="E105" s="1">
        <f t="array" ref="E105">INDEX($B$11:$B$247,CEILING(ROW(A95)/3,1))</f>
        <v>32</v>
      </c>
      <c r="F105" s="1">
        <f t="shared" si="7"/>
        <v>2</v>
      </c>
      <c r="G105" s="1">
        <v>95</v>
      </c>
      <c r="H105" s="1">
        <f t="shared" si="5"/>
        <v>8</v>
      </c>
      <c r="I105" s="1">
        <f t="shared" si="6"/>
        <v>479</v>
      </c>
    </row>
    <row r="106" spans="2:9">
      <c r="B106" s="1">
        <v>96</v>
      </c>
      <c r="C106" s="1">
        <f t="shared" si="4"/>
        <v>500</v>
      </c>
      <c r="E106" s="1">
        <f t="array" ref="E106">INDEX($B$11:$B$247,CEILING(ROW(A96)/3,1))</f>
        <v>32</v>
      </c>
      <c r="F106" s="1">
        <f t="shared" si="7"/>
        <v>3</v>
      </c>
      <c r="G106" s="1">
        <v>96</v>
      </c>
      <c r="H106" s="1">
        <f t="shared" si="5"/>
        <v>8</v>
      </c>
      <c r="I106" s="1">
        <f t="shared" si="6"/>
        <v>481</v>
      </c>
    </row>
    <row r="107" spans="2:9">
      <c r="B107" s="1">
        <v>97</v>
      </c>
      <c r="C107" s="1">
        <f t="shared" si="4"/>
        <v>500</v>
      </c>
      <c r="E107" s="1">
        <f t="array" ref="E107">INDEX($B$11:$B$247,CEILING(ROW(A97)/3,1))</f>
        <v>33</v>
      </c>
      <c r="F107" s="1">
        <f t="shared" si="7"/>
        <v>1</v>
      </c>
      <c r="G107" s="1">
        <v>97</v>
      </c>
      <c r="H107" s="1">
        <f t="shared" si="5"/>
        <v>8</v>
      </c>
      <c r="I107" s="1">
        <f t="shared" si="6"/>
        <v>484</v>
      </c>
    </row>
    <row r="108" spans="2:9">
      <c r="B108" s="1">
        <v>98</v>
      </c>
      <c r="C108" s="1">
        <f t="shared" si="4"/>
        <v>500</v>
      </c>
      <c r="E108" s="1">
        <f t="array" ref="E108">INDEX($B$11:$B$247,CEILING(ROW(A98)/3,1))</f>
        <v>33</v>
      </c>
      <c r="F108" s="1">
        <f t="shared" si="7"/>
        <v>2</v>
      </c>
      <c r="G108" s="1">
        <v>98</v>
      </c>
      <c r="H108" s="1">
        <f t="shared" si="5"/>
        <v>8</v>
      </c>
      <c r="I108" s="1">
        <f t="shared" si="6"/>
        <v>487</v>
      </c>
    </row>
    <row r="109" spans="2:9">
      <c r="B109" s="1">
        <v>99</v>
      </c>
      <c r="C109" s="1">
        <f t="shared" si="4"/>
        <v>500</v>
      </c>
      <c r="E109" s="1">
        <f t="array" ref="E109">INDEX($B$11:$B$247,CEILING(ROW(A99)/3,1))</f>
        <v>33</v>
      </c>
      <c r="F109" s="1">
        <f t="shared" si="7"/>
        <v>3</v>
      </c>
      <c r="G109" s="1">
        <v>99</v>
      </c>
      <c r="H109" s="1">
        <f t="shared" si="5"/>
        <v>8</v>
      </c>
      <c r="I109" s="1">
        <f t="shared" si="6"/>
        <v>489</v>
      </c>
    </row>
    <row r="110" spans="2:9">
      <c r="B110" s="1">
        <v>100</v>
      </c>
      <c r="C110" s="1">
        <f t="shared" si="4"/>
        <v>500</v>
      </c>
      <c r="E110" s="1">
        <f t="array" ref="E110">INDEX($B$11:$B$247,CEILING(ROW(A100)/3,1))</f>
        <v>34</v>
      </c>
      <c r="F110" s="1">
        <f t="shared" si="7"/>
        <v>1</v>
      </c>
      <c r="G110" s="1">
        <v>100</v>
      </c>
      <c r="H110" s="1">
        <f t="shared" si="5"/>
        <v>7</v>
      </c>
      <c r="I110" s="1">
        <f t="shared" si="6"/>
        <v>492</v>
      </c>
    </row>
    <row r="111" spans="2:9">
      <c r="B111" s="1">
        <v>101</v>
      </c>
      <c r="C111" s="1">
        <f t="shared" si="4"/>
        <v>500</v>
      </c>
      <c r="E111" s="1">
        <f t="array" ref="E111">INDEX($B$11:$B$247,CEILING(ROW(A101)/3,1))</f>
        <v>34</v>
      </c>
      <c r="F111" s="1">
        <f t="shared" si="7"/>
        <v>2</v>
      </c>
      <c r="G111" s="1">
        <v>101</v>
      </c>
      <c r="H111" s="1">
        <f t="shared" si="5"/>
        <v>7</v>
      </c>
      <c r="I111" s="1">
        <f t="shared" si="6"/>
        <v>494</v>
      </c>
    </row>
    <row r="112" spans="2:9">
      <c r="B112" s="1">
        <v>102</v>
      </c>
      <c r="C112" s="1">
        <f t="shared" si="4"/>
        <v>500</v>
      </c>
      <c r="E112" s="1">
        <f t="array" ref="E112">INDEX($B$11:$B$247,CEILING(ROW(A102)/3,1))</f>
        <v>34</v>
      </c>
      <c r="F112" s="1">
        <f t="shared" si="7"/>
        <v>3</v>
      </c>
      <c r="G112" s="1">
        <v>102</v>
      </c>
      <c r="H112" s="1">
        <f t="shared" si="5"/>
        <v>7</v>
      </c>
      <c r="I112" s="1">
        <f t="shared" si="6"/>
        <v>497</v>
      </c>
    </row>
    <row r="113" spans="2:9">
      <c r="B113" s="1">
        <v>103</v>
      </c>
      <c r="C113" s="1">
        <f t="shared" si="4"/>
        <v>500</v>
      </c>
      <c r="E113" s="1">
        <f t="array" ref="E113">INDEX($B$11:$B$247,CEILING(ROW(A103)/3,1))</f>
        <v>35</v>
      </c>
      <c r="F113" s="1">
        <f t="shared" si="7"/>
        <v>1</v>
      </c>
      <c r="G113" s="1">
        <v>103</v>
      </c>
      <c r="H113" s="1">
        <f t="shared" si="5"/>
        <v>1</v>
      </c>
      <c r="I113" s="1">
        <f t="shared" si="6"/>
        <v>499</v>
      </c>
    </row>
    <row r="114" spans="2:9">
      <c r="B114" s="1">
        <v>104</v>
      </c>
      <c r="C114" s="1">
        <f t="shared" si="4"/>
        <v>500</v>
      </c>
      <c r="E114" s="1">
        <f t="array" ref="E114">INDEX($B$11:$B$247,CEILING(ROW(A104)/3,1))</f>
        <v>35</v>
      </c>
      <c r="F114" s="1">
        <f t="shared" si="7"/>
        <v>2</v>
      </c>
      <c r="G114" s="1">
        <v>104</v>
      </c>
      <c r="H114" s="1">
        <f t="shared" si="5"/>
        <v>1</v>
      </c>
      <c r="I114" s="1">
        <f t="shared" si="6"/>
        <v>499</v>
      </c>
    </row>
    <row r="115" spans="2:9">
      <c r="B115" s="1">
        <v>105</v>
      </c>
      <c r="C115" s="1">
        <f t="shared" si="4"/>
        <v>500</v>
      </c>
      <c r="E115" s="1">
        <f t="array" ref="E115">INDEX($B$11:$B$247,CEILING(ROW(A105)/3,1))</f>
        <v>35</v>
      </c>
      <c r="F115" s="1">
        <f t="shared" si="7"/>
        <v>3</v>
      </c>
      <c r="G115" s="1">
        <v>105</v>
      </c>
      <c r="H115" s="1">
        <f t="shared" si="5"/>
        <v>1</v>
      </c>
      <c r="I115" s="1">
        <f t="shared" si="6"/>
        <v>500</v>
      </c>
    </row>
    <row r="116" spans="2:9">
      <c r="B116" s="1">
        <v>106</v>
      </c>
      <c r="C116" s="1">
        <f t="shared" si="4"/>
        <v>500</v>
      </c>
      <c r="E116" s="1">
        <f t="array" ref="E116">INDEX($B$11:$B$247,CEILING(ROW(A106)/3,1))</f>
        <v>36</v>
      </c>
      <c r="F116" s="1">
        <f t="shared" si="7"/>
        <v>1</v>
      </c>
      <c r="G116" s="1">
        <v>106</v>
      </c>
      <c r="H116" s="1">
        <f t="shared" si="5"/>
        <v>0</v>
      </c>
      <c r="I116" s="1">
        <f t="shared" si="6"/>
        <v>500</v>
      </c>
    </row>
    <row r="117" spans="2:9">
      <c r="B117" s="1">
        <v>107</v>
      </c>
      <c r="C117" s="1">
        <f t="shared" si="4"/>
        <v>500</v>
      </c>
      <c r="E117" s="1">
        <f t="array" ref="E117">INDEX($B$11:$B$247,CEILING(ROW(A107)/3,1))</f>
        <v>36</v>
      </c>
      <c r="F117" s="1">
        <f t="shared" si="7"/>
        <v>2</v>
      </c>
      <c r="G117" s="1">
        <v>107</v>
      </c>
      <c r="H117" s="1">
        <f t="shared" si="5"/>
        <v>0</v>
      </c>
      <c r="I117" s="1">
        <f t="shared" si="6"/>
        <v>500</v>
      </c>
    </row>
    <row r="118" spans="2:9">
      <c r="B118" s="1">
        <v>108</v>
      </c>
      <c r="C118" s="1">
        <f t="shared" si="4"/>
        <v>500</v>
      </c>
      <c r="E118" s="1">
        <f t="array" ref="E118">INDEX($B$11:$B$247,CEILING(ROW(A108)/3,1))</f>
        <v>36</v>
      </c>
      <c r="F118" s="1">
        <f t="shared" si="7"/>
        <v>3</v>
      </c>
      <c r="G118" s="1">
        <v>108</v>
      </c>
      <c r="H118" s="1">
        <f t="shared" si="5"/>
        <v>0</v>
      </c>
      <c r="I118" s="1">
        <f t="shared" si="6"/>
        <v>500</v>
      </c>
    </row>
    <row r="119" spans="2:9">
      <c r="B119" s="1">
        <v>109</v>
      </c>
      <c r="C119" s="1">
        <f t="shared" si="4"/>
        <v>500</v>
      </c>
      <c r="E119" s="1">
        <f t="array" ref="E119">INDEX($B$11:$B$247,CEILING(ROW(A109)/3,1))</f>
        <v>37</v>
      </c>
      <c r="F119" s="1">
        <f t="shared" si="7"/>
        <v>1</v>
      </c>
      <c r="G119" s="1">
        <v>109</v>
      </c>
      <c r="H119" s="1">
        <f t="shared" si="5"/>
        <v>0</v>
      </c>
      <c r="I119" s="1">
        <f t="shared" si="6"/>
        <v>500</v>
      </c>
    </row>
    <row r="120" spans="2:9">
      <c r="B120" s="1">
        <v>110</v>
      </c>
      <c r="C120" s="1">
        <f t="shared" si="4"/>
        <v>500</v>
      </c>
      <c r="E120" s="1">
        <f t="array" ref="E120">INDEX($B$11:$B$247,CEILING(ROW(A110)/3,1))</f>
        <v>37</v>
      </c>
      <c r="F120" s="1">
        <f t="shared" si="7"/>
        <v>2</v>
      </c>
      <c r="G120" s="1">
        <v>110</v>
      </c>
      <c r="H120" s="1">
        <f t="shared" si="5"/>
        <v>0</v>
      </c>
      <c r="I120" s="1">
        <f t="shared" si="6"/>
        <v>500</v>
      </c>
    </row>
    <row r="121" spans="2:9">
      <c r="B121" s="1">
        <v>111</v>
      </c>
      <c r="C121" s="1">
        <f t="shared" si="4"/>
        <v>500</v>
      </c>
      <c r="E121" s="1">
        <f t="array" ref="E121">INDEX($B$11:$B$247,CEILING(ROW(A111)/3,1))</f>
        <v>37</v>
      </c>
      <c r="F121" s="1">
        <f t="shared" si="7"/>
        <v>3</v>
      </c>
      <c r="G121" s="1">
        <v>111</v>
      </c>
      <c r="H121" s="1">
        <f t="shared" si="5"/>
        <v>0</v>
      </c>
      <c r="I121" s="1">
        <f t="shared" si="6"/>
        <v>500</v>
      </c>
    </row>
    <row r="122" spans="2:9">
      <c r="B122" s="1">
        <v>112</v>
      </c>
      <c r="C122" s="1">
        <f t="shared" si="4"/>
        <v>500</v>
      </c>
      <c r="E122" s="1">
        <f t="array" ref="E122">INDEX($B$11:$B$247,CEILING(ROW(A112)/3,1))</f>
        <v>38</v>
      </c>
      <c r="F122" s="1">
        <f t="shared" si="7"/>
        <v>1</v>
      </c>
      <c r="G122" s="1">
        <v>112</v>
      </c>
      <c r="H122" s="1">
        <f t="shared" si="5"/>
        <v>0</v>
      </c>
      <c r="I122" s="1">
        <f t="shared" si="6"/>
        <v>500</v>
      </c>
    </row>
    <row r="123" spans="2:9">
      <c r="B123" s="1">
        <v>113</v>
      </c>
      <c r="C123" s="1">
        <f t="shared" si="4"/>
        <v>500</v>
      </c>
      <c r="E123" s="1">
        <f t="array" ref="E123">INDEX($B$11:$B$247,CEILING(ROW(A113)/3,1))</f>
        <v>38</v>
      </c>
      <c r="F123" s="1">
        <f t="shared" si="7"/>
        <v>2</v>
      </c>
      <c r="G123" s="1">
        <v>113</v>
      </c>
      <c r="H123" s="1">
        <f t="shared" si="5"/>
        <v>0</v>
      </c>
      <c r="I123" s="1">
        <f t="shared" si="6"/>
        <v>500</v>
      </c>
    </row>
    <row r="124" spans="2:9">
      <c r="B124" s="1">
        <v>114</v>
      </c>
      <c r="C124" s="1">
        <f t="shared" si="4"/>
        <v>500</v>
      </c>
      <c r="E124" s="1">
        <f t="array" ref="E124">INDEX($B$11:$B$247,CEILING(ROW(A114)/3,1))</f>
        <v>38</v>
      </c>
      <c r="F124" s="1">
        <f t="shared" si="7"/>
        <v>3</v>
      </c>
      <c r="G124" s="1">
        <v>114</v>
      </c>
      <c r="H124" s="1">
        <f t="shared" si="5"/>
        <v>0</v>
      </c>
      <c r="I124" s="1">
        <f t="shared" si="6"/>
        <v>500</v>
      </c>
    </row>
    <row r="125" spans="2:9">
      <c r="B125" s="1">
        <v>115</v>
      </c>
      <c r="C125" s="1">
        <f t="shared" si="4"/>
        <v>500</v>
      </c>
      <c r="E125" s="1">
        <f t="array" ref="E125">INDEX($B$11:$B$247,CEILING(ROW(A115)/3,1))</f>
        <v>39</v>
      </c>
      <c r="F125" s="1">
        <f t="shared" si="7"/>
        <v>1</v>
      </c>
      <c r="G125" s="1">
        <v>115</v>
      </c>
      <c r="H125" s="1">
        <f t="shared" si="5"/>
        <v>0</v>
      </c>
      <c r="I125" s="1">
        <f t="shared" si="6"/>
        <v>500</v>
      </c>
    </row>
    <row r="126" spans="2:9">
      <c r="B126" s="1">
        <v>116</v>
      </c>
      <c r="C126" s="1">
        <f t="shared" si="4"/>
        <v>500</v>
      </c>
      <c r="E126" s="1">
        <f t="array" ref="E126">INDEX($B$11:$B$247,CEILING(ROW(A116)/3,1))</f>
        <v>39</v>
      </c>
      <c r="F126" s="1">
        <f t="shared" si="7"/>
        <v>2</v>
      </c>
      <c r="G126" s="1">
        <v>116</v>
      </c>
      <c r="H126" s="1">
        <f t="shared" si="5"/>
        <v>0</v>
      </c>
      <c r="I126" s="1">
        <f t="shared" si="6"/>
        <v>500</v>
      </c>
    </row>
    <row r="127" spans="2:9">
      <c r="B127" s="1">
        <v>117</v>
      </c>
      <c r="C127" s="1">
        <f t="shared" si="4"/>
        <v>500</v>
      </c>
      <c r="E127" s="1">
        <f t="array" ref="E127">INDEX($B$11:$B$247,CEILING(ROW(A117)/3,1))</f>
        <v>39</v>
      </c>
      <c r="F127" s="1">
        <f t="shared" si="7"/>
        <v>3</v>
      </c>
      <c r="G127" s="1">
        <v>117</v>
      </c>
      <c r="H127" s="1">
        <f t="shared" si="5"/>
        <v>0</v>
      </c>
      <c r="I127" s="1">
        <f t="shared" si="6"/>
        <v>500</v>
      </c>
    </row>
    <row r="128" spans="2:9">
      <c r="B128" s="1">
        <v>118</v>
      </c>
      <c r="C128" s="1">
        <f t="shared" si="4"/>
        <v>500</v>
      </c>
      <c r="E128" s="1">
        <f t="array" ref="E128">INDEX($B$11:$B$247,CEILING(ROW(A118)/3,1))</f>
        <v>40</v>
      </c>
      <c r="F128" s="1">
        <f t="shared" si="7"/>
        <v>1</v>
      </c>
      <c r="G128" s="1">
        <v>118</v>
      </c>
      <c r="H128" s="1">
        <f t="shared" si="5"/>
        <v>0</v>
      </c>
      <c r="I128" s="1">
        <f t="shared" si="6"/>
        <v>500</v>
      </c>
    </row>
    <row r="129" spans="2:9">
      <c r="B129" s="1">
        <v>119</v>
      </c>
      <c r="C129" s="1">
        <f t="shared" si="4"/>
        <v>500</v>
      </c>
      <c r="E129" s="1">
        <f t="array" ref="E129">INDEX($B$11:$B$247,CEILING(ROW(A119)/3,1))</f>
        <v>40</v>
      </c>
      <c r="F129" s="1">
        <f t="shared" si="7"/>
        <v>2</v>
      </c>
      <c r="G129" s="1">
        <v>119</v>
      </c>
      <c r="H129" s="1">
        <f t="shared" si="5"/>
        <v>0</v>
      </c>
      <c r="I129" s="1">
        <f t="shared" si="6"/>
        <v>500</v>
      </c>
    </row>
    <row r="130" spans="2:9">
      <c r="B130" s="1">
        <v>120</v>
      </c>
      <c r="C130" s="1">
        <f t="shared" si="4"/>
        <v>500</v>
      </c>
      <c r="E130" s="1">
        <f t="array" ref="E130">INDEX($B$11:$B$247,CEILING(ROW(A120)/3,1))</f>
        <v>40</v>
      </c>
      <c r="F130" s="1">
        <f t="shared" si="7"/>
        <v>3</v>
      </c>
      <c r="G130" s="1">
        <v>120</v>
      </c>
      <c r="H130" s="1">
        <f t="shared" si="5"/>
        <v>0</v>
      </c>
      <c r="I130" s="1">
        <f t="shared" si="6"/>
        <v>500</v>
      </c>
    </row>
    <row r="131" spans="2:9">
      <c r="B131" s="1">
        <v>121</v>
      </c>
      <c r="C131" s="1">
        <f t="shared" si="4"/>
        <v>500</v>
      </c>
      <c r="E131" s="1">
        <f t="array" ref="E131">INDEX($B$11:$B$247,CEILING(ROW(A121)/3,1))</f>
        <v>41</v>
      </c>
      <c r="F131" s="1">
        <f t="shared" si="7"/>
        <v>1</v>
      </c>
      <c r="G131" s="1">
        <v>121</v>
      </c>
      <c r="H131" s="1">
        <f t="shared" si="5"/>
        <v>0</v>
      </c>
      <c r="I131" s="1">
        <f t="shared" si="6"/>
        <v>500</v>
      </c>
    </row>
    <row r="132" spans="2:9">
      <c r="B132" s="1">
        <v>122</v>
      </c>
      <c r="C132" s="1">
        <f t="shared" si="4"/>
        <v>500</v>
      </c>
      <c r="E132" s="1">
        <f t="array" ref="E132">INDEX($B$11:$B$247,CEILING(ROW(A122)/3,1))</f>
        <v>41</v>
      </c>
      <c r="F132" s="1">
        <f t="shared" si="7"/>
        <v>2</v>
      </c>
      <c r="G132" s="1">
        <v>122</v>
      </c>
      <c r="H132" s="1">
        <f t="shared" si="5"/>
        <v>0</v>
      </c>
      <c r="I132" s="1">
        <f t="shared" si="6"/>
        <v>500</v>
      </c>
    </row>
    <row r="133" spans="2:9">
      <c r="B133" s="1">
        <v>123</v>
      </c>
      <c r="C133" s="1">
        <f t="shared" si="4"/>
        <v>500</v>
      </c>
      <c r="E133" s="1">
        <f t="array" ref="E133">INDEX($B$11:$B$247,CEILING(ROW(A123)/3,1))</f>
        <v>41</v>
      </c>
      <c r="F133" s="1">
        <f t="shared" si="7"/>
        <v>3</v>
      </c>
      <c r="G133" s="1">
        <v>123</v>
      </c>
      <c r="H133" s="1">
        <f t="shared" si="5"/>
        <v>0</v>
      </c>
      <c r="I133" s="1">
        <f t="shared" si="6"/>
        <v>500</v>
      </c>
    </row>
    <row r="134" spans="2:9">
      <c r="B134" s="1">
        <v>124</v>
      </c>
      <c r="C134" s="1">
        <f t="shared" si="4"/>
        <v>500</v>
      </c>
      <c r="E134" s="1">
        <f t="array" ref="E134">INDEX($B$11:$B$247,CEILING(ROW(A124)/3,1))</f>
        <v>42</v>
      </c>
      <c r="F134" s="1">
        <f t="shared" si="7"/>
        <v>1</v>
      </c>
      <c r="G134" s="1">
        <v>124</v>
      </c>
      <c r="H134" s="1">
        <f t="shared" si="5"/>
        <v>0</v>
      </c>
      <c r="I134" s="1">
        <f t="shared" si="6"/>
        <v>500</v>
      </c>
    </row>
    <row r="135" spans="2:9">
      <c r="B135" s="1">
        <v>125</v>
      </c>
      <c r="C135" s="1">
        <f t="shared" si="4"/>
        <v>500</v>
      </c>
      <c r="E135" s="1">
        <f t="array" ref="E135">INDEX($B$11:$B$247,CEILING(ROW(A125)/3,1))</f>
        <v>42</v>
      </c>
      <c r="F135" s="1">
        <f t="shared" si="7"/>
        <v>2</v>
      </c>
      <c r="G135" s="1">
        <v>125</v>
      </c>
      <c r="H135" s="1">
        <f t="shared" si="5"/>
        <v>0</v>
      </c>
      <c r="I135" s="1">
        <f t="shared" si="6"/>
        <v>500</v>
      </c>
    </row>
    <row r="136" spans="2:9">
      <c r="B136" s="1">
        <v>126</v>
      </c>
      <c r="C136" s="1">
        <f t="shared" si="4"/>
        <v>500</v>
      </c>
      <c r="E136" s="1">
        <f t="array" ref="E136">INDEX($B$11:$B$247,CEILING(ROW(A126)/3,1))</f>
        <v>42</v>
      </c>
      <c r="F136" s="1">
        <f t="shared" si="7"/>
        <v>3</v>
      </c>
      <c r="G136" s="1">
        <v>126</v>
      </c>
      <c r="H136" s="1">
        <f t="shared" si="5"/>
        <v>0</v>
      </c>
      <c r="I136" s="1">
        <f t="shared" si="6"/>
        <v>500</v>
      </c>
    </row>
    <row r="137" spans="2:9">
      <c r="B137" s="1">
        <v>127</v>
      </c>
      <c r="C137" s="1">
        <f t="shared" si="4"/>
        <v>500</v>
      </c>
      <c r="E137" s="1">
        <f t="array" ref="E137">INDEX($B$11:$B$247,CEILING(ROW(A127)/3,1))</f>
        <v>43</v>
      </c>
      <c r="F137" s="1">
        <f t="shared" si="7"/>
        <v>1</v>
      </c>
      <c r="G137" s="1">
        <v>127</v>
      </c>
      <c r="H137" s="1">
        <f t="shared" si="5"/>
        <v>0</v>
      </c>
      <c r="I137" s="1">
        <f t="shared" si="6"/>
        <v>500</v>
      </c>
    </row>
    <row r="138" spans="2:9">
      <c r="B138" s="1">
        <v>128</v>
      </c>
      <c r="C138" s="1">
        <f t="shared" si="4"/>
        <v>500</v>
      </c>
      <c r="E138" s="1">
        <f t="array" ref="E138">INDEX($B$11:$B$247,CEILING(ROW(A128)/3,1))</f>
        <v>43</v>
      </c>
      <c r="F138" s="1">
        <f t="shared" si="7"/>
        <v>2</v>
      </c>
      <c r="G138" s="1">
        <v>128</v>
      </c>
      <c r="H138" s="1">
        <f t="shared" si="5"/>
        <v>0</v>
      </c>
      <c r="I138" s="1">
        <f t="shared" si="6"/>
        <v>500</v>
      </c>
    </row>
    <row r="139" spans="2:9">
      <c r="B139" s="1">
        <v>129</v>
      </c>
      <c r="C139" s="1">
        <f t="shared" ref="C139:C202" si="8">IF(ROUND($H$3+$H$4*(B139-1)/((B139-1)+$H$2),0)&gt;$H$5,$H$5,ROUND($H$3+$H$4*(B139-1)/((B139-1)+$H$2),0))</f>
        <v>500</v>
      </c>
      <c r="E139" s="1">
        <f t="array" ref="E139">INDEX($B$11:$B$247,CEILING(ROW(A129)/3,1))</f>
        <v>43</v>
      </c>
      <c r="F139" s="1">
        <f t="shared" si="7"/>
        <v>3</v>
      </c>
      <c r="G139" s="1">
        <v>129</v>
      </c>
      <c r="H139" s="1">
        <f t="shared" ref="H139:H202" si="9">_xlfn.IFNA(VLOOKUP(E142,$B$11:$C$247,2,0)-VLOOKUP(E139,$B$11:$C$247,2,0),0)</f>
        <v>0</v>
      </c>
      <c r="I139" s="1">
        <f t="shared" ref="I139:I202" si="10">ROUND(VLOOKUP(E139,$B$11:$C$247,2,0)+VLOOKUP(F139,$J$3:$K$5,2,0)*H139,0)</f>
        <v>500</v>
      </c>
    </row>
    <row r="140" spans="2:9">
      <c r="B140" s="1">
        <v>130</v>
      </c>
      <c r="C140" s="1">
        <f t="shared" si="8"/>
        <v>500</v>
      </c>
      <c r="E140" s="1">
        <f t="array" ref="E140">INDEX($B$11:$B$247,CEILING(ROW(A130)/3,1))</f>
        <v>44</v>
      </c>
      <c r="F140" s="1">
        <f t="shared" si="7"/>
        <v>1</v>
      </c>
      <c r="G140" s="1">
        <v>130</v>
      </c>
      <c r="H140" s="1">
        <f t="shared" si="9"/>
        <v>0</v>
      </c>
      <c r="I140" s="1">
        <f t="shared" si="10"/>
        <v>500</v>
      </c>
    </row>
    <row r="141" spans="2:9">
      <c r="B141" s="1">
        <v>131</v>
      </c>
      <c r="C141" s="1">
        <f t="shared" si="8"/>
        <v>500</v>
      </c>
      <c r="E141" s="1">
        <f t="array" ref="E141">INDEX($B$11:$B$247,CEILING(ROW(A131)/3,1))</f>
        <v>44</v>
      </c>
      <c r="F141" s="1">
        <f t="shared" si="7"/>
        <v>2</v>
      </c>
      <c r="G141" s="1">
        <v>131</v>
      </c>
      <c r="H141" s="1">
        <f t="shared" si="9"/>
        <v>0</v>
      </c>
      <c r="I141" s="1">
        <f t="shared" si="10"/>
        <v>500</v>
      </c>
    </row>
    <row r="142" spans="2:9">
      <c r="B142" s="1">
        <v>132</v>
      </c>
      <c r="C142" s="1">
        <f t="shared" si="8"/>
        <v>500</v>
      </c>
      <c r="E142" s="1">
        <f t="array" ref="E142">INDEX($B$11:$B$247,CEILING(ROW(A132)/3,1))</f>
        <v>44</v>
      </c>
      <c r="F142" s="1">
        <f t="shared" ref="F142:F205" si="11">F139</f>
        <v>3</v>
      </c>
      <c r="G142" s="1">
        <v>132</v>
      </c>
      <c r="H142" s="1">
        <f t="shared" si="9"/>
        <v>0</v>
      </c>
      <c r="I142" s="1">
        <f t="shared" si="10"/>
        <v>500</v>
      </c>
    </row>
    <row r="143" spans="2:9">
      <c r="B143" s="1">
        <v>133</v>
      </c>
      <c r="C143" s="1">
        <f t="shared" si="8"/>
        <v>500</v>
      </c>
      <c r="E143" s="1">
        <f t="array" ref="E143">INDEX($B$11:$B$247,CEILING(ROW(A133)/3,1))</f>
        <v>45</v>
      </c>
      <c r="F143" s="1">
        <f t="shared" si="11"/>
        <v>1</v>
      </c>
      <c r="G143" s="1">
        <v>133</v>
      </c>
      <c r="H143" s="1">
        <f t="shared" si="9"/>
        <v>0</v>
      </c>
      <c r="I143" s="1">
        <f t="shared" si="10"/>
        <v>500</v>
      </c>
    </row>
    <row r="144" spans="2:9">
      <c r="B144" s="1">
        <v>134</v>
      </c>
      <c r="C144" s="1">
        <f t="shared" si="8"/>
        <v>500</v>
      </c>
      <c r="E144" s="1">
        <f t="array" ref="E144">INDEX($B$11:$B$247,CEILING(ROW(A134)/3,1))</f>
        <v>45</v>
      </c>
      <c r="F144" s="1">
        <f t="shared" si="11"/>
        <v>2</v>
      </c>
      <c r="G144" s="1">
        <v>134</v>
      </c>
      <c r="H144" s="1">
        <f t="shared" si="9"/>
        <v>0</v>
      </c>
      <c r="I144" s="1">
        <f t="shared" si="10"/>
        <v>500</v>
      </c>
    </row>
    <row r="145" spans="2:14">
      <c r="B145" s="1">
        <v>135</v>
      </c>
      <c r="C145" s="1">
        <f t="shared" si="8"/>
        <v>500</v>
      </c>
      <c r="E145" s="1">
        <f t="array" ref="E145">INDEX($B$11:$B$247,CEILING(ROW(A135)/3,1))</f>
        <v>45</v>
      </c>
      <c r="F145" s="1">
        <f t="shared" si="11"/>
        <v>3</v>
      </c>
      <c r="G145" s="1">
        <v>135</v>
      </c>
      <c r="H145" s="1">
        <f t="shared" si="9"/>
        <v>0</v>
      </c>
      <c r="I145" s="1">
        <f t="shared" si="10"/>
        <v>500</v>
      </c>
    </row>
    <row r="146" spans="2:14">
      <c r="B146" s="1">
        <v>136</v>
      </c>
      <c r="C146" s="1">
        <f t="shared" si="8"/>
        <v>500</v>
      </c>
      <c r="E146" s="1">
        <f t="array" ref="E146">INDEX($B$11:$B$247,CEILING(ROW(A136)/3,1))</f>
        <v>46</v>
      </c>
      <c r="F146" s="1">
        <f t="shared" si="11"/>
        <v>1</v>
      </c>
      <c r="G146" s="1">
        <v>136</v>
      </c>
      <c r="H146" s="1">
        <f t="shared" si="9"/>
        <v>0</v>
      </c>
      <c r="I146" s="1">
        <f t="shared" si="10"/>
        <v>500</v>
      </c>
    </row>
    <row r="147" spans="2:14">
      <c r="B147" s="1">
        <v>137</v>
      </c>
      <c r="C147" s="1">
        <f t="shared" si="8"/>
        <v>500</v>
      </c>
      <c r="E147" s="1">
        <f t="array" ref="E147">INDEX($B$11:$B$247,CEILING(ROW(A137)/3,1))</f>
        <v>46</v>
      </c>
      <c r="F147" s="1">
        <f t="shared" si="11"/>
        <v>2</v>
      </c>
      <c r="G147" s="1">
        <v>137</v>
      </c>
      <c r="H147" s="1">
        <f t="shared" si="9"/>
        <v>0</v>
      </c>
      <c r="I147" s="1">
        <f t="shared" si="10"/>
        <v>500</v>
      </c>
    </row>
    <row r="148" spans="2:14">
      <c r="B148" s="1">
        <v>138</v>
      </c>
      <c r="C148" s="1">
        <f t="shared" si="8"/>
        <v>500</v>
      </c>
      <c r="E148" s="1">
        <f t="array" ref="E148">INDEX($B$11:$B$247,CEILING(ROW(A138)/3,1))</f>
        <v>46</v>
      </c>
      <c r="F148" s="1">
        <f t="shared" si="11"/>
        <v>3</v>
      </c>
      <c r="G148" s="1">
        <v>138</v>
      </c>
      <c r="H148" s="1">
        <f t="shared" si="9"/>
        <v>0</v>
      </c>
      <c r="I148" s="1">
        <f t="shared" si="10"/>
        <v>500</v>
      </c>
    </row>
    <row r="149" spans="2:14">
      <c r="B149" s="1">
        <v>139</v>
      </c>
      <c r="C149" s="1">
        <f t="shared" si="8"/>
        <v>500</v>
      </c>
      <c r="E149" s="1">
        <f t="array" ref="E149">INDEX($B$11:$B$247,CEILING(ROW(A139)/3,1))</f>
        <v>47</v>
      </c>
      <c r="F149" s="1">
        <f t="shared" si="11"/>
        <v>1</v>
      </c>
      <c r="G149" s="1">
        <v>139</v>
      </c>
      <c r="H149" s="1">
        <f t="shared" si="9"/>
        <v>0</v>
      </c>
      <c r="I149" s="1">
        <f t="shared" si="10"/>
        <v>500</v>
      </c>
    </row>
    <row r="150" spans="2:14">
      <c r="B150" s="1">
        <v>140</v>
      </c>
      <c r="C150" s="1">
        <f t="shared" si="8"/>
        <v>500</v>
      </c>
      <c r="E150" s="1">
        <f t="array" ref="E150">INDEX($B$11:$B$247,CEILING(ROW(A140)/3,1))</f>
        <v>47</v>
      </c>
      <c r="F150" s="1">
        <f t="shared" si="11"/>
        <v>2</v>
      </c>
      <c r="G150" s="1">
        <v>140</v>
      </c>
      <c r="H150" s="1">
        <f t="shared" si="9"/>
        <v>0</v>
      </c>
      <c r="I150" s="1">
        <f t="shared" si="10"/>
        <v>500</v>
      </c>
    </row>
    <row r="151" spans="2:14">
      <c r="B151" s="1">
        <v>141</v>
      </c>
      <c r="C151" s="1">
        <f t="shared" si="8"/>
        <v>500</v>
      </c>
      <c r="E151" s="1">
        <f t="array" ref="E151">INDEX($B$11:$B$247,CEILING(ROW(A141)/3,1))</f>
        <v>47</v>
      </c>
      <c r="F151" s="1">
        <f t="shared" si="11"/>
        <v>3</v>
      </c>
      <c r="G151" s="1">
        <v>141</v>
      </c>
      <c r="H151" s="1">
        <f t="shared" si="9"/>
        <v>0</v>
      </c>
      <c r="I151" s="1">
        <f t="shared" si="10"/>
        <v>500</v>
      </c>
    </row>
    <row r="152" spans="2:14">
      <c r="B152" s="1">
        <v>142</v>
      </c>
      <c r="C152" s="1">
        <f t="shared" si="8"/>
        <v>500</v>
      </c>
      <c r="E152" s="1">
        <f t="array" ref="E152">INDEX($B$11:$B$247,CEILING(ROW(A142)/3,1))</f>
        <v>48</v>
      </c>
      <c r="F152" s="1">
        <f t="shared" si="11"/>
        <v>1</v>
      </c>
      <c r="G152" s="1">
        <v>142</v>
      </c>
      <c r="H152" s="1">
        <f t="shared" si="9"/>
        <v>0</v>
      </c>
      <c r="I152" s="1">
        <f t="shared" si="10"/>
        <v>500</v>
      </c>
    </row>
    <row r="153" spans="2:14">
      <c r="B153" s="1">
        <v>143</v>
      </c>
      <c r="C153" s="1">
        <f t="shared" si="8"/>
        <v>500</v>
      </c>
      <c r="E153" s="1">
        <f t="array" ref="E153">INDEX($B$11:$B$247,CEILING(ROW(A143)/3,1))</f>
        <v>48</v>
      </c>
      <c r="F153" s="1">
        <f t="shared" si="11"/>
        <v>2</v>
      </c>
      <c r="G153" s="1">
        <v>143</v>
      </c>
      <c r="H153" s="1">
        <f t="shared" si="9"/>
        <v>0</v>
      </c>
      <c r="I153" s="1">
        <f t="shared" si="10"/>
        <v>500</v>
      </c>
    </row>
    <row r="154" spans="2:14">
      <c r="B154" s="1">
        <v>144</v>
      </c>
      <c r="C154" s="1">
        <f t="shared" si="8"/>
        <v>500</v>
      </c>
      <c r="E154" s="1">
        <f t="array" ref="E154">INDEX($B$11:$B$247,CEILING(ROW(A144)/3,1))</f>
        <v>48</v>
      </c>
      <c r="F154" s="1">
        <f t="shared" si="11"/>
        <v>3</v>
      </c>
      <c r="G154" s="1">
        <v>144</v>
      </c>
      <c r="H154" s="1">
        <f t="shared" si="9"/>
        <v>0</v>
      </c>
      <c r="I154" s="1">
        <f t="shared" si="10"/>
        <v>500</v>
      </c>
    </row>
    <row r="155" spans="2:14">
      <c r="B155" s="1">
        <v>145</v>
      </c>
      <c r="C155" s="1">
        <f t="shared" si="8"/>
        <v>500</v>
      </c>
      <c r="E155" s="1">
        <f t="array" ref="E155">INDEX($B$11:$B$247,CEILING(ROW(A145)/3,1))</f>
        <v>49</v>
      </c>
      <c r="F155" s="1">
        <f t="shared" si="11"/>
        <v>1</v>
      </c>
      <c r="G155" s="1">
        <v>145</v>
      </c>
      <c r="H155" s="1">
        <f t="shared" si="9"/>
        <v>0</v>
      </c>
      <c r="I155" s="1">
        <f t="shared" si="10"/>
        <v>500</v>
      </c>
    </row>
    <row r="156" spans="2:14">
      <c r="B156" s="1">
        <v>146</v>
      </c>
      <c r="C156" s="1">
        <f t="shared" si="8"/>
        <v>500</v>
      </c>
      <c r="E156" s="1">
        <f t="array" ref="E156">INDEX($B$11:$B$247,CEILING(ROW(A146)/3,1))</f>
        <v>49</v>
      </c>
      <c r="F156" s="1">
        <f t="shared" si="11"/>
        <v>2</v>
      </c>
      <c r="G156" s="1">
        <v>146</v>
      </c>
      <c r="H156" s="1">
        <f t="shared" si="9"/>
        <v>0</v>
      </c>
      <c r="I156" s="1">
        <f t="shared" si="10"/>
        <v>500</v>
      </c>
    </row>
    <row r="157" spans="2:14">
      <c r="B157" s="1">
        <v>147</v>
      </c>
      <c r="C157" s="1">
        <f t="shared" si="8"/>
        <v>500</v>
      </c>
      <c r="E157" s="1">
        <f t="array" ref="E157">INDEX($B$11:$B$247,CEILING(ROW(A147)/3,1))</f>
        <v>49</v>
      </c>
      <c r="F157" s="1">
        <f t="shared" si="11"/>
        <v>3</v>
      </c>
      <c r="G157" s="1">
        <v>147</v>
      </c>
      <c r="H157" s="1">
        <f t="shared" si="9"/>
        <v>0</v>
      </c>
      <c r="I157" s="1">
        <f t="shared" si="10"/>
        <v>500</v>
      </c>
    </row>
    <row r="158" spans="2:14">
      <c r="B158" s="1">
        <v>148</v>
      </c>
      <c r="C158" s="1">
        <f t="shared" si="8"/>
        <v>500</v>
      </c>
      <c r="E158" s="1">
        <f t="array" ref="E158">INDEX($B$11:$B$247,CEILING(ROW(A148)/3,1))</f>
        <v>50</v>
      </c>
      <c r="F158" s="1">
        <f t="shared" si="11"/>
        <v>1</v>
      </c>
      <c r="G158" s="1">
        <v>148</v>
      </c>
      <c r="H158" s="1">
        <f t="shared" si="9"/>
        <v>0</v>
      </c>
      <c r="I158" s="1">
        <f t="shared" si="10"/>
        <v>500</v>
      </c>
    </row>
    <row r="159" spans="2:14">
      <c r="B159" s="1">
        <v>149</v>
      </c>
      <c r="C159" s="1">
        <f t="shared" si="8"/>
        <v>500</v>
      </c>
      <c r="E159" s="1">
        <f t="array" ref="E159">INDEX($B$11:$B$247,CEILING(ROW(A149)/3,1))</f>
        <v>50</v>
      </c>
      <c r="F159" s="1">
        <f t="shared" si="11"/>
        <v>2</v>
      </c>
      <c r="G159" s="1">
        <v>149</v>
      </c>
      <c r="H159" s="1">
        <f t="shared" si="9"/>
        <v>0</v>
      </c>
      <c r="I159" s="1">
        <f t="shared" si="10"/>
        <v>500</v>
      </c>
      <c r="J159" s="1">
        <f t="shared" ref="J159:J222" si="12">ROUND(POWER($N$159,ROW(I159)-158),2)</f>
        <v>1.02</v>
      </c>
      <c r="K159" s="1" t="s">
        <v>746</v>
      </c>
      <c r="N159" s="1">
        <v>1.02</v>
      </c>
    </row>
    <row r="160" spans="2:14">
      <c r="B160" s="1">
        <v>150</v>
      </c>
      <c r="C160" s="1">
        <f t="shared" si="8"/>
        <v>500</v>
      </c>
      <c r="E160" s="1">
        <f t="array" ref="E160">INDEX($B$11:$B$247,CEILING(ROW(A150)/3,1))</f>
        <v>50</v>
      </c>
      <c r="F160" s="1">
        <f t="shared" si="11"/>
        <v>3</v>
      </c>
      <c r="G160" s="1">
        <v>150</v>
      </c>
      <c r="H160" s="1">
        <f t="shared" si="9"/>
        <v>0</v>
      </c>
      <c r="I160" s="1">
        <f t="shared" si="10"/>
        <v>500</v>
      </c>
      <c r="J160" s="1">
        <f t="shared" si="12"/>
        <v>1.04</v>
      </c>
    </row>
    <row r="161" spans="2:10">
      <c r="B161" s="1">
        <v>151</v>
      </c>
      <c r="C161" s="1">
        <f t="shared" si="8"/>
        <v>500</v>
      </c>
      <c r="E161" s="1">
        <f t="array" ref="E161">INDEX($B$11:$B$247,CEILING(ROW(A151)/3,1))</f>
        <v>51</v>
      </c>
      <c r="F161" s="1">
        <f t="shared" si="11"/>
        <v>1</v>
      </c>
      <c r="G161" s="1">
        <v>151</v>
      </c>
      <c r="H161" s="1">
        <f t="shared" si="9"/>
        <v>0</v>
      </c>
      <c r="I161" s="1">
        <f t="shared" si="10"/>
        <v>500</v>
      </c>
      <c r="J161" s="1">
        <f t="shared" si="12"/>
        <v>1.06</v>
      </c>
    </row>
    <row r="162" spans="2:10">
      <c r="B162" s="1">
        <v>152</v>
      </c>
      <c r="C162" s="1">
        <f t="shared" si="8"/>
        <v>500</v>
      </c>
      <c r="E162" s="1">
        <f t="array" ref="E162">INDEX($B$11:$B$247,CEILING(ROW(A152)/3,1))</f>
        <v>51</v>
      </c>
      <c r="F162" s="1">
        <f t="shared" si="11"/>
        <v>2</v>
      </c>
      <c r="G162" s="1">
        <v>152</v>
      </c>
      <c r="H162" s="1">
        <f t="shared" si="9"/>
        <v>0</v>
      </c>
      <c r="I162" s="1">
        <f t="shared" si="10"/>
        <v>500</v>
      </c>
      <c r="J162" s="1">
        <f t="shared" si="12"/>
        <v>1.08</v>
      </c>
    </row>
    <row r="163" spans="2:10">
      <c r="B163" s="1">
        <v>153</v>
      </c>
      <c r="C163" s="1">
        <f t="shared" si="8"/>
        <v>500</v>
      </c>
      <c r="E163" s="1">
        <f t="array" ref="E163">INDEX($B$11:$B$247,CEILING(ROW(A153)/3,1))</f>
        <v>51</v>
      </c>
      <c r="F163" s="1">
        <f t="shared" si="11"/>
        <v>3</v>
      </c>
      <c r="G163" s="1">
        <v>153</v>
      </c>
      <c r="H163" s="1">
        <f t="shared" si="9"/>
        <v>0</v>
      </c>
      <c r="I163" s="1">
        <f t="shared" si="10"/>
        <v>500</v>
      </c>
      <c r="J163" s="1">
        <f t="shared" si="12"/>
        <v>1.1</v>
      </c>
    </row>
    <row r="164" spans="2:10">
      <c r="B164" s="1">
        <v>154</v>
      </c>
      <c r="C164" s="1">
        <f t="shared" si="8"/>
        <v>500</v>
      </c>
      <c r="E164" s="1">
        <f t="array" ref="E164">INDEX($B$11:$B$247,CEILING(ROW(A154)/3,1))</f>
        <v>52</v>
      </c>
      <c r="F164" s="1">
        <f t="shared" si="11"/>
        <v>1</v>
      </c>
      <c r="G164" s="1">
        <v>154</v>
      </c>
      <c r="H164" s="1">
        <f t="shared" si="9"/>
        <v>0</v>
      </c>
      <c r="I164" s="1">
        <f t="shared" si="10"/>
        <v>500</v>
      </c>
      <c r="J164" s="1">
        <f t="shared" si="12"/>
        <v>1.13</v>
      </c>
    </row>
    <row r="165" spans="2:10">
      <c r="B165" s="1">
        <v>155</v>
      </c>
      <c r="C165" s="1">
        <f t="shared" si="8"/>
        <v>500</v>
      </c>
      <c r="E165" s="1">
        <f t="array" ref="E165">INDEX($B$11:$B$247,CEILING(ROW(A155)/3,1))</f>
        <v>52</v>
      </c>
      <c r="F165" s="1">
        <f t="shared" si="11"/>
        <v>2</v>
      </c>
      <c r="G165" s="1">
        <v>155</v>
      </c>
      <c r="H165" s="1">
        <f t="shared" si="9"/>
        <v>0</v>
      </c>
      <c r="I165" s="1">
        <f t="shared" si="10"/>
        <v>500</v>
      </c>
      <c r="J165" s="1">
        <f t="shared" si="12"/>
        <v>1.15</v>
      </c>
    </row>
    <row r="166" spans="2:10">
      <c r="B166" s="1">
        <v>156</v>
      </c>
      <c r="C166" s="1">
        <f t="shared" si="8"/>
        <v>500</v>
      </c>
      <c r="E166" s="1">
        <f t="array" ref="E166">INDEX($B$11:$B$247,CEILING(ROW(A156)/3,1))</f>
        <v>52</v>
      </c>
      <c r="F166" s="1">
        <f t="shared" si="11"/>
        <v>3</v>
      </c>
      <c r="G166" s="1">
        <v>156</v>
      </c>
      <c r="H166" s="1">
        <f t="shared" si="9"/>
        <v>0</v>
      </c>
      <c r="I166" s="1">
        <f t="shared" si="10"/>
        <v>500</v>
      </c>
      <c r="J166" s="1">
        <f t="shared" si="12"/>
        <v>1.17</v>
      </c>
    </row>
    <row r="167" spans="2:10">
      <c r="B167" s="1">
        <v>157</v>
      </c>
      <c r="C167" s="1">
        <f t="shared" si="8"/>
        <v>500</v>
      </c>
      <c r="E167" s="1">
        <f t="array" ref="E167">INDEX($B$11:$B$247,CEILING(ROW(A157)/3,1))</f>
        <v>53</v>
      </c>
      <c r="F167" s="1">
        <f t="shared" si="11"/>
        <v>1</v>
      </c>
      <c r="G167" s="1">
        <v>157</v>
      </c>
      <c r="H167" s="1">
        <f t="shared" si="9"/>
        <v>0</v>
      </c>
      <c r="I167" s="1">
        <f t="shared" si="10"/>
        <v>500</v>
      </c>
      <c r="J167" s="1">
        <f t="shared" si="12"/>
        <v>1.2</v>
      </c>
    </row>
    <row r="168" spans="2:10">
      <c r="B168" s="1">
        <v>158</v>
      </c>
      <c r="C168" s="1">
        <f t="shared" si="8"/>
        <v>500</v>
      </c>
      <c r="E168" s="1">
        <f t="array" ref="E168">INDEX($B$11:$B$247,CEILING(ROW(A158)/3,1))</f>
        <v>53</v>
      </c>
      <c r="F168" s="1">
        <f t="shared" si="11"/>
        <v>2</v>
      </c>
      <c r="G168" s="1">
        <v>158</v>
      </c>
      <c r="H168" s="1">
        <f t="shared" si="9"/>
        <v>0</v>
      </c>
      <c r="I168" s="1">
        <f t="shared" si="10"/>
        <v>500</v>
      </c>
      <c r="J168" s="1">
        <f t="shared" si="12"/>
        <v>1.22</v>
      </c>
    </row>
    <row r="169" spans="2:10">
      <c r="B169" s="1">
        <v>159</v>
      </c>
      <c r="C169" s="1">
        <f t="shared" si="8"/>
        <v>500</v>
      </c>
      <c r="E169" s="1">
        <f t="array" ref="E169">INDEX($B$11:$B$247,CEILING(ROW(A159)/3,1))</f>
        <v>53</v>
      </c>
      <c r="F169" s="1">
        <f t="shared" si="11"/>
        <v>3</v>
      </c>
      <c r="G169" s="1">
        <v>159</v>
      </c>
      <c r="H169" s="1">
        <f t="shared" si="9"/>
        <v>0</v>
      </c>
      <c r="I169" s="1">
        <f t="shared" si="10"/>
        <v>500</v>
      </c>
      <c r="J169" s="1">
        <f t="shared" si="12"/>
        <v>1.24</v>
      </c>
    </row>
    <row r="170" spans="2:10">
      <c r="B170" s="1">
        <v>160</v>
      </c>
      <c r="C170" s="1">
        <f t="shared" si="8"/>
        <v>500</v>
      </c>
      <c r="E170" s="1">
        <f t="array" ref="E170">INDEX($B$11:$B$247,CEILING(ROW(A160)/3,1))</f>
        <v>54</v>
      </c>
      <c r="F170" s="1">
        <f t="shared" si="11"/>
        <v>1</v>
      </c>
      <c r="G170" s="1">
        <v>160</v>
      </c>
      <c r="H170" s="1">
        <f t="shared" si="9"/>
        <v>0</v>
      </c>
      <c r="I170" s="1">
        <f t="shared" si="10"/>
        <v>500</v>
      </c>
      <c r="J170" s="1">
        <f t="shared" si="12"/>
        <v>1.27</v>
      </c>
    </row>
    <row r="171" spans="2:10">
      <c r="B171" s="1">
        <v>161</v>
      </c>
      <c r="C171" s="1">
        <f t="shared" si="8"/>
        <v>500</v>
      </c>
      <c r="E171" s="1">
        <f t="array" ref="E171">INDEX($B$11:$B$247,CEILING(ROW(A161)/3,1))</f>
        <v>54</v>
      </c>
      <c r="F171" s="1">
        <f t="shared" si="11"/>
        <v>2</v>
      </c>
      <c r="G171" s="1">
        <v>161</v>
      </c>
      <c r="H171" s="1">
        <f t="shared" si="9"/>
        <v>0</v>
      </c>
      <c r="I171" s="1">
        <f t="shared" si="10"/>
        <v>500</v>
      </c>
      <c r="J171" s="1">
        <f t="shared" si="12"/>
        <v>1.29</v>
      </c>
    </row>
    <row r="172" spans="2:10">
      <c r="B172" s="1">
        <v>162</v>
      </c>
      <c r="C172" s="1">
        <f t="shared" si="8"/>
        <v>500</v>
      </c>
      <c r="E172" s="1">
        <f t="array" ref="E172">INDEX($B$11:$B$247,CEILING(ROW(A162)/3,1))</f>
        <v>54</v>
      </c>
      <c r="F172" s="1">
        <f t="shared" si="11"/>
        <v>3</v>
      </c>
      <c r="G172" s="1">
        <v>162</v>
      </c>
      <c r="H172" s="1">
        <f t="shared" si="9"/>
        <v>0</v>
      </c>
      <c r="I172" s="1">
        <f t="shared" si="10"/>
        <v>500</v>
      </c>
      <c r="J172" s="1">
        <f t="shared" si="12"/>
        <v>1.32</v>
      </c>
    </row>
    <row r="173" spans="2:10">
      <c r="B173" s="1">
        <v>163</v>
      </c>
      <c r="C173" s="1">
        <f t="shared" si="8"/>
        <v>500</v>
      </c>
      <c r="E173" s="1">
        <f t="array" ref="E173">INDEX($B$11:$B$247,CEILING(ROW(A163)/3,1))</f>
        <v>55</v>
      </c>
      <c r="F173" s="1">
        <f t="shared" si="11"/>
        <v>1</v>
      </c>
      <c r="G173" s="1">
        <v>163</v>
      </c>
      <c r="H173" s="1">
        <f t="shared" si="9"/>
        <v>0</v>
      </c>
      <c r="I173" s="1">
        <f t="shared" si="10"/>
        <v>500</v>
      </c>
      <c r="J173" s="1">
        <f t="shared" si="12"/>
        <v>1.35</v>
      </c>
    </row>
    <row r="174" spans="2:10">
      <c r="B174" s="1">
        <v>164</v>
      </c>
      <c r="C174" s="1">
        <f t="shared" si="8"/>
        <v>500</v>
      </c>
      <c r="E174" s="1">
        <f t="array" ref="E174">INDEX($B$11:$B$247,CEILING(ROW(A164)/3,1))</f>
        <v>55</v>
      </c>
      <c r="F174" s="1">
        <f t="shared" si="11"/>
        <v>2</v>
      </c>
      <c r="G174" s="1">
        <v>164</v>
      </c>
      <c r="H174" s="1">
        <f t="shared" si="9"/>
        <v>0</v>
      </c>
      <c r="I174" s="1">
        <f t="shared" si="10"/>
        <v>500</v>
      </c>
      <c r="J174" s="1">
        <f t="shared" si="12"/>
        <v>1.37</v>
      </c>
    </row>
    <row r="175" spans="2:10">
      <c r="B175" s="1">
        <v>165</v>
      </c>
      <c r="C175" s="1">
        <f t="shared" si="8"/>
        <v>500</v>
      </c>
      <c r="E175" s="1">
        <f t="array" ref="E175">INDEX($B$11:$B$247,CEILING(ROW(A165)/3,1))</f>
        <v>55</v>
      </c>
      <c r="F175" s="1">
        <f t="shared" si="11"/>
        <v>3</v>
      </c>
      <c r="G175" s="1">
        <v>165</v>
      </c>
      <c r="H175" s="1">
        <f t="shared" si="9"/>
        <v>0</v>
      </c>
      <c r="I175" s="1">
        <f t="shared" si="10"/>
        <v>500</v>
      </c>
      <c r="J175" s="1">
        <f t="shared" si="12"/>
        <v>1.4</v>
      </c>
    </row>
    <row r="176" spans="2:10">
      <c r="B176" s="1">
        <v>166</v>
      </c>
      <c r="C176" s="1">
        <f t="shared" si="8"/>
        <v>500</v>
      </c>
      <c r="E176" s="1">
        <f t="array" ref="E176">INDEX($B$11:$B$247,CEILING(ROW(A166)/3,1))</f>
        <v>56</v>
      </c>
      <c r="F176" s="1">
        <f t="shared" si="11"/>
        <v>1</v>
      </c>
      <c r="G176" s="1">
        <v>166</v>
      </c>
      <c r="H176" s="1">
        <f t="shared" si="9"/>
        <v>0</v>
      </c>
      <c r="I176" s="1">
        <f t="shared" si="10"/>
        <v>500</v>
      </c>
      <c r="J176" s="1">
        <f t="shared" si="12"/>
        <v>1.43</v>
      </c>
    </row>
    <row r="177" spans="2:10">
      <c r="B177" s="1">
        <v>167</v>
      </c>
      <c r="C177" s="1">
        <f t="shared" si="8"/>
        <v>500</v>
      </c>
      <c r="E177" s="1">
        <f t="array" ref="E177">INDEX($B$11:$B$247,CEILING(ROW(A167)/3,1))</f>
        <v>56</v>
      </c>
      <c r="F177" s="1">
        <f t="shared" si="11"/>
        <v>2</v>
      </c>
      <c r="G177" s="1">
        <v>167</v>
      </c>
      <c r="H177" s="1">
        <f t="shared" si="9"/>
        <v>0</v>
      </c>
      <c r="I177" s="1">
        <f t="shared" si="10"/>
        <v>500</v>
      </c>
      <c r="J177" s="1">
        <f t="shared" si="12"/>
        <v>1.46</v>
      </c>
    </row>
    <row r="178" spans="2:10">
      <c r="B178" s="1">
        <v>168</v>
      </c>
      <c r="C178" s="1">
        <f t="shared" si="8"/>
        <v>500</v>
      </c>
      <c r="E178" s="1">
        <f t="array" ref="E178">INDEX($B$11:$B$247,CEILING(ROW(A168)/3,1))</f>
        <v>56</v>
      </c>
      <c r="F178" s="1">
        <f t="shared" si="11"/>
        <v>3</v>
      </c>
      <c r="G178" s="1">
        <v>168</v>
      </c>
      <c r="H178" s="1">
        <f t="shared" si="9"/>
        <v>0</v>
      </c>
      <c r="I178" s="1">
        <f t="shared" si="10"/>
        <v>500</v>
      </c>
      <c r="J178" s="1">
        <f t="shared" si="12"/>
        <v>1.49</v>
      </c>
    </row>
    <row r="179" spans="2:10">
      <c r="B179" s="1">
        <v>169</v>
      </c>
      <c r="C179" s="1">
        <f t="shared" si="8"/>
        <v>500</v>
      </c>
      <c r="E179" s="1">
        <f t="array" ref="E179">INDEX($B$11:$B$247,CEILING(ROW(A169)/3,1))</f>
        <v>57</v>
      </c>
      <c r="F179" s="1">
        <f t="shared" si="11"/>
        <v>1</v>
      </c>
      <c r="G179" s="1">
        <v>169</v>
      </c>
      <c r="H179" s="1">
        <f t="shared" si="9"/>
        <v>0</v>
      </c>
      <c r="I179" s="1">
        <f t="shared" si="10"/>
        <v>500</v>
      </c>
      <c r="J179" s="1">
        <f t="shared" si="12"/>
        <v>1.52</v>
      </c>
    </row>
    <row r="180" spans="2:10">
      <c r="B180" s="1">
        <v>170</v>
      </c>
      <c r="C180" s="1">
        <f t="shared" si="8"/>
        <v>500</v>
      </c>
      <c r="E180" s="1">
        <f t="array" ref="E180">INDEX($B$11:$B$247,CEILING(ROW(A170)/3,1))</f>
        <v>57</v>
      </c>
      <c r="F180" s="1">
        <f t="shared" si="11"/>
        <v>2</v>
      </c>
      <c r="G180" s="1">
        <v>170</v>
      </c>
      <c r="H180" s="1">
        <f t="shared" si="9"/>
        <v>0</v>
      </c>
      <c r="I180" s="1">
        <f t="shared" si="10"/>
        <v>500</v>
      </c>
      <c r="J180" s="1">
        <f t="shared" si="12"/>
        <v>1.55</v>
      </c>
    </row>
    <row r="181" spans="2:10">
      <c r="B181" s="1">
        <v>171</v>
      </c>
      <c r="C181" s="1">
        <f t="shared" si="8"/>
        <v>500</v>
      </c>
      <c r="E181" s="1">
        <f t="array" ref="E181">INDEX($B$11:$B$247,CEILING(ROW(A171)/3,1))</f>
        <v>57</v>
      </c>
      <c r="F181" s="1">
        <f t="shared" si="11"/>
        <v>3</v>
      </c>
      <c r="G181" s="1">
        <v>171</v>
      </c>
      <c r="H181" s="1">
        <f t="shared" si="9"/>
        <v>0</v>
      </c>
      <c r="I181" s="1">
        <f t="shared" si="10"/>
        <v>500</v>
      </c>
      <c r="J181" s="1">
        <f t="shared" si="12"/>
        <v>1.58</v>
      </c>
    </row>
    <row r="182" spans="2:10">
      <c r="B182" s="1">
        <v>172</v>
      </c>
      <c r="C182" s="1">
        <f t="shared" si="8"/>
        <v>500</v>
      </c>
      <c r="E182" s="1">
        <f t="array" ref="E182">INDEX($B$11:$B$247,CEILING(ROW(A172)/3,1))</f>
        <v>58</v>
      </c>
      <c r="F182" s="1">
        <f t="shared" si="11"/>
        <v>1</v>
      </c>
      <c r="G182" s="1">
        <v>172</v>
      </c>
      <c r="H182" s="1">
        <f t="shared" si="9"/>
        <v>0</v>
      </c>
      <c r="I182" s="1">
        <f t="shared" si="10"/>
        <v>500</v>
      </c>
      <c r="J182" s="1">
        <f t="shared" si="12"/>
        <v>1.61</v>
      </c>
    </row>
    <row r="183" spans="2:10">
      <c r="B183" s="1">
        <v>173</v>
      </c>
      <c r="C183" s="1">
        <f t="shared" si="8"/>
        <v>500</v>
      </c>
      <c r="E183" s="1">
        <f t="array" ref="E183">INDEX($B$11:$B$247,CEILING(ROW(A173)/3,1))</f>
        <v>58</v>
      </c>
      <c r="F183" s="1">
        <f t="shared" si="11"/>
        <v>2</v>
      </c>
      <c r="G183" s="1">
        <v>173</v>
      </c>
      <c r="H183" s="1">
        <f t="shared" si="9"/>
        <v>0</v>
      </c>
      <c r="I183" s="1">
        <f t="shared" si="10"/>
        <v>500</v>
      </c>
      <c r="J183" s="1">
        <f t="shared" si="12"/>
        <v>1.64</v>
      </c>
    </row>
    <row r="184" spans="2:10">
      <c r="B184" s="1">
        <v>174</v>
      </c>
      <c r="C184" s="1">
        <f t="shared" si="8"/>
        <v>500</v>
      </c>
      <c r="E184" s="1">
        <f t="array" ref="E184">INDEX($B$11:$B$247,CEILING(ROW(A174)/3,1))</f>
        <v>58</v>
      </c>
      <c r="F184" s="1">
        <f t="shared" si="11"/>
        <v>3</v>
      </c>
      <c r="G184" s="1">
        <v>174</v>
      </c>
      <c r="H184" s="1">
        <f t="shared" si="9"/>
        <v>0</v>
      </c>
      <c r="I184" s="1">
        <f t="shared" si="10"/>
        <v>500</v>
      </c>
      <c r="J184" s="1">
        <f t="shared" si="12"/>
        <v>1.67</v>
      </c>
    </row>
    <row r="185" spans="2:10">
      <c r="B185" s="1">
        <v>175</v>
      </c>
      <c r="C185" s="1">
        <f t="shared" si="8"/>
        <v>500</v>
      </c>
      <c r="E185" s="1">
        <f t="array" ref="E185">INDEX($B$11:$B$247,CEILING(ROW(A175)/3,1))</f>
        <v>59</v>
      </c>
      <c r="F185" s="1">
        <f t="shared" si="11"/>
        <v>1</v>
      </c>
      <c r="G185" s="1">
        <v>175</v>
      </c>
      <c r="H185" s="1">
        <f t="shared" si="9"/>
        <v>0</v>
      </c>
      <c r="I185" s="1">
        <f t="shared" si="10"/>
        <v>500</v>
      </c>
      <c r="J185" s="1">
        <f t="shared" si="12"/>
        <v>1.71</v>
      </c>
    </row>
    <row r="186" spans="2:10">
      <c r="B186" s="1">
        <v>176</v>
      </c>
      <c r="C186" s="1">
        <f t="shared" si="8"/>
        <v>500</v>
      </c>
      <c r="E186" s="1">
        <f t="array" ref="E186">INDEX($B$11:$B$247,CEILING(ROW(A176)/3,1))</f>
        <v>59</v>
      </c>
      <c r="F186" s="1">
        <f t="shared" si="11"/>
        <v>2</v>
      </c>
      <c r="G186" s="1">
        <v>176</v>
      </c>
      <c r="H186" s="1">
        <f t="shared" si="9"/>
        <v>0</v>
      </c>
      <c r="I186" s="1">
        <f t="shared" si="10"/>
        <v>500</v>
      </c>
      <c r="J186" s="1">
        <f t="shared" si="12"/>
        <v>1.74</v>
      </c>
    </row>
    <row r="187" spans="2:10">
      <c r="B187" s="1">
        <v>177</v>
      </c>
      <c r="C187" s="1">
        <f t="shared" si="8"/>
        <v>500</v>
      </c>
      <c r="E187" s="1">
        <f t="array" ref="E187">INDEX($B$11:$B$247,CEILING(ROW(A177)/3,1))</f>
        <v>59</v>
      </c>
      <c r="F187" s="1">
        <f t="shared" si="11"/>
        <v>3</v>
      </c>
      <c r="G187" s="1">
        <v>177</v>
      </c>
      <c r="H187" s="1">
        <f t="shared" si="9"/>
        <v>0</v>
      </c>
      <c r="I187" s="1">
        <f t="shared" si="10"/>
        <v>500</v>
      </c>
      <c r="J187" s="1">
        <f t="shared" si="12"/>
        <v>1.78</v>
      </c>
    </row>
    <row r="188" spans="2:10">
      <c r="B188" s="1">
        <v>178</v>
      </c>
      <c r="C188" s="1">
        <f t="shared" si="8"/>
        <v>500</v>
      </c>
      <c r="E188" s="1">
        <f t="array" ref="E188">INDEX($B$11:$B$247,CEILING(ROW(A178)/3,1))</f>
        <v>60</v>
      </c>
      <c r="F188" s="1">
        <f t="shared" si="11"/>
        <v>1</v>
      </c>
      <c r="G188" s="1">
        <v>178</v>
      </c>
      <c r="H188" s="1">
        <f t="shared" si="9"/>
        <v>0</v>
      </c>
      <c r="I188" s="1">
        <f t="shared" si="10"/>
        <v>500</v>
      </c>
      <c r="J188" s="1">
        <f t="shared" si="12"/>
        <v>1.81</v>
      </c>
    </row>
    <row r="189" spans="2:10">
      <c r="B189" s="1">
        <v>179</v>
      </c>
      <c r="C189" s="1">
        <f t="shared" si="8"/>
        <v>500</v>
      </c>
      <c r="E189" s="1">
        <f t="array" ref="E189">INDEX($B$11:$B$247,CEILING(ROW(A179)/3,1))</f>
        <v>60</v>
      </c>
      <c r="F189" s="1">
        <f t="shared" si="11"/>
        <v>2</v>
      </c>
      <c r="G189" s="1">
        <v>179</v>
      </c>
      <c r="H189" s="1">
        <f t="shared" si="9"/>
        <v>0</v>
      </c>
      <c r="I189" s="1">
        <f t="shared" si="10"/>
        <v>500</v>
      </c>
      <c r="J189" s="1">
        <f t="shared" si="12"/>
        <v>1.85</v>
      </c>
    </row>
    <row r="190" spans="2:10">
      <c r="B190" s="1">
        <v>180</v>
      </c>
      <c r="C190" s="1">
        <f t="shared" si="8"/>
        <v>500</v>
      </c>
      <c r="E190" s="1">
        <f t="array" ref="E190">INDEX($B$11:$B$247,CEILING(ROW(A180)/3,1))</f>
        <v>60</v>
      </c>
      <c r="F190" s="1">
        <f t="shared" si="11"/>
        <v>3</v>
      </c>
      <c r="G190" s="1">
        <v>180</v>
      </c>
      <c r="H190" s="1">
        <f t="shared" si="9"/>
        <v>0</v>
      </c>
      <c r="I190" s="1">
        <f t="shared" si="10"/>
        <v>500</v>
      </c>
      <c r="J190" s="1">
        <f t="shared" si="12"/>
        <v>1.88</v>
      </c>
    </row>
    <row r="191" spans="2:10">
      <c r="B191" s="1">
        <v>181</v>
      </c>
      <c r="C191" s="1">
        <f t="shared" si="8"/>
        <v>500</v>
      </c>
      <c r="E191" s="1">
        <f t="array" ref="E191">INDEX($B$11:$B$247,CEILING(ROW(A181)/3,1))</f>
        <v>61</v>
      </c>
      <c r="F191" s="1">
        <f t="shared" si="11"/>
        <v>1</v>
      </c>
      <c r="G191" s="1">
        <v>181</v>
      </c>
      <c r="H191" s="1">
        <f t="shared" si="9"/>
        <v>0</v>
      </c>
      <c r="I191" s="1">
        <f t="shared" si="10"/>
        <v>500</v>
      </c>
      <c r="J191" s="1">
        <f t="shared" si="12"/>
        <v>1.92</v>
      </c>
    </row>
    <row r="192" spans="2:10">
      <c r="B192" s="1">
        <v>182</v>
      </c>
      <c r="C192" s="1">
        <f t="shared" si="8"/>
        <v>500</v>
      </c>
      <c r="E192" s="1">
        <f t="array" ref="E192">INDEX($B$11:$B$247,CEILING(ROW(A182)/3,1))</f>
        <v>61</v>
      </c>
      <c r="F192" s="1">
        <f t="shared" si="11"/>
        <v>2</v>
      </c>
      <c r="G192" s="1">
        <v>182</v>
      </c>
      <c r="H192" s="1">
        <f t="shared" si="9"/>
        <v>0</v>
      </c>
      <c r="I192" s="1">
        <f t="shared" si="10"/>
        <v>500</v>
      </c>
      <c r="J192" s="1">
        <f t="shared" si="12"/>
        <v>1.96</v>
      </c>
    </row>
    <row r="193" spans="2:10">
      <c r="B193" s="1">
        <v>183</v>
      </c>
      <c r="C193" s="1">
        <f t="shared" si="8"/>
        <v>500</v>
      </c>
      <c r="E193" s="1">
        <f t="array" ref="E193">INDEX($B$11:$B$247,CEILING(ROW(A183)/3,1))</f>
        <v>61</v>
      </c>
      <c r="F193" s="1">
        <f t="shared" si="11"/>
        <v>3</v>
      </c>
      <c r="G193" s="1">
        <v>183</v>
      </c>
      <c r="H193" s="1">
        <f t="shared" si="9"/>
        <v>0</v>
      </c>
      <c r="I193" s="1">
        <f t="shared" si="10"/>
        <v>500</v>
      </c>
      <c r="J193" s="1">
        <f t="shared" si="12"/>
        <v>2</v>
      </c>
    </row>
    <row r="194" spans="2:10">
      <c r="B194" s="1">
        <v>184</v>
      </c>
      <c r="C194" s="1">
        <f t="shared" si="8"/>
        <v>500</v>
      </c>
      <c r="E194" s="1">
        <f t="array" ref="E194">INDEX($B$11:$B$247,CEILING(ROW(A184)/3,1))</f>
        <v>62</v>
      </c>
      <c r="F194" s="1">
        <f t="shared" si="11"/>
        <v>1</v>
      </c>
      <c r="G194" s="1">
        <v>184</v>
      </c>
      <c r="H194" s="1">
        <f t="shared" si="9"/>
        <v>0</v>
      </c>
      <c r="I194" s="1">
        <f t="shared" si="10"/>
        <v>500</v>
      </c>
      <c r="J194" s="1">
        <f t="shared" si="12"/>
        <v>2.04</v>
      </c>
    </row>
    <row r="195" spans="2:10">
      <c r="B195" s="1">
        <v>185</v>
      </c>
      <c r="C195" s="1">
        <f t="shared" si="8"/>
        <v>500</v>
      </c>
      <c r="E195" s="1">
        <f t="array" ref="E195">INDEX($B$11:$B$247,CEILING(ROW(A185)/3,1))</f>
        <v>62</v>
      </c>
      <c r="F195" s="1">
        <f t="shared" si="11"/>
        <v>2</v>
      </c>
      <c r="G195" s="1">
        <v>185</v>
      </c>
      <c r="H195" s="1">
        <f t="shared" si="9"/>
        <v>0</v>
      </c>
      <c r="I195" s="1">
        <f t="shared" si="10"/>
        <v>500</v>
      </c>
      <c r="J195" s="1">
        <f t="shared" si="12"/>
        <v>2.08</v>
      </c>
    </row>
    <row r="196" spans="2:10">
      <c r="B196" s="1">
        <v>186</v>
      </c>
      <c r="C196" s="1">
        <f t="shared" si="8"/>
        <v>500</v>
      </c>
      <c r="E196" s="1">
        <f t="array" ref="E196">INDEX($B$11:$B$247,CEILING(ROW(A186)/3,1))</f>
        <v>62</v>
      </c>
      <c r="F196" s="1">
        <f t="shared" si="11"/>
        <v>3</v>
      </c>
      <c r="G196" s="1">
        <v>186</v>
      </c>
      <c r="H196" s="1">
        <f t="shared" si="9"/>
        <v>0</v>
      </c>
      <c r="I196" s="1">
        <f t="shared" si="10"/>
        <v>500</v>
      </c>
      <c r="J196" s="1">
        <f t="shared" si="12"/>
        <v>2.12</v>
      </c>
    </row>
    <row r="197" spans="2:10">
      <c r="B197" s="1">
        <v>187</v>
      </c>
      <c r="C197" s="1">
        <f t="shared" si="8"/>
        <v>500</v>
      </c>
      <c r="E197" s="1">
        <f t="array" ref="E197">INDEX($B$11:$B$247,CEILING(ROW(A187)/3,1))</f>
        <v>63</v>
      </c>
      <c r="F197" s="1">
        <f t="shared" si="11"/>
        <v>1</v>
      </c>
      <c r="G197" s="1">
        <v>187</v>
      </c>
      <c r="H197" s="1">
        <f t="shared" si="9"/>
        <v>0</v>
      </c>
      <c r="I197" s="1">
        <f t="shared" si="10"/>
        <v>500</v>
      </c>
      <c r="J197" s="1">
        <f t="shared" si="12"/>
        <v>2.16</v>
      </c>
    </row>
    <row r="198" spans="2:10">
      <c r="B198" s="1">
        <v>188</v>
      </c>
      <c r="C198" s="1">
        <f t="shared" si="8"/>
        <v>500</v>
      </c>
      <c r="E198" s="1">
        <f t="array" ref="E198">INDEX($B$11:$B$247,CEILING(ROW(A188)/3,1))</f>
        <v>63</v>
      </c>
      <c r="F198" s="1">
        <f t="shared" si="11"/>
        <v>2</v>
      </c>
      <c r="G198" s="1">
        <v>188</v>
      </c>
      <c r="H198" s="1">
        <f t="shared" si="9"/>
        <v>0</v>
      </c>
      <c r="I198" s="1">
        <f t="shared" si="10"/>
        <v>500</v>
      </c>
      <c r="J198" s="1">
        <f t="shared" si="12"/>
        <v>2.21</v>
      </c>
    </row>
    <row r="199" spans="2:10">
      <c r="B199" s="1">
        <v>189</v>
      </c>
      <c r="C199" s="1">
        <f t="shared" si="8"/>
        <v>500</v>
      </c>
      <c r="E199" s="1">
        <f t="array" ref="E199">INDEX($B$11:$B$247,CEILING(ROW(A189)/3,1))</f>
        <v>63</v>
      </c>
      <c r="F199" s="1">
        <f t="shared" si="11"/>
        <v>3</v>
      </c>
      <c r="G199" s="1">
        <v>189</v>
      </c>
      <c r="H199" s="1">
        <f t="shared" si="9"/>
        <v>0</v>
      </c>
      <c r="I199" s="1">
        <f t="shared" si="10"/>
        <v>500</v>
      </c>
      <c r="J199" s="1">
        <f t="shared" si="12"/>
        <v>2.25</v>
      </c>
    </row>
    <row r="200" spans="2:10">
      <c r="B200" s="1">
        <v>190</v>
      </c>
      <c r="C200" s="1">
        <f t="shared" si="8"/>
        <v>500</v>
      </c>
      <c r="E200" s="1">
        <f t="array" ref="E200">INDEX($B$11:$B$247,CEILING(ROW(A190)/3,1))</f>
        <v>64</v>
      </c>
      <c r="F200" s="1">
        <f t="shared" si="11"/>
        <v>1</v>
      </c>
      <c r="G200" s="1">
        <v>190</v>
      </c>
      <c r="H200" s="1">
        <f t="shared" si="9"/>
        <v>0</v>
      </c>
      <c r="I200" s="1">
        <f t="shared" si="10"/>
        <v>500</v>
      </c>
      <c r="J200" s="1">
        <f t="shared" si="12"/>
        <v>2.3</v>
      </c>
    </row>
    <row r="201" spans="2:10">
      <c r="B201" s="1">
        <v>191</v>
      </c>
      <c r="C201" s="1">
        <f t="shared" si="8"/>
        <v>500</v>
      </c>
      <c r="E201" s="1">
        <f t="array" ref="E201">INDEX($B$11:$B$247,CEILING(ROW(A191)/3,1))</f>
        <v>64</v>
      </c>
      <c r="F201" s="1">
        <f t="shared" si="11"/>
        <v>2</v>
      </c>
      <c r="G201" s="1">
        <v>191</v>
      </c>
      <c r="H201" s="1">
        <f t="shared" si="9"/>
        <v>0</v>
      </c>
      <c r="I201" s="1">
        <f t="shared" si="10"/>
        <v>500</v>
      </c>
      <c r="J201" s="1">
        <f t="shared" si="12"/>
        <v>2.34</v>
      </c>
    </row>
    <row r="202" spans="2:10">
      <c r="B202" s="1">
        <v>192</v>
      </c>
      <c r="C202" s="1">
        <f t="shared" si="8"/>
        <v>500</v>
      </c>
      <c r="E202" s="1">
        <f t="array" ref="E202">INDEX($B$11:$B$247,CEILING(ROW(A192)/3,1))</f>
        <v>64</v>
      </c>
      <c r="F202" s="1">
        <f t="shared" si="11"/>
        <v>3</v>
      </c>
      <c r="G202" s="1">
        <v>192</v>
      </c>
      <c r="H202" s="1">
        <f t="shared" si="9"/>
        <v>0</v>
      </c>
      <c r="I202" s="1">
        <f t="shared" si="10"/>
        <v>500</v>
      </c>
      <c r="J202" s="1">
        <f t="shared" si="12"/>
        <v>2.39</v>
      </c>
    </row>
    <row r="203" spans="2:10">
      <c r="B203" s="1">
        <v>193</v>
      </c>
      <c r="C203" s="1">
        <f t="shared" ref="C203:C247" si="13">IF(ROUND($H$3+$H$4*(B203-1)/((B203-1)+$H$2),0)&gt;$H$5,$H$5,ROUND($H$3+$H$4*(B203-1)/((B203-1)+$H$2),0))</f>
        <v>500</v>
      </c>
      <c r="E203" s="1">
        <f t="array" ref="E203">INDEX($B$11:$B$247,CEILING(ROW(A193)/3,1))</f>
        <v>65</v>
      </c>
      <c r="F203" s="1">
        <f t="shared" si="11"/>
        <v>1</v>
      </c>
      <c r="G203" s="1">
        <v>193</v>
      </c>
      <c r="H203" s="1">
        <f t="shared" ref="H203:H266" si="14">_xlfn.IFNA(VLOOKUP(E206,$B$11:$C$247,2,0)-VLOOKUP(E203,$B$11:$C$247,2,0),0)</f>
        <v>0</v>
      </c>
      <c r="I203" s="1">
        <f t="shared" ref="I203:I266" si="15">ROUND(VLOOKUP(E203,$B$11:$C$247,2,0)+VLOOKUP(F203,$J$3:$K$5,2,0)*H203,0)</f>
        <v>500</v>
      </c>
      <c r="J203" s="1">
        <f t="shared" si="12"/>
        <v>2.44</v>
      </c>
    </row>
    <row r="204" spans="2:10">
      <c r="B204" s="1">
        <v>194</v>
      </c>
      <c r="C204" s="1">
        <f t="shared" si="13"/>
        <v>500</v>
      </c>
      <c r="E204" s="1">
        <f t="array" ref="E204">INDEX($B$11:$B$247,CEILING(ROW(A194)/3,1))</f>
        <v>65</v>
      </c>
      <c r="F204" s="1">
        <f t="shared" si="11"/>
        <v>2</v>
      </c>
      <c r="G204" s="1">
        <v>194</v>
      </c>
      <c r="H204" s="1">
        <f t="shared" si="14"/>
        <v>0</v>
      </c>
      <c r="I204" s="1">
        <f t="shared" si="15"/>
        <v>500</v>
      </c>
      <c r="J204" s="1">
        <f t="shared" si="12"/>
        <v>2.49</v>
      </c>
    </row>
    <row r="205" spans="2:10">
      <c r="B205" s="1">
        <v>195</v>
      </c>
      <c r="C205" s="1">
        <f t="shared" si="13"/>
        <v>500</v>
      </c>
      <c r="E205" s="1">
        <f t="array" ref="E205">INDEX($B$11:$B$247,CEILING(ROW(A195)/3,1))</f>
        <v>65</v>
      </c>
      <c r="F205" s="1">
        <f t="shared" si="11"/>
        <v>3</v>
      </c>
      <c r="G205" s="1">
        <v>195</v>
      </c>
      <c r="H205" s="1">
        <f t="shared" si="14"/>
        <v>0</v>
      </c>
      <c r="I205" s="1">
        <f t="shared" si="15"/>
        <v>500</v>
      </c>
      <c r="J205" s="1">
        <f t="shared" si="12"/>
        <v>2.54</v>
      </c>
    </row>
    <row r="206" spans="2:10">
      <c r="B206" s="1">
        <v>196</v>
      </c>
      <c r="C206" s="1">
        <f t="shared" si="13"/>
        <v>500</v>
      </c>
      <c r="E206" s="1">
        <f t="array" ref="E206">INDEX($B$11:$B$247,CEILING(ROW(A196)/3,1))</f>
        <v>66</v>
      </c>
      <c r="F206" s="1">
        <f t="shared" ref="F206:F269" si="16">F203</f>
        <v>1</v>
      </c>
      <c r="G206" s="1">
        <v>196</v>
      </c>
      <c r="H206" s="1">
        <f t="shared" si="14"/>
        <v>0</v>
      </c>
      <c r="I206" s="1">
        <f t="shared" si="15"/>
        <v>500</v>
      </c>
      <c r="J206" s="1">
        <f t="shared" si="12"/>
        <v>2.59</v>
      </c>
    </row>
    <row r="207" spans="2:10">
      <c r="B207" s="1">
        <v>197</v>
      </c>
      <c r="C207" s="1">
        <f t="shared" si="13"/>
        <v>500</v>
      </c>
      <c r="E207" s="1">
        <f t="array" ref="E207">INDEX($B$11:$B$247,CEILING(ROW(A197)/3,1))</f>
        <v>66</v>
      </c>
      <c r="F207" s="1">
        <f t="shared" si="16"/>
        <v>2</v>
      </c>
      <c r="G207" s="1">
        <v>197</v>
      </c>
      <c r="H207" s="1">
        <f t="shared" si="14"/>
        <v>0</v>
      </c>
      <c r="I207" s="1">
        <f t="shared" si="15"/>
        <v>500</v>
      </c>
      <c r="J207" s="1">
        <f t="shared" si="12"/>
        <v>2.64</v>
      </c>
    </row>
    <row r="208" spans="2:10">
      <c r="B208" s="1">
        <v>198</v>
      </c>
      <c r="C208" s="1">
        <f t="shared" si="13"/>
        <v>500</v>
      </c>
      <c r="E208" s="1">
        <f t="array" ref="E208">INDEX($B$11:$B$247,CEILING(ROW(A198)/3,1))</f>
        <v>66</v>
      </c>
      <c r="F208" s="1">
        <f t="shared" si="16"/>
        <v>3</v>
      </c>
      <c r="G208" s="1">
        <v>198</v>
      </c>
      <c r="H208" s="1">
        <f t="shared" si="14"/>
        <v>0</v>
      </c>
      <c r="I208" s="1">
        <f t="shared" si="15"/>
        <v>500</v>
      </c>
      <c r="J208" s="1">
        <f t="shared" si="12"/>
        <v>2.69</v>
      </c>
    </row>
    <row r="209" spans="2:10">
      <c r="B209" s="1">
        <v>199</v>
      </c>
      <c r="C209" s="1">
        <f t="shared" si="13"/>
        <v>500</v>
      </c>
      <c r="E209" s="1">
        <f t="array" ref="E209">INDEX($B$11:$B$247,CEILING(ROW(A199)/3,1))</f>
        <v>67</v>
      </c>
      <c r="F209" s="1">
        <f t="shared" si="16"/>
        <v>1</v>
      </c>
      <c r="G209" s="1">
        <v>199</v>
      </c>
      <c r="H209" s="1">
        <f t="shared" si="14"/>
        <v>0</v>
      </c>
      <c r="I209" s="1">
        <f t="shared" si="15"/>
        <v>500</v>
      </c>
      <c r="J209" s="1">
        <f t="shared" si="12"/>
        <v>2.75</v>
      </c>
    </row>
    <row r="210" spans="2:10">
      <c r="B210" s="1">
        <v>200</v>
      </c>
      <c r="C210" s="1">
        <f t="shared" si="13"/>
        <v>500</v>
      </c>
      <c r="E210" s="1">
        <f t="array" ref="E210">INDEX($B$11:$B$247,CEILING(ROW(A200)/3,1))</f>
        <v>67</v>
      </c>
      <c r="F210" s="1">
        <f t="shared" si="16"/>
        <v>2</v>
      </c>
      <c r="G210" s="1">
        <v>200</v>
      </c>
      <c r="H210" s="1">
        <f t="shared" si="14"/>
        <v>0</v>
      </c>
      <c r="I210" s="1">
        <f t="shared" si="15"/>
        <v>500</v>
      </c>
      <c r="J210" s="1">
        <f t="shared" si="12"/>
        <v>2.8</v>
      </c>
    </row>
    <row r="211" spans="2:10">
      <c r="B211" s="1">
        <v>201</v>
      </c>
      <c r="C211" s="1">
        <f t="shared" si="13"/>
        <v>500</v>
      </c>
      <c r="E211" s="1">
        <f t="array" ref="E211">INDEX($B$11:$B$247,CEILING(ROW(A201)/3,1))</f>
        <v>67</v>
      </c>
      <c r="F211" s="1">
        <f t="shared" si="16"/>
        <v>3</v>
      </c>
      <c r="G211" s="1">
        <v>201</v>
      </c>
      <c r="H211" s="1">
        <f t="shared" si="14"/>
        <v>0</v>
      </c>
      <c r="I211" s="1">
        <f t="shared" si="15"/>
        <v>500</v>
      </c>
      <c r="J211" s="1">
        <f t="shared" si="12"/>
        <v>2.86</v>
      </c>
    </row>
    <row r="212" spans="2:10">
      <c r="B212" s="1">
        <v>202</v>
      </c>
      <c r="C212" s="1">
        <f t="shared" si="13"/>
        <v>500</v>
      </c>
      <c r="E212" s="1">
        <f t="array" ref="E212">INDEX($B$11:$B$247,CEILING(ROW(A202)/3,1))</f>
        <v>68</v>
      </c>
      <c r="F212" s="1">
        <f t="shared" si="16"/>
        <v>1</v>
      </c>
      <c r="G212" s="1">
        <v>202</v>
      </c>
      <c r="H212" s="1">
        <f t="shared" si="14"/>
        <v>0</v>
      </c>
      <c r="I212" s="1">
        <f t="shared" si="15"/>
        <v>500</v>
      </c>
      <c r="J212" s="1">
        <f t="shared" si="12"/>
        <v>2.91</v>
      </c>
    </row>
    <row r="213" spans="2:10">
      <c r="B213" s="1">
        <v>203</v>
      </c>
      <c r="C213" s="1">
        <f t="shared" si="13"/>
        <v>500</v>
      </c>
      <c r="E213" s="1">
        <f t="array" ref="E213">INDEX($B$11:$B$247,CEILING(ROW(A203)/3,1))</f>
        <v>68</v>
      </c>
      <c r="F213" s="1">
        <f t="shared" si="16"/>
        <v>2</v>
      </c>
      <c r="G213" s="1">
        <v>203</v>
      </c>
      <c r="H213" s="1">
        <f t="shared" si="14"/>
        <v>0</v>
      </c>
      <c r="I213" s="1">
        <f t="shared" si="15"/>
        <v>500</v>
      </c>
      <c r="J213" s="1">
        <f t="shared" si="12"/>
        <v>2.97</v>
      </c>
    </row>
    <row r="214" spans="2:10">
      <c r="B214" s="1">
        <v>204</v>
      </c>
      <c r="C214" s="1">
        <f t="shared" si="13"/>
        <v>500</v>
      </c>
      <c r="E214" s="1">
        <f t="array" ref="E214">INDEX($B$11:$B$247,CEILING(ROW(A204)/3,1))</f>
        <v>68</v>
      </c>
      <c r="F214" s="1">
        <f t="shared" si="16"/>
        <v>3</v>
      </c>
      <c r="G214" s="1">
        <v>204</v>
      </c>
      <c r="H214" s="1">
        <f t="shared" si="14"/>
        <v>0</v>
      </c>
      <c r="I214" s="1">
        <f t="shared" si="15"/>
        <v>500</v>
      </c>
      <c r="J214" s="1">
        <f t="shared" si="12"/>
        <v>3.03</v>
      </c>
    </row>
    <row r="215" spans="2:10">
      <c r="B215" s="1">
        <v>205</v>
      </c>
      <c r="C215" s="1">
        <f t="shared" si="13"/>
        <v>500</v>
      </c>
      <c r="E215" s="1">
        <f t="array" ref="E215">INDEX($B$11:$B$247,CEILING(ROW(A205)/3,1))</f>
        <v>69</v>
      </c>
      <c r="F215" s="1">
        <f t="shared" si="16"/>
        <v>1</v>
      </c>
      <c r="G215" s="1">
        <v>205</v>
      </c>
      <c r="H215" s="1">
        <f t="shared" si="14"/>
        <v>0</v>
      </c>
      <c r="I215" s="1">
        <f t="shared" si="15"/>
        <v>500</v>
      </c>
      <c r="J215" s="1">
        <f t="shared" si="12"/>
        <v>3.09</v>
      </c>
    </row>
    <row r="216" spans="2:10">
      <c r="B216" s="1">
        <v>206</v>
      </c>
      <c r="C216" s="1">
        <f t="shared" si="13"/>
        <v>500</v>
      </c>
      <c r="E216" s="1">
        <f t="array" ref="E216">INDEX($B$11:$B$247,CEILING(ROW(A206)/3,1))</f>
        <v>69</v>
      </c>
      <c r="F216" s="1">
        <f t="shared" si="16"/>
        <v>2</v>
      </c>
      <c r="G216" s="1">
        <v>206</v>
      </c>
      <c r="H216" s="1">
        <f t="shared" si="14"/>
        <v>0</v>
      </c>
      <c r="I216" s="1">
        <f t="shared" si="15"/>
        <v>500</v>
      </c>
      <c r="J216" s="1">
        <f t="shared" si="12"/>
        <v>3.15</v>
      </c>
    </row>
    <row r="217" spans="2:10">
      <c r="B217" s="1">
        <v>207</v>
      </c>
      <c r="C217" s="1">
        <f t="shared" si="13"/>
        <v>500</v>
      </c>
      <c r="E217" s="1">
        <f t="array" ref="E217">INDEX($B$11:$B$247,CEILING(ROW(A207)/3,1))</f>
        <v>69</v>
      </c>
      <c r="F217" s="1">
        <f t="shared" si="16"/>
        <v>3</v>
      </c>
      <c r="G217" s="1">
        <v>207</v>
      </c>
      <c r="H217" s="1">
        <f t="shared" si="14"/>
        <v>0</v>
      </c>
      <c r="I217" s="1">
        <f t="shared" si="15"/>
        <v>500</v>
      </c>
      <c r="J217" s="1">
        <f t="shared" si="12"/>
        <v>3.22</v>
      </c>
    </row>
    <row r="218" spans="2:10">
      <c r="B218" s="1">
        <v>208</v>
      </c>
      <c r="C218" s="1">
        <f t="shared" si="13"/>
        <v>500</v>
      </c>
      <c r="E218" s="1">
        <f t="array" ref="E218">INDEX($B$11:$B$247,CEILING(ROW(A208)/3,1))</f>
        <v>70</v>
      </c>
      <c r="F218" s="1">
        <f t="shared" si="16"/>
        <v>1</v>
      </c>
      <c r="G218" s="1">
        <v>208</v>
      </c>
      <c r="H218" s="1">
        <f t="shared" si="14"/>
        <v>0</v>
      </c>
      <c r="I218" s="1">
        <f t="shared" si="15"/>
        <v>500</v>
      </c>
      <c r="J218" s="1">
        <f t="shared" si="12"/>
        <v>3.28</v>
      </c>
    </row>
    <row r="219" spans="2:10">
      <c r="B219" s="1">
        <v>209</v>
      </c>
      <c r="C219" s="1">
        <f t="shared" si="13"/>
        <v>500</v>
      </c>
      <c r="E219" s="1">
        <f t="array" ref="E219">INDEX($B$11:$B$247,CEILING(ROW(A209)/3,1))</f>
        <v>70</v>
      </c>
      <c r="F219" s="1">
        <f t="shared" si="16"/>
        <v>2</v>
      </c>
      <c r="G219" s="1">
        <v>209</v>
      </c>
      <c r="H219" s="1">
        <f t="shared" si="14"/>
        <v>0</v>
      </c>
      <c r="I219" s="1">
        <f t="shared" si="15"/>
        <v>500</v>
      </c>
      <c r="J219" s="1">
        <f t="shared" si="12"/>
        <v>3.35</v>
      </c>
    </row>
    <row r="220" spans="2:10">
      <c r="B220" s="1">
        <v>210</v>
      </c>
      <c r="C220" s="1">
        <f t="shared" si="13"/>
        <v>500</v>
      </c>
      <c r="E220" s="1">
        <f t="array" ref="E220">INDEX($B$11:$B$247,CEILING(ROW(A210)/3,1))</f>
        <v>70</v>
      </c>
      <c r="F220" s="1">
        <f t="shared" si="16"/>
        <v>3</v>
      </c>
      <c r="G220" s="1">
        <v>210</v>
      </c>
      <c r="H220" s="1">
        <f t="shared" si="14"/>
        <v>0</v>
      </c>
      <c r="I220" s="1">
        <f t="shared" si="15"/>
        <v>500</v>
      </c>
      <c r="J220" s="1">
        <f t="shared" si="12"/>
        <v>3.41</v>
      </c>
    </row>
    <row r="221" spans="2:10">
      <c r="B221" s="1">
        <v>211</v>
      </c>
      <c r="C221" s="1">
        <f t="shared" si="13"/>
        <v>500</v>
      </c>
      <c r="E221" s="1">
        <f t="array" ref="E221">INDEX($B$11:$B$247,CEILING(ROW(A211)/3,1))</f>
        <v>71</v>
      </c>
      <c r="F221" s="1">
        <f t="shared" si="16"/>
        <v>1</v>
      </c>
      <c r="G221" s="1">
        <v>211</v>
      </c>
      <c r="H221" s="1">
        <f t="shared" si="14"/>
        <v>0</v>
      </c>
      <c r="I221" s="1">
        <f t="shared" si="15"/>
        <v>500</v>
      </c>
      <c r="J221" s="1">
        <f t="shared" si="12"/>
        <v>3.48</v>
      </c>
    </row>
    <row r="222" spans="2:10">
      <c r="B222" s="1">
        <v>212</v>
      </c>
      <c r="C222" s="1">
        <f t="shared" si="13"/>
        <v>500</v>
      </c>
      <c r="E222" s="1">
        <f t="array" ref="E222">INDEX($B$11:$B$247,CEILING(ROW(A212)/3,1))</f>
        <v>71</v>
      </c>
      <c r="F222" s="1">
        <f t="shared" si="16"/>
        <v>2</v>
      </c>
      <c r="G222" s="1">
        <v>212</v>
      </c>
      <c r="H222" s="1">
        <f t="shared" si="14"/>
        <v>0</v>
      </c>
      <c r="I222" s="1">
        <f t="shared" si="15"/>
        <v>500</v>
      </c>
      <c r="J222" s="1">
        <f t="shared" si="12"/>
        <v>3.55</v>
      </c>
    </row>
    <row r="223" spans="2:10">
      <c r="B223" s="1">
        <v>213</v>
      </c>
      <c r="C223" s="1">
        <f t="shared" si="13"/>
        <v>500</v>
      </c>
      <c r="E223" s="1">
        <f t="array" ref="E223">INDEX($B$11:$B$247,CEILING(ROW(A213)/3,1))</f>
        <v>71</v>
      </c>
      <c r="F223" s="1">
        <f t="shared" si="16"/>
        <v>3</v>
      </c>
      <c r="G223" s="1">
        <v>213</v>
      </c>
      <c r="H223" s="1">
        <f t="shared" si="14"/>
        <v>0</v>
      </c>
      <c r="I223" s="1">
        <f t="shared" si="15"/>
        <v>500</v>
      </c>
      <c r="J223" s="1">
        <f t="shared" ref="J223:J286" si="17">ROUND(POWER($N$159,ROW(I223)-158),2)</f>
        <v>3.62</v>
      </c>
    </row>
    <row r="224" spans="2:10">
      <c r="B224" s="1">
        <v>214</v>
      </c>
      <c r="C224" s="1">
        <f t="shared" si="13"/>
        <v>500</v>
      </c>
      <c r="E224" s="1">
        <f t="array" ref="E224">INDEX($B$11:$B$247,CEILING(ROW(A214)/3,1))</f>
        <v>72</v>
      </c>
      <c r="F224" s="1">
        <f t="shared" si="16"/>
        <v>1</v>
      </c>
      <c r="G224" s="1">
        <v>214</v>
      </c>
      <c r="H224" s="1">
        <f t="shared" si="14"/>
        <v>0</v>
      </c>
      <c r="I224" s="1">
        <f t="shared" si="15"/>
        <v>500</v>
      </c>
      <c r="J224" s="1">
        <f t="shared" si="17"/>
        <v>3.69</v>
      </c>
    </row>
    <row r="225" spans="2:10">
      <c r="B225" s="1">
        <v>215</v>
      </c>
      <c r="C225" s="1">
        <f t="shared" si="13"/>
        <v>500</v>
      </c>
      <c r="E225" s="1">
        <f t="array" ref="E225">INDEX($B$11:$B$247,CEILING(ROW(A215)/3,1))</f>
        <v>72</v>
      </c>
      <c r="F225" s="1">
        <f t="shared" si="16"/>
        <v>2</v>
      </c>
      <c r="G225" s="1">
        <v>215</v>
      </c>
      <c r="H225" s="1">
        <f t="shared" si="14"/>
        <v>0</v>
      </c>
      <c r="I225" s="1">
        <f t="shared" si="15"/>
        <v>500</v>
      </c>
      <c r="J225" s="1">
        <f t="shared" si="17"/>
        <v>3.77</v>
      </c>
    </row>
    <row r="226" spans="2:10">
      <c r="B226" s="1">
        <v>216</v>
      </c>
      <c r="C226" s="1">
        <f t="shared" si="13"/>
        <v>500</v>
      </c>
      <c r="E226" s="1">
        <f t="array" ref="E226">INDEX($B$11:$B$247,CEILING(ROW(A216)/3,1))</f>
        <v>72</v>
      </c>
      <c r="F226" s="1">
        <f t="shared" si="16"/>
        <v>3</v>
      </c>
      <c r="G226" s="1">
        <v>216</v>
      </c>
      <c r="H226" s="1">
        <f t="shared" si="14"/>
        <v>0</v>
      </c>
      <c r="I226" s="1">
        <f t="shared" si="15"/>
        <v>500</v>
      </c>
      <c r="J226" s="1">
        <f t="shared" si="17"/>
        <v>3.84</v>
      </c>
    </row>
    <row r="227" spans="2:10">
      <c r="B227" s="1">
        <v>217</v>
      </c>
      <c r="C227" s="1">
        <f t="shared" si="13"/>
        <v>500</v>
      </c>
      <c r="E227" s="1">
        <f t="array" ref="E227">INDEX($B$11:$B$247,CEILING(ROW(A217)/3,1))</f>
        <v>73</v>
      </c>
      <c r="F227" s="1">
        <f t="shared" si="16"/>
        <v>1</v>
      </c>
      <c r="G227" s="1">
        <v>217</v>
      </c>
      <c r="H227" s="1">
        <f t="shared" si="14"/>
        <v>0</v>
      </c>
      <c r="I227" s="1">
        <f t="shared" si="15"/>
        <v>500</v>
      </c>
      <c r="J227" s="1">
        <f t="shared" si="17"/>
        <v>3.92</v>
      </c>
    </row>
    <row r="228" spans="2:10">
      <c r="B228" s="1">
        <v>218</v>
      </c>
      <c r="C228" s="1">
        <f t="shared" si="13"/>
        <v>500</v>
      </c>
      <c r="E228" s="1">
        <f t="array" ref="E228">INDEX($B$11:$B$247,CEILING(ROW(A218)/3,1))</f>
        <v>73</v>
      </c>
      <c r="F228" s="1">
        <f t="shared" si="16"/>
        <v>2</v>
      </c>
      <c r="G228" s="1">
        <v>218</v>
      </c>
      <c r="H228" s="1">
        <f t="shared" si="14"/>
        <v>0</v>
      </c>
      <c r="I228" s="1">
        <f t="shared" si="15"/>
        <v>500</v>
      </c>
      <c r="J228" s="1">
        <f t="shared" si="17"/>
        <v>4</v>
      </c>
    </row>
    <row r="229" spans="2:10">
      <c r="B229" s="1">
        <v>219</v>
      </c>
      <c r="C229" s="1">
        <f t="shared" si="13"/>
        <v>500</v>
      </c>
      <c r="E229" s="1">
        <f t="array" ref="E229">INDEX($B$11:$B$247,CEILING(ROW(A219)/3,1))</f>
        <v>73</v>
      </c>
      <c r="F229" s="1">
        <f t="shared" si="16"/>
        <v>3</v>
      </c>
      <c r="G229" s="1">
        <v>219</v>
      </c>
      <c r="H229" s="1">
        <f t="shared" si="14"/>
        <v>0</v>
      </c>
      <c r="I229" s="1">
        <f t="shared" si="15"/>
        <v>500</v>
      </c>
      <c r="J229" s="1">
        <f t="shared" si="17"/>
        <v>4.08</v>
      </c>
    </row>
    <row r="230" spans="2:10">
      <c r="B230" s="1">
        <v>220</v>
      </c>
      <c r="C230" s="1">
        <f t="shared" si="13"/>
        <v>500</v>
      </c>
      <c r="E230" s="1">
        <f t="array" ref="E230">INDEX($B$11:$B$247,CEILING(ROW(A220)/3,1))</f>
        <v>74</v>
      </c>
      <c r="F230" s="1">
        <f t="shared" si="16"/>
        <v>1</v>
      </c>
      <c r="G230" s="1">
        <v>220</v>
      </c>
      <c r="H230" s="1">
        <f t="shared" si="14"/>
        <v>0</v>
      </c>
      <c r="I230" s="1">
        <f t="shared" si="15"/>
        <v>500</v>
      </c>
      <c r="J230" s="1">
        <f t="shared" si="17"/>
        <v>4.16</v>
      </c>
    </row>
    <row r="231" spans="2:10">
      <c r="B231" s="1">
        <v>221</v>
      </c>
      <c r="C231" s="1">
        <f t="shared" si="13"/>
        <v>500</v>
      </c>
      <c r="E231" s="1">
        <f t="array" ref="E231">INDEX($B$11:$B$247,CEILING(ROW(A221)/3,1))</f>
        <v>74</v>
      </c>
      <c r="F231" s="1">
        <f t="shared" si="16"/>
        <v>2</v>
      </c>
      <c r="G231" s="1">
        <v>221</v>
      </c>
      <c r="H231" s="1">
        <f t="shared" si="14"/>
        <v>0</v>
      </c>
      <c r="I231" s="1">
        <f t="shared" si="15"/>
        <v>500</v>
      </c>
      <c r="J231" s="1">
        <f t="shared" si="17"/>
        <v>4.24</v>
      </c>
    </row>
    <row r="232" spans="2:10">
      <c r="B232" s="1">
        <v>222</v>
      </c>
      <c r="C232" s="1">
        <f t="shared" si="13"/>
        <v>500</v>
      </c>
      <c r="E232" s="1">
        <f t="array" ref="E232">INDEX($B$11:$B$247,CEILING(ROW(A222)/3,1))</f>
        <v>74</v>
      </c>
      <c r="F232" s="1">
        <f t="shared" si="16"/>
        <v>3</v>
      </c>
      <c r="G232" s="1">
        <v>222</v>
      </c>
      <c r="H232" s="1">
        <f t="shared" si="14"/>
        <v>0</v>
      </c>
      <c r="I232" s="1">
        <f t="shared" si="15"/>
        <v>500</v>
      </c>
      <c r="J232" s="1">
        <f t="shared" si="17"/>
        <v>4.33</v>
      </c>
    </row>
    <row r="233" spans="2:10">
      <c r="B233" s="1">
        <v>223</v>
      </c>
      <c r="C233" s="1">
        <f t="shared" si="13"/>
        <v>500</v>
      </c>
      <c r="E233" s="1">
        <f t="array" ref="E233">INDEX($B$11:$B$247,CEILING(ROW(A223)/3,1))</f>
        <v>75</v>
      </c>
      <c r="F233" s="1">
        <f t="shared" si="16"/>
        <v>1</v>
      </c>
      <c r="G233" s="1">
        <v>223</v>
      </c>
      <c r="H233" s="1">
        <f t="shared" si="14"/>
        <v>0</v>
      </c>
      <c r="I233" s="1">
        <f t="shared" si="15"/>
        <v>500</v>
      </c>
      <c r="J233" s="1">
        <f t="shared" si="17"/>
        <v>4.42</v>
      </c>
    </row>
    <row r="234" spans="2:10">
      <c r="B234" s="1">
        <v>224</v>
      </c>
      <c r="C234" s="1">
        <f t="shared" si="13"/>
        <v>500</v>
      </c>
      <c r="E234" s="1">
        <f t="array" ref="E234">INDEX($B$11:$B$247,CEILING(ROW(A224)/3,1))</f>
        <v>75</v>
      </c>
      <c r="F234" s="1">
        <f t="shared" si="16"/>
        <v>2</v>
      </c>
      <c r="G234" s="1">
        <v>224</v>
      </c>
      <c r="H234" s="1">
        <f t="shared" si="14"/>
        <v>0</v>
      </c>
      <c r="I234" s="1">
        <f t="shared" si="15"/>
        <v>500</v>
      </c>
      <c r="J234" s="1">
        <f t="shared" si="17"/>
        <v>4.5</v>
      </c>
    </row>
    <row r="235" spans="2:10">
      <c r="B235" s="1">
        <v>225</v>
      </c>
      <c r="C235" s="1">
        <f t="shared" si="13"/>
        <v>500</v>
      </c>
      <c r="E235" s="1">
        <f t="array" ref="E235">INDEX($B$11:$B$247,CEILING(ROW(A225)/3,1))</f>
        <v>75</v>
      </c>
      <c r="F235" s="1">
        <f t="shared" si="16"/>
        <v>3</v>
      </c>
      <c r="G235" s="1">
        <v>225</v>
      </c>
      <c r="H235" s="1">
        <f t="shared" si="14"/>
        <v>0</v>
      </c>
      <c r="I235" s="1">
        <f t="shared" si="15"/>
        <v>500</v>
      </c>
      <c r="J235" s="1">
        <f t="shared" si="17"/>
        <v>4.59</v>
      </c>
    </row>
    <row r="236" spans="2:10">
      <c r="B236" s="1">
        <v>226</v>
      </c>
      <c r="C236" s="1">
        <f t="shared" si="13"/>
        <v>500</v>
      </c>
      <c r="E236" s="1">
        <f t="array" ref="E236">INDEX($B$11:$B$247,CEILING(ROW(A226)/3,1))</f>
        <v>76</v>
      </c>
      <c r="F236" s="1">
        <f t="shared" si="16"/>
        <v>1</v>
      </c>
      <c r="G236" s="1">
        <v>226</v>
      </c>
      <c r="H236" s="1">
        <f t="shared" si="14"/>
        <v>0</v>
      </c>
      <c r="I236" s="1">
        <f t="shared" si="15"/>
        <v>500</v>
      </c>
      <c r="J236" s="1">
        <f t="shared" si="17"/>
        <v>4.69</v>
      </c>
    </row>
    <row r="237" spans="2:10">
      <c r="B237" s="1">
        <v>227</v>
      </c>
      <c r="C237" s="1">
        <f t="shared" si="13"/>
        <v>500</v>
      </c>
      <c r="E237" s="1">
        <f t="array" ref="E237">INDEX($B$11:$B$247,CEILING(ROW(A227)/3,1))</f>
        <v>76</v>
      </c>
      <c r="F237" s="1">
        <f t="shared" si="16"/>
        <v>2</v>
      </c>
      <c r="G237" s="1">
        <v>227</v>
      </c>
      <c r="H237" s="1">
        <f t="shared" si="14"/>
        <v>0</v>
      </c>
      <c r="I237" s="1">
        <f t="shared" si="15"/>
        <v>500</v>
      </c>
      <c r="J237" s="1">
        <f t="shared" si="17"/>
        <v>4.78</v>
      </c>
    </row>
    <row r="238" spans="2:10">
      <c r="B238" s="1">
        <v>228</v>
      </c>
      <c r="C238" s="1">
        <f t="shared" si="13"/>
        <v>500</v>
      </c>
      <c r="E238" s="1">
        <f t="array" ref="E238">INDEX($B$11:$B$247,CEILING(ROW(A228)/3,1))</f>
        <v>76</v>
      </c>
      <c r="F238" s="1">
        <f t="shared" si="16"/>
        <v>3</v>
      </c>
      <c r="G238" s="1">
        <v>228</v>
      </c>
      <c r="H238" s="1">
        <f t="shared" si="14"/>
        <v>0</v>
      </c>
      <c r="I238" s="1">
        <f t="shared" si="15"/>
        <v>500</v>
      </c>
      <c r="J238" s="1">
        <f t="shared" si="17"/>
        <v>4.88</v>
      </c>
    </row>
    <row r="239" spans="2:10">
      <c r="B239" s="1">
        <v>229</v>
      </c>
      <c r="C239" s="1">
        <f t="shared" si="13"/>
        <v>500</v>
      </c>
      <c r="E239" s="1">
        <f t="array" ref="E239">INDEX($B$11:$B$247,CEILING(ROW(A229)/3,1))</f>
        <v>77</v>
      </c>
      <c r="F239" s="1">
        <f t="shared" si="16"/>
        <v>1</v>
      </c>
      <c r="G239" s="1">
        <v>229</v>
      </c>
      <c r="H239" s="1">
        <f t="shared" si="14"/>
        <v>0</v>
      </c>
      <c r="I239" s="1">
        <f t="shared" si="15"/>
        <v>500</v>
      </c>
      <c r="J239" s="1">
        <f t="shared" si="17"/>
        <v>4.97</v>
      </c>
    </row>
    <row r="240" spans="2:10">
      <c r="B240" s="1">
        <v>230</v>
      </c>
      <c r="C240" s="1">
        <f t="shared" si="13"/>
        <v>500</v>
      </c>
      <c r="E240" s="1">
        <f t="array" ref="E240">INDEX($B$11:$B$247,CEILING(ROW(A230)/3,1))</f>
        <v>77</v>
      </c>
      <c r="F240" s="1">
        <f t="shared" si="16"/>
        <v>2</v>
      </c>
      <c r="G240" s="1">
        <v>230</v>
      </c>
      <c r="H240" s="1">
        <f t="shared" si="14"/>
        <v>0</v>
      </c>
      <c r="I240" s="1">
        <f t="shared" si="15"/>
        <v>500</v>
      </c>
      <c r="J240" s="1">
        <f t="shared" si="17"/>
        <v>5.07</v>
      </c>
    </row>
    <row r="241" spans="2:10">
      <c r="B241" s="1">
        <v>231</v>
      </c>
      <c r="C241" s="1">
        <f t="shared" si="13"/>
        <v>500</v>
      </c>
      <c r="E241" s="1">
        <f t="array" ref="E241">INDEX($B$11:$B$247,CEILING(ROW(A231)/3,1))</f>
        <v>77</v>
      </c>
      <c r="F241" s="1">
        <f t="shared" si="16"/>
        <v>3</v>
      </c>
      <c r="G241" s="1">
        <v>231</v>
      </c>
      <c r="H241" s="1">
        <f t="shared" si="14"/>
        <v>0</v>
      </c>
      <c r="I241" s="1">
        <f t="shared" si="15"/>
        <v>500</v>
      </c>
      <c r="J241" s="1">
        <f t="shared" si="17"/>
        <v>5.17</v>
      </c>
    </row>
    <row r="242" spans="2:10">
      <c r="B242" s="1">
        <v>232</v>
      </c>
      <c r="C242" s="1">
        <f t="shared" si="13"/>
        <v>500</v>
      </c>
      <c r="E242" s="1">
        <f t="array" ref="E242">INDEX($B$11:$B$247,CEILING(ROW(A232)/3,1))</f>
        <v>78</v>
      </c>
      <c r="F242" s="1">
        <f t="shared" si="16"/>
        <v>1</v>
      </c>
      <c r="G242" s="1">
        <v>232</v>
      </c>
      <c r="H242" s="1">
        <f t="shared" si="14"/>
        <v>0</v>
      </c>
      <c r="I242" s="1">
        <f t="shared" si="15"/>
        <v>500</v>
      </c>
      <c r="J242" s="1">
        <f t="shared" si="17"/>
        <v>5.28</v>
      </c>
    </row>
    <row r="243" spans="2:10">
      <c r="B243" s="1">
        <v>233</v>
      </c>
      <c r="C243" s="1">
        <f t="shared" si="13"/>
        <v>500</v>
      </c>
      <c r="E243" s="1">
        <f t="array" ref="E243">INDEX($B$11:$B$247,CEILING(ROW(A233)/3,1))</f>
        <v>78</v>
      </c>
      <c r="F243" s="1">
        <f t="shared" si="16"/>
        <v>2</v>
      </c>
      <c r="G243" s="1">
        <v>233</v>
      </c>
      <c r="H243" s="1">
        <f t="shared" si="14"/>
        <v>0</v>
      </c>
      <c r="I243" s="1">
        <f t="shared" si="15"/>
        <v>500</v>
      </c>
      <c r="J243" s="1">
        <f t="shared" si="17"/>
        <v>5.38</v>
      </c>
    </row>
    <row r="244" spans="2:10">
      <c r="B244" s="1">
        <v>234</v>
      </c>
      <c r="C244" s="1">
        <f t="shared" si="13"/>
        <v>500</v>
      </c>
      <c r="E244" s="1">
        <f t="array" ref="E244">INDEX($B$11:$B$247,CEILING(ROW(A234)/3,1))</f>
        <v>78</v>
      </c>
      <c r="F244" s="1">
        <f t="shared" si="16"/>
        <v>3</v>
      </c>
      <c r="G244" s="1">
        <v>234</v>
      </c>
      <c r="H244" s="1">
        <f t="shared" si="14"/>
        <v>0</v>
      </c>
      <c r="I244" s="1">
        <f t="shared" si="15"/>
        <v>500</v>
      </c>
      <c r="J244" s="1">
        <f t="shared" si="17"/>
        <v>5.49</v>
      </c>
    </row>
    <row r="245" spans="2:10">
      <c r="B245" s="1">
        <v>235</v>
      </c>
      <c r="C245" s="1">
        <f t="shared" si="13"/>
        <v>500</v>
      </c>
      <c r="E245" s="1">
        <f t="array" ref="E245">INDEX($B$11:$B$247,CEILING(ROW(A235)/3,1))</f>
        <v>79</v>
      </c>
      <c r="F245" s="1">
        <f t="shared" si="16"/>
        <v>1</v>
      </c>
      <c r="G245" s="1">
        <v>235</v>
      </c>
      <c r="H245" s="1">
        <f t="shared" si="14"/>
        <v>0</v>
      </c>
      <c r="I245" s="1">
        <f t="shared" si="15"/>
        <v>500</v>
      </c>
      <c r="J245" s="1">
        <f t="shared" si="17"/>
        <v>5.6</v>
      </c>
    </row>
    <row r="246" spans="2:10">
      <c r="B246" s="1">
        <v>236</v>
      </c>
      <c r="C246" s="1">
        <f t="shared" si="13"/>
        <v>500</v>
      </c>
      <c r="E246" s="1">
        <f t="array" ref="E246">INDEX($B$11:$B$247,CEILING(ROW(A236)/3,1))</f>
        <v>79</v>
      </c>
      <c r="F246" s="1">
        <f t="shared" si="16"/>
        <v>2</v>
      </c>
      <c r="G246" s="1">
        <v>236</v>
      </c>
      <c r="H246" s="1">
        <f t="shared" si="14"/>
        <v>0</v>
      </c>
      <c r="I246" s="1">
        <f t="shared" si="15"/>
        <v>500</v>
      </c>
      <c r="J246" s="1">
        <f t="shared" si="17"/>
        <v>5.71</v>
      </c>
    </row>
    <row r="247" spans="2:10">
      <c r="B247" s="1">
        <v>237</v>
      </c>
      <c r="C247" s="1">
        <f t="shared" si="13"/>
        <v>500</v>
      </c>
      <c r="E247" s="1">
        <f t="array" ref="E247">INDEX($B$11:$B$247,CEILING(ROW(A237)/3,1))</f>
        <v>79</v>
      </c>
      <c r="F247" s="1">
        <f t="shared" si="16"/>
        <v>3</v>
      </c>
      <c r="G247" s="1">
        <v>237</v>
      </c>
      <c r="H247" s="1">
        <f t="shared" si="14"/>
        <v>0</v>
      </c>
      <c r="I247" s="1">
        <f t="shared" si="15"/>
        <v>500</v>
      </c>
      <c r="J247" s="1">
        <f t="shared" si="17"/>
        <v>5.83</v>
      </c>
    </row>
    <row r="248" spans="2:10">
      <c r="E248" s="1">
        <f t="array" ref="E248">INDEX($B$11:$B$247,CEILING(ROW(A238)/3,1))</f>
        <v>80</v>
      </c>
      <c r="F248" s="1">
        <f t="shared" si="16"/>
        <v>1</v>
      </c>
      <c r="G248" s="1">
        <v>238</v>
      </c>
      <c r="H248" s="1">
        <f t="shared" si="14"/>
        <v>0</v>
      </c>
      <c r="I248" s="1">
        <f t="shared" si="15"/>
        <v>500</v>
      </c>
      <c r="J248" s="1">
        <f t="shared" si="17"/>
        <v>5.94</v>
      </c>
    </row>
    <row r="249" spans="2:10">
      <c r="E249" s="1">
        <f t="array" ref="E249">INDEX($B$11:$B$247,CEILING(ROW(A239)/3,1))</f>
        <v>80</v>
      </c>
      <c r="F249" s="1">
        <f t="shared" si="16"/>
        <v>2</v>
      </c>
      <c r="G249" s="1">
        <v>239</v>
      </c>
      <c r="H249" s="1">
        <f t="shared" si="14"/>
        <v>0</v>
      </c>
      <c r="I249" s="1">
        <f t="shared" si="15"/>
        <v>500</v>
      </c>
      <c r="J249" s="1">
        <f t="shared" si="17"/>
        <v>6.06</v>
      </c>
    </row>
    <row r="250" spans="2:10">
      <c r="E250" s="1">
        <f t="array" ref="E250">INDEX($B$11:$B$247,CEILING(ROW(A240)/3,1))</f>
        <v>80</v>
      </c>
      <c r="F250" s="1">
        <f t="shared" si="16"/>
        <v>3</v>
      </c>
      <c r="G250" s="1">
        <v>240</v>
      </c>
      <c r="H250" s="1">
        <f t="shared" si="14"/>
        <v>0</v>
      </c>
      <c r="I250" s="1">
        <f t="shared" si="15"/>
        <v>500</v>
      </c>
      <c r="J250" s="1">
        <f t="shared" si="17"/>
        <v>6.18</v>
      </c>
    </row>
    <row r="251" spans="2:10">
      <c r="E251" s="1">
        <f t="array" ref="E251">INDEX($B$11:$B$247,CEILING(ROW(A241)/3,1))</f>
        <v>81</v>
      </c>
      <c r="F251" s="1">
        <f t="shared" si="16"/>
        <v>1</v>
      </c>
      <c r="G251" s="1">
        <v>241</v>
      </c>
      <c r="H251" s="1">
        <f t="shared" si="14"/>
        <v>0</v>
      </c>
      <c r="I251" s="1">
        <f t="shared" si="15"/>
        <v>500</v>
      </c>
      <c r="J251" s="1">
        <f t="shared" si="17"/>
        <v>6.31</v>
      </c>
    </row>
    <row r="252" spans="2:10">
      <c r="E252" s="1">
        <f t="array" ref="E252">INDEX($B$11:$B$247,CEILING(ROW(A242)/3,1))</f>
        <v>81</v>
      </c>
      <c r="F252" s="1">
        <f t="shared" si="16"/>
        <v>2</v>
      </c>
      <c r="G252" s="1">
        <v>242</v>
      </c>
      <c r="H252" s="1">
        <f t="shared" si="14"/>
        <v>0</v>
      </c>
      <c r="I252" s="1">
        <f t="shared" si="15"/>
        <v>500</v>
      </c>
      <c r="J252" s="1">
        <f t="shared" si="17"/>
        <v>6.43</v>
      </c>
    </row>
    <row r="253" spans="2:10">
      <c r="E253" s="1">
        <f t="array" ref="E253">INDEX($B$11:$B$247,CEILING(ROW(A243)/3,1))</f>
        <v>81</v>
      </c>
      <c r="F253" s="1">
        <f t="shared" si="16"/>
        <v>3</v>
      </c>
      <c r="G253" s="1">
        <v>243</v>
      </c>
      <c r="H253" s="1">
        <f t="shared" si="14"/>
        <v>0</v>
      </c>
      <c r="I253" s="1">
        <f t="shared" si="15"/>
        <v>500</v>
      </c>
      <c r="J253" s="1">
        <f t="shared" si="17"/>
        <v>6.56</v>
      </c>
    </row>
    <row r="254" spans="2:10">
      <c r="E254" s="1">
        <f t="array" ref="E254">INDEX($B$11:$B$247,CEILING(ROW(A244)/3,1))</f>
        <v>82</v>
      </c>
      <c r="F254" s="1">
        <f t="shared" si="16"/>
        <v>1</v>
      </c>
      <c r="G254" s="1">
        <v>244</v>
      </c>
      <c r="H254" s="1">
        <f t="shared" si="14"/>
        <v>0</v>
      </c>
      <c r="I254" s="1">
        <f t="shared" si="15"/>
        <v>500</v>
      </c>
      <c r="J254" s="1">
        <f t="shared" si="17"/>
        <v>6.69</v>
      </c>
    </row>
    <row r="255" spans="2:10">
      <c r="E255" s="1">
        <f t="array" ref="E255">INDEX($B$11:$B$247,CEILING(ROW(A245)/3,1))</f>
        <v>82</v>
      </c>
      <c r="F255" s="1">
        <f t="shared" si="16"/>
        <v>2</v>
      </c>
      <c r="G255" s="1">
        <v>245</v>
      </c>
      <c r="H255" s="1">
        <f t="shared" si="14"/>
        <v>0</v>
      </c>
      <c r="I255" s="1">
        <f t="shared" si="15"/>
        <v>500</v>
      </c>
      <c r="J255" s="1">
        <f t="shared" si="17"/>
        <v>6.83</v>
      </c>
    </row>
    <row r="256" spans="2:10">
      <c r="E256" s="1">
        <f t="array" ref="E256">INDEX($B$11:$B$247,CEILING(ROW(A246)/3,1))</f>
        <v>82</v>
      </c>
      <c r="F256" s="1">
        <f t="shared" si="16"/>
        <v>3</v>
      </c>
      <c r="G256" s="1">
        <v>246</v>
      </c>
      <c r="H256" s="1">
        <f t="shared" si="14"/>
        <v>0</v>
      </c>
      <c r="I256" s="1">
        <f t="shared" si="15"/>
        <v>500</v>
      </c>
      <c r="J256" s="1">
        <f t="shared" si="17"/>
        <v>6.96</v>
      </c>
    </row>
    <row r="257" spans="5:10">
      <c r="E257" s="1">
        <f t="array" ref="E257">INDEX($B$11:$B$247,CEILING(ROW(A247)/3,1))</f>
        <v>83</v>
      </c>
      <c r="F257" s="1">
        <f t="shared" si="16"/>
        <v>1</v>
      </c>
      <c r="G257" s="1">
        <v>247</v>
      </c>
      <c r="H257" s="1">
        <f t="shared" si="14"/>
        <v>0</v>
      </c>
      <c r="I257" s="1">
        <f t="shared" si="15"/>
        <v>500</v>
      </c>
      <c r="J257" s="1">
        <f t="shared" si="17"/>
        <v>7.1</v>
      </c>
    </row>
    <row r="258" spans="5:10">
      <c r="E258" s="1">
        <f t="array" ref="E258">INDEX($B$11:$B$247,CEILING(ROW(A248)/3,1))</f>
        <v>83</v>
      </c>
      <c r="F258" s="1">
        <f t="shared" si="16"/>
        <v>2</v>
      </c>
      <c r="G258" s="1">
        <v>248</v>
      </c>
      <c r="H258" s="1">
        <f t="shared" si="14"/>
        <v>0</v>
      </c>
      <c r="I258" s="1">
        <f t="shared" si="15"/>
        <v>500</v>
      </c>
      <c r="J258" s="1">
        <f t="shared" si="17"/>
        <v>7.24</v>
      </c>
    </row>
    <row r="259" spans="5:10">
      <c r="E259" s="1">
        <f t="array" ref="E259">INDEX($B$11:$B$247,CEILING(ROW(A249)/3,1))</f>
        <v>83</v>
      </c>
      <c r="F259" s="1">
        <f t="shared" si="16"/>
        <v>3</v>
      </c>
      <c r="G259" s="1">
        <v>249</v>
      </c>
      <c r="H259" s="1">
        <f t="shared" si="14"/>
        <v>0</v>
      </c>
      <c r="I259" s="1">
        <f t="shared" si="15"/>
        <v>500</v>
      </c>
      <c r="J259" s="1">
        <f t="shared" si="17"/>
        <v>7.39</v>
      </c>
    </row>
    <row r="260" spans="5:10">
      <c r="E260" s="1">
        <f t="array" ref="E260">INDEX($B$11:$B$247,CEILING(ROW(A250)/3,1))</f>
        <v>84</v>
      </c>
      <c r="F260" s="1">
        <f t="shared" si="16"/>
        <v>1</v>
      </c>
      <c r="G260" s="1">
        <v>250</v>
      </c>
      <c r="H260" s="1">
        <f t="shared" si="14"/>
        <v>0</v>
      </c>
      <c r="I260" s="1">
        <f t="shared" si="15"/>
        <v>500</v>
      </c>
      <c r="J260" s="1">
        <f t="shared" si="17"/>
        <v>7.54</v>
      </c>
    </row>
    <row r="261" spans="5:10">
      <c r="E261" s="1">
        <f t="array" ref="E261">INDEX($B$11:$B$247,CEILING(ROW(A251)/3,1))</f>
        <v>84</v>
      </c>
      <c r="F261" s="1">
        <f t="shared" si="16"/>
        <v>2</v>
      </c>
      <c r="G261" s="1">
        <v>251</v>
      </c>
      <c r="H261" s="1">
        <f t="shared" si="14"/>
        <v>0</v>
      </c>
      <c r="I261" s="1">
        <f t="shared" si="15"/>
        <v>500</v>
      </c>
      <c r="J261" s="1">
        <f t="shared" si="17"/>
        <v>7.69</v>
      </c>
    </row>
    <row r="262" spans="5:10">
      <c r="E262" s="1">
        <f t="array" ref="E262">INDEX($B$11:$B$247,CEILING(ROW(A252)/3,1))</f>
        <v>84</v>
      </c>
      <c r="F262" s="1">
        <f t="shared" si="16"/>
        <v>3</v>
      </c>
      <c r="G262" s="1">
        <v>252</v>
      </c>
      <c r="H262" s="1">
        <f t="shared" si="14"/>
        <v>0</v>
      </c>
      <c r="I262" s="1">
        <f t="shared" si="15"/>
        <v>500</v>
      </c>
      <c r="J262" s="1">
        <f t="shared" si="17"/>
        <v>7.84</v>
      </c>
    </row>
    <row r="263" spans="5:10">
      <c r="E263" s="1">
        <f t="array" ref="E263">INDEX($B$11:$B$247,CEILING(ROW(A253)/3,1))</f>
        <v>85</v>
      </c>
      <c r="F263" s="1">
        <f t="shared" si="16"/>
        <v>1</v>
      </c>
      <c r="G263" s="1">
        <v>253</v>
      </c>
      <c r="H263" s="1">
        <f t="shared" si="14"/>
        <v>0</v>
      </c>
      <c r="I263" s="1">
        <f t="shared" si="15"/>
        <v>500</v>
      </c>
      <c r="J263" s="1">
        <f t="shared" si="17"/>
        <v>8</v>
      </c>
    </row>
    <row r="264" spans="5:10">
      <c r="E264" s="1">
        <f t="array" ref="E264">INDEX($B$11:$B$247,CEILING(ROW(A254)/3,1))</f>
        <v>85</v>
      </c>
      <c r="F264" s="1">
        <f t="shared" si="16"/>
        <v>2</v>
      </c>
      <c r="G264" s="1">
        <v>254</v>
      </c>
      <c r="H264" s="1">
        <f t="shared" si="14"/>
        <v>0</v>
      </c>
      <c r="I264" s="1">
        <f t="shared" si="15"/>
        <v>500</v>
      </c>
      <c r="J264" s="1">
        <f t="shared" si="17"/>
        <v>8.16</v>
      </c>
    </row>
    <row r="265" spans="5:10">
      <c r="E265" s="1">
        <f t="array" ref="E265">INDEX($B$11:$B$247,CEILING(ROW(A255)/3,1))</f>
        <v>85</v>
      </c>
      <c r="F265" s="1">
        <f t="shared" si="16"/>
        <v>3</v>
      </c>
      <c r="G265" s="1">
        <v>255</v>
      </c>
      <c r="H265" s="1">
        <f t="shared" si="14"/>
        <v>0</v>
      </c>
      <c r="I265" s="1">
        <f t="shared" si="15"/>
        <v>500</v>
      </c>
      <c r="J265" s="1">
        <f t="shared" si="17"/>
        <v>8.32</v>
      </c>
    </row>
    <row r="266" spans="5:10">
      <c r="E266" s="1">
        <f t="array" ref="E266">INDEX($B$11:$B$247,CEILING(ROW(A256)/3,1))</f>
        <v>86</v>
      </c>
      <c r="F266" s="1">
        <f t="shared" si="16"/>
        <v>1</v>
      </c>
      <c r="G266" s="1">
        <v>256</v>
      </c>
      <c r="H266" s="1">
        <f t="shared" si="14"/>
        <v>0</v>
      </c>
      <c r="I266" s="1">
        <f t="shared" si="15"/>
        <v>500</v>
      </c>
      <c r="J266" s="1">
        <f t="shared" si="17"/>
        <v>8.49</v>
      </c>
    </row>
    <row r="267" spans="5:10">
      <c r="E267" s="1">
        <f t="array" ref="E267">INDEX($B$11:$B$247,CEILING(ROW(A257)/3,1))</f>
        <v>86</v>
      </c>
      <c r="F267" s="1">
        <f t="shared" si="16"/>
        <v>2</v>
      </c>
      <c r="G267" s="1">
        <v>257</v>
      </c>
      <c r="H267" s="1">
        <f t="shared" ref="H267:H330" si="18">_xlfn.IFNA(VLOOKUP(E270,$B$11:$C$247,2,0)-VLOOKUP(E267,$B$11:$C$247,2,0),0)</f>
        <v>0</v>
      </c>
      <c r="I267" s="1">
        <f t="shared" ref="I267:I330" si="19">ROUND(VLOOKUP(E267,$B$11:$C$247,2,0)+VLOOKUP(F267,$J$3:$K$5,2,0)*H267,0)</f>
        <v>500</v>
      </c>
      <c r="J267" s="1">
        <f t="shared" si="17"/>
        <v>8.66</v>
      </c>
    </row>
    <row r="268" spans="5:10">
      <c r="E268" s="1">
        <f t="array" ref="E268">INDEX($B$11:$B$247,CEILING(ROW(A258)/3,1))</f>
        <v>86</v>
      </c>
      <c r="F268" s="1">
        <f t="shared" si="16"/>
        <v>3</v>
      </c>
      <c r="G268" s="1">
        <v>258</v>
      </c>
      <c r="H268" s="1">
        <f t="shared" si="18"/>
        <v>0</v>
      </c>
      <c r="I268" s="1">
        <f t="shared" si="19"/>
        <v>500</v>
      </c>
      <c r="J268" s="1">
        <f t="shared" si="17"/>
        <v>8.83</v>
      </c>
    </row>
    <row r="269" spans="5:10">
      <c r="E269" s="1">
        <f t="array" ref="E269">INDEX($B$11:$B$247,CEILING(ROW(A259)/3,1))</f>
        <v>87</v>
      </c>
      <c r="F269" s="1">
        <f t="shared" si="16"/>
        <v>1</v>
      </c>
      <c r="G269" s="1">
        <v>259</v>
      </c>
      <c r="H269" s="1">
        <f t="shared" si="18"/>
        <v>0</v>
      </c>
      <c r="I269" s="1">
        <f t="shared" si="19"/>
        <v>500</v>
      </c>
      <c r="J269" s="1">
        <f t="shared" si="17"/>
        <v>9.01</v>
      </c>
    </row>
    <row r="270" spans="5:10">
      <c r="E270" s="1">
        <f t="array" ref="E270">INDEX($B$11:$B$247,CEILING(ROW(A260)/3,1))</f>
        <v>87</v>
      </c>
      <c r="F270" s="1">
        <f t="shared" ref="F270:F333" si="20">F267</f>
        <v>2</v>
      </c>
      <c r="G270" s="1">
        <v>260</v>
      </c>
      <c r="H270" s="1">
        <f t="shared" si="18"/>
        <v>0</v>
      </c>
      <c r="I270" s="1">
        <f t="shared" si="19"/>
        <v>500</v>
      </c>
      <c r="J270" s="1">
        <f t="shared" si="17"/>
        <v>9.19</v>
      </c>
    </row>
    <row r="271" spans="5:10">
      <c r="E271" s="1">
        <f t="array" ref="E271">INDEX($B$11:$B$247,CEILING(ROW(A261)/3,1))</f>
        <v>87</v>
      </c>
      <c r="F271" s="1">
        <f t="shared" si="20"/>
        <v>3</v>
      </c>
      <c r="G271" s="1">
        <v>261</v>
      </c>
      <c r="H271" s="1">
        <f t="shared" si="18"/>
        <v>0</v>
      </c>
      <c r="I271" s="1">
        <f t="shared" si="19"/>
        <v>500</v>
      </c>
      <c r="J271" s="1">
        <f t="shared" si="17"/>
        <v>9.37</v>
      </c>
    </row>
    <row r="272" spans="5:10">
      <c r="E272" s="1">
        <f t="array" ref="E272">INDEX($B$11:$B$247,CEILING(ROW(A262)/3,1))</f>
        <v>88</v>
      </c>
      <c r="F272" s="1">
        <f t="shared" si="20"/>
        <v>1</v>
      </c>
      <c r="G272" s="1">
        <v>262</v>
      </c>
      <c r="H272" s="1">
        <f t="shared" si="18"/>
        <v>0</v>
      </c>
      <c r="I272" s="1">
        <f t="shared" si="19"/>
        <v>500</v>
      </c>
      <c r="J272" s="1">
        <f t="shared" si="17"/>
        <v>9.56</v>
      </c>
    </row>
    <row r="273" spans="5:10">
      <c r="E273" s="1">
        <f t="array" ref="E273">INDEX($B$11:$B$247,CEILING(ROW(A263)/3,1))</f>
        <v>88</v>
      </c>
      <c r="F273" s="1">
        <f t="shared" si="20"/>
        <v>2</v>
      </c>
      <c r="G273" s="1">
        <v>263</v>
      </c>
      <c r="H273" s="1">
        <f t="shared" si="18"/>
        <v>0</v>
      </c>
      <c r="I273" s="1">
        <f t="shared" si="19"/>
        <v>500</v>
      </c>
      <c r="J273" s="1">
        <f t="shared" si="17"/>
        <v>9.75</v>
      </c>
    </row>
    <row r="274" spans="5:10">
      <c r="E274" s="1">
        <f t="array" ref="E274">INDEX($B$11:$B$247,CEILING(ROW(A264)/3,1))</f>
        <v>88</v>
      </c>
      <c r="F274" s="1">
        <f t="shared" si="20"/>
        <v>3</v>
      </c>
      <c r="G274" s="1">
        <v>264</v>
      </c>
      <c r="H274" s="1">
        <f t="shared" si="18"/>
        <v>0</v>
      </c>
      <c r="I274" s="1">
        <f t="shared" si="19"/>
        <v>500</v>
      </c>
      <c r="J274" s="1">
        <f t="shared" si="17"/>
        <v>9.95</v>
      </c>
    </row>
    <row r="275" spans="5:10">
      <c r="E275" s="1">
        <f t="array" ref="E275">INDEX($B$11:$B$247,CEILING(ROW(A265)/3,1))</f>
        <v>89</v>
      </c>
      <c r="F275" s="1">
        <f t="shared" si="20"/>
        <v>1</v>
      </c>
      <c r="G275" s="1">
        <v>265</v>
      </c>
      <c r="H275" s="1">
        <f t="shared" si="18"/>
        <v>0</v>
      </c>
      <c r="I275" s="1">
        <f t="shared" si="19"/>
        <v>500</v>
      </c>
      <c r="J275" s="1">
        <f t="shared" si="17"/>
        <v>10.14</v>
      </c>
    </row>
    <row r="276" spans="5:10">
      <c r="E276" s="1">
        <f t="array" ref="E276">INDEX($B$11:$B$247,CEILING(ROW(A266)/3,1))</f>
        <v>89</v>
      </c>
      <c r="F276" s="1">
        <f t="shared" si="20"/>
        <v>2</v>
      </c>
      <c r="G276" s="1">
        <v>266</v>
      </c>
      <c r="H276" s="1">
        <f t="shared" si="18"/>
        <v>0</v>
      </c>
      <c r="I276" s="1">
        <f t="shared" si="19"/>
        <v>500</v>
      </c>
      <c r="J276" s="1">
        <f t="shared" si="17"/>
        <v>10.35</v>
      </c>
    </row>
    <row r="277" spans="5:10">
      <c r="E277" s="1">
        <f t="array" ref="E277">INDEX($B$11:$B$247,CEILING(ROW(A267)/3,1))</f>
        <v>89</v>
      </c>
      <c r="F277" s="1">
        <f t="shared" si="20"/>
        <v>3</v>
      </c>
      <c r="G277" s="1">
        <v>267</v>
      </c>
      <c r="H277" s="1">
        <f t="shared" si="18"/>
        <v>0</v>
      </c>
      <c r="I277" s="1">
        <f t="shared" si="19"/>
        <v>500</v>
      </c>
      <c r="J277" s="1">
        <f t="shared" si="17"/>
        <v>10.55</v>
      </c>
    </row>
    <row r="278" spans="5:10">
      <c r="E278" s="1">
        <f t="array" ref="E278">INDEX($B$11:$B$247,CEILING(ROW(A268)/3,1))</f>
        <v>90</v>
      </c>
      <c r="F278" s="1">
        <f t="shared" si="20"/>
        <v>1</v>
      </c>
      <c r="G278" s="1">
        <v>268</v>
      </c>
      <c r="H278" s="1">
        <f t="shared" si="18"/>
        <v>0</v>
      </c>
      <c r="I278" s="1">
        <f t="shared" si="19"/>
        <v>500</v>
      </c>
      <c r="J278" s="1">
        <f t="shared" si="17"/>
        <v>10.77</v>
      </c>
    </row>
    <row r="279" spans="5:10">
      <c r="E279" s="1">
        <f t="array" ref="E279">INDEX($B$11:$B$247,CEILING(ROW(A269)/3,1))</f>
        <v>90</v>
      </c>
      <c r="F279" s="1">
        <f t="shared" si="20"/>
        <v>2</v>
      </c>
      <c r="G279" s="1">
        <v>269</v>
      </c>
      <c r="H279" s="1">
        <f t="shared" si="18"/>
        <v>0</v>
      </c>
      <c r="I279" s="1">
        <f t="shared" si="19"/>
        <v>500</v>
      </c>
      <c r="J279" s="1">
        <f t="shared" si="17"/>
        <v>10.98</v>
      </c>
    </row>
    <row r="280" spans="5:10">
      <c r="E280" s="1">
        <f t="array" ref="E280">INDEX($B$11:$B$247,CEILING(ROW(A270)/3,1))</f>
        <v>90</v>
      </c>
      <c r="F280" s="1">
        <f t="shared" si="20"/>
        <v>3</v>
      </c>
      <c r="G280" s="1">
        <v>270</v>
      </c>
      <c r="H280" s="1">
        <f t="shared" si="18"/>
        <v>0</v>
      </c>
      <c r="I280" s="1">
        <f t="shared" si="19"/>
        <v>500</v>
      </c>
      <c r="J280" s="1">
        <f t="shared" si="17"/>
        <v>11.2</v>
      </c>
    </row>
    <row r="281" spans="5:10">
      <c r="E281" s="1">
        <f t="array" ref="E281">INDEX($B$11:$B$247,CEILING(ROW(A271)/3,1))</f>
        <v>91</v>
      </c>
      <c r="F281" s="1">
        <f t="shared" si="20"/>
        <v>1</v>
      </c>
      <c r="G281" s="1">
        <v>271</v>
      </c>
      <c r="H281" s="1">
        <f t="shared" si="18"/>
        <v>0</v>
      </c>
      <c r="I281" s="1">
        <f t="shared" si="19"/>
        <v>500</v>
      </c>
      <c r="J281" s="1">
        <f t="shared" si="17"/>
        <v>11.42</v>
      </c>
    </row>
    <row r="282" spans="5:10">
      <c r="E282" s="1">
        <f t="array" ref="E282">INDEX($B$11:$B$247,CEILING(ROW(A272)/3,1))</f>
        <v>91</v>
      </c>
      <c r="F282" s="1">
        <f t="shared" si="20"/>
        <v>2</v>
      </c>
      <c r="G282" s="1">
        <v>272</v>
      </c>
      <c r="H282" s="1">
        <f t="shared" si="18"/>
        <v>0</v>
      </c>
      <c r="I282" s="1">
        <f t="shared" si="19"/>
        <v>500</v>
      </c>
      <c r="J282" s="1">
        <f t="shared" si="17"/>
        <v>11.65</v>
      </c>
    </row>
    <row r="283" spans="5:10">
      <c r="E283" s="1">
        <f t="array" ref="E283">INDEX($B$11:$B$247,CEILING(ROW(A273)/3,1))</f>
        <v>91</v>
      </c>
      <c r="F283" s="1">
        <f t="shared" si="20"/>
        <v>3</v>
      </c>
      <c r="G283" s="1">
        <v>273</v>
      </c>
      <c r="H283" s="1">
        <f t="shared" si="18"/>
        <v>0</v>
      </c>
      <c r="I283" s="1">
        <f t="shared" si="19"/>
        <v>500</v>
      </c>
      <c r="J283" s="1">
        <f t="shared" si="17"/>
        <v>11.89</v>
      </c>
    </row>
    <row r="284" spans="5:10">
      <c r="E284" s="1">
        <f t="array" ref="E284">INDEX($B$11:$B$247,CEILING(ROW(A274)/3,1))</f>
        <v>92</v>
      </c>
      <c r="F284" s="1">
        <f t="shared" si="20"/>
        <v>1</v>
      </c>
      <c r="G284" s="1">
        <v>274</v>
      </c>
      <c r="H284" s="1">
        <f t="shared" si="18"/>
        <v>0</v>
      </c>
      <c r="I284" s="1">
        <f t="shared" si="19"/>
        <v>500</v>
      </c>
      <c r="J284" s="1">
        <f t="shared" si="17"/>
        <v>12.12</v>
      </c>
    </row>
    <row r="285" spans="5:10">
      <c r="E285" s="1">
        <f t="array" ref="E285">INDEX($B$11:$B$247,CEILING(ROW(A275)/3,1))</f>
        <v>92</v>
      </c>
      <c r="F285" s="1">
        <f t="shared" si="20"/>
        <v>2</v>
      </c>
      <c r="G285" s="1">
        <v>275</v>
      </c>
      <c r="H285" s="1">
        <f t="shared" si="18"/>
        <v>0</v>
      </c>
      <c r="I285" s="1">
        <f t="shared" si="19"/>
        <v>500</v>
      </c>
      <c r="J285" s="1">
        <f t="shared" si="17"/>
        <v>12.37</v>
      </c>
    </row>
    <row r="286" spans="5:10">
      <c r="E286" s="1">
        <f t="array" ref="E286">INDEX($B$11:$B$247,CEILING(ROW(A276)/3,1))</f>
        <v>92</v>
      </c>
      <c r="F286" s="1">
        <f t="shared" si="20"/>
        <v>3</v>
      </c>
      <c r="G286" s="1">
        <v>276</v>
      </c>
      <c r="H286" s="1">
        <f t="shared" si="18"/>
        <v>0</v>
      </c>
      <c r="I286" s="1">
        <f t="shared" si="19"/>
        <v>500</v>
      </c>
      <c r="J286" s="1">
        <f t="shared" si="17"/>
        <v>12.61</v>
      </c>
    </row>
    <row r="287" spans="5:10">
      <c r="E287" s="1">
        <f t="array" ref="E287">INDEX($B$11:$B$247,CEILING(ROW(A277)/3,1))</f>
        <v>93</v>
      </c>
      <c r="F287" s="1">
        <f t="shared" si="20"/>
        <v>1</v>
      </c>
      <c r="G287" s="1">
        <v>277</v>
      </c>
      <c r="H287" s="1">
        <f t="shared" si="18"/>
        <v>0</v>
      </c>
      <c r="I287" s="1">
        <f t="shared" si="19"/>
        <v>500</v>
      </c>
      <c r="J287" s="1">
        <f t="shared" ref="J287:J350" si="21">ROUND(POWER($N$159,ROW(I287)-158),2)</f>
        <v>12.87</v>
      </c>
    </row>
    <row r="288" spans="5:10">
      <c r="E288" s="1">
        <f t="array" ref="E288">INDEX($B$11:$B$247,CEILING(ROW(A278)/3,1))</f>
        <v>93</v>
      </c>
      <c r="F288" s="1">
        <f t="shared" si="20"/>
        <v>2</v>
      </c>
      <c r="G288" s="1">
        <v>278</v>
      </c>
      <c r="H288" s="1">
        <f t="shared" si="18"/>
        <v>0</v>
      </c>
      <c r="I288" s="1">
        <f t="shared" si="19"/>
        <v>500</v>
      </c>
      <c r="J288" s="1">
        <f t="shared" si="21"/>
        <v>13.12</v>
      </c>
    </row>
    <row r="289" spans="5:10">
      <c r="E289" s="1">
        <f t="array" ref="E289">INDEX($B$11:$B$247,CEILING(ROW(A279)/3,1))</f>
        <v>93</v>
      </c>
      <c r="F289" s="1">
        <f t="shared" si="20"/>
        <v>3</v>
      </c>
      <c r="G289" s="1">
        <v>279</v>
      </c>
      <c r="H289" s="1">
        <f t="shared" si="18"/>
        <v>0</v>
      </c>
      <c r="I289" s="1">
        <f t="shared" si="19"/>
        <v>500</v>
      </c>
      <c r="J289" s="1">
        <f t="shared" si="21"/>
        <v>13.39</v>
      </c>
    </row>
    <row r="290" spans="5:10">
      <c r="E290" s="1">
        <f t="array" ref="E290">INDEX($B$11:$B$247,CEILING(ROW(A280)/3,1))</f>
        <v>94</v>
      </c>
      <c r="F290" s="1">
        <f t="shared" si="20"/>
        <v>1</v>
      </c>
      <c r="G290" s="1">
        <v>280</v>
      </c>
      <c r="H290" s="1">
        <f t="shared" si="18"/>
        <v>0</v>
      </c>
      <c r="I290" s="1">
        <f t="shared" si="19"/>
        <v>500</v>
      </c>
      <c r="J290" s="1">
        <f t="shared" si="21"/>
        <v>13.65</v>
      </c>
    </row>
    <row r="291" spans="5:10">
      <c r="E291" s="1">
        <f t="array" ref="E291">INDEX($B$11:$B$247,CEILING(ROW(A281)/3,1))</f>
        <v>94</v>
      </c>
      <c r="F291" s="1">
        <f t="shared" si="20"/>
        <v>2</v>
      </c>
      <c r="G291" s="1">
        <v>281</v>
      </c>
      <c r="H291" s="1">
        <f t="shared" si="18"/>
        <v>0</v>
      </c>
      <c r="I291" s="1">
        <f t="shared" si="19"/>
        <v>500</v>
      </c>
      <c r="J291" s="1">
        <f t="shared" si="21"/>
        <v>13.93</v>
      </c>
    </row>
    <row r="292" spans="5:10">
      <c r="E292" s="1">
        <f t="array" ref="E292">INDEX($B$11:$B$247,CEILING(ROW(A282)/3,1))</f>
        <v>94</v>
      </c>
      <c r="F292" s="1">
        <f t="shared" si="20"/>
        <v>3</v>
      </c>
      <c r="G292" s="1">
        <v>282</v>
      </c>
      <c r="H292" s="1">
        <f t="shared" si="18"/>
        <v>0</v>
      </c>
      <c r="I292" s="1">
        <f t="shared" si="19"/>
        <v>500</v>
      </c>
      <c r="J292" s="1">
        <f t="shared" si="21"/>
        <v>14.2</v>
      </c>
    </row>
    <row r="293" spans="5:10">
      <c r="E293" s="1">
        <f t="array" ref="E293">INDEX($B$11:$B$247,CEILING(ROW(A283)/3,1))</f>
        <v>95</v>
      </c>
      <c r="F293" s="1">
        <f t="shared" si="20"/>
        <v>1</v>
      </c>
      <c r="G293" s="1">
        <v>283</v>
      </c>
      <c r="H293" s="1">
        <f t="shared" si="18"/>
        <v>0</v>
      </c>
      <c r="I293" s="1">
        <f t="shared" si="19"/>
        <v>500</v>
      </c>
      <c r="J293" s="1">
        <f t="shared" si="21"/>
        <v>14.49</v>
      </c>
    </row>
    <row r="294" spans="5:10">
      <c r="E294" s="1">
        <f t="array" ref="E294">INDEX($B$11:$B$247,CEILING(ROW(A284)/3,1))</f>
        <v>95</v>
      </c>
      <c r="F294" s="1">
        <f t="shared" si="20"/>
        <v>2</v>
      </c>
      <c r="G294" s="1">
        <v>284</v>
      </c>
      <c r="H294" s="1">
        <f t="shared" si="18"/>
        <v>0</v>
      </c>
      <c r="I294" s="1">
        <f t="shared" si="19"/>
        <v>500</v>
      </c>
      <c r="J294" s="1">
        <f t="shared" si="21"/>
        <v>14.78</v>
      </c>
    </row>
    <row r="295" spans="5:10">
      <c r="E295" s="1">
        <f t="array" ref="E295">INDEX($B$11:$B$247,CEILING(ROW(A285)/3,1))</f>
        <v>95</v>
      </c>
      <c r="F295" s="1">
        <f t="shared" si="20"/>
        <v>3</v>
      </c>
      <c r="G295" s="1">
        <v>285</v>
      </c>
      <c r="H295" s="1">
        <f t="shared" si="18"/>
        <v>0</v>
      </c>
      <c r="I295" s="1">
        <f t="shared" si="19"/>
        <v>500</v>
      </c>
      <c r="J295" s="1">
        <f t="shared" si="21"/>
        <v>15.07</v>
      </c>
    </row>
    <row r="296" spans="5:10">
      <c r="E296" s="1">
        <f t="array" ref="E296">INDEX($B$11:$B$247,CEILING(ROW(A286)/3,1))</f>
        <v>96</v>
      </c>
      <c r="F296" s="1">
        <f t="shared" si="20"/>
        <v>1</v>
      </c>
      <c r="G296" s="1">
        <v>286</v>
      </c>
      <c r="H296" s="1">
        <f t="shared" si="18"/>
        <v>0</v>
      </c>
      <c r="I296" s="1">
        <f t="shared" si="19"/>
        <v>500</v>
      </c>
      <c r="J296" s="1">
        <f t="shared" si="21"/>
        <v>15.38</v>
      </c>
    </row>
    <row r="297" spans="5:10">
      <c r="E297" s="1">
        <f t="array" ref="E297">INDEX($B$11:$B$247,CEILING(ROW(A287)/3,1))</f>
        <v>96</v>
      </c>
      <c r="F297" s="1">
        <f t="shared" si="20"/>
        <v>2</v>
      </c>
      <c r="G297" s="1">
        <v>287</v>
      </c>
      <c r="H297" s="1">
        <f t="shared" si="18"/>
        <v>0</v>
      </c>
      <c r="I297" s="1">
        <f t="shared" si="19"/>
        <v>500</v>
      </c>
      <c r="J297" s="1">
        <f t="shared" si="21"/>
        <v>15.68</v>
      </c>
    </row>
    <row r="298" spans="5:10">
      <c r="E298" s="1">
        <f t="array" ref="E298">INDEX($B$11:$B$247,CEILING(ROW(A288)/3,1))</f>
        <v>96</v>
      </c>
      <c r="F298" s="1">
        <f t="shared" si="20"/>
        <v>3</v>
      </c>
      <c r="G298" s="1">
        <v>288</v>
      </c>
      <c r="H298" s="1">
        <f t="shared" si="18"/>
        <v>0</v>
      </c>
      <c r="I298" s="1">
        <f t="shared" si="19"/>
        <v>500</v>
      </c>
      <c r="J298" s="1">
        <f t="shared" si="21"/>
        <v>16</v>
      </c>
    </row>
    <row r="299" spans="5:10">
      <c r="E299" s="1">
        <f t="array" ref="E299">INDEX($B$11:$B$247,CEILING(ROW(A289)/3,1))</f>
        <v>97</v>
      </c>
      <c r="F299" s="1">
        <f t="shared" si="20"/>
        <v>1</v>
      </c>
      <c r="G299" s="1">
        <v>289</v>
      </c>
      <c r="H299" s="1">
        <f t="shared" si="18"/>
        <v>0</v>
      </c>
      <c r="I299" s="1">
        <f t="shared" si="19"/>
        <v>500</v>
      </c>
      <c r="J299" s="1">
        <f t="shared" si="21"/>
        <v>16.32</v>
      </c>
    </row>
    <row r="300" spans="5:10">
      <c r="E300" s="1">
        <f t="array" ref="E300">INDEX($B$11:$B$247,CEILING(ROW(A290)/3,1))</f>
        <v>97</v>
      </c>
      <c r="F300" s="1">
        <f t="shared" si="20"/>
        <v>2</v>
      </c>
      <c r="G300" s="1">
        <v>290</v>
      </c>
      <c r="H300" s="1">
        <f t="shared" si="18"/>
        <v>0</v>
      </c>
      <c r="I300" s="1">
        <f t="shared" si="19"/>
        <v>500</v>
      </c>
      <c r="J300" s="1">
        <f t="shared" si="21"/>
        <v>16.64</v>
      </c>
    </row>
    <row r="301" spans="5:10">
      <c r="E301" s="1">
        <f t="array" ref="E301">INDEX($B$11:$B$247,CEILING(ROW(A291)/3,1))</f>
        <v>97</v>
      </c>
      <c r="F301" s="1">
        <f t="shared" si="20"/>
        <v>3</v>
      </c>
      <c r="G301" s="1">
        <v>291</v>
      </c>
      <c r="H301" s="1">
        <f t="shared" si="18"/>
        <v>0</v>
      </c>
      <c r="I301" s="1">
        <f t="shared" si="19"/>
        <v>500</v>
      </c>
      <c r="J301" s="1">
        <f t="shared" si="21"/>
        <v>16.98</v>
      </c>
    </row>
    <row r="302" spans="5:10">
      <c r="E302" s="1">
        <f t="array" ref="E302">INDEX($B$11:$B$247,CEILING(ROW(A292)/3,1))</f>
        <v>98</v>
      </c>
      <c r="F302" s="1">
        <f t="shared" si="20"/>
        <v>1</v>
      </c>
      <c r="G302" s="1">
        <v>292</v>
      </c>
      <c r="H302" s="1">
        <f t="shared" si="18"/>
        <v>0</v>
      </c>
      <c r="I302" s="1">
        <f t="shared" si="19"/>
        <v>500</v>
      </c>
      <c r="J302" s="1">
        <f t="shared" si="21"/>
        <v>17.32</v>
      </c>
    </row>
    <row r="303" spans="5:10">
      <c r="E303" s="1">
        <f t="array" ref="E303">INDEX($B$11:$B$247,CEILING(ROW(A293)/3,1))</f>
        <v>98</v>
      </c>
      <c r="F303" s="1">
        <f t="shared" si="20"/>
        <v>2</v>
      </c>
      <c r="G303" s="1">
        <v>293</v>
      </c>
      <c r="H303" s="1">
        <f t="shared" si="18"/>
        <v>0</v>
      </c>
      <c r="I303" s="1">
        <f t="shared" si="19"/>
        <v>500</v>
      </c>
      <c r="J303" s="1">
        <f t="shared" si="21"/>
        <v>17.66</v>
      </c>
    </row>
    <row r="304" spans="5:10">
      <c r="E304" s="1">
        <f t="array" ref="E304">INDEX($B$11:$B$247,CEILING(ROW(A294)/3,1))</f>
        <v>98</v>
      </c>
      <c r="F304" s="1">
        <f t="shared" si="20"/>
        <v>3</v>
      </c>
      <c r="G304" s="1">
        <v>294</v>
      </c>
      <c r="H304" s="1">
        <f t="shared" si="18"/>
        <v>0</v>
      </c>
      <c r="I304" s="1">
        <f t="shared" si="19"/>
        <v>500</v>
      </c>
      <c r="J304" s="1">
        <f t="shared" si="21"/>
        <v>18.01</v>
      </c>
    </row>
    <row r="305" spans="5:10">
      <c r="E305" s="1">
        <f t="array" ref="E305">INDEX($B$11:$B$247,CEILING(ROW(A295)/3,1))</f>
        <v>99</v>
      </c>
      <c r="F305" s="1">
        <f t="shared" si="20"/>
        <v>1</v>
      </c>
      <c r="G305" s="1">
        <v>295</v>
      </c>
      <c r="H305" s="1">
        <f t="shared" si="18"/>
        <v>0</v>
      </c>
      <c r="I305" s="1">
        <f t="shared" si="19"/>
        <v>500</v>
      </c>
      <c r="J305" s="1">
        <f t="shared" si="21"/>
        <v>18.37</v>
      </c>
    </row>
    <row r="306" spans="5:10">
      <c r="E306" s="1">
        <f t="array" ref="E306">INDEX($B$11:$B$247,CEILING(ROW(A296)/3,1))</f>
        <v>99</v>
      </c>
      <c r="F306" s="1">
        <f t="shared" si="20"/>
        <v>2</v>
      </c>
      <c r="G306" s="1">
        <v>296</v>
      </c>
      <c r="H306" s="1">
        <f t="shared" si="18"/>
        <v>0</v>
      </c>
      <c r="I306" s="1">
        <f t="shared" si="19"/>
        <v>500</v>
      </c>
      <c r="J306" s="1">
        <f t="shared" si="21"/>
        <v>18.74</v>
      </c>
    </row>
    <row r="307" spans="5:10">
      <c r="E307" s="1">
        <f t="array" ref="E307">INDEX($B$11:$B$247,CEILING(ROW(A297)/3,1))</f>
        <v>99</v>
      </c>
      <c r="F307" s="1">
        <f t="shared" si="20"/>
        <v>3</v>
      </c>
      <c r="G307" s="1">
        <v>297</v>
      </c>
      <c r="H307" s="1">
        <f t="shared" si="18"/>
        <v>0</v>
      </c>
      <c r="I307" s="1">
        <f t="shared" si="19"/>
        <v>500</v>
      </c>
      <c r="J307" s="1">
        <f t="shared" si="21"/>
        <v>19.12</v>
      </c>
    </row>
    <row r="308" spans="5:10">
      <c r="E308" s="1">
        <f t="array" ref="E308">INDEX($B$11:$B$247,CEILING(ROW(A298)/3,1))</f>
        <v>100</v>
      </c>
      <c r="F308" s="1">
        <f t="shared" si="20"/>
        <v>1</v>
      </c>
      <c r="G308" s="1">
        <v>298</v>
      </c>
      <c r="H308" s="1">
        <f t="shared" si="18"/>
        <v>0</v>
      </c>
      <c r="I308" s="1">
        <f t="shared" si="19"/>
        <v>500</v>
      </c>
      <c r="J308" s="1">
        <f t="shared" si="21"/>
        <v>19.5</v>
      </c>
    </row>
    <row r="309" spans="5:10">
      <c r="E309" s="1">
        <f t="array" ref="E309">INDEX($B$11:$B$247,CEILING(ROW(A299)/3,1))</f>
        <v>100</v>
      </c>
      <c r="F309" s="1">
        <f t="shared" si="20"/>
        <v>2</v>
      </c>
      <c r="G309" s="1">
        <v>299</v>
      </c>
      <c r="H309" s="1">
        <f t="shared" si="18"/>
        <v>0</v>
      </c>
      <c r="I309" s="1">
        <f t="shared" si="19"/>
        <v>500</v>
      </c>
      <c r="J309" s="1">
        <f t="shared" si="21"/>
        <v>19.89</v>
      </c>
    </row>
    <row r="310" spans="5:10">
      <c r="E310" s="1">
        <f t="array" ref="E310">INDEX($B$11:$B$247,CEILING(ROW(A300)/3,1))</f>
        <v>100</v>
      </c>
      <c r="F310" s="1">
        <f t="shared" si="20"/>
        <v>3</v>
      </c>
      <c r="G310" s="1">
        <v>300</v>
      </c>
      <c r="H310" s="1">
        <f t="shared" si="18"/>
        <v>0</v>
      </c>
      <c r="I310" s="1">
        <f t="shared" si="19"/>
        <v>500</v>
      </c>
      <c r="J310" s="1">
        <f t="shared" si="21"/>
        <v>20.29</v>
      </c>
    </row>
    <row r="311" spans="5:10">
      <c r="E311" s="1">
        <f t="array" ref="E311">INDEX($B$11:$B$247,CEILING(ROW(A301)/3,1))</f>
        <v>101</v>
      </c>
      <c r="F311" s="1">
        <f t="shared" si="20"/>
        <v>1</v>
      </c>
      <c r="G311" s="1">
        <v>301</v>
      </c>
      <c r="H311" s="1">
        <f t="shared" si="18"/>
        <v>0</v>
      </c>
      <c r="I311" s="1">
        <f t="shared" si="19"/>
        <v>500</v>
      </c>
      <c r="J311" s="1">
        <f t="shared" si="21"/>
        <v>20.69</v>
      </c>
    </row>
    <row r="312" spans="5:10">
      <c r="E312" s="1">
        <f t="array" ref="E312">INDEX($B$11:$B$247,CEILING(ROW(A302)/3,1))</f>
        <v>101</v>
      </c>
      <c r="F312" s="1">
        <f t="shared" si="20"/>
        <v>2</v>
      </c>
      <c r="G312" s="1">
        <v>302</v>
      </c>
      <c r="H312" s="1">
        <f t="shared" si="18"/>
        <v>0</v>
      </c>
      <c r="I312" s="1">
        <f t="shared" si="19"/>
        <v>500</v>
      </c>
      <c r="J312" s="1">
        <f t="shared" si="21"/>
        <v>21.11</v>
      </c>
    </row>
    <row r="313" spans="5:10">
      <c r="E313" s="1">
        <f t="array" ref="E313">INDEX($B$11:$B$247,CEILING(ROW(A303)/3,1))</f>
        <v>101</v>
      </c>
      <c r="F313" s="1">
        <f t="shared" si="20"/>
        <v>3</v>
      </c>
      <c r="G313" s="1">
        <v>303</v>
      </c>
      <c r="H313" s="1">
        <f t="shared" si="18"/>
        <v>0</v>
      </c>
      <c r="I313" s="1">
        <f t="shared" si="19"/>
        <v>500</v>
      </c>
      <c r="J313" s="1">
        <f t="shared" si="21"/>
        <v>21.53</v>
      </c>
    </row>
    <row r="314" spans="5:10">
      <c r="E314" s="1">
        <f t="array" ref="E314">INDEX($B$11:$B$247,CEILING(ROW(A304)/3,1))</f>
        <v>102</v>
      </c>
      <c r="F314" s="1">
        <f t="shared" si="20"/>
        <v>1</v>
      </c>
      <c r="G314" s="1">
        <v>304</v>
      </c>
      <c r="H314" s="1">
        <f t="shared" si="18"/>
        <v>0</v>
      </c>
      <c r="I314" s="1">
        <f t="shared" si="19"/>
        <v>500</v>
      </c>
      <c r="J314" s="1">
        <f t="shared" si="21"/>
        <v>21.96</v>
      </c>
    </row>
    <row r="315" spans="5:10">
      <c r="E315" s="1">
        <f t="array" ref="E315">INDEX($B$11:$B$247,CEILING(ROW(A305)/3,1))</f>
        <v>102</v>
      </c>
      <c r="F315" s="1">
        <f t="shared" si="20"/>
        <v>2</v>
      </c>
      <c r="G315" s="1">
        <v>305</v>
      </c>
      <c r="H315" s="1">
        <f t="shared" si="18"/>
        <v>0</v>
      </c>
      <c r="I315" s="1">
        <f t="shared" si="19"/>
        <v>500</v>
      </c>
      <c r="J315" s="1">
        <f t="shared" si="21"/>
        <v>22.4</v>
      </c>
    </row>
    <row r="316" spans="5:10">
      <c r="E316" s="1">
        <f t="array" ref="E316">INDEX($B$11:$B$247,CEILING(ROW(A306)/3,1))</f>
        <v>102</v>
      </c>
      <c r="F316" s="1">
        <f t="shared" si="20"/>
        <v>3</v>
      </c>
      <c r="G316" s="1">
        <v>306</v>
      </c>
      <c r="H316" s="1">
        <f t="shared" si="18"/>
        <v>0</v>
      </c>
      <c r="I316" s="1">
        <f t="shared" si="19"/>
        <v>500</v>
      </c>
      <c r="J316" s="1">
        <f t="shared" si="21"/>
        <v>22.85</v>
      </c>
    </row>
    <row r="317" spans="5:10">
      <c r="E317" s="1">
        <f t="array" ref="E317">INDEX($B$11:$B$247,CEILING(ROW(A307)/3,1))</f>
        <v>103</v>
      </c>
      <c r="F317" s="1">
        <f t="shared" si="20"/>
        <v>1</v>
      </c>
      <c r="G317" s="1">
        <v>307</v>
      </c>
      <c r="H317" s="1">
        <f t="shared" si="18"/>
        <v>0</v>
      </c>
      <c r="I317" s="1">
        <f t="shared" si="19"/>
        <v>500</v>
      </c>
      <c r="J317" s="1">
        <f t="shared" si="21"/>
        <v>23.3</v>
      </c>
    </row>
    <row r="318" spans="5:10">
      <c r="E318" s="1">
        <f t="array" ref="E318">INDEX($B$11:$B$247,CEILING(ROW(A308)/3,1))</f>
        <v>103</v>
      </c>
      <c r="F318" s="1">
        <f t="shared" si="20"/>
        <v>2</v>
      </c>
      <c r="G318" s="1">
        <v>308</v>
      </c>
      <c r="H318" s="1">
        <f t="shared" si="18"/>
        <v>0</v>
      </c>
      <c r="I318" s="1">
        <f t="shared" si="19"/>
        <v>500</v>
      </c>
      <c r="J318" s="1">
        <f t="shared" si="21"/>
        <v>23.77</v>
      </c>
    </row>
    <row r="319" spans="5:10">
      <c r="E319" s="1">
        <f t="array" ref="E319">INDEX($B$11:$B$247,CEILING(ROW(A309)/3,1))</f>
        <v>103</v>
      </c>
      <c r="F319" s="1">
        <f t="shared" si="20"/>
        <v>3</v>
      </c>
      <c r="G319" s="1">
        <v>309</v>
      </c>
      <c r="H319" s="1">
        <f t="shared" si="18"/>
        <v>0</v>
      </c>
      <c r="I319" s="1">
        <f t="shared" si="19"/>
        <v>500</v>
      </c>
      <c r="J319" s="1">
        <f t="shared" si="21"/>
        <v>24.25</v>
      </c>
    </row>
    <row r="320" spans="5:10">
      <c r="E320" s="1">
        <f t="array" ref="E320">INDEX($B$11:$B$247,CEILING(ROW(A310)/3,1))</f>
        <v>104</v>
      </c>
      <c r="F320" s="1">
        <f t="shared" si="20"/>
        <v>1</v>
      </c>
      <c r="G320" s="1">
        <v>310</v>
      </c>
      <c r="H320" s="1">
        <f t="shared" si="18"/>
        <v>0</v>
      </c>
      <c r="I320" s="1">
        <f t="shared" si="19"/>
        <v>500</v>
      </c>
      <c r="J320" s="1">
        <f t="shared" si="21"/>
        <v>24.73</v>
      </c>
    </row>
    <row r="321" spans="5:10">
      <c r="E321" s="1">
        <f t="array" ref="E321">INDEX($B$11:$B$247,CEILING(ROW(A311)/3,1))</f>
        <v>104</v>
      </c>
      <c r="F321" s="1">
        <f t="shared" si="20"/>
        <v>2</v>
      </c>
      <c r="G321" s="1">
        <v>311</v>
      </c>
      <c r="H321" s="1">
        <f t="shared" si="18"/>
        <v>0</v>
      </c>
      <c r="I321" s="1">
        <f t="shared" si="19"/>
        <v>500</v>
      </c>
      <c r="J321" s="1">
        <f t="shared" si="21"/>
        <v>25.22</v>
      </c>
    </row>
    <row r="322" spans="5:10">
      <c r="E322" s="1">
        <f t="array" ref="E322">INDEX($B$11:$B$247,CEILING(ROW(A312)/3,1))</f>
        <v>104</v>
      </c>
      <c r="F322" s="1">
        <f t="shared" si="20"/>
        <v>3</v>
      </c>
      <c r="G322" s="1">
        <v>312</v>
      </c>
      <c r="H322" s="1">
        <f t="shared" si="18"/>
        <v>0</v>
      </c>
      <c r="I322" s="1">
        <f t="shared" si="19"/>
        <v>500</v>
      </c>
      <c r="J322" s="1">
        <f t="shared" si="21"/>
        <v>25.73</v>
      </c>
    </row>
    <row r="323" spans="5:10">
      <c r="E323" s="1">
        <f t="array" ref="E323">INDEX($B$11:$B$247,CEILING(ROW(A313)/3,1))</f>
        <v>105</v>
      </c>
      <c r="F323" s="1">
        <f t="shared" si="20"/>
        <v>1</v>
      </c>
      <c r="G323" s="1">
        <v>313</v>
      </c>
      <c r="H323" s="1">
        <f t="shared" si="18"/>
        <v>0</v>
      </c>
      <c r="I323" s="1">
        <f t="shared" si="19"/>
        <v>500</v>
      </c>
      <c r="J323" s="1">
        <f t="shared" si="21"/>
        <v>26.24</v>
      </c>
    </row>
    <row r="324" spans="5:10">
      <c r="E324" s="1">
        <f t="array" ref="E324">INDEX($B$11:$B$247,CEILING(ROW(A314)/3,1))</f>
        <v>105</v>
      </c>
      <c r="F324" s="1">
        <f t="shared" si="20"/>
        <v>2</v>
      </c>
      <c r="G324" s="1">
        <v>314</v>
      </c>
      <c r="H324" s="1">
        <f t="shared" si="18"/>
        <v>0</v>
      </c>
      <c r="I324" s="1">
        <f t="shared" si="19"/>
        <v>500</v>
      </c>
      <c r="J324" s="1">
        <f t="shared" si="21"/>
        <v>26.77</v>
      </c>
    </row>
    <row r="325" spans="5:10">
      <c r="E325" s="1">
        <f t="array" ref="E325">INDEX($B$11:$B$247,CEILING(ROW(A315)/3,1))</f>
        <v>105</v>
      </c>
      <c r="F325" s="1">
        <f t="shared" si="20"/>
        <v>3</v>
      </c>
      <c r="G325" s="1">
        <v>315</v>
      </c>
      <c r="H325" s="1">
        <f t="shared" si="18"/>
        <v>0</v>
      </c>
      <c r="I325" s="1">
        <f t="shared" si="19"/>
        <v>500</v>
      </c>
      <c r="J325" s="1">
        <f t="shared" si="21"/>
        <v>27.3</v>
      </c>
    </row>
    <row r="326" spans="5:10">
      <c r="E326" s="1">
        <f t="array" ref="E326">INDEX($B$11:$B$247,CEILING(ROW(A316)/3,1))</f>
        <v>106</v>
      </c>
      <c r="F326" s="1">
        <f t="shared" si="20"/>
        <v>1</v>
      </c>
      <c r="G326" s="1">
        <v>316</v>
      </c>
      <c r="H326" s="1">
        <f t="shared" si="18"/>
        <v>0</v>
      </c>
      <c r="I326" s="1">
        <f t="shared" si="19"/>
        <v>500</v>
      </c>
      <c r="J326" s="1">
        <f t="shared" si="21"/>
        <v>27.85</v>
      </c>
    </row>
    <row r="327" spans="5:10">
      <c r="E327" s="1">
        <f t="array" ref="E327">INDEX($B$11:$B$247,CEILING(ROW(A317)/3,1))</f>
        <v>106</v>
      </c>
      <c r="F327" s="1">
        <f t="shared" si="20"/>
        <v>2</v>
      </c>
      <c r="G327" s="1">
        <v>317</v>
      </c>
      <c r="H327" s="1">
        <f t="shared" si="18"/>
        <v>0</v>
      </c>
      <c r="I327" s="1">
        <f t="shared" si="19"/>
        <v>500</v>
      </c>
      <c r="J327" s="1">
        <f t="shared" si="21"/>
        <v>28.41</v>
      </c>
    </row>
    <row r="328" spans="5:10">
      <c r="E328" s="1">
        <f t="array" ref="E328">INDEX($B$11:$B$247,CEILING(ROW(A318)/3,1))</f>
        <v>106</v>
      </c>
      <c r="F328" s="1">
        <f t="shared" si="20"/>
        <v>3</v>
      </c>
      <c r="G328" s="1">
        <v>318</v>
      </c>
      <c r="H328" s="1">
        <f t="shared" si="18"/>
        <v>0</v>
      </c>
      <c r="I328" s="1">
        <f t="shared" si="19"/>
        <v>500</v>
      </c>
      <c r="J328" s="1">
        <f t="shared" si="21"/>
        <v>28.98</v>
      </c>
    </row>
    <row r="329" spans="5:10">
      <c r="E329" s="1">
        <f t="array" ref="E329">INDEX($B$11:$B$247,CEILING(ROW(A319)/3,1))</f>
        <v>107</v>
      </c>
      <c r="F329" s="1">
        <f t="shared" si="20"/>
        <v>1</v>
      </c>
      <c r="G329" s="1">
        <v>319</v>
      </c>
      <c r="H329" s="1">
        <f t="shared" si="18"/>
        <v>0</v>
      </c>
      <c r="I329" s="1">
        <f t="shared" si="19"/>
        <v>500</v>
      </c>
      <c r="J329" s="1">
        <f t="shared" si="21"/>
        <v>29.55</v>
      </c>
    </row>
    <row r="330" spans="5:10">
      <c r="E330" s="1">
        <f t="array" ref="E330">INDEX($B$11:$B$247,CEILING(ROW(A320)/3,1))</f>
        <v>107</v>
      </c>
      <c r="F330" s="1">
        <f t="shared" si="20"/>
        <v>2</v>
      </c>
      <c r="G330" s="1">
        <v>320</v>
      </c>
      <c r="H330" s="1">
        <f t="shared" si="18"/>
        <v>0</v>
      </c>
      <c r="I330" s="1">
        <f t="shared" si="19"/>
        <v>500</v>
      </c>
      <c r="J330" s="1">
        <f t="shared" si="21"/>
        <v>30.15</v>
      </c>
    </row>
    <row r="331" spans="5:10">
      <c r="E331" s="1">
        <f t="array" ref="E331">INDEX($B$11:$B$247,CEILING(ROW(A321)/3,1))</f>
        <v>107</v>
      </c>
      <c r="F331" s="1">
        <f t="shared" si="20"/>
        <v>3</v>
      </c>
      <c r="G331" s="1">
        <v>321</v>
      </c>
      <c r="H331" s="1">
        <f t="shared" ref="H331:H394" si="22">_xlfn.IFNA(VLOOKUP(E334,$B$11:$C$247,2,0)-VLOOKUP(E331,$B$11:$C$247,2,0),0)</f>
        <v>0</v>
      </c>
      <c r="I331" s="1">
        <f t="shared" ref="I331:I394" si="23">ROUND(VLOOKUP(E331,$B$11:$C$247,2,0)+VLOOKUP(F331,$J$3:$K$5,2,0)*H331,0)</f>
        <v>500</v>
      </c>
      <c r="J331" s="1">
        <f t="shared" si="21"/>
        <v>30.75</v>
      </c>
    </row>
    <row r="332" spans="5:10">
      <c r="E332" s="1">
        <f t="array" ref="E332">INDEX($B$11:$B$247,CEILING(ROW(A322)/3,1))</f>
        <v>108</v>
      </c>
      <c r="F332" s="1">
        <f t="shared" si="20"/>
        <v>1</v>
      </c>
      <c r="G332" s="1">
        <v>322</v>
      </c>
      <c r="H332" s="1">
        <f t="shared" si="22"/>
        <v>0</v>
      </c>
      <c r="I332" s="1">
        <f t="shared" si="23"/>
        <v>500</v>
      </c>
      <c r="J332" s="1">
        <f t="shared" si="21"/>
        <v>31.36</v>
      </c>
    </row>
    <row r="333" spans="5:10">
      <c r="E333" s="1">
        <f t="array" ref="E333">INDEX($B$11:$B$247,CEILING(ROW(A323)/3,1))</f>
        <v>108</v>
      </c>
      <c r="F333" s="1">
        <f t="shared" si="20"/>
        <v>2</v>
      </c>
      <c r="G333" s="1">
        <v>323</v>
      </c>
      <c r="H333" s="1">
        <f t="shared" si="22"/>
        <v>0</v>
      </c>
      <c r="I333" s="1">
        <f t="shared" si="23"/>
        <v>500</v>
      </c>
      <c r="J333" s="1">
        <f t="shared" si="21"/>
        <v>31.99</v>
      </c>
    </row>
    <row r="334" spans="5:10">
      <c r="E334" s="1">
        <f t="array" ref="E334">INDEX($B$11:$B$247,CEILING(ROW(A324)/3,1))</f>
        <v>108</v>
      </c>
      <c r="F334" s="1">
        <f t="shared" ref="F334:F397" si="24">F331</f>
        <v>3</v>
      </c>
      <c r="G334" s="1">
        <v>324</v>
      </c>
      <c r="H334" s="1">
        <f t="shared" si="22"/>
        <v>0</v>
      </c>
      <c r="I334" s="1">
        <f t="shared" si="23"/>
        <v>500</v>
      </c>
      <c r="J334" s="1">
        <f t="shared" si="21"/>
        <v>32.63</v>
      </c>
    </row>
    <row r="335" spans="5:10">
      <c r="E335" s="1">
        <f t="array" ref="E335">INDEX($B$11:$B$247,CEILING(ROW(A325)/3,1))</f>
        <v>109</v>
      </c>
      <c r="F335" s="1">
        <f t="shared" si="24"/>
        <v>1</v>
      </c>
      <c r="G335" s="1">
        <v>325</v>
      </c>
      <c r="H335" s="1">
        <f t="shared" si="22"/>
        <v>0</v>
      </c>
      <c r="I335" s="1">
        <f t="shared" si="23"/>
        <v>500</v>
      </c>
      <c r="J335" s="1">
        <f t="shared" si="21"/>
        <v>33.28</v>
      </c>
    </row>
    <row r="336" spans="5:10">
      <c r="E336" s="1">
        <f t="array" ref="E336">INDEX($B$11:$B$247,CEILING(ROW(A326)/3,1))</f>
        <v>109</v>
      </c>
      <c r="F336" s="1">
        <f t="shared" si="24"/>
        <v>2</v>
      </c>
      <c r="G336" s="1">
        <v>326</v>
      </c>
      <c r="H336" s="1">
        <f t="shared" si="22"/>
        <v>0</v>
      </c>
      <c r="I336" s="1">
        <f t="shared" si="23"/>
        <v>500</v>
      </c>
      <c r="J336" s="1">
        <f t="shared" si="21"/>
        <v>33.95</v>
      </c>
    </row>
    <row r="337" spans="5:10">
      <c r="E337" s="1">
        <f t="array" ref="E337">INDEX($B$11:$B$247,CEILING(ROW(A327)/3,1))</f>
        <v>109</v>
      </c>
      <c r="F337" s="1">
        <f t="shared" si="24"/>
        <v>3</v>
      </c>
      <c r="G337" s="1">
        <v>327</v>
      </c>
      <c r="H337" s="1">
        <f t="shared" si="22"/>
        <v>0</v>
      </c>
      <c r="I337" s="1">
        <f t="shared" si="23"/>
        <v>500</v>
      </c>
      <c r="J337" s="1">
        <f t="shared" si="21"/>
        <v>34.63</v>
      </c>
    </row>
    <row r="338" spans="5:10">
      <c r="E338" s="1">
        <f t="array" ref="E338">INDEX($B$11:$B$247,CEILING(ROW(A328)/3,1))</f>
        <v>110</v>
      </c>
      <c r="F338" s="1">
        <f t="shared" si="24"/>
        <v>1</v>
      </c>
      <c r="G338" s="1">
        <v>328</v>
      </c>
      <c r="H338" s="1">
        <f t="shared" si="22"/>
        <v>0</v>
      </c>
      <c r="I338" s="1">
        <f t="shared" si="23"/>
        <v>500</v>
      </c>
      <c r="J338" s="1">
        <f t="shared" si="21"/>
        <v>35.32</v>
      </c>
    </row>
    <row r="339" spans="5:10">
      <c r="E339" s="1">
        <f t="array" ref="E339">INDEX($B$11:$B$247,CEILING(ROW(A329)/3,1))</f>
        <v>110</v>
      </c>
      <c r="F339" s="1">
        <f t="shared" si="24"/>
        <v>2</v>
      </c>
      <c r="G339" s="1">
        <v>329</v>
      </c>
      <c r="H339" s="1">
        <f t="shared" si="22"/>
        <v>0</v>
      </c>
      <c r="I339" s="1">
        <f t="shared" si="23"/>
        <v>500</v>
      </c>
      <c r="J339" s="1">
        <f t="shared" si="21"/>
        <v>36.03</v>
      </c>
    </row>
    <row r="340" spans="5:10">
      <c r="E340" s="1">
        <f t="array" ref="E340">INDEX($B$11:$B$247,CEILING(ROW(A330)/3,1))</f>
        <v>110</v>
      </c>
      <c r="F340" s="1">
        <f t="shared" si="24"/>
        <v>3</v>
      </c>
      <c r="G340" s="1">
        <v>330</v>
      </c>
      <c r="H340" s="1">
        <f t="shared" si="22"/>
        <v>0</v>
      </c>
      <c r="I340" s="1">
        <f t="shared" si="23"/>
        <v>500</v>
      </c>
      <c r="J340" s="1">
        <f t="shared" si="21"/>
        <v>36.75</v>
      </c>
    </row>
    <row r="341" spans="5:10">
      <c r="E341" s="1">
        <f t="array" ref="E341">INDEX($B$11:$B$247,CEILING(ROW(A331)/3,1))</f>
        <v>111</v>
      </c>
      <c r="F341" s="1">
        <f t="shared" si="24"/>
        <v>1</v>
      </c>
      <c r="G341" s="1">
        <v>331</v>
      </c>
      <c r="H341" s="1">
        <f t="shared" si="22"/>
        <v>0</v>
      </c>
      <c r="I341" s="1">
        <f t="shared" si="23"/>
        <v>500</v>
      </c>
      <c r="J341" s="1">
        <f t="shared" si="21"/>
        <v>37.48</v>
      </c>
    </row>
    <row r="342" spans="5:10">
      <c r="E342" s="1">
        <f t="array" ref="E342">INDEX($B$11:$B$247,CEILING(ROW(A332)/3,1))</f>
        <v>111</v>
      </c>
      <c r="F342" s="1">
        <f t="shared" si="24"/>
        <v>2</v>
      </c>
      <c r="G342" s="1">
        <v>332</v>
      </c>
      <c r="H342" s="1">
        <f t="shared" si="22"/>
        <v>0</v>
      </c>
      <c r="I342" s="1">
        <f t="shared" si="23"/>
        <v>500</v>
      </c>
      <c r="J342" s="1">
        <f t="shared" si="21"/>
        <v>38.23</v>
      </c>
    </row>
    <row r="343" spans="5:10">
      <c r="E343" s="1">
        <f t="array" ref="E343">INDEX($B$11:$B$247,CEILING(ROW(A333)/3,1))</f>
        <v>111</v>
      </c>
      <c r="F343" s="1">
        <f t="shared" si="24"/>
        <v>3</v>
      </c>
      <c r="G343" s="1">
        <v>333</v>
      </c>
      <c r="H343" s="1">
        <f t="shared" si="22"/>
        <v>0</v>
      </c>
      <c r="I343" s="1">
        <f t="shared" si="23"/>
        <v>500</v>
      </c>
      <c r="J343" s="1">
        <f t="shared" si="21"/>
        <v>39</v>
      </c>
    </row>
    <row r="344" spans="5:10">
      <c r="E344" s="1">
        <f t="array" ref="E344">INDEX($B$11:$B$247,CEILING(ROW(A334)/3,1))</f>
        <v>112</v>
      </c>
      <c r="F344" s="1">
        <f t="shared" si="24"/>
        <v>1</v>
      </c>
      <c r="G344" s="1">
        <v>334</v>
      </c>
      <c r="H344" s="1">
        <f t="shared" si="22"/>
        <v>0</v>
      </c>
      <c r="I344" s="1">
        <f t="shared" si="23"/>
        <v>500</v>
      </c>
      <c r="J344" s="1">
        <f t="shared" si="21"/>
        <v>39.78</v>
      </c>
    </row>
    <row r="345" spans="5:10">
      <c r="E345" s="1">
        <f t="array" ref="E345">INDEX($B$11:$B$247,CEILING(ROW(A335)/3,1))</f>
        <v>112</v>
      </c>
      <c r="F345" s="1">
        <f t="shared" si="24"/>
        <v>2</v>
      </c>
      <c r="G345" s="1">
        <v>335</v>
      </c>
      <c r="H345" s="1">
        <f t="shared" si="22"/>
        <v>0</v>
      </c>
      <c r="I345" s="1">
        <f t="shared" si="23"/>
        <v>500</v>
      </c>
      <c r="J345" s="1">
        <f t="shared" si="21"/>
        <v>40.57</v>
      </c>
    </row>
    <row r="346" spans="5:10">
      <c r="E346" s="1">
        <f t="array" ref="E346">INDEX($B$11:$B$247,CEILING(ROW(A336)/3,1))</f>
        <v>112</v>
      </c>
      <c r="F346" s="1">
        <f t="shared" si="24"/>
        <v>3</v>
      </c>
      <c r="G346" s="1">
        <v>336</v>
      </c>
      <c r="H346" s="1">
        <f t="shared" si="22"/>
        <v>0</v>
      </c>
      <c r="I346" s="1">
        <f t="shared" si="23"/>
        <v>500</v>
      </c>
      <c r="J346" s="1">
        <f t="shared" si="21"/>
        <v>41.38</v>
      </c>
    </row>
    <row r="347" spans="5:10">
      <c r="E347" s="1">
        <f t="array" ref="E347">INDEX($B$11:$B$247,CEILING(ROW(A337)/3,1))</f>
        <v>113</v>
      </c>
      <c r="F347" s="1">
        <f t="shared" si="24"/>
        <v>1</v>
      </c>
      <c r="G347" s="1">
        <v>337</v>
      </c>
      <c r="H347" s="1">
        <f t="shared" si="22"/>
        <v>0</v>
      </c>
      <c r="I347" s="1">
        <f t="shared" si="23"/>
        <v>500</v>
      </c>
      <c r="J347" s="1">
        <f t="shared" si="21"/>
        <v>42.21</v>
      </c>
    </row>
    <row r="348" spans="5:10">
      <c r="E348" s="1">
        <f t="array" ref="E348">INDEX($B$11:$B$247,CEILING(ROW(A338)/3,1))</f>
        <v>113</v>
      </c>
      <c r="F348" s="1">
        <f t="shared" si="24"/>
        <v>2</v>
      </c>
      <c r="G348" s="1">
        <v>338</v>
      </c>
      <c r="H348" s="1">
        <f t="shared" si="22"/>
        <v>0</v>
      </c>
      <c r="I348" s="1">
        <f t="shared" si="23"/>
        <v>500</v>
      </c>
      <c r="J348" s="1">
        <f t="shared" si="21"/>
        <v>43.06</v>
      </c>
    </row>
    <row r="349" spans="5:10">
      <c r="E349" s="1">
        <f t="array" ref="E349">INDEX($B$11:$B$247,CEILING(ROW(A339)/3,1))</f>
        <v>113</v>
      </c>
      <c r="F349" s="1">
        <f t="shared" si="24"/>
        <v>3</v>
      </c>
      <c r="G349" s="1">
        <v>339</v>
      </c>
      <c r="H349" s="1">
        <f t="shared" si="22"/>
        <v>0</v>
      </c>
      <c r="I349" s="1">
        <f t="shared" si="23"/>
        <v>500</v>
      </c>
      <c r="J349" s="1">
        <f t="shared" si="21"/>
        <v>43.92</v>
      </c>
    </row>
    <row r="350" spans="5:10">
      <c r="E350" s="1">
        <f t="array" ref="E350">INDEX($B$11:$B$247,CEILING(ROW(A340)/3,1))</f>
        <v>114</v>
      </c>
      <c r="F350" s="1">
        <f t="shared" si="24"/>
        <v>1</v>
      </c>
      <c r="G350" s="1">
        <v>340</v>
      </c>
      <c r="H350" s="1">
        <f t="shared" si="22"/>
        <v>0</v>
      </c>
      <c r="I350" s="1">
        <f t="shared" si="23"/>
        <v>500</v>
      </c>
      <c r="J350" s="1">
        <f t="shared" si="21"/>
        <v>44.8</v>
      </c>
    </row>
    <row r="351" spans="5:10">
      <c r="E351" s="1">
        <f t="array" ref="E351">INDEX($B$11:$B$247,CEILING(ROW(A341)/3,1))</f>
        <v>114</v>
      </c>
      <c r="F351" s="1">
        <f t="shared" si="24"/>
        <v>2</v>
      </c>
      <c r="G351" s="1">
        <v>341</v>
      </c>
      <c r="H351" s="1">
        <f t="shared" si="22"/>
        <v>0</v>
      </c>
      <c r="I351" s="1">
        <f t="shared" si="23"/>
        <v>500</v>
      </c>
      <c r="J351" s="1">
        <f t="shared" ref="J351:J414" si="25">ROUND(POWER($N$159,ROW(I351)-158),2)</f>
        <v>45.69</v>
      </c>
    </row>
    <row r="352" spans="5:10">
      <c r="E352" s="1">
        <f t="array" ref="E352">INDEX($B$11:$B$247,CEILING(ROW(A342)/3,1))</f>
        <v>114</v>
      </c>
      <c r="F352" s="1">
        <f t="shared" si="24"/>
        <v>3</v>
      </c>
      <c r="G352" s="1">
        <v>342</v>
      </c>
      <c r="H352" s="1">
        <f t="shared" si="22"/>
        <v>0</v>
      </c>
      <c r="I352" s="1">
        <f t="shared" si="23"/>
        <v>500</v>
      </c>
      <c r="J352" s="1">
        <f t="shared" si="25"/>
        <v>46.61</v>
      </c>
    </row>
    <row r="353" spans="5:10">
      <c r="E353" s="1">
        <f t="array" ref="E353">INDEX($B$11:$B$247,CEILING(ROW(A343)/3,1))</f>
        <v>115</v>
      </c>
      <c r="F353" s="1">
        <f t="shared" si="24"/>
        <v>1</v>
      </c>
      <c r="G353" s="1">
        <v>343</v>
      </c>
      <c r="H353" s="1">
        <f t="shared" si="22"/>
        <v>0</v>
      </c>
      <c r="I353" s="1">
        <f t="shared" si="23"/>
        <v>500</v>
      </c>
      <c r="J353" s="1">
        <f t="shared" si="25"/>
        <v>47.54</v>
      </c>
    </row>
    <row r="354" spans="5:10">
      <c r="E354" s="1">
        <f t="array" ref="E354">INDEX($B$11:$B$247,CEILING(ROW(A344)/3,1))</f>
        <v>115</v>
      </c>
      <c r="F354" s="1">
        <f t="shared" si="24"/>
        <v>2</v>
      </c>
      <c r="G354" s="1">
        <v>344</v>
      </c>
      <c r="H354" s="1">
        <f t="shared" si="22"/>
        <v>0</v>
      </c>
      <c r="I354" s="1">
        <f t="shared" si="23"/>
        <v>500</v>
      </c>
      <c r="J354" s="1">
        <f t="shared" si="25"/>
        <v>48.49</v>
      </c>
    </row>
    <row r="355" spans="5:10">
      <c r="E355" s="1">
        <f t="array" ref="E355">INDEX($B$11:$B$247,CEILING(ROW(A345)/3,1))</f>
        <v>115</v>
      </c>
      <c r="F355" s="1">
        <f t="shared" si="24"/>
        <v>3</v>
      </c>
      <c r="G355" s="1">
        <v>345</v>
      </c>
      <c r="H355" s="1">
        <f t="shared" si="22"/>
        <v>0</v>
      </c>
      <c r="I355" s="1">
        <f t="shared" si="23"/>
        <v>500</v>
      </c>
      <c r="J355" s="1">
        <f t="shared" si="25"/>
        <v>49.46</v>
      </c>
    </row>
    <row r="356" spans="5:10">
      <c r="E356" s="1">
        <f t="array" ref="E356">INDEX($B$11:$B$247,CEILING(ROW(A346)/3,1))</f>
        <v>116</v>
      </c>
      <c r="F356" s="1">
        <f t="shared" si="24"/>
        <v>1</v>
      </c>
      <c r="G356" s="1">
        <v>346</v>
      </c>
      <c r="H356" s="1">
        <f t="shared" si="22"/>
        <v>0</v>
      </c>
      <c r="I356" s="1">
        <f t="shared" si="23"/>
        <v>500</v>
      </c>
      <c r="J356" s="1">
        <f t="shared" si="25"/>
        <v>50.45</v>
      </c>
    </row>
    <row r="357" spans="5:10">
      <c r="E357" s="1">
        <f t="array" ref="E357">INDEX($B$11:$B$247,CEILING(ROW(A347)/3,1))</f>
        <v>116</v>
      </c>
      <c r="F357" s="1">
        <f t="shared" si="24"/>
        <v>2</v>
      </c>
      <c r="G357" s="1">
        <v>347</v>
      </c>
      <c r="H357" s="1">
        <f t="shared" si="22"/>
        <v>0</v>
      </c>
      <c r="I357" s="1">
        <f t="shared" si="23"/>
        <v>500</v>
      </c>
      <c r="J357" s="1">
        <f t="shared" si="25"/>
        <v>51.46</v>
      </c>
    </row>
    <row r="358" spans="5:10">
      <c r="E358" s="1">
        <f t="array" ref="E358">INDEX($B$11:$B$247,CEILING(ROW(A348)/3,1))</f>
        <v>116</v>
      </c>
      <c r="F358" s="1">
        <f t="shared" si="24"/>
        <v>3</v>
      </c>
      <c r="G358" s="1">
        <v>348</v>
      </c>
      <c r="H358" s="1">
        <f t="shared" si="22"/>
        <v>0</v>
      </c>
      <c r="I358" s="1">
        <f t="shared" si="23"/>
        <v>500</v>
      </c>
      <c r="J358" s="1">
        <f t="shared" si="25"/>
        <v>52.48</v>
      </c>
    </row>
    <row r="359" spans="5:10">
      <c r="E359" s="1">
        <f t="array" ref="E359">INDEX($B$11:$B$247,CEILING(ROW(A349)/3,1))</f>
        <v>117</v>
      </c>
      <c r="F359" s="1">
        <f t="shared" si="24"/>
        <v>1</v>
      </c>
      <c r="G359" s="1">
        <v>349</v>
      </c>
      <c r="H359" s="1">
        <f t="shared" si="22"/>
        <v>0</v>
      </c>
      <c r="I359" s="1">
        <f t="shared" si="23"/>
        <v>500</v>
      </c>
      <c r="J359" s="1">
        <f t="shared" si="25"/>
        <v>53.53</v>
      </c>
    </row>
    <row r="360" spans="5:10">
      <c r="E360" s="1">
        <f t="array" ref="E360">INDEX($B$11:$B$247,CEILING(ROW(A350)/3,1))</f>
        <v>117</v>
      </c>
      <c r="F360" s="1">
        <f t="shared" si="24"/>
        <v>2</v>
      </c>
      <c r="G360" s="1">
        <v>350</v>
      </c>
      <c r="H360" s="1">
        <f t="shared" si="22"/>
        <v>0</v>
      </c>
      <c r="I360" s="1">
        <f t="shared" si="23"/>
        <v>500</v>
      </c>
      <c r="J360" s="1">
        <f t="shared" si="25"/>
        <v>54.61</v>
      </c>
    </row>
    <row r="361" spans="5:10">
      <c r="E361" s="1">
        <f t="array" ref="E361">INDEX($B$11:$B$247,CEILING(ROW(A351)/3,1))</f>
        <v>117</v>
      </c>
      <c r="F361" s="1">
        <f t="shared" si="24"/>
        <v>3</v>
      </c>
      <c r="G361" s="1">
        <v>351</v>
      </c>
      <c r="H361" s="1">
        <f t="shared" si="22"/>
        <v>0</v>
      </c>
      <c r="I361" s="1">
        <f t="shared" si="23"/>
        <v>500</v>
      </c>
      <c r="J361" s="1">
        <f t="shared" si="25"/>
        <v>55.7</v>
      </c>
    </row>
    <row r="362" spans="5:10">
      <c r="E362" s="1">
        <f t="array" ref="E362">INDEX($B$11:$B$247,CEILING(ROW(A352)/3,1))</f>
        <v>118</v>
      </c>
      <c r="F362" s="1">
        <f t="shared" si="24"/>
        <v>1</v>
      </c>
      <c r="G362" s="1">
        <v>352</v>
      </c>
      <c r="H362" s="1">
        <f t="shared" si="22"/>
        <v>0</v>
      </c>
      <c r="I362" s="1">
        <f t="shared" si="23"/>
        <v>500</v>
      </c>
      <c r="J362" s="1">
        <f t="shared" si="25"/>
        <v>56.81</v>
      </c>
    </row>
    <row r="363" spans="5:10">
      <c r="E363" s="1">
        <f t="array" ref="E363">INDEX($B$11:$B$247,CEILING(ROW(A353)/3,1))</f>
        <v>118</v>
      </c>
      <c r="F363" s="1">
        <f t="shared" si="24"/>
        <v>2</v>
      </c>
      <c r="G363" s="1">
        <v>353</v>
      </c>
      <c r="H363" s="1">
        <f t="shared" si="22"/>
        <v>0</v>
      </c>
      <c r="I363" s="1">
        <f t="shared" si="23"/>
        <v>500</v>
      </c>
      <c r="J363" s="1">
        <f t="shared" si="25"/>
        <v>57.95</v>
      </c>
    </row>
    <row r="364" spans="5:10">
      <c r="E364" s="1">
        <f t="array" ref="E364">INDEX($B$11:$B$247,CEILING(ROW(A354)/3,1))</f>
        <v>118</v>
      </c>
      <c r="F364" s="1">
        <f t="shared" si="24"/>
        <v>3</v>
      </c>
      <c r="G364" s="1">
        <v>354</v>
      </c>
      <c r="H364" s="1">
        <f t="shared" si="22"/>
        <v>0</v>
      </c>
      <c r="I364" s="1">
        <f t="shared" si="23"/>
        <v>500</v>
      </c>
      <c r="J364" s="1">
        <f t="shared" si="25"/>
        <v>59.11</v>
      </c>
    </row>
    <row r="365" spans="5:10">
      <c r="E365" s="1">
        <f t="array" ref="E365">INDEX($B$11:$B$247,CEILING(ROW(A355)/3,1))</f>
        <v>119</v>
      </c>
      <c r="F365" s="1">
        <f t="shared" si="24"/>
        <v>1</v>
      </c>
      <c r="G365" s="1">
        <v>355</v>
      </c>
      <c r="H365" s="1">
        <f t="shared" si="22"/>
        <v>0</v>
      </c>
      <c r="I365" s="1">
        <f t="shared" si="23"/>
        <v>500</v>
      </c>
      <c r="J365" s="1">
        <f t="shared" si="25"/>
        <v>60.29</v>
      </c>
    </row>
    <row r="366" spans="5:10">
      <c r="E366" s="1">
        <f t="array" ref="E366">INDEX($B$11:$B$247,CEILING(ROW(A356)/3,1))</f>
        <v>119</v>
      </c>
      <c r="F366" s="1">
        <f t="shared" si="24"/>
        <v>2</v>
      </c>
      <c r="G366" s="1">
        <v>356</v>
      </c>
      <c r="H366" s="1">
        <f t="shared" si="22"/>
        <v>0</v>
      </c>
      <c r="I366" s="1">
        <f t="shared" si="23"/>
        <v>500</v>
      </c>
      <c r="J366" s="1">
        <f t="shared" si="25"/>
        <v>61.49</v>
      </c>
    </row>
    <row r="367" spans="5:10">
      <c r="E367" s="1">
        <f t="array" ref="E367">INDEX($B$11:$B$247,CEILING(ROW(A357)/3,1))</f>
        <v>119</v>
      </c>
      <c r="F367" s="1">
        <f t="shared" si="24"/>
        <v>3</v>
      </c>
      <c r="G367" s="1">
        <v>357</v>
      </c>
      <c r="H367" s="1">
        <f t="shared" si="22"/>
        <v>0</v>
      </c>
      <c r="I367" s="1">
        <f t="shared" si="23"/>
        <v>500</v>
      </c>
      <c r="J367" s="1">
        <f t="shared" si="25"/>
        <v>62.72</v>
      </c>
    </row>
    <row r="368" spans="5:10">
      <c r="E368" s="1">
        <f t="array" ref="E368">INDEX($B$11:$B$247,CEILING(ROW(A358)/3,1))</f>
        <v>120</v>
      </c>
      <c r="F368" s="1">
        <f t="shared" si="24"/>
        <v>1</v>
      </c>
      <c r="G368" s="1">
        <v>358</v>
      </c>
      <c r="H368" s="1">
        <f t="shared" si="22"/>
        <v>0</v>
      </c>
      <c r="I368" s="1">
        <f t="shared" si="23"/>
        <v>500</v>
      </c>
      <c r="J368" s="1">
        <f t="shared" si="25"/>
        <v>63.98</v>
      </c>
    </row>
    <row r="369" spans="5:10">
      <c r="E369" s="1">
        <f t="array" ref="E369">INDEX($B$11:$B$247,CEILING(ROW(A359)/3,1))</f>
        <v>120</v>
      </c>
      <c r="F369" s="1">
        <f t="shared" si="24"/>
        <v>2</v>
      </c>
      <c r="G369" s="1">
        <v>359</v>
      </c>
      <c r="H369" s="1">
        <f t="shared" si="22"/>
        <v>0</v>
      </c>
      <c r="I369" s="1">
        <f t="shared" si="23"/>
        <v>500</v>
      </c>
      <c r="J369" s="1">
        <f t="shared" si="25"/>
        <v>65.26</v>
      </c>
    </row>
    <row r="370" spans="5:10">
      <c r="E370" s="1">
        <f t="array" ref="E370">INDEX($B$11:$B$247,CEILING(ROW(A360)/3,1))</f>
        <v>120</v>
      </c>
      <c r="F370" s="1">
        <f t="shared" si="24"/>
        <v>3</v>
      </c>
      <c r="G370" s="1">
        <v>360</v>
      </c>
      <c r="H370" s="1">
        <f t="shared" si="22"/>
        <v>0</v>
      </c>
      <c r="I370" s="1">
        <f t="shared" si="23"/>
        <v>500</v>
      </c>
      <c r="J370" s="1">
        <f t="shared" si="25"/>
        <v>66.56</v>
      </c>
    </row>
    <row r="371" spans="5:10">
      <c r="E371" s="1">
        <f t="array" ref="E371">INDEX($B$11:$B$247,CEILING(ROW(A361)/3,1))</f>
        <v>121</v>
      </c>
      <c r="F371" s="1">
        <f t="shared" si="24"/>
        <v>1</v>
      </c>
      <c r="G371" s="1">
        <v>361</v>
      </c>
      <c r="H371" s="1">
        <f t="shared" si="22"/>
        <v>0</v>
      </c>
      <c r="I371" s="1">
        <f t="shared" si="23"/>
        <v>500</v>
      </c>
      <c r="J371" s="1">
        <f t="shared" si="25"/>
        <v>67.89</v>
      </c>
    </row>
    <row r="372" spans="5:10">
      <c r="E372" s="1">
        <f t="array" ref="E372">INDEX($B$11:$B$247,CEILING(ROW(A362)/3,1))</f>
        <v>121</v>
      </c>
      <c r="F372" s="1">
        <f t="shared" si="24"/>
        <v>2</v>
      </c>
      <c r="G372" s="1">
        <v>362</v>
      </c>
      <c r="H372" s="1">
        <f t="shared" si="22"/>
        <v>0</v>
      </c>
      <c r="I372" s="1">
        <f t="shared" si="23"/>
        <v>500</v>
      </c>
      <c r="J372" s="1">
        <f t="shared" si="25"/>
        <v>69.25</v>
      </c>
    </row>
    <row r="373" spans="5:10">
      <c r="E373" s="1">
        <f t="array" ref="E373">INDEX($B$11:$B$247,CEILING(ROW(A363)/3,1))</f>
        <v>121</v>
      </c>
      <c r="F373" s="1">
        <f t="shared" si="24"/>
        <v>3</v>
      </c>
      <c r="G373" s="1">
        <v>363</v>
      </c>
      <c r="H373" s="1">
        <f t="shared" si="22"/>
        <v>0</v>
      </c>
      <c r="I373" s="1">
        <f t="shared" si="23"/>
        <v>500</v>
      </c>
      <c r="J373" s="1">
        <f t="shared" si="25"/>
        <v>70.64</v>
      </c>
    </row>
    <row r="374" spans="5:10">
      <c r="E374" s="1">
        <f t="array" ref="E374">INDEX($B$11:$B$247,CEILING(ROW(A364)/3,1))</f>
        <v>122</v>
      </c>
      <c r="F374" s="1">
        <f t="shared" si="24"/>
        <v>1</v>
      </c>
      <c r="G374" s="1">
        <v>364</v>
      </c>
      <c r="H374" s="1">
        <f t="shared" si="22"/>
        <v>0</v>
      </c>
      <c r="I374" s="1">
        <f t="shared" si="23"/>
        <v>500</v>
      </c>
      <c r="J374" s="1">
        <f t="shared" si="25"/>
        <v>72.05</v>
      </c>
    </row>
    <row r="375" spans="5:10">
      <c r="E375" s="1">
        <f t="array" ref="E375">INDEX($B$11:$B$247,CEILING(ROW(A365)/3,1))</f>
        <v>122</v>
      </c>
      <c r="F375" s="1">
        <f t="shared" si="24"/>
        <v>2</v>
      </c>
      <c r="G375" s="1">
        <v>365</v>
      </c>
      <c r="H375" s="1">
        <f t="shared" si="22"/>
        <v>0</v>
      </c>
      <c r="I375" s="1">
        <f t="shared" si="23"/>
        <v>500</v>
      </c>
      <c r="J375" s="1">
        <f t="shared" si="25"/>
        <v>73.49</v>
      </c>
    </row>
    <row r="376" spans="5:10">
      <c r="E376" s="1">
        <f t="array" ref="E376">INDEX($B$11:$B$247,CEILING(ROW(A366)/3,1))</f>
        <v>122</v>
      </c>
      <c r="F376" s="1">
        <f t="shared" si="24"/>
        <v>3</v>
      </c>
      <c r="G376" s="1">
        <v>366</v>
      </c>
      <c r="H376" s="1">
        <f t="shared" si="22"/>
        <v>0</v>
      </c>
      <c r="I376" s="1">
        <f t="shared" si="23"/>
        <v>500</v>
      </c>
      <c r="J376" s="1">
        <f t="shared" si="25"/>
        <v>74.96</v>
      </c>
    </row>
    <row r="377" spans="5:10">
      <c r="E377" s="1">
        <f t="array" ref="E377">INDEX($B$11:$B$247,CEILING(ROW(A367)/3,1))</f>
        <v>123</v>
      </c>
      <c r="F377" s="1">
        <f t="shared" si="24"/>
        <v>1</v>
      </c>
      <c r="G377" s="1">
        <v>367</v>
      </c>
      <c r="H377" s="1">
        <f t="shared" si="22"/>
        <v>0</v>
      </c>
      <c r="I377" s="1">
        <f t="shared" si="23"/>
        <v>500</v>
      </c>
      <c r="J377" s="1">
        <f t="shared" si="25"/>
        <v>76.46</v>
      </c>
    </row>
    <row r="378" spans="5:10">
      <c r="E378" s="1">
        <f t="array" ref="E378">INDEX($B$11:$B$247,CEILING(ROW(A368)/3,1))</f>
        <v>123</v>
      </c>
      <c r="F378" s="1">
        <f t="shared" si="24"/>
        <v>2</v>
      </c>
      <c r="G378" s="1">
        <v>368</v>
      </c>
      <c r="H378" s="1">
        <f t="shared" si="22"/>
        <v>0</v>
      </c>
      <c r="I378" s="1">
        <f t="shared" si="23"/>
        <v>500</v>
      </c>
      <c r="J378" s="1">
        <f t="shared" si="25"/>
        <v>77.99</v>
      </c>
    </row>
    <row r="379" spans="5:10">
      <c r="E379" s="1">
        <f t="array" ref="E379">INDEX($B$11:$B$247,CEILING(ROW(A369)/3,1))</f>
        <v>123</v>
      </c>
      <c r="F379" s="1">
        <f t="shared" si="24"/>
        <v>3</v>
      </c>
      <c r="G379" s="1">
        <v>369</v>
      </c>
      <c r="H379" s="1">
        <f t="shared" si="22"/>
        <v>0</v>
      </c>
      <c r="I379" s="1">
        <f t="shared" si="23"/>
        <v>500</v>
      </c>
      <c r="J379" s="1">
        <f t="shared" si="25"/>
        <v>79.55</v>
      </c>
    </row>
    <row r="380" spans="5:10">
      <c r="E380" s="1">
        <f t="array" ref="E380">INDEX($B$11:$B$247,CEILING(ROW(A370)/3,1))</f>
        <v>124</v>
      </c>
      <c r="F380" s="1">
        <f t="shared" si="24"/>
        <v>1</v>
      </c>
      <c r="G380" s="1">
        <v>370</v>
      </c>
      <c r="H380" s="1">
        <f t="shared" si="22"/>
        <v>0</v>
      </c>
      <c r="I380" s="1">
        <f t="shared" si="23"/>
        <v>500</v>
      </c>
      <c r="J380" s="1">
        <f t="shared" si="25"/>
        <v>81.14</v>
      </c>
    </row>
    <row r="381" spans="5:10">
      <c r="E381" s="1">
        <f t="array" ref="E381">INDEX($B$11:$B$247,CEILING(ROW(A371)/3,1))</f>
        <v>124</v>
      </c>
      <c r="F381" s="1">
        <f t="shared" si="24"/>
        <v>2</v>
      </c>
      <c r="G381" s="1">
        <v>371</v>
      </c>
      <c r="H381" s="1">
        <f t="shared" si="22"/>
        <v>0</v>
      </c>
      <c r="I381" s="1">
        <f t="shared" si="23"/>
        <v>500</v>
      </c>
      <c r="J381" s="1">
        <f t="shared" si="25"/>
        <v>82.76</v>
      </c>
    </row>
    <row r="382" spans="5:10">
      <c r="E382" s="1">
        <f t="array" ref="E382">INDEX($B$11:$B$247,CEILING(ROW(A372)/3,1))</f>
        <v>124</v>
      </c>
      <c r="F382" s="1">
        <f t="shared" si="24"/>
        <v>3</v>
      </c>
      <c r="G382" s="1">
        <v>372</v>
      </c>
      <c r="H382" s="1">
        <f t="shared" si="22"/>
        <v>0</v>
      </c>
      <c r="I382" s="1">
        <f t="shared" si="23"/>
        <v>500</v>
      </c>
      <c r="J382" s="1">
        <f t="shared" si="25"/>
        <v>84.42</v>
      </c>
    </row>
    <row r="383" spans="5:10">
      <c r="E383" s="1">
        <f t="array" ref="E383">INDEX($B$11:$B$247,CEILING(ROW(A373)/3,1))</f>
        <v>125</v>
      </c>
      <c r="F383" s="1">
        <f t="shared" si="24"/>
        <v>1</v>
      </c>
      <c r="G383" s="1">
        <v>373</v>
      </c>
      <c r="H383" s="1">
        <f t="shared" si="22"/>
        <v>0</v>
      </c>
      <c r="I383" s="1">
        <f t="shared" si="23"/>
        <v>500</v>
      </c>
      <c r="J383" s="1">
        <f t="shared" si="25"/>
        <v>86.11</v>
      </c>
    </row>
    <row r="384" spans="5:10">
      <c r="E384" s="1">
        <f t="array" ref="E384">INDEX($B$11:$B$247,CEILING(ROW(A374)/3,1))</f>
        <v>125</v>
      </c>
      <c r="F384" s="1">
        <f t="shared" si="24"/>
        <v>2</v>
      </c>
      <c r="G384" s="1">
        <v>374</v>
      </c>
      <c r="H384" s="1">
        <f t="shared" si="22"/>
        <v>0</v>
      </c>
      <c r="I384" s="1">
        <f t="shared" si="23"/>
        <v>500</v>
      </c>
      <c r="J384" s="1">
        <f t="shared" si="25"/>
        <v>87.83</v>
      </c>
    </row>
    <row r="385" spans="5:10">
      <c r="E385" s="1">
        <f t="array" ref="E385">INDEX($B$11:$B$247,CEILING(ROW(A375)/3,1))</f>
        <v>125</v>
      </c>
      <c r="F385" s="1">
        <f t="shared" si="24"/>
        <v>3</v>
      </c>
      <c r="G385" s="1">
        <v>375</v>
      </c>
      <c r="H385" s="1">
        <f t="shared" si="22"/>
        <v>0</v>
      </c>
      <c r="I385" s="1">
        <f t="shared" si="23"/>
        <v>500</v>
      </c>
      <c r="J385" s="1">
        <f t="shared" si="25"/>
        <v>89.59</v>
      </c>
    </row>
    <row r="386" spans="5:10">
      <c r="E386" s="1">
        <f t="array" ref="E386">INDEX($B$11:$B$247,CEILING(ROW(A376)/3,1))</f>
        <v>126</v>
      </c>
      <c r="F386" s="1">
        <f t="shared" si="24"/>
        <v>1</v>
      </c>
      <c r="G386" s="1">
        <v>376</v>
      </c>
      <c r="H386" s="1">
        <f t="shared" si="22"/>
        <v>0</v>
      </c>
      <c r="I386" s="1">
        <f t="shared" si="23"/>
        <v>500</v>
      </c>
      <c r="J386" s="1">
        <f t="shared" si="25"/>
        <v>91.38</v>
      </c>
    </row>
    <row r="387" spans="5:10">
      <c r="E387" s="1">
        <f t="array" ref="E387">INDEX($B$11:$B$247,CEILING(ROW(A377)/3,1))</f>
        <v>126</v>
      </c>
      <c r="F387" s="1">
        <f t="shared" si="24"/>
        <v>2</v>
      </c>
      <c r="G387" s="1">
        <v>377</v>
      </c>
      <c r="H387" s="1">
        <f t="shared" si="22"/>
        <v>0</v>
      </c>
      <c r="I387" s="1">
        <f t="shared" si="23"/>
        <v>500</v>
      </c>
      <c r="J387" s="1">
        <f t="shared" si="25"/>
        <v>93.21</v>
      </c>
    </row>
    <row r="388" spans="5:10">
      <c r="E388" s="1">
        <f t="array" ref="E388">INDEX($B$11:$B$247,CEILING(ROW(A378)/3,1))</f>
        <v>126</v>
      </c>
      <c r="F388" s="1">
        <f t="shared" si="24"/>
        <v>3</v>
      </c>
      <c r="G388" s="1">
        <v>378</v>
      </c>
      <c r="H388" s="1">
        <f t="shared" si="22"/>
        <v>0</v>
      </c>
      <c r="I388" s="1">
        <f t="shared" si="23"/>
        <v>500</v>
      </c>
      <c r="J388" s="1">
        <f t="shared" si="25"/>
        <v>95.07</v>
      </c>
    </row>
    <row r="389" spans="5:10">
      <c r="E389" s="1">
        <f t="array" ref="E389">INDEX($B$11:$B$247,CEILING(ROW(A379)/3,1))</f>
        <v>127</v>
      </c>
      <c r="F389" s="1">
        <f t="shared" si="24"/>
        <v>1</v>
      </c>
      <c r="G389" s="1">
        <v>379</v>
      </c>
      <c r="H389" s="1">
        <f t="shared" si="22"/>
        <v>0</v>
      </c>
      <c r="I389" s="1">
        <f t="shared" si="23"/>
        <v>500</v>
      </c>
      <c r="J389" s="1">
        <f t="shared" si="25"/>
        <v>96.97</v>
      </c>
    </row>
    <row r="390" spans="5:10">
      <c r="E390" s="1">
        <f t="array" ref="E390">INDEX($B$11:$B$247,CEILING(ROW(A380)/3,1))</f>
        <v>127</v>
      </c>
      <c r="F390" s="1">
        <f t="shared" si="24"/>
        <v>2</v>
      </c>
      <c r="G390" s="1">
        <v>380</v>
      </c>
      <c r="H390" s="1">
        <f t="shared" si="22"/>
        <v>0</v>
      </c>
      <c r="I390" s="1">
        <f t="shared" si="23"/>
        <v>500</v>
      </c>
      <c r="J390" s="1">
        <f t="shared" si="25"/>
        <v>98.91</v>
      </c>
    </row>
    <row r="391" spans="5:10">
      <c r="E391" s="1">
        <f t="array" ref="E391">INDEX($B$11:$B$247,CEILING(ROW(A381)/3,1))</f>
        <v>127</v>
      </c>
      <c r="F391" s="1">
        <f t="shared" si="24"/>
        <v>3</v>
      </c>
      <c r="G391" s="1">
        <v>381</v>
      </c>
      <c r="H391" s="1">
        <f t="shared" si="22"/>
        <v>0</v>
      </c>
      <c r="I391" s="1">
        <f t="shared" si="23"/>
        <v>500</v>
      </c>
      <c r="J391" s="1">
        <f t="shared" si="25"/>
        <v>100.89</v>
      </c>
    </row>
    <row r="392" spans="5:10">
      <c r="E392" s="1">
        <f t="array" ref="E392">INDEX($B$11:$B$247,CEILING(ROW(A382)/3,1))</f>
        <v>128</v>
      </c>
      <c r="F392" s="1">
        <f t="shared" si="24"/>
        <v>1</v>
      </c>
      <c r="G392" s="1">
        <v>382</v>
      </c>
      <c r="H392" s="1">
        <f t="shared" si="22"/>
        <v>0</v>
      </c>
      <c r="I392" s="1">
        <f t="shared" si="23"/>
        <v>500</v>
      </c>
      <c r="J392" s="1">
        <f t="shared" si="25"/>
        <v>102.91</v>
      </c>
    </row>
    <row r="393" spans="5:10">
      <c r="E393" s="1">
        <f t="array" ref="E393">INDEX($B$11:$B$247,CEILING(ROW(A383)/3,1))</f>
        <v>128</v>
      </c>
      <c r="F393" s="1">
        <f t="shared" si="24"/>
        <v>2</v>
      </c>
      <c r="G393" s="1">
        <v>383</v>
      </c>
      <c r="H393" s="1">
        <f t="shared" si="22"/>
        <v>0</v>
      </c>
      <c r="I393" s="1">
        <f t="shared" si="23"/>
        <v>500</v>
      </c>
      <c r="J393" s="1">
        <f t="shared" si="25"/>
        <v>104.96</v>
      </c>
    </row>
    <row r="394" spans="5:10">
      <c r="E394" s="1">
        <f t="array" ref="E394">INDEX($B$11:$B$247,CEILING(ROW(A384)/3,1))</f>
        <v>128</v>
      </c>
      <c r="F394" s="1">
        <f t="shared" si="24"/>
        <v>3</v>
      </c>
      <c r="G394" s="1">
        <v>384</v>
      </c>
      <c r="H394" s="1">
        <f t="shared" si="22"/>
        <v>0</v>
      </c>
      <c r="I394" s="1">
        <f t="shared" si="23"/>
        <v>500</v>
      </c>
      <c r="J394" s="1">
        <f t="shared" si="25"/>
        <v>107.06</v>
      </c>
    </row>
    <row r="395" spans="5:10">
      <c r="E395" s="1">
        <f t="array" ref="E395">INDEX($B$11:$B$247,CEILING(ROW(A385)/3,1))</f>
        <v>129</v>
      </c>
      <c r="F395" s="1">
        <f t="shared" si="24"/>
        <v>1</v>
      </c>
      <c r="G395" s="1">
        <v>385</v>
      </c>
      <c r="H395" s="1">
        <f t="shared" ref="H395:H458" si="26">_xlfn.IFNA(VLOOKUP(E398,$B$11:$C$247,2,0)-VLOOKUP(E395,$B$11:$C$247,2,0),0)</f>
        <v>0</v>
      </c>
      <c r="I395" s="1">
        <f t="shared" ref="I395:I458" si="27">ROUND(VLOOKUP(E395,$B$11:$C$247,2,0)+VLOOKUP(F395,$J$3:$K$5,2,0)*H395,0)</f>
        <v>500</v>
      </c>
      <c r="J395" s="1">
        <f t="shared" si="25"/>
        <v>109.2</v>
      </c>
    </row>
    <row r="396" spans="5:10">
      <c r="E396" s="1">
        <f t="array" ref="E396">INDEX($B$11:$B$247,CEILING(ROW(A386)/3,1))</f>
        <v>129</v>
      </c>
      <c r="F396" s="1">
        <f t="shared" si="24"/>
        <v>2</v>
      </c>
      <c r="G396" s="1">
        <v>386</v>
      </c>
      <c r="H396" s="1">
        <f t="shared" si="26"/>
        <v>0</v>
      </c>
      <c r="I396" s="1">
        <f t="shared" si="27"/>
        <v>500</v>
      </c>
      <c r="J396" s="1">
        <f t="shared" si="25"/>
        <v>111.39</v>
      </c>
    </row>
    <row r="397" spans="5:10">
      <c r="E397" s="1">
        <f t="array" ref="E397">INDEX($B$11:$B$247,CEILING(ROW(A387)/3,1))</f>
        <v>129</v>
      </c>
      <c r="F397" s="1">
        <f t="shared" si="24"/>
        <v>3</v>
      </c>
      <c r="G397" s="1">
        <v>387</v>
      </c>
      <c r="H397" s="1">
        <f t="shared" si="26"/>
        <v>0</v>
      </c>
      <c r="I397" s="1">
        <f t="shared" si="27"/>
        <v>500</v>
      </c>
      <c r="J397" s="1">
        <f t="shared" si="25"/>
        <v>113.62</v>
      </c>
    </row>
    <row r="398" spans="5:10">
      <c r="E398" s="1">
        <f t="array" ref="E398">INDEX($B$11:$B$247,CEILING(ROW(A388)/3,1))</f>
        <v>130</v>
      </c>
      <c r="F398" s="1">
        <f t="shared" ref="F398:F461" si="28">F395</f>
        <v>1</v>
      </c>
      <c r="G398" s="1">
        <v>388</v>
      </c>
      <c r="H398" s="1">
        <f t="shared" si="26"/>
        <v>0</v>
      </c>
      <c r="I398" s="1">
        <f t="shared" si="27"/>
        <v>500</v>
      </c>
      <c r="J398" s="1">
        <f t="shared" si="25"/>
        <v>115.89</v>
      </c>
    </row>
    <row r="399" spans="5:10">
      <c r="E399" s="1">
        <f t="array" ref="E399">INDEX($B$11:$B$247,CEILING(ROW(A389)/3,1))</f>
        <v>130</v>
      </c>
      <c r="F399" s="1">
        <f t="shared" si="28"/>
        <v>2</v>
      </c>
      <c r="G399" s="1">
        <v>389</v>
      </c>
      <c r="H399" s="1">
        <f t="shared" si="26"/>
        <v>0</v>
      </c>
      <c r="I399" s="1">
        <f t="shared" si="27"/>
        <v>500</v>
      </c>
      <c r="J399" s="1">
        <f t="shared" si="25"/>
        <v>118.21</v>
      </c>
    </row>
    <row r="400" spans="5:10">
      <c r="E400" s="1">
        <f t="array" ref="E400">INDEX($B$11:$B$247,CEILING(ROW(A390)/3,1))</f>
        <v>130</v>
      </c>
      <c r="F400" s="1">
        <f t="shared" si="28"/>
        <v>3</v>
      </c>
      <c r="G400" s="1">
        <v>390</v>
      </c>
      <c r="H400" s="1">
        <f t="shared" si="26"/>
        <v>0</v>
      </c>
      <c r="I400" s="1">
        <f t="shared" si="27"/>
        <v>500</v>
      </c>
      <c r="J400" s="1">
        <f t="shared" si="25"/>
        <v>120.57</v>
      </c>
    </row>
    <row r="401" spans="5:10">
      <c r="E401" s="1">
        <f t="array" ref="E401">INDEX($B$11:$B$247,CEILING(ROW(A391)/3,1))</f>
        <v>131</v>
      </c>
      <c r="F401" s="1">
        <f t="shared" si="28"/>
        <v>1</v>
      </c>
      <c r="G401" s="1">
        <v>391</v>
      </c>
      <c r="H401" s="1">
        <f t="shared" si="26"/>
        <v>0</v>
      </c>
      <c r="I401" s="1">
        <f t="shared" si="27"/>
        <v>500</v>
      </c>
      <c r="J401" s="1">
        <f t="shared" si="25"/>
        <v>122.98</v>
      </c>
    </row>
    <row r="402" spans="5:10">
      <c r="E402" s="1">
        <f t="array" ref="E402">INDEX($B$11:$B$247,CEILING(ROW(A392)/3,1))</f>
        <v>131</v>
      </c>
      <c r="F402" s="1">
        <f t="shared" si="28"/>
        <v>2</v>
      </c>
      <c r="G402" s="1">
        <v>392</v>
      </c>
      <c r="H402" s="1">
        <f t="shared" si="26"/>
        <v>0</v>
      </c>
      <c r="I402" s="1">
        <f t="shared" si="27"/>
        <v>500</v>
      </c>
      <c r="J402" s="1">
        <f t="shared" si="25"/>
        <v>125.44</v>
      </c>
    </row>
    <row r="403" spans="5:10">
      <c r="E403" s="1">
        <f t="array" ref="E403">INDEX($B$11:$B$247,CEILING(ROW(A393)/3,1))</f>
        <v>131</v>
      </c>
      <c r="F403" s="1">
        <f t="shared" si="28"/>
        <v>3</v>
      </c>
      <c r="G403" s="1">
        <v>393</v>
      </c>
      <c r="H403" s="1">
        <f t="shared" si="26"/>
        <v>0</v>
      </c>
      <c r="I403" s="1">
        <f t="shared" si="27"/>
        <v>500</v>
      </c>
      <c r="J403" s="1">
        <f t="shared" si="25"/>
        <v>127.95</v>
      </c>
    </row>
    <row r="404" spans="5:10">
      <c r="E404" s="1">
        <f t="array" ref="E404">INDEX($B$11:$B$247,CEILING(ROW(A394)/3,1))</f>
        <v>132</v>
      </c>
      <c r="F404" s="1">
        <f t="shared" si="28"/>
        <v>1</v>
      </c>
      <c r="G404" s="1">
        <v>394</v>
      </c>
      <c r="H404" s="1">
        <f t="shared" si="26"/>
        <v>0</v>
      </c>
      <c r="I404" s="1">
        <f t="shared" si="27"/>
        <v>500</v>
      </c>
      <c r="J404" s="1">
        <f t="shared" si="25"/>
        <v>130.51</v>
      </c>
    </row>
    <row r="405" spans="5:10">
      <c r="E405" s="1">
        <f t="array" ref="E405">INDEX($B$11:$B$247,CEILING(ROW(A395)/3,1))</f>
        <v>132</v>
      </c>
      <c r="F405" s="1">
        <f t="shared" si="28"/>
        <v>2</v>
      </c>
      <c r="G405" s="1">
        <v>395</v>
      </c>
      <c r="H405" s="1">
        <f t="shared" si="26"/>
        <v>0</v>
      </c>
      <c r="I405" s="1">
        <f t="shared" si="27"/>
        <v>500</v>
      </c>
      <c r="J405" s="1">
        <f t="shared" si="25"/>
        <v>133.12</v>
      </c>
    </row>
    <row r="406" spans="5:10">
      <c r="E406" s="1">
        <f t="array" ref="E406">INDEX($B$11:$B$247,CEILING(ROW(A396)/3,1))</f>
        <v>132</v>
      </c>
      <c r="F406" s="1">
        <f t="shared" si="28"/>
        <v>3</v>
      </c>
      <c r="G406" s="1">
        <v>396</v>
      </c>
      <c r="H406" s="1">
        <f t="shared" si="26"/>
        <v>0</v>
      </c>
      <c r="I406" s="1">
        <f t="shared" si="27"/>
        <v>500</v>
      </c>
      <c r="J406" s="1">
        <f t="shared" si="25"/>
        <v>135.78</v>
      </c>
    </row>
    <row r="407" spans="5:10">
      <c r="E407" s="1">
        <f t="array" ref="E407">INDEX($B$11:$B$247,CEILING(ROW(A397)/3,1))</f>
        <v>133</v>
      </c>
      <c r="F407" s="1">
        <f t="shared" si="28"/>
        <v>1</v>
      </c>
      <c r="G407" s="1">
        <v>397</v>
      </c>
      <c r="H407" s="1">
        <f t="shared" si="26"/>
        <v>0</v>
      </c>
      <c r="I407" s="1">
        <f t="shared" si="27"/>
        <v>500</v>
      </c>
      <c r="J407" s="1">
        <f t="shared" si="25"/>
        <v>138.5</v>
      </c>
    </row>
    <row r="408" spans="5:10">
      <c r="E408" s="1">
        <f t="array" ref="E408">INDEX($B$11:$B$247,CEILING(ROW(A398)/3,1))</f>
        <v>133</v>
      </c>
      <c r="F408" s="1">
        <f t="shared" si="28"/>
        <v>2</v>
      </c>
      <c r="G408" s="1">
        <v>398</v>
      </c>
      <c r="H408" s="1">
        <f t="shared" si="26"/>
        <v>0</v>
      </c>
      <c r="I408" s="1">
        <f t="shared" si="27"/>
        <v>500</v>
      </c>
      <c r="J408" s="1">
        <f t="shared" si="25"/>
        <v>141.27</v>
      </c>
    </row>
    <row r="409" spans="5:10">
      <c r="E409" s="1">
        <f t="array" ref="E409">INDEX($B$11:$B$247,CEILING(ROW(A399)/3,1))</f>
        <v>133</v>
      </c>
      <c r="F409" s="1">
        <f t="shared" si="28"/>
        <v>3</v>
      </c>
      <c r="G409" s="1">
        <v>399</v>
      </c>
      <c r="H409" s="1">
        <f t="shared" si="26"/>
        <v>0</v>
      </c>
      <c r="I409" s="1">
        <f t="shared" si="27"/>
        <v>500</v>
      </c>
      <c r="J409" s="1">
        <f t="shared" si="25"/>
        <v>144.09</v>
      </c>
    </row>
    <row r="410" spans="5:10">
      <c r="E410" s="1">
        <f t="array" ref="E410">INDEX($B$11:$B$247,CEILING(ROW(A400)/3,1))</f>
        <v>134</v>
      </c>
      <c r="F410" s="1">
        <f t="shared" si="28"/>
        <v>1</v>
      </c>
      <c r="G410" s="1">
        <v>400</v>
      </c>
      <c r="H410" s="1">
        <f t="shared" si="26"/>
        <v>0</v>
      </c>
      <c r="I410" s="1">
        <f t="shared" si="27"/>
        <v>500</v>
      </c>
      <c r="J410" s="1">
        <f t="shared" si="25"/>
        <v>146.97</v>
      </c>
    </row>
    <row r="411" spans="5:10">
      <c r="E411" s="1">
        <f t="array" ref="E411">INDEX($B$11:$B$247,CEILING(ROW(A401)/3,1))</f>
        <v>134</v>
      </c>
      <c r="F411" s="1">
        <f t="shared" si="28"/>
        <v>2</v>
      </c>
      <c r="G411" s="1">
        <v>401</v>
      </c>
      <c r="H411" s="1">
        <f t="shared" si="26"/>
        <v>0</v>
      </c>
      <c r="I411" s="1">
        <f t="shared" si="27"/>
        <v>500</v>
      </c>
      <c r="J411" s="1">
        <f t="shared" si="25"/>
        <v>149.91</v>
      </c>
    </row>
    <row r="412" spans="5:10">
      <c r="E412" s="1">
        <f t="array" ref="E412">INDEX($B$11:$B$247,CEILING(ROW(A402)/3,1))</f>
        <v>134</v>
      </c>
      <c r="F412" s="1">
        <f t="shared" si="28"/>
        <v>3</v>
      </c>
      <c r="G412" s="1">
        <v>402</v>
      </c>
      <c r="H412" s="1">
        <f t="shared" si="26"/>
        <v>0</v>
      </c>
      <c r="I412" s="1">
        <f t="shared" si="27"/>
        <v>500</v>
      </c>
      <c r="J412" s="1">
        <f t="shared" si="25"/>
        <v>152.91</v>
      </c>
    </row>
    <row r="413" spans="5:10">
      <c r="E413" s="1">
        <f t="array" ref="E413">INDEX($B$11:$B$247,CEILING(ROW(A403)/3,1))</f>
        <v>135</v>
      </c>
      <c r="F413" s="1">
        <f t="shared" si="28"/>
        <v>1</v>
      </c>
      <c r="G413" s="1">
        <v>403</v>
      </c>
      <c r="H413" s="1">
        <f t="shared" si="26"/>
        <v>0</v>
      </c>
      <c r="I413" s="1">
        <f t="shared" si="27"/>
        <v>500</v>
      </c>
      <c r="J413" s="1">
        <f t="shared" si="25"/>
        <v>155.97</v>
      </c>
    </row>
    <row r="414" spans="5:10">
      <c r="E414" s="1">
        <f t="array" ref="E414">INDEX($B$11:$B$247,CEILING(ROW(A404)/3,1))</f>
        <v>135</v>
      </c>
      <c r="F414" s="1">
        <f t="shared" si="28"/>
        <v>2</v>
      </c>
      <c r="G414" s="1">
        <v>404</v>
      </c>
      <c r="H414" s="1">
        <f t="shared" si="26"/>
        <v>0</v>
      </c>
      <c r="I414" s="1">
        <f t="shared" si="27"/>
        <v>500</v>
      </c>
      <c r="J414" s="1">
        <f t="shared" si="25"/>
        <v>159.09</v>
      </c>
    </row>
    <row r="415" spans="5:10">
      <c r="E415" s="1">
        <f t="array" ref="E415">INDEX($B$11:$B$247,CEILING(ROW(A405)/3,1))</f>
        <v>135</v>
      </c>
      <c r="F415" s="1">
        <f t="shared" si="28"/>
        <v>3</v>
      </c>
      <c r="G415" s="1">
        <v>405</v>
      </c>
      <c r="H415" s="1">
        <f t="shared" si="26"/>
        <v>0</v>
      </c>
      <c r="I415" s="1">
        <f t="shared" si="27"/>
        <v>500</v>
      </c>
      <c r="J415" s="1">
        <f t="shared" ref="J415:J478" si="29">ROUND(POWER($N$159,ROW(I415)-158),2)</f>
        <v>162.27</v>
      </c>
    </row>
    <row r="416" spans="5:10">
      <c r="E416" s="1">
        <f t="array" ref="E416">INDEX($B$11:$B$247,CEILING(ROW(A406)/3,1))</f>
        <v>136</v>
      </c>
      <c r="F416" s="1">
        <f t="shared" si="28"/>
        <v>1</v>
      </c>
      <c r="G416" s="1">
        <v>406</v>
      </c>
      <c r="H416" s="1">
        <f t="shared" si="26"/>
        <v>0</v>
      </c>
      <c r="I416" s="1">
        <f t="shared" si="27"/>
        <v>500</v>
      </c>
      <c r="J416" s="1">
        <f t="shared" si="29"/>
        <v>165.52</v>
      </c>
    </row>
    <row r="417" spans="5:10">
      <c r="E417" s="1">
        <f t="array" ref="E417">INDEX($B$11:$B$247,CEILING(ROW(A407)/3,1))</f>
        <v>136</v>
      </c>
      <c r="F417" s="1">
        <f t="shared" si="28"/>
        <v>2</v>
      </c>
      <c r="G417" s="1">
        <v>407</v>
      </c>
      <c r="H417" s="1">
        <f t="shared" si="26"/>
        <v>0</v>
      </c>
      <c r="I417" s="1">
        <f t="shared" si="27"/>
        <v>500</v>
      </c>
      <c r="J417" s="1">
        <f t="shared" si="29"/>
        <v>168.83</v>
      </c>
    </row>
    <row r="418" spans="5:10">
      <c r="E418" s="1">
        <f t="array" ref="E418">INDEX($B$11:$B$247,CEILING(ROW(A408)/3,1))</f>
        <v>136</v>
      </c>
      <c r="F418" s="1">
        <f t="shared" si="28"/>
        <v>3</v>
      </c>
      <c r="G418" s="1">
        <v>408</v>
      </c>
      <c r="H418" s="1">
        <f t="shared" si="26"/>
        <v>0</v>
      </c>
      <c r="I418" s="1">
        <f t="shared" si="27"/>
        <v>500</v>
      </c>
      <c r="J418" s="1">
        <f t="shared" si="29"/>
        <v>172.2</v>
      </c>
    </row>
    <row r="419" spans="5:10">
      <c r="E419" s="1">
        <f t="array" ref="E419">INDEX($B$11:$B$247,CEILING(ROW(A409)/3,1))</f>
        <v>137</v>
      </c>
      <c r="F419" s="1">
        <f t="shared" si="28"/>
        <v>1</v>
      </c>
      <c r="G419" s="1">
        <v>409</v>
      </c>
      <c r="H419" s="1">
        <f t="shared" si="26"/>
        <v>0</v>
      </c>
      <c r="I419" s="1">
        <f t="shared" si="27"/>
        <v>500</v>
      </c>
      <c r="J419" s="1">
        <f t="shared" si="29"/>
        <v>175.65</v>
      </c>
    </row>
    <row r="420" spans="5:10">
      <c r="E420" s="1">
        <f t="array" ref="E420">INDEX($B$11:$B$247,CEILING(ROW(A410)/3,1))</f>
        <v>137</v>
      </c>
      <c r="F420" s="1">
        <f t="shared" si="28"/>
        <v>2</v>
      </c>
      <c r="G420" s="1">
        <v>410</v>
      </c>
      <c r="H420" s="1">
        <f t="shared" si="26"/>
        <v>0</v>
      </c>
      <c r="I420" s="1">
        <f t="shared" si="27"/>
        <v>500</v>
      </c>
      <c r="J420" s="1">
        <f t="shared" si="29"/>
        <v>179.16</v>
      </c>
    </row>
    <row r="421" spans="5:10">
      <c r="E421" s="1">
        <f t="array" ref="E421">INDEX($B$11:$B$247,CEILING(ROW(A411)/3,1))</f>
        <v>137</v>
      </c>
      <c r="F421" s="1">
        <f t="shared" si="28"/>
        <v>3</v>
      </c>
      <c r="G421" s="1">
        <v>411</v>
      </c>
      <c r="H421" s="1">
        <f t="shared" si="26"/>
        <v>0</v>
      </c>
      <c r="I421" s="1">
        <f t="shared" si="27"/>
        <v>500</v>
      </c>
      <c r="J421" s="1">
        <f t="shared" si="29"/>
        <v>182.74</v>
      </c>
    </row>
    <row r="422" spans="5:10">
      <c r="E422" s="1">
        <f t="array" ref="E422">INDEX($B$11:$B$247,CEILING(ROW(A412)/3,1))</f>
        <v>138</v>
      </c>
      <c r="F422" s="1">
        <f t="shared" si="28"/>
        <v>1</v>
      </c>
      <c r="G422" s="1">
        <v>412</v>
      </c>
      <c r="H422" s="1">
        <f t="shared" si="26"/>
        <v>0</v>
      </c>
      <c r="I422" s="1">
        <f t="shared" si="27"/>
        <v>500</v>
      </c>
      <c r="J422" s="1">
        <f t="shared" si="29"/>
        <v>186.4</v>
      </c>
    </row>
    <row r="423" spans="5:10">
      <c r="E423" s="1">
        <f t="array" ref="E423">INDEX($B$11:$B$247,CEILING(ROW(A413)/3,1))</f>
        <v>138</v>
      </c>
      <c r="F423" s="1">
        <f t="shared" si="28"/>
        <v>2</v>
      </c>
      <c r="G423" s="1">
        <v>413</v>
      </c>
      <c r="H423" s="1">
        <f t="shared" si="26"/>
        <v>0</v>
      </c>
      <c r="I423" s="1">
        <f t="shared" si="27"/>
        <v>500</v>
      </c>
      <c r="J423" s="1">
        <f t="shared" si="29"/>
        <v>190.13</v>
      </c>
    </row>
    <row r="424" spans="5:10">
      <c r="E424" s="1">
        <f t="array" ref="E424">INDEX($B$11:$B$247,CEILING(ROW(A414)/3,1))</f>
        <v>138</v>
      </c>
      <c r="F424" s="1">
        <f t="shared" si="28"/>
        <v>3</v>
      </c>
      <c r="G424" s="1">
        <v>414</v>
      </c>
      <c r="H424" s="1">
        <f t="shared" si="26"/>
        <v>0</v>
      </c>
      <c r="I424" s="1">
        <f t="shared" si="27"/>
        <v>500</v>
      </c>
      <c r="J424" s="1">
        <f t="shared" si="29"/>
        <v>193.93</v>
      </c>
    </row>
    <row r="425" spans="5:10">
      <c r="E425" s="1">
        <f t="array" ref="E425">INDEX($B$11:$B$247,CEILING(ROW(A415)/3,1))</f>
        <v>139</v>
      </c>
      <c r="F425" s="1">
        <f t="shared" si="28"/>
        <v>1</v>
      </c>
      <c r="G425" s="1">
        <v>415</v>
      </c>
      <c r="H425" s="1">
        <f t="shared" si="26"/>
        <v>0</v>
      </c>
      <c r="I425" s="1">
        <f t="shared" si="27"/>
        <v>500</v>
      </c>
      <c r="J425" s="1">
        <f t="shared" si="29"/>
        <v>197.81</v>
      </c>
    </row>
    <row r="426" spans="5:10">
      <c r="E426" s="1">
        <f t="array" ref="E426">INDEX($B$11:$B$247,CEILING(ROW(A416)/3,1))</f>
        <v>139</v>
      </c>
      <c r="F426" s="1">
        <f t="shared" si="28"/>
        <v>2</v>
      </c>
      <c r="G426" s="1">
        <v>416</v>
      </c>
      <c r="H426" s="1">
        <f t="shared" si="26"/>
        <v>0</v>
      </c>
      <c r="I426" s="1">
        <f t="shared" si="27"/>
        <v>500</v>
      </c>
      <c r="J426" s="1">
        <f t="shared" si="29"/>
        <v>201.77</v>
      </c>
    </row>
    <row r="427" spans="5:10">
      <c r="E427" s="1">
        <f t="array" ref="E427">INDEX($B$11:$B$247,CEILING(ROW(A417)/3,1))</f>
        <v>139</v>
      </c>
      <c r="F427" s="1">
        <f t="shared" si="28"/>
        <v>3</v>
      </c>
      <c r="G427" s="1">
        <v>417</v>
      </c>
      <c r="H427" s="1">
        <f t="shared" si="26"/>
        <v>0</v>
      </c>
      <c r="I427" s="1">
        <f t="shared" si="27"/>
        <v>500</v>
      </c>
      <c r="J427" s="1">
        <f t="shared" si="29"/>
        <v>205.8</v>
      </c>
    </row>
    <row r="428" spans="5:10">
      <c r="E428" s="1">
        <f t="array" ref="E428">INDEX($B$11:$B$247,CEILING(ROW(A418)/3,1))</f>
        <v>140</v>
      </c>
      <c r="F428" s="1">
        <f t="shared" si="28"/>
        <v>1</v>
      </c>
      <c r="G428" s="1">
        <v>418</v>
      </c>
      <c r="H428" s="1">
        <f t="shared" si="26"/>
        <v>0</v>
      </c>
      <c r="I428" s="1">
        <f t="shared" si="27"/>
        <v>500</v>
      </c>
      <c r="J428" s="1">
        <f t="shared" si="29"/>
        <v>209.92</v>
      </c>
    </row>
    <row r="429" spans="5:10">
      <c r="E429" s="1">
        <f t="array" ref="E429">INDEX($B$11:$B$247,CEILING(ROW(A419)/3,1))</f>
        <v>140</v>
      </c>
      <c r="F429" s="1">
        <f t="shared" si="28"/>
        <v>2</v>
      </c>
      <c r="G429" s="1">
        <v>419</v>
      </c>
      <c r="H429" s="1">
        <f t="shared" si="26"/>
        <v>0</v>
      </c>
      <c r="I429" s="1">
        <f t="shared" si="27"/>
        <v>500</v>
      </c>
      <c r="J429" s="1">
        <f t="shared" si="29"/>
        <v>214.11</v>
      </c>
    </row>
    <row r="430" spans="5:10">
      <c r="E430" s="1">
        <f t="array" ref="E430">INDEX($B$11:$B$247,CEILING(ROW(A420)/3,1))</f>
        <v>140</v>
      </c>
      <c r="F430" s="1">
        <f t="shared" si="28"/>
        <v>3</v>
      </c>
      <c r="G430" s="1">
        <v>420</v>
      </c>
      <c r="H430" s="1">
        <f t="shared" si="26"/>
        <v>0</v>
      </c>
      <c r="I430" s="1">
        <f t="shared" si="27"/>
        <v>500</v>
      </c>
      <c r="J430" s="1">
        <f t="shared" si="29"/>
        <v>218.4</v>
      </c>
    </row>
    <row r="431" spans="5:10">
      <c r="E431" s="1">
        <f t="array" ref="E431">INDEX($B$11:$B$247,CEILING(ROW(A421)/3,1))</f>
        <v>141</v>
      </c>
      <c r="F431" s="1">
        <f t="shared" si="28"/>
        <v>1</v>
      </c>
      <c r="G431" s="1">
        <v>421</v>
      </c>
      <c r="H431" s="1">
        <f t="shared" si="26"/>
        <v>0</v>
      </c>
      <c r="I431" s="1">
        <f t="shared" si="27"/>
        <v>500</v>
      </c>
      <c r="J431" s="1">
        <f t="shared" si="29"/>
        <v>222.76</v>
      </c>
    </row>
    <row r="432" spans="5:10">
      <c r="E432" s="1">
        <f t="array" ref="E432">INDEX($B$11:$B$247,CEILING(ROW(A422)/3,1))</f>
        <v>141</v>
      </c>
      <c r="F432" s="1">
        <f t="shared" si="28"/>
        <v>2</v>
      </c>
      <c r="G432" s="1">
        <v>422</v>
      </c>
      <c r="H432" s="1">
        <f t="shared" si="26"/>
        <v>0</v>
      </c>
      <c r="I432" s="1">
        <f t="shared" si="27"/>
        <v>500</v>
      </c>
      <c r="J432" s="1">
        <f t="shared" si="29"/>
        <v>227.22</v>
      </c>
    </row>
    <row r="433" spans="5:10">
      <c r="E433" s="1">
        <f t="array" ref="E433">INDEX($B$11:$B$247,CEILING(ROW(A423)/3,1))</f>
        <v>141</v>
      </c>
      <c r="F433" s="1">
        <f t="shared" si="28"/>
        <v>3</v>
      </c>
      <c r="G433" s="1">
        <v>423</v>
      </c>
      <c r="H433" s="1">
        <f t="shared" si="26"/>
        <v>0</v>
      </c>
      <c r="I433" s="1">
        <f t="shared" si="27"/>
        <v>500</v>
      </c>
      <c r="J433" s="1">
        <f t="shared" si="29"/>
        <v>231.76</v>
      </c>
    </row>
    <row r="434" spans="5:10">
      <c r="E434" s="1">
        <f t="array" ref="E434">INDEX($B$11:$B$247,CEILING(ROW(A424)/3,1))</f>
        <v>142</v>
      </c>
      <c r="F434" s="1">
        <f t="shared" si="28"/>
        <v>1</v>
      </c>
      <c r="G434" s="1">
        <v>424</v>
      </c>
      <c r="H434" s="1">
        <f t="shared" si="26"/>
        <v>0</v>
      </c>
      <c r="I434" s="1">
        <f t="shared" si="27"/>
        <v>500</v>
      </c>
      <c r="J434" s="1">
        <f t="shared" si="29"/>
        <v>236.4</v>
      </c>
    </row>
    <row r="435" spans="5:10">
      <c r="E435" s="1">
        <f t="array" ref="E435">INDEX($B$11:$B$247,CEILING(ROW(A425)/3,1))</f>
        <v>142</v>
      </c>
      <c r="F435" s="1">
        <f t="shared" si="28"/>
        <v>2</v>
      </c>
      <c r="G435" s="1">
        <v>425</v>
      </c>
      <c r="H435" s="1">
        <f t="shared" si="26"/>
        <v>0</v>
      </c>
      <c r="I435" s="1">
        <f t="shared" si="27"/>
        <v>500</v>
      </c>
      <c r="J435" s="1">
        <f t="shared" si="29"/>
        <v>241.13</v>
      </c>
    </row>
    <row r="436" spans="5:10">
      <c r="E436" s="1">
        <f t="array" ref="E436">INDEX($B$11:$B$247,CEILING(ROW(A426)/3,1))</f>
        <v>142</v>
      </c>
      <c r="F436" s="1">
        <f t="shared" si="28"/>
        <v>3</v>
      </c>
      <c r="G436" s="1">
        <v>426</v>
      </c>
      <c r="H436" s="1">
        <f t="shared" si="26"/>
        <v>0</v>
      </c>
      <c r="I436" s="1">
        <f t="shared" si="27"/>
        <v>500</v>
      </c>
      <c r="J436" s="1">
        <f t="shared" si="29"/>
        <v>245.95</v>
      </c>
    </row>
    <row r="437" spans="5:10">
      <c r="E437" s="1">
        <f t="array" ref="E437">INDEX($B$11:$B$247,CEILING(ROW(A427)/3,1))</f>
        <v>143</v>
      </c>
      <c r="F437" s="1">
        <f t="shared" si="28"/>
        <v>1</v>
      </c>
      <c r="G437" s="1">
        <v>427</v>
      </c>
      <c r="H437" s="1">
        <f t="shared" si="26"/>
        <v>0</v>
      </c>
      <c r="I437" s="1">
        <f t="shared" si="27"/>
        <v>500</v>
      </c>
      <c r="J437" s="1">
        <f t="shared" si="29"/>
        <v>250.87</v>
      </c>
    </row>
    <row r="438" spans="5:10">
      <c r="E438" s="1">
        <f t="array" ref="E438">INDEX($B$11:$B$247,CEILING(ROW(A428)/3,1))</f>
        <v>143</v>
      </c>
      <c r="F438" s="1">
        <f t="shared" si="28"/>
        <v>2</v>
      </c>
      <c r="G438" s="1">
        <v>428</v>
      </c>
      <c r="H438" s="1">
        <f t="shared" si="26"/>
        <v>0</v>
      </c>
      <c r="I438" s="1">
        <f t="shared" si="27"/>
        <v>500</v>
      </c>
      <c r="J438" s="1">
        <f t="shared" si="29"/>
        <v>255.89</v>
      </c>
    </row>
    <row r="439" spans="5:10">
      <c r="E439" s="1">
        <f t="array" ref="E439">INDEX($B$11:$B$247,CEILING(ROW(A429)/3,1))</f>
        <v>143</v>
      </c>
      <c r="F439" s="1">
        <f t="shared" si="28"/>
        <v>3</v>
      </c>
      <c r="G439" s="1">
        <v>429</v>
      </c>
      <c r="H439" s="1">
        <f t="shared" si="26"/>
        <v>0</v>
      </c>
      <c r="I439" s="1">
        <f t="shared" si="27"/>
        <v>500</v>
      </c>
      <c r="J439" s="1">
        <f t="shared" si="29"/>
        <v>261</v>
      </c>
    </row>
    <row r="440" spans="5:10">
      <c r="E440" s="1">
        <f t="array" ref="E440">INDEX($B$11:$B$247,CEILING(ROW(A430)/3,1))</f>
        <v>144</v>
      </c>
      <c r="F440" s="1">
        <f t="shared" si="28"/>
        <v>1</v>
      </c>
      <c r="G440" s="1">
        <v>430</v>
      </c>
      <c r="H440" s="1">
        <f t="shared" si="26"/>
        <v>0</v>
      </c>
      <c r="I440" s="1">
        <f t="shared" si="27"/>
        <v>500</v>
      </c>
      <c r="J440" s="1">
        <f t="shared" si="29"/>
        <v>266.22</v>
      </c>
    </row>
    <row r="441" spans="5:10">
      <c r="E441" s="1">
        <f t="array" ref="E441">INDEX($B$11:$B$247,CEILING(ROW(A431)/3,1))</f>
        <v>144</v>
      </c>
      <c r="F441" s="1">
        <f t="shared" si="28"/>
        <v>2</v>
      </c>
      <c r="G441" s="1">
        <v>431</v>
      </c>
      <c r="H441" s="1">
        <f t="shared" si="26"/>
        <v>0</v>
      </c>
      <c r="I441" s="1">
        <f t="shared" si="27"/>
        <v>500</v>
      </c>
      <c r="J441" s="1">
        <f t="shared" si="29"/>
        <v>271.55</v>
      </c>
    </row>
    <row r="442" spans="5:10">
      <c r="E442" s="1">
        <f t="array" ref="E442">INDEX($B$11:$B$247,CEILING(ROW(A432)/3,1))</f>
        <v>144</v>
      </c>
      <c r="F442" s="1">
        <f t="shared" si="28"/>
        <v>3</v>
      </c>
      <c r="G442" s="1">
        <v>432</v>
      </c>
      <c r="H442" s="1">
        <f t="shared" si="26"/>
        <v>0</v>
      </c>
      <c r="I442" s="1">
        <f t="shared" si="27"/>
        <v>500</v>
      </c>
      <c r="J442" s="1">
        <f t="shared" si="29"/>
        <v>276.98</v>
      </c>
    </row>
    <row r="443" spans="5:10">
      <c r="E443" s="1">
        <f t="array" ref="E443">INDEX($B$11:$B$247,CEILING(ROW(A433)/3,1))</f>
        <v>145</v>
      </c>
      <c r="F443" s="1">
        <f t="shared" si="28"/>
        <v>1</v>
      </c>
      <c r="G443" s="1">
        <v>433</v>
      </c>
      <c r="H443" s="1">
        <f t="shared" si="26"/>
        <v>0</v>
      </c>
      <c r="I443" s="1">
        <f t="shared" si="27"/>
        <v>500</v>
      </c>
      <c r="J443" s="1">
        <f t="shared" si="29"/>
        <v>282.52</v>
      </c>
    </row>
    <row r="444" spans="5:10">
      <c r="E444" s="1">
        <f t="array" ref="E444">INDEX($B$11:$B$247,CEILING(ROW(A434)/3,1))</f>
        <v>145</v>
      </c>
      <c r="F444" s="1">
        <f t="shared" si="28"/>
        <v>2</v>
      </c>
      <c r="G444" s="1">
        <v>434</v>
      </c>
      <c r="H444" s="1">
        <f t="shared" si="26"/>
        <v>0</v>
      </c>
      <c r="I444" s="1">
        <f t="shared" si="27"/>
        <v>500</v>
      </c>
      <c r="J444" s="1">
        <f t="shared" si="29"/>
        <v>288.17</v>
      </c>
    </row>
    <row r="445" spans="5:10">
      <c r="E445" s="1">
        <f t="array" ref="E445">INDEX($B$11:$B$247,CEILING(ROW(A435)/3,1))</f>
        <v>145</v>
      </c>
      <c r="F445" s="1">
        <f t="shared" si="28"/>
        <v>3</v>
      </c>
      <c r="G445" s="1">
        <v>435</v>
      </c>
      <c r="H445" s="1">
        <f t="shared" si="26"/>
        <v>0</v>
      </c>
      <c r="I445" s="1">
        <f t="shared" si="27"/>
        <v>500</v>
      </c>
      <c r="J445" s="1">
        <f t="shared" si="29"/>
        <v>293.93</v>
      </c>
    </row>
    <row r="446" spans="5:10">
      <c r="E446" s="1">
        <f t="array" ref="E446">INDEX($B$11:$B$247,CEILING(ROW(A436)/3,1))</f>
        <v>146</v>
      </c>
      <c r="F446" s="1">
        <f t="shared" si="28"/>
        <v>1</v>
      </c>
      <c r="G446" s="1">
        <v>436</v>
      </c>
      <c r="H446" s="1">
        <f t="shared" si="26"/>
        <v>0</v>
      </c>
      <c r="I446" s="1">
        <f t="shared" si="27"/>
        <v>500</v>
      </c>
      <c r="J446" s="1">
        <f t="shared" si="29"/>
        <v>299.81</v>
      </c>
    </row>
    <row r="447" spans="5:10">
      <c r="E447" s="1">
        <f t="array" ref="E447">INDEX($B$11:$B$247,CEILING(ROW(A437)/3,1))</f>
        <v>146</v>
      </c>
      <c r="F447" s="1">
        <f t="shared" si="28"/>
        <v>2</v>
      </c>
      <c r="G447" s="1">
        <v>437</v>
      </c>
      <c r="H447" s="1">
        <f t="shared" si="26"/>
        <v>0</v>
      </c>
      <c r="I447" s="1">
        <f t="shared" si="27"/>
        <v>500</v>
      </c>
      <c r="J447" s="1">
        <f t="shared" si="29"/>
        <v>305.81</v>
      </c>
    </row>
    <row r="448" spans="5:10">
      <c r="E448" s="1">
        <f t="array" ref="E448">INDEX($B$11:$B$247,CEILING(ROW(A438)/3,1))</f>
        <v>146</v>
      </c>
      <c r="F448" s="1">
        <f t="shared" si="28"/>
        <v>3</v>
      </c>
      <c r="G448" s="1">
        <v>438</v>
      </c>
      <c r="H448" s="1">
        <f t="shared" si="26"/>
        <v>0</v>
      </c>
      <c r="I448" s="1">
        <f t="shared" si="27"/>
        <v>500</v>
      </c>
      <c r="J448" s="1">
        <f t="shared" si="29"/>
        <v>311.92</v>
      </c>
    </row>
    <row r="449" spans="5:10">
      <c r="E449" s="1">
        <f t="array" ref="E449">INDEX($B$11:$B$247,CEILING(ROW(A439)/3,1))</f>
        <v>147</v>
      </c>
      <c r="F449" s="1">
        <f t="shared" si="28"/>
        <v>1</v>
      </c>
      <c r="G449" s="1">
        <v>439</v>
      </c>
      <c r="H449" s="1">
        <f t="shared" si="26"/>
        <v>0</v>
      </c>
      <c r="I449" s="1">
        <f t="shared" si="27"/>
        <v>500</v>
      </c>
      <c r="J449" s="1">
        <f t="shared" si="29"/>
        <v>318.16</v>
      </c>
    </row>
    <row r="450" spans="5:10">
      <c r="E450" s="1">
        <f t="array" ref="E450">INDEX($B$11:$B$247,CEILING(ROW(A440)/3,1))</f>
        <v>147</v>
      </c>
      <c r="F450" s="1">
        <f t="shared" si="28"/>
        <v>2</v>
      </c>
      <c r="G450" s="1">
        <v>440</v>
      </c>
      <c r="H450" s="1">
        <f t="shared" si="26"/>
        <v>0</v>
      </c>
      <c r="I450" s="1">
        <f t="shared" si="27"/>
        <v>500</v>
      </c>
      <c r="J450" s="1">
        <f t="shared" si="29"/>
        <v>324.53</v>
      </c>
    </row>
    <row r="451" spans="5:10">
      <c r="E451" s="1">
        <f t="array" ref="E451">INDEX($B$11:$B$247,CEILING(ROW(A441)/3,1))</f>
        <v>147</v>
      </c>
      <c r="F451" s="1">
        <f t="shared" si="28"/>
        <v>3</v>
      </c>
      <c r="G451" s="1">
        <v>441</v>
      </c>
      <c r="H451" s="1">
        <f t="shared" si="26"/>
        <v>0</v>
      </c>
      <c r="I451" s="1">
        <f t="shared" si="27"/>
        <v>500</v>
      </c>
      <c r="J451" s="1">
        <f t="shared" si="29"/>
        <v>331.02</v>
      </c>
    </row>
    <row r="452" spans="5:10">
      <c r="E452" s="1">
        <f t="array" ref="E452">INDEX($B$11:$B$247,CEILING(ROW(A442)/3,1))</f>
        <v>148</v>
      </c>
      <c r="F452" s="1">
        <f t="shared" si="28"/>
        <v>1</v>
      </c>
      <c r="G452" s="1">
        <v>442</v>
      </c>
      <c r="H452" s="1">
        <f t="shared" si="26"/>
        <v>0</v>
      </c>
      <c r="I452" s="1">
        <f t="shared" si="27"/>
        <v>500</v>
      </c>
      <c r="J452" s="1">
        <f t="shared" si="29"/>
        <v>337.64</v>
      </c>
    </row>
    <row r="453" spans="5:10">
      <c r="E453" s="1">
        <f t="array" ref="E453">INDEX($B$11:$B$247,CEILING(ROW(A443)/3,1))</f>
        <v>148</v>
      </c>
      <c r="F453" s="1">
        <f t="shared" si="28"/>
        <v>2</v>
      </c>
      <c r="G453" s="1">
        <v>443</v>
      </c>
      <c r="H453" s="1">
        <f t="shared" si="26"/>
        <v>0</v>
      </c>
      <c r="I453" s="1">
        <f t="shared" si="27"/>
        <v>500</v>
      </c>
      <c r="J453" s="1">
        <f t="shared" si="29"/>
        <v>344.39</v>
      </c>
    </row>
    <row r="454" spans="5:10">
      <c r="E454" s="1">
        <f t="array" ref="E454">INDEX($B$11:$B$247,CEILING(ROW(A444)/3,1))</f>
        <v>148</v>
      </c>
      <c r="F454" s="1">
        <f t="shared" si="28"/>
        <v>3</v>
      </c>
      <c r="G454" s="1">
        <v>444</v>
      </c>
      <c r="H454" s="1">
        <f t="shared" si="26"/>
        <v>0</v>
      </c>
      <c r="I454" s="1">
        <f t="shared" si="27"/>
        <v>500</v>
      </c>
      <c r="J454" s="1">
        <f t="shared" si="29"/>
        <v>351.28</v>
      </c>
    </row>
    <row r="455" spans="5:10">
      <c r="E455" s="1">
        <f t="array" ref="E455">INDEX($B$11:$B$247,CEILING(ROW(A445)/3,1))</f>
        <v>149</v>
      </c>
      <c r="F455" s="1">
        <f t="shared" si="28"/>
        <v>1</v>
      </c>
      <c r="G455" s="1">
        <v>445</v>
      </c>
      <c r="H455" s="1">
        <f t="shared" si="26"/>
        <v>0</v>
      </c>
      <c r="I455" s="1">
        <f t="shared" si="27"/>
        <v>500</v>
      </c>
      <c r="J455" s="1">
        <f t="shared" si="29"/>
        <v>358.3</v>
      </c>
    </row>
    <row r="456" spans="5:10">
      <c r="E456" s="1">
        <f t="array" ref="E456">INDEX($B$11:$B$247,CEILING(ROW(A446)/3,1))</f>
        <v>149</v>
      </c>
      <c r="F456" s="1">
        <f t="shared" si="28"/>
        <v>2</v>
      </c>
      <c r="G456" s="1">
        <v>446</v>
      </c>
      <c r="H456" s="1">
        <f t="shared" si="26"/>
        <v>0</v>
      </c>
      <c r="I456" s="1">
        <f t="shared" si="27"/>
        <v>500</v>
      </c>
      <c r="J456" s="1">
        <f t="shared" si="29"/>
        <v>365.47</v>
      </c>
    </row>
    <row r="457" spans="5:10">
      <c r="E457" s="1">
        <f t="array" ref="E457">INDEX($B$11:$B$247,CEILING(ROW(A447)/3,1))</f>
        <v>149</v>
      </c>
      <c r="F457" s="1">
        <f t="shared" si="28"/>
        <v>3</v>
      </c>
      <c r="G457" s="1">
        <v>447</v>
      </c>
      <c r="H457" s="1">
        <f t="shared" si="26"/>
        <v>0</v>
      </c>
      <c r="I457" s="1">
        <f t="shared" si="27"/>
        <v>500</v>
      </c>
      <c r="J457" s="1">
        <f t="shared" si="29"/>
        <v>372.78</v>
      </c>
    </row>
    <row r="458" spans="5:10">
      <c r="E458" s="1">
        <f t="array" ref="E458">INDEX($B$11:$B$247,CEILING(ROW(A448)/3,1))</f>
        <v>150</v>
      </c>
      <c r="F458" s="1">
        <f t="shared" si="28"/>
        <v>1</v>
      </c>
      <c r="G458" s="1">
        <v>448</v>
      </c>
      <c r="H458" s="1">
        <f t="shared" si="26"/>
        <v>0</v>
      </c>
      <c r="I458" s="1">
        <f t="shared" si="27"/>
        <v>500</v>
      </c>
      <c r="J458" s="1">
        <f t="shared" si="29"/>
        <v>380.23</v>
      </c>
    </row>
    <row r="459" spans="5:10">
      <c r="E459" s="1">
        <f t="array" ref="E459">INDEX($B$11:$B$247,CEILING(ROW(A449)/3,1))</f>
        <v>150</v>
      </c>
      <c r="F459" s="1">
        <f t="shared" si="28"/>
        <v>2</v>
      </c>
      <c r="G459" s="1">
        <v>449</v>
      </c>
      <c r="H459" s="1">
        <f t="shared" ref="H459:H522" si="30">_xlfn.IFNA(VLOOKUP(E462,$B$11:$C$247,2,0)-VLOOKUP(E459,$B$11:$C$247,2,0),0)</f>
        <v>0</v>
      </c>
      <c r="I459" s="1">
        <f t="shared" ref="I459:I522" si="31">ROUND(VLOOKUP(E459,$B$11:$C$247,2,0)+VLOOKUP(F459,$J$3:$K$5,2,0)*H459,0)</f>
        <v>500</v>
      </c>
      <c r="J459" s="1">
        <f t="shared" si="29"/>
        <v>387.84</v>
      </c>
    </row>
    <row r="460" spans="5:10">
      <c r="E460" s="1">
        <f t="array" ref="E460">INDEX($B$11:$B$247,CEILING(ROW(A450)/3,1))</f>
        <v>150</v>
      </c>
      <c r="F460" s="1">
        <f t="shared" si="28"/>
        <v>3</v>
      </c>
      <c r="G460" s="1">
        <v>450</v>
      </c>
      <c r="H460" s="1">
        <f t="shared" si="30"/>
        <v>0</v>
      </c>
      <c r="I460" s="1">
        <f t="shared" si="31"/>
        <v>500</v>
      </c>
      <c r="J460" s="1">
        <f t="shared" si="29"/>
        <v>395.6</v>
      </c>
    </row>
    <row r="461" spans="5:10">
      <c r="E461" s="1">
        <f t="array" ref="E461">INDEX($B$11:$B$247,CEILING(ROW(A451)/3,1))</f>
        <v>151</v>
      </c>
      <c r="F461" s="1">
        <f t="shared" si="28"/>
        <v>1</v>
      </c>
      <c r="G461" s="1">
        <v>451</v>
      </c>
      <c r="H461" s="1">
        <f t="shared" si="30"/>
        <v>0</v>
      </c>
      <c r="I461" s="1">
        <f t="shared" si="31"/>
        <v>500</v>
      </c>
      <c r="J461" s="1">
        <f t="shared" si="29"/>
        <v>403.51</v>
      </c>
    </row>
    <row r="462" spans="5:10">
      <c r="E462" s="1">
        <f t="array" ref="E462">INDEX($B$11:$B$247,CEILING(ROW(A452)/3,1))</f>
        <v>151</v>
      </c>
      <c r="F462" s="1">
        <f t="shared" ref="F462:F525" si="32">F459</f>
        <v>2</v>
      </c>
      <c r="G462" s="1">
        <v>452</v>
      </c>
      <c r="H462" s="1">
        <f t="shared" si="30"/>
        <v>0</v>
      </c>
      <c r="I462" s="1">
        <f t="shared" si="31"/>
        <v>500</v>
      </c>
      <c r="J462" s="1">
        <f t="shared" si="29"/>
        <v>411.58</v>
      </c>
    </row>
    <row r="463" spans="5:10">
      <c r="E463" s="1">
        <f t="array" ref="E463">INDEX($B$11:$B$247,CEILING(ROW(A453)/3,1))</f>
        <v>151</v>
      </c>
      <c r="F463" s="1">
        <f t="shared" si="32"/>
        <v>3</v>
      </c>
      <c r="G463" s="1">
        <v>453</v>
      </c>
      <c r="H463" s="1">
        <f t="shared" si="30"/>
        <v>0</v>
      </c>
      <c r="I463" s="1">
        <f t="shared" si="31"/>
        <v>500</v>
      </c>
      <c r="J463" s="1">
        <f t="shared" si="29"/>
        <v>419.81</v>
      </c>
    </row>
    <row r="464" spans="5:10">
      <c r="E464" s="1">
        <f t="array" ref="E464">INDEX($B$11:$B$247,CEILING(ROW(A454)/3,1))</f>
        <v>152</v>
      </c>
      <c r="F464" s="1">
        <f t="shared" si="32"/>
        <v>1</v>
      </c>
      <c r="G464" s="1">
        <v>454</v>
      </c>
      <c r="H464" s="1">
        <f t="shared" si="30"/>
        <v>0</v>
      </c>
      <c r="I464" s="1">
        <f t="shared" si="31"/>
        <v>500</v>
      </c>
      <c r="J464" s="1">
        <f t="shared" si="29"/>
        <v>428.21</v>
      </c>
    </row>
    <row r="465" spans="5:10">
      <c r="E465" s="1">
        <f t="array" ref="E465">INDEX($B$11:$B$247,CEILING(ROW(A455)/3,1))</f>
        <v>152</v>
      </c>
      <c r="F465" s="1">
        <f t="shared" si="32"/>
        <v>2</v>
      </c>
      <c r="G465" s="1">
        <v>455</v>
      </c>
      <c r="H465" s="1">
        <f t="shared" si="30"/>
        <v>0</v>
      </c>
      <c r="I465" s="1">
        <f t="shared" si="31"/>
        <v>500</v>
      </c>
      <c r="J465" s="1">
        <f t="shared" si="29"/>
        <v>436.77</v>
      </c>
    </row>
    <row r="466" spans="5:10">
      <c r="E466" s="1">
        <f t="array" ref="E466">INDEX($B$11:$B$247,CEILING(ROW(A456)/3,1))</f>
        <v>152</v>
      </c>
      <c r="F466" s="1">
        <f t="shared" si="32"/>
        <v>3</v>
      </c>
      <c r="G466" s="1">
        <v>456</v>
      </c>
      <c r="H466" s="1">
        <f t="shared" si="30"/>
        <v>0</v>
      </c>
      <c r="I466" s="1">
        <f t="shared" si="31"/>
        <v>500</v>
      </c>
      <c r="J466" s="1">
        <f t="shared" si="29"/>
        <v>445.51</v>
      </c>
    </row>
    <row r="467" spans="5:10">
      <c r="E467" s="1">
        <f t="array" ref="E467">INDEX($B$11:$B$247,CEILING(ROW(A457)/3,1))</f>
        <v>153</v>
      </c>
      <c r="F467" s="1">
        <f t="shared" si="32"/>
        <v>1</v>
      </c>
      <c r="G467" s="1">
        <v>457</v>
      </c>
      <c r="H467" s="1">
        <f t="shared" si="30"/>
        <v>0</v>
      </c>
      <c r="I467" s="1">
        <f t="shared" si="31"/>
        <v>500</v>
      </c>
      <c r="J467" s="1">
        <f t="shared" si="29"/>
        <v>454.42</v>
      </c>
    </row>
    <row r="468" spans="5:10">
      <c r="E468" s="1">
        <f t="array" ref="E468">INDEX($B$11:$B$247,CEILING(ROW(A458)/3,1))</f>
        <v>153</v>
      </c>
      <c r="F468" s="1">
        <f t="shared" si="32"/>
        <v>2</v>
      </c>
      <c r="G468" s="1">
        <v>458</v>
      </c>
      <c r="H468" s="1">
        <f t="shared" si="30"/>
        <v>0</v>
      </c>
      <c r="I468" s="1">
        <f t="shared" si="31"/>
        <v>500</v>
      </c>
      <c r="J468" s="1">
        <f t="shared" si="29"/>
        <v>463.5</v>
      </c>
    </row>
    <row r="469" spans="5:10">
      <c r="E469" s="1">
        <f t="array" ref="E469">INDEX($B$11:$B$247,CEILING(ROW(A459)/3,1))</f>
        <v>153</v>
      </c>
      <c r="F469" s="1">
        <f t="shared" si="32"/>
        <v>3</v>
      </c>
      <c r="G469" s="1">
        <v>459</v>
      </c>
      <c r="H469" s="1">
        <f t="shared" si="30"/>
        <v>0</v>
      </c>
      <c r="I469" s="1">
        <f t="shared" si="31"/>
        <v>500</v>
      </c>
      <c r="J469" s="1">
        <f t="shared" si="29"/>
        <v>472.77</v>
      </c>
    </row>
    <row r="470" spans="5:10">
      <c r="E470" s="1">
        <f t="array" ref="E470">INDEX($B$11:$B$247,CEILING(ROW(A460)/3,1))</f>
        <v>154</v>
      </c>
      <c r="F470" s="1">
        <f t="shared" si="32"/>
        <v>1</v>
      </c>
      <c r="G470" s="1">
        <v>460</v>
      </c>
      <c r="H470" s="1">
        <f t="shared" si="30"/>
        <v>0</v>
      </c>
      <c r="I470" s="1">
        <f t="shared" si="31"/>
        <v>500</v>
      </c>
      <c r="J470" s="1">
        <f t="shared" si="29"/>
        <v>482.23</v>
      </c>
    </row>
    <row r="471" spans="5:10">
      <c r="E471" s="1">
        <f t="array" ref="E471">INDEX($B$11:$B$247,CEILING(ROW(A461)/3,1))</f>
        <v>154</v>
      </c>
      <c r="F471" s="1">
        <f t="shared" si="32"/>
        <v>2</v>
      </c>
      <c r="G471" s="1">
        <v>461</v>
      </c>
      <c r="H471" s="1">
        <f t="shared" si="30"/>
        <v>0</v>
      </c>
      <c r="I471" s="1">
        <f t="shared" si="31"/>
        <v>500</v>
      </c>
      <c r="J471" s="1">
        <f t="shared" si="29"/>
        <v>491.87</v>
      </c>
    </row>
    <row r="472" spans="5:10">
      <c r="E472" s="1">
        <f t="array" ref="E472">INDEX($B$11:$B$247,CEILING(ROW(A462)/3,1))</f>
        <v>154</v>
      </c>
      <c r="F472" s="1">
        <f t="shared" si="32"/>
        <v>3</v>
      </c>
      <c r="G472" s="1">
        <v>462</v>
      </c>
      <c r="H472" s="1">
        <f t="shared" si="30"/>
        <v>0</v>
      </c>
      <c r="I472" s="1">
        <f t="shared" si="31"/>
        <v>500</v>
      </c>
      <c r="J472" s="1">
        <f t="shared" si="29"/>
        <v>501.71</v>
      </c>
    </row>
    <row r="473" spans="5:10">
      <c r="E473" s="1">
        <f t="array" ref="E473">INDEX($B$11:$B$247,CEILING(ROW(A463)/3,1))</f>
        <v>155</v>
      </c>
      <c r="F473" s="1">
        <f t="shared" si="32"/>
        <v>1</v>
      </c>
      <c r="G473" s="1">
        <v>463</v>
      </c>
      <c r="H473" s="1">
        <f t="shared" si="30"/>
        <v>0</v>
      </c>
      <c r="I473" s="1">
        <f t="shared" si="31"/>
        <v>500</v>
      </c>
      <c r="J473" s="1">
        <f t="shared" si="29"/>
        <v>511.75</v>
      </c>
    </row>
    <row r="474" spans="5:10">
      <c r="E474" s="1">
        <f t="array" ref="E474">INDEX($B$11:$B$247,CEILING(ROW(A464)/3,1))</f>
        <v>155</v>
      </c>
      <c r="F474" s="1">
        <f t="shared" si="32"/>
        <v>2</v>
      </c>
      <c r="G474" s="1">
        <v>464</v>
      </c>
      <c r="H474" s="1">
        <f t="shared" si="30"/>
        <v>0</v>
      </c>
      <c r="I474" s="1">
        <f t="shared" si="31"/>
        <v>500</v>
      </c>
      <c r="J474" s="1">
        <f t="shared" si="29"/>
        <v>521.98</v>
      </c>
    </row>
    <row r="475" spans="5:10">
      <c r="E475" s="1">
        <f t="array" ref="E475">INDEX($B$11:$B$247,CEILING(ROW(A465)/3,1))</f>
        <v>155</v>
      </c>
      <c r="F475" s="1">
        <f t="shared" si="32"/>
        <v>3</v>
      </c>
      <c r="G475" s="1">
        <v>465</v>
      </c>
      <c r="H475" s="1">
        <f t="shared" si="30"/>
        <v>0</v>
      </c>
      <c r="I475" s="1">
        <f t="shared" si="31"/>
        <v>500</v>
      </c>
      <c r="J475" s="1">
        <f t="shared" si="29"/>
        <v>532.42</v>
      </c>
    </row>
    <row r="476" spans="5:10">
      <c r="E476" s="1">
        <f t="array" ref="E476">INDEX($B$11:$B$247,CEILING(ROW(A466)/3,1))</f>
        <v>156</v>
      </c>
      <c r="F476" s="1">
        <f t="shared" si="32"/>
        <v>1</v>
      </c>
      <c r="G476" s="1">
        <v>466</v>
      </c>
      <c r="H476" s="1">
        <f t="shared" si="30"/>
        <v>0</v>
      </c>
      <c r="I476" s="1">
        <f t="shared" si="31"/>
        <v>500</v>
      </c>
      <c r="J476" s="1">
        <f t="shared" si="29"/>
        <v>543.07</v>
      </c>
    </row>
    <row r="477" spans="5:10">
      <c r="E477" s="1">
        <f t="array" ref="E477">INDEX($B$11:$B$247,CEILING(ROW(A467)/3,1))</f>
        <v>156</v>
      </c>
      <c r="F477" s="1">
        <f t="shared" si="32"/>
        <v>2</v>
      </c>
      <c r="G477" s="1">
        <v>467</v>
      </c>
      <c r="H477" s="1">
        <f t="shared" si="30"/>
        <v>0</v>
      </c>
      <c r="I477" s="1">
        <f t="shared" si="31"/>
        <v>500</v>
      </c>
      <c r="J477" s="1">
        <f t="shared" si="29"/>
        <v>553.93</v>
      </c>
    </row>
    <row r="478" spans="5:10">
      <c r="E478" s="1">
        <f t="array" ref="E478">INDEX($B$11:$B$247,CEILING(ROW(A468)/3,1))</f>
        <v>156</v>
      </c>
      <c r="F478" s="1">
        <f t="shared" si="32"/>
        <v>3</v>
      </c>
      <c r="G478" s="1">
        <v>468</v>
      </c>
      <c r="H478" s="1">
        <f t="shared" si="30"/>
        <v>0</v>
      </c>
      <c r="I478" s="1">
        <f t="shared" si="31"/>
        <v>500</v>
      </c>
      <c r="J478" s="1">
        <f t="shared" si="29"/>
        <v>565.01</v>
      </c>
    </row>
    <row r="479" spans="5:10">
      <c r="E479" s="1">
        <f t="array" ref="E479">INDEX($B$11:$B$247,CEILING(ROW(A469)/3,1))</f>
        <v>157</v>
      </c>
      <c r="F479" s="1">
        <f t="shared" si="32"/>
        <v>1</v>
      </c>
      <c r="G479" s="1">
        <v>469</v>
      </c>
      <c r="H479" s="1">
        <f t="shared" si="30"/>
        <v>0</v>
      </c>
      <c r="I479" s="1">
        <f t="shared" si="31"/>
        <v>500</v>
      </c>
      <c r="J479" s="1">
        <f t="shared" ref="J479:J542" si="33">ROUND(POWER($N$159,ROW(I479)-158),2)</f>
        <v>576.31</v>
      </c>
    </row>
    <row r="480" spans="5:10">
      <c r="E480" s="1">
        <f t="array" ref="E480">INDEX($B$11:$B$247,CEILING(ROW(A470)/3,1))</f>
        <v>157</v>
      </c>
      <c r="F480" s="1">
        <f t="shared" si="32"/>
        <v>2</v>
      </c>
      <c r="G480" s="1">
        <v>470</v>
      </c>
      <c r="H480" s="1">
        <f t="shared" si="30"/>
        <v>0</v>
      </c>
      <c r="I480" s="1">
        <f t="shared" si="31"/>
        <v>500</v>
      </c>
      <c r="J480" s="1">
        <f t="shared" si="33"/>
        <v>587.83</v>
      </c>
    </row>
    <row r="481" spans="5:10">
      <c r="E481" s="1">
        <f t="array" ref="E481">INDEX($B$11:$B$247,CEILING(ROW(A471)/3,1))</f>
        <v>157</v>
      </c>
      <c r="F481" s="1">
        <f t="shared" si="32"/>
        <v>3</v>
      </c>
      <c r="G481" s="1">
        <v>471</v>
      </c>
      <c r="H481" s="1">
        <f t="shared" si="30"/>
        <v>0</v>
      </c>
      <c r="I481" s="1">
        <f t="shared" si="31"/>
        <v>500</v>
      </c>
      <c r="J481" s="1">
        <f t="shared" si="33"/>
        <v>599.59</v>
      </c>
    </row>
    <row r="482" spans="5:10">
      <c r="E482" s="1">
        <f t="array" ref="E482">INDEX($B$11:$B$247,CEILING(ROW(A472)/3,1))</f>
        <v>158</v>
      </c>
      <c r="F482" s="1">
        <f t="shared" si="32"/>
        <v>1</v>
      </c>
      <c r="G482" s="1">
        <v>472</v>
      </c>
      <c r="H482" s="1">
        <f t="shared" si="30"/>
        <v>0</v>
      </c>
      <c r="I482" s="1">
        <f t="shared" si="31"/>
        <v>500</v>
      </c>
      <c r="J482" s="1">
        <f t="shared" si="33"/>
        <v>611.58</v>
      </c>
    </row>
    <row r="483" spans="5:10">
      <c r="E483" s="1">
        <f t="array" ref="E483">INDEX($B$11:$B$247,CEILING(ROW(A473)/3,1))</f>
        <v>158</v>
      </c>
      <c r="F483" s="1">
        <f t="shared" si="32"/>
        <v>2</v>
      </c>
      <c r="G483" s="1">
        <v>473</v>
      </c>
      <c r="H483" s="1">
        <f t="shared" si="30"/>
        <v>0</v>
      </c>
      <c r="I483" s="1">
        <f t="shared" si="31"/>
        <v>500</v>
      </c>
      <c r="J483" s="1">
        <f t="shared" si="33"/>
        <v>623.82</v>
      </c>
    </row>
    <row r="484" spans="5:10">
      <c r="E484" s="1">
        <f t="array" ref="E484">INDEX($B$11:$B$247,CEILING(ROW(A474)/3,1))</f>
        <v>158</v>
      </c>
      <c r="F484" s="1">
        <f t="shared" si="32"/>
        <v>3</v>
      </c>
      <c r="G484" s="1">
        <v>474</v>
      </c>
      <c r="H484" s="1">
        <f t="shared" si="30"/>
        <v>0</v>
      </c>
      <c r="I484" s="1">
        <f t="shared" si="31"/>
        <v>500</v>
      </c>
      <c r="J484" s="1">
        <f t="shared" si="33"/>
        <v>636.29</v>
      </c>
    </row>
    <row r="485" spans="5:10">
      <c r="E485" s="1">
        <f t="array" ref="E485">INDEX($B$11:$B$247,CEILING(ROW(A475)/3,1))</f>
        <v>159</v>
      </c>
      <c r="F485" s="1">
        <f t="shared" si="32"/>
        <v>1</v>
      </c>
      <c r="G485" s="1">
        <v>475</v>
      </c>
      <c r="H485" s="1">
        <f t="shared" si="30"/>
        <v>0</v>
      </c>
      <c r="I485" s="1">
        <f t="shared" si="31"/>
        <v>500</v>
      </c>
      <c r="J485" s="1">
        <f t="shared" si="33"/>
        <v>649.02</v>
      </c>
    </row>
    <row r="486" spans="5:10">
      <c r="E486" s="1">
        <f t="array" ref="E486">INDEX($B$11:$B$247,CEILING(ROW(A476)/3,1))</f>
        <v>159</v>
      </c>
      <c r="F486" s="1">
        <f t="shared" si="32"/>
        <v>2</v>
      </c>
      <c r="G486" s="1">
        <v>476</v>
      </c>
      <c r="H486" s="1">
        <f t="shared" si="30"/>
        <v>0</v>
      </c>
      <c r="I486" s="1">
        <f t="shared" si="31"/>
        <v>500</v>
      </c>
      <c r="J486" s="1">
        <f t="shared" si="33"/>
        <v>662</v>
      </c>
    </row>
    <row r="487" spans="5:10">
      <c r="E487" s="1">
        <f t="array" ref="E487">INDEX($B$11:$B$247,CEILING(ROW(A477)/3,1))</f>
        <v>159</v>
      </c>
      <c r="F487" s="1">
        <f t="shared" si="32"/>
        <v>3</v>
      </c>
      <c r="G487" s="1">
        <v>477</v>
      </c>
      <c r="H487" s="1">
        <f t="shared" si="30"/>
        <v>0</v>
      </c>
      <c r="I487" s="1">
        <f t="shared" si="31"/>
        <v>500</v>
      </c>
      <c r="J487" s="1">
        <f t="shared" si="33"/>
        <v>675.24</v>
      </c>
    </row>
    <row r="488" spans="5:10">
      <c r="E488" s="1">
        <f t="array" ref="E488">INDEX($B$11:$B$247,CEILING(ROW(A478)/3,1))</f>
        <v>160</v>
      </c>
      <c r="F488" s="1">
        <f t="shared" si="32"/>
        <v>1</v>
      </c>
      <c r="G488" s="1">
        <v>478</v>
      </c>
      <c r="H488" s="1">
        <f t="shared" si="30"/>
        <v>0</v>
      </c>
      <c r="I488" s="1">
        <f t="shared" si="31"/>
        <v>500</v>
      </c>
      <c r="J488" s="1">
        <f t="shared" si="33"/>
        <v>688.74</v>
      </c>
    </row>
    <row r="489" spans="5:10">
      <c r="E489" s="1">
        <f t="array" ref="E489">INDEX($B$11:$B$247,CEILING(ROW(A479)/3,1))</f>
        <v>160</v>
      </c>
      <c r="F489" s="1">
        <f t="shared" si="32"/>
        <v>2</v>
      </c>
      <c r="G489" s="1">
        <v>479</v>
      </c>
      <c r="H489" s="1">
        <f t="shared" si="30"/>
        <v>0</v>
      </c>
      <c r="I489" s="1">
        <f t="shared" si="31"/>
        <v>500</v>
      </c>
      <c r="J489" s="1">
        <f t="shared" si="33"/>
        <v>702.52</v>
      </c>
    </row>
    <row r="490" spans="5:10">
      <c r="E490" s="1">
        <f t="array" ref="E490">INDEX($B$11:$B$247,CEILING(ROW(A480)/3,1))</f>
        <v>160</v>
      </c>
      <c r="F490" s="1">
        <f t="shared" si="32"/>
        <v>3</v>
      </c>
      <c r="G490" s="1">
        <v>480</v>
      </c>
      <c r="H490" s="1">
        <f t="shared" si="30"/>
        <v>0</v>
      </c>
      <c r="I490" s="1">
        <f t="shared" si="31"/>
        <v>500</v>
      </c>
      <c r="J490" s="1">
        <f t="shared" si="33"/>
        <v>716.57</v>
      </c>
    </row>
    <row r="491" spans="5:10">
      <c r="E491" s="1">
        <f t="array" ref="E491">INDEX($B$11:$B$247,CEILING(ROW(A481)/3,1))</f>
        <v>161</v>
      </c>
      <c r="F491" s="1">
        <f t="shared" si="32"/>
        <v>1</v>
      </c>
      <c r="G491" s="1">
        <v>481</v>
      </c>
      <c r="H491" s="1">
        <f t="shared" si="30"/>
        <v>0</v>
      </c>
      <c r="I491" s="1">
        <f t="shared" si="31"/>
        <v>500</v>
      </c>
      <c r="J491" s="1">
        <f t="shared" si="33"/>
        <v>730.9</v>
      </c>
    </row>
    <row r="492" spans="5:10">
      <c r="E492" s="1">
        <f t="array" ref="E492">INDEX($B$11:$B$247,CEILING(ROW(A482)/3,1))</f>
        <v>161</v>
      </c>
      <c r="F492" s="1">
        <f t="shared" si="32"/>
        <v>2</v>
      </c>
      <c r="G492" s="1">
        <v>482</v>
      </c>
      <c r="H492" s="1">
        <f t="shared" si="30"/>
        <v>0</v>
      </c>
      <c r="I492" s="1">
        <f t="shared" si="31"/>
        <v>500</v>
      </c>
      <c r="J492" s="1">
        <f t="shared" si="33"/>
        <v>745.52</v>
      </c>
    </row>
    <row r="493" spans="5:10">
      <c r="E493" s="1">
        <f t="array" ref="E493">INDEX($B$11:$B$247,CEILING(ROW(A483)/3,1))</f>
        <v>161</v>
      </c>
      <c r="F493" s="1">
        <f t="shared" si="32"/>
        <v>3</v>
      </c>
      <c r="G493" s="1">
        <v>483</v>
      </c>
      <c r="H493" s="1">
        <f t="shared" si="30"/>
        <v>0</v>
      </c>
      <c r="I493" s="1">
        <f t="shared" si="31"/>
        <v>500</v>
      </c>
      <c r="J493" s="1">
        <f t="shared" si="33"/>
        <v>760.43</v>
      </c>
    </row>
    <row r="494" spans="5:10">
      <c r="E494" s="1">
        <f t="array" ref="E494">INDEX($B$11:$B$247,CEILING(ROW(A484)/3,1))</f>
        <v>162</v>
      </c>
      <c r="F494" s="1">
        <f t="shared" si="32"/>
        <v>1</v>
      </c>
      <c r="G494" s="1">
        <v>484</v>
      </c>
      <c r="H494" s="1">
        <f t="shared" si="30"/>
        <v>0</v>
      </c>
      <c r="I494" s="1">
        <f t="shared" si="31"/>
        <v>500</v>
      </c>
      <c r="J494" s="1">
        <f t="shared" si="33"/>
        <v>775.64</v>
      </c>
    </row>
    <row r="495" spans="5:10">
      <c r="E495" s="1">
        <f t="array" ref="E495">INDEX($B$11:$B$247,CEILING(ROW(A485)/3,1))</f>
        <v>162</v>
      </c>
      <c r="F495" s="1">
        <f t="shared" si="32"/>
        <v>2</v>
      </c>
      <c r="G495" s="1">
        <v>485</v>
      </c>
      <c r="H495" s="1">
        <f t="shared" si="30"/>
        <v>0</v>
      </c>
      <c r="I495" s="1">
        <f t="shared" si="31"/>
        <v>500</v>
      </c>
      <c r="J495" s="1">
        <f t="shared" si="33"/>
        <v>791.15</v>
      </c>
    </row>
    <row r="496" spans="5:10">
      <c r="E496" s="1">
        <f t="array" ref="E496">INDEX($B$11:$B$247,CEILING(ROW(A486)/3,1))</f>
        <v>162</v>
      </c>
      <c r="F496" s="1">
        <f t="shared" si="32"/>
        <v>3</v>
      </c>
      <c r="G496" s="1">
        <v>486</v>
      </c>
      <c r="H496" s="1">
        <f t="shared" si="30"/>
        <v>0</v>
      </c>
      <c r="I496" s="1">
        <f t="shared" si="31"/>
        <v>500</v>
      </c>
      <c r="J496" s="1">
        <f t="shared" si="33"/>
        <v>806.97</v>
      </c>
    </row>
    <row r="497" spans="5:10">
      <c r="E497" s="1">
        <f t="array" ref="E497">INDEX($B$11:$B$247,CEILING(ROW(A487)/3,1))</f>
        <v>163</v>
      </c>
      <c r="F497" s="1">
        <f t="shared" si="32"/>
        <v>1</v>
      </c>
      <c r="G497" s="1">
        <v>487</v>
      </c>
      <c r="H497" s="1">
        <f t="shared" si="30"/>
        <v>0</v>
      </c>
      <c r="I497" s="1">
        <f t="shared" si="31"/>
        <v>500</v>
      </c>
      <c r="J497" s="1">
        <f t="shared" si="33"/>
        <v>823.11</v>
      </c>
    </row>
    <row r="498" spans="5:10">
      <c r="E498" s="1">
        <f t="array" ref="E498">INDEX($B$11:$B$247,CEILING(ROW(A488)/3,1))</f>
        <v>163</v>
      </c>
      <c r="F498" s="1">
        <f t="shared" si="32"/>
        <v>2</v>
      </c>
      <c r="G498" s="1">
        <v>488</v>
      </c>
      <c r="H498" s="1">
        <f t="shared" si="30"/>
        <v>0</v>
      </c>
      <c r="I498" s="1">
        <f t="shared" si="31"/>
        <v>500</v>
      </c>
      <c r="J498" s="1">
        <f t="shared" si="33"/>
        <v>839.57</v>
      </c>
    </row>
    <row r="499" spans="5:10">
      <c r="E499" s="1">
        <f t="array" ref="E499">INDEX($B$11:$B$247,CEILING(ROW(A489)/3,1))</f>
        <v>163</v>
      </c>
      <c r="F499" s="1">
        <f t="shared" si="32"/>
        <v>3</v>
      </c>
      <c r="G499" s="1">
        <v>489</v>
      </c>
      <c r="H499" s="1">
        <f t="shared" si="30"/>
        <v>0</v>
      </c>
      <c r="I499" s="1">
        <f t="shared" si="31"/>
        <v>500</v>
      </c>
      <c r="J499" s="1">
        <f t="shared" si="33"/>
        <v>856.36</v>
      </c>
    </row>
    <row r="500" spans="5:10">
      <c r="E500" s="1">
        <f t="array" ref="E500">INDEX($B$11:$B$247,CEILING(ROW(A490)/3,1))</f>
        <v>164</v>
      </c>
      <c r="F500" s="1">
        <f t="shared" si="32"/>
        <v>1</v>
      </c>
      <c r="G500" s="1">
        <v>490</v>
      </c>
      <c r="H500" s="1">
        <f t="shared" si="30"/>
        <v>0</v>
      </c>
      <c r="I500" s="1">
        <f t="shared" si="31"/>
        <v>500</v>
      </c>
      <c r="J500" s="1">
        <f t="shared" si="33"/>
        <v>873.49</v>
      </c>
    </row>
    <row r="501" spans="5:10">
      <c r="E501" s="1">
        <f t="array" ref="E501">INDEX($B$11:$B$247,CEILING(ROW(A491)/3,1))</f>
        <v>164</v>
      </c>
      <c r="F501" s="1">
        <f t="shared" si="32"/>
        <v>2</v>
      </c>
      <c r="G501" s="1">
        <v>491</v>
      </c>
      <c r="H501" s="1">
        <f t="shared" si="30"/>
        <v>0</v>
      </c>
      <c r="I501" s="1">
        <f t="shared" si="31"/>
        <v>500</v>
      </c>
      <c r="J501" s="1">
        <f t="shared" si="33"/>
        <v>890.96</v>
      </c>
    </row>
    <row r="502" spans="5:10">
      <c r="E502" s="1">
        <f t="array" ref="E502">INDEX($B$11:$B$247,CEILING(ROW(A492)/3,1))</f>
        <v>164</v>
      </c>
      <c r="F502" s="1">
        <f t="shared" si="32"/>
        <v>3</v>
      </c>
      <c r="G502" s="1">
        <v>492</v>
      </c>
      <c r="H502" s="1">
        <f t="shared" si="30"/>
        <v>0</v>
      </c>
      <c r="I502" s="1">
        <f t="shared" si="31"/>
        <v>500</v>
      </c>
      <c r="J502" s="1">
        <f t="shared" si="33"/>
        <v>908.78</v>
      </c>
    </row>
    <row r="503" spans="5:10">
      <c r="E503" s="1">
        <f t="array" ref="E503">INDEX($B$11:$B$247,CEILING(ROW(A493)/3,1))</f>
        <v>165</v>
      </c>
      <c r="F503" s="1">
        <f t="shared" si="32"/>
        <v>1</v>
      </c>
      <c r="G503" s="1">
        <v>493</v>
      </c>
      <c r="H503" s="1">
        <f t="shared" si="30"/>
        <v>0</v>
      </c>
      <c r="I503" s="1">
        <f t="shared" si="31"/>
        <v>500</v>
      </c>
      <c r="J503" s="1">
        <f t="shared" si="33"/>
        <v>926.96</v>
      </c>
    </row>
    <row r="504" spans="5:10">
      <c r="E504" s="1">
        <f t="array" ref="E504">INDEX($B$11:$B$247,CEILING(ROW(A494)/3,1))</f>
        <v>165</v>
      </c>
      <c r="F504" s="1">
        <f t="shared" si="32"/>
        <v>2</v>
      </c>
      <c r="G504" s="1">
        <v>494</v>
      </c>
      <c r="H504" s="1">
        <f t="shared" si="30"/>
        <v>0</v>
      </c>
      <c r="I504" s="1">
        <f t="shared" si="31"/>
        <v>500</v>
      </c>
      <c r="J504" s="1">
        <f t="shared" si="33"/>
        <v>945.5</v>
      </c>
    </row>
    <row r="505" spans="5:10">
      <c r="E505" s="1">
        <f t="array" ref="E505">INDEX($B$11:$B$247,CEILING(ROW(A495)/3,1))</f>
        <v>165</v>
      </c>
      <c r="F505" s="1">
        <f t="shared" si="32"/>
        <v>3</v>
      </c>
      <c r="G505" s="1">
        <v>495</v>
      </c>
      <c r="H505" s="1">
        <f t="shared" si="30"/>
        <v>0</v>
      </c>
      <c r="I505" s="1">
        <f t="shared" si="31"/>
        <v>500</v>
      </c>
      <c r="J505" s="1">
        <f t="shared" si="33"/>
        <v>964.41</v>
      </c>
    </row>
    <row r="506" spans="5:10">
      <c r="E506" s="1">
        <f t="array" ref="E506">INDEX($B$11:$B$247,CEILING(ROW(A496)/3,1))</f>
        <v>166</v>
      </c>
      <c r="F506" s="1">
        <f t="shared" si="32"/>
        <v>1</v>
      </c>
      <c r="G506" s="1">
        <v>496</v>
      </c>
      <c r="H506" s="1">
        <f t="shared" si="30"/>
        <v>0</v>
      </c>
      <c r="I506" s="1">
        <f t="shared" si="31"/>
        <v>500</v>
      </c>
      <c r="J506" s="1">
        <f t="shared" si="33"/>
        <v>983.69</v>
      </c>
    </row>
    <row r="507" spans="5:10">
      <c r="E507" s="1">
        <f t="array" ref="E507">INDEX($B$11:$B$247,CEILING(ROW(A497)/3,1))</f>
        <v>166</v>
      </c>
      <c r="F507" s="1">
        <f t="shared" si="32"/>
        <v>2</v>
      </c>
      <c r="G507" s="1">
        <v>497</v>
      </c>
      <c r="H507" s="1">
        <f t="shared" si="30"/>
        <v>0</v>
      </c>
      <c r="I507" s="1">
        <f t="shared" si="31"/>
        <v>500</v>
      </c>
      <c r="J507" s="1">
        <f t="shared" si="33"/>
        <v>1003.37</v>
      </c>
    </row>
    <row r="508" spans="5:10">
      <c r="E508" s="1">
        <f t="array" ref="E508">INDEX($B$11:$B$247,CEILING(ROW(A498)/3,1))</f>
        <v>166</v>
      </c>
      <c r="F508" s="1">
        <f t="shared" si="32"/>
        <v>3</v>
      </c>
      <c r="G508" s="1">
        <v>498</v>
      </c>
      <c r="H508" s="1">
        <f t="shared" si="30"/>
        <v>0</v>
      </c>
      <c r="I508" s="1">
        <f t="shared" si="31"/>
        <v>500</v>
      </c>
      <c r="J508" s="1">
        <f t="shared" si="33"/>
        <v>1023.43</v>
      </c>
    </row>
    <row r="509" spans="5:10">
      <c r="E509" s="1">
        <f t="array" ref="E509">INDEX($B$11:$B$247,CEILING(ROW(A499)/3,1))</f>
        <v>167</v>
      </c>
      <c r="F509" s="1">
        <f t="shared" si="32"/>
        <v>1</v>
      </c>
      <c r="G509" s="1">
        <v>499</v>
      </c>
      <c r="H509" s="1">
        <f t="shared" si="30"/>
        <v>0</v>
      </c>
      <c r="I509" s="1">
        <f t="shared" si="31"/>
        <v>500</v>
      </c>
      <c r="J509" s="1">
        <f t="shared" si="33"/>
        <v>1043.9</v>
      </c>
    </row>
    <row r="510" spans="5:10">
      <c r="E510" s="1">
        <f t="array" ref="E510">INDEX($B$11:$B$247,CEILING(ROW(A500)/3,1))</f>
        <v>167</v>
      </c>
      <c r="F510" s="1">
        <f t="shared" si="32"/>
        <v>2</v>
      </c>
      <c r="G510" s="1">
        <v>500</v>
      </c>
      <c r="H510" s="1">
        <f t="shared" si="30"/>
        <v>0</v>
      </c>
      <c r="I510" s="1">
        <f t="shared" si="31"/>
        <v>500</v>
      </c>
      <c r="J510" s="1">
        <f t="shared" si="33"/>
        <v>1064.78</v>
      </c>
    </row>
    <row r="511" spans="5:10">
      <c r="E511" s="1">
        <f t="array" ref="E511">INDEX($B$11:$B$247,CEILING(ROW(A501)/3,1))</f>
        <v>167</v>
      </c>
      <c r="F511" s="1">
        <f t="shared" si="32"/>
        <v>3</v>
      </c>
      <c r="G511" s="1">
        <v>501</v>
      </c>
      <c r="H511" s="1">
        <f t="shared" si="30"/>
        <v>0</v>
      </c>
      <c r="I511" s="1">
        <f t="shared" si="31"/>
        <v>500</v>
      </c>
      <c r="J511" s="1">
        <f t="shared" si="33"/>
        <v>1086.08</v>
      </c>
    </row>
    <row r="512" spans="5:10">
      <c r="E512" s="1">
        <f t="array" ref="E512">INDEX($B$11:$B$247,CEILING(ROW(A502)/3,1))</f>
        <v>168</v>
      </c>
      <c r="F512" s="1">
        <f t="shared" si="32"/>
        <v>1</v>
      </c>
      <c r="G512" s="1">
        <v>502</v>
      </c>
      <c r="H512" s="1">
        <f t="shared" si="30"/>
        <v>0</v>
      </c>
      <c r="I512" s="1">
        <f t="shared" si="31"/>
        <v>500</v>
      </c>
      <c r="J512" s="1">
        <f t="shared" si="33"/>
        <v>1107.8</v>
      </c>
    </row>
    <row r="513" spans="5:10">
      <c r="E513" s="1">
        <f t="array" ref="E513">INDEX($B$11:$B$247,CEILING(ROW(A503)/3,1))</f>
        <v>168</v>
      </c>
      <c r="F513" s="1">
        <f t="shared" si="32"/>
        <v>2</v>
      </c>
      <c r="G513" s="1">
        <v>503</v>
      </c>
      <c r="H513" s="1">
        <f t="shared" si="30"/>
        <v>0</v>
      </c>
      <c r="I513" s="1">
        <f t="shared" si="31"/>
        <v>500</v>
      </c>
      <c r="J513" s="1">
        <f t="shared" si="33"/>
        <v>1129.95</v>
      </c>
    </row>
    <row r="514" spans="5:10">
      <c r="E514" s="1">
        <f t="array" ref="E514">INDEX($B$11:$B$247,CEILING(ROW(A504)/3,1))</f>
        <v>168</v>
      </c>
      <c r="F514" s="1">
        <f t="shared" si="32"/>
        <v>3</v>
      </c>
      <c r="G514" s="1">
        <v>504</v>
      </c>
      <c r="H514" s="1">
        <f t="shared" si="30"/>
        <v>0</v>
      </c>
      <c r="I514" s="1">
        <f t="shared" si="31"/>
        <v>500</v>
      </c>
      <c r="J514" s="1">
        <f t="shared" si="33"/>
        <v>1152.55</v>
      </c>
    </row>
    <row r="515" spans="5:10">
      <c r="E515" s="1">
        <f t="array" ref="E515">INDEX($B$11:$B$247,CEILING(ROW(A505)/3,1))</f>
        <v>169</v>
      </c>
      <c r="F515" s="1">
        <f t="shared" si="32"/>
        <v>1</v>
      </c>
      <c r="G515" s="1">
        <v>505</v>
      </c>
      <c r="H515" s="1">
        <f t="shared" si="30"/>
        <v>0</v>
      </c>
      <c r="I515" s="1">
        <f t="shared" si="31"/>
        <v>500</v>
      </c>
      <c r="J515" s="1">
        <f t="shared" si="33"/>
        <v>1175.6</v>
      </c>
    </row>
    <row r="516" spans="5:10">
      <c r="E516" s="1">
        <f t="array" ref="E516">INDEX($B$11:$B$247,CEILING(ROW(A506)/3,1))</f>
        <v>169</v>
      </c>
      <c r="F516" s="1">
        <f t="shared" si="32"/>
        <v>2</v>
      </c>
      <c r="G516" s="1">
        <v>506</v>
      </c>
      <c r="H516" s="1">
        <f t="shared" si="30"/>
        <v>0</v>
      </c>
      <c r="I516" s="1">
        <f t="shared" si="31"/>
        <v>500</v>
      </c>
      <c r="J516" s="1">
        <f t="shared" si="33"/>
        <v>1199.12</v>
      </c>
    </row>
    <row r="517" spans="5:10">
      <c r="E517" s="1">
        <f t="array" ref="E517">INDEX($B$11:$B$247,CEILING(ROW(A507)/3,1))</f>
        <v>169</v>
      </c>
      <c r="F517" s="1">
        <f t="shared" si="32"/>
        <v>3</v>
      </c>
      <c r="G517" s="1">
        <v>507</v>
      </c>
      <c r="H517" s="1">
        <f t="shared" si="30"/>
        <v>0</v>
      </c>
      <c r="I517" s="1">
        <f t="shared" si="31"/>
        <v>500</v>
      </c>
      <c r="J517" s="1">
        <f t="shared" si="33"/>
        <v>1223.1</v>
      </c>
    </row>
    <row r="518" spans="5:10">
      <c r="E518" s="1">
        <f t="array" ref="E518">INDEX($B$11:$B$247,CEILING(ROW(A508)/3,1))</f>
        <v>170</v>
      </c>
      <c r="F518" s="1">
        <f t="shared" si="32"/>
        <v>1</v>
      </c>
      <c r="G518" s="1">
        <v>508</v>
      </c>
      <c r="H518" s="1">
        <f t="shared" si="30"/>
        <v>0</v>
      </c>
      <c r="I518" s="1">
        <f t="shared" si="31"/>
        <v>500</v>
      </c>
      <c r="J518" s="1">
        <f t="shared" si="33"/>
        <v>1247.56</v>
      </c>
    </row>
    <row r="519" spans="5:10">
      <c r="E519" s="1">
        <f t="array" ref="E519">INDEX($B$11:$B$247,CEILING(ROW(A509)/3,1))</f>
        <v>170</v>
      </c>
      <c r="F519" s="1">
        <f t="shared" si="32"/>
        <v>2</v>
      </c>
      <c r="G519" s="1">
        <v>509</v>
      </c>
      <c r="H519" s="1">
        <f t="shared" si="30"/>
        <v>0</v>
      </c>
      <c r="I519" s="1">
        <f t="shared" si="31"/>
        <v>500</v>
      </c>
      <c r="J519" s="1">
        <f t="shared" si="33"/>
        <v>1272.51</v>
      </c>
    </row>
    <row r="520" spans="5:10">
      <c r="E520" s="1">
        <f t="array" ref="E520">INDEX($B$11:$B$247,CEILING(ROW(A510)/3,1))</f>
        <v>170</v>
      </c>
      <c r="F520" s="1">
        <f t="shared" si="32"/>
        <v>3</v>
      </c>
      <c r="G520" s="1">
        <v>510</v>
      </c>
      <c r="H520" s="1">
        <f t="shared" si="30"/>
        <v>0</v>
      </c>
      <c r="I520" s="1">
        <f t="shared" si="31"/>
        <v>500</v>
      </c>
      <c r="J520" s="1">
        <f t="shared" si="33"/>
        <v>1297.96</v>
      </c>
    </row>
    <row r="521" spans="5:10">
      <c r="E521" s="1">
        <f t="array" ref="E521">INDEX($B$11:$B$247,CEILING(ROW(A511)/3,1))</f>
        <v>171</v>
      </c>
      <c r="F521" s="1">
        <f t="shared" si="32"/>
        <v>1</v>
      </c>
      <c r="G521" s="1">
        <v>511</v>
      </c>
      <c r="H521" s="1">
        <f t="shared" si="30"/>
        <v>0</v>
      </c>
      <c r="I521" s="1">
        <f t="shared" si="31"/>
        <v>500</v>
      </c>
      <c r="J521" s="1">
        <f t="shared" si="33"/>
        <v>1323.92</v>
      </c>
    </row>
    <row r="522" spans="5:10">
      <c r="E522" s="1">
        <f t="array" ref="E522">INDEX($B$11:$B$247,CEILING(ROW(A512)/3,1))</f>
        <v>171</v>
      </c>
      <c r="F522" s="1">
        <f t="shared" si="32"/>
        <v>2</v>
      </c>
      <c r="G522" s="1">
        <v>512</v>
      </c>
      <c r="H522" s="1">
        <f t="shared" si="30"/>
        <v>0</v>
      </c>
      <c r="I522" s="1">
        <f t="shared" si="31"/>
        <v>500</v>
      </c>
      <c r="J522" s="1">
        <f t="shared" si="33"/>
        <v>1350.4</v>
      </c>
    </row>
    <row r="523" spans="5:10">
      <c r="E523" s="1">
        <f t="array" ref="E523">INDEX($B$11:$B$247,CEILING(ROW(A513)/3,1))</f>
        <v>171</v>
      </c>
      <c r="F523" s="1">
        <f t="shared" si="32"/>
        <v>3</v>
      </c>
      <c r="G523" s="1">
        <v>513</v>
      </c>
      <c r="H523" s="1">
        <f t="shared" ref="H523:H586" si="34">_xlfn.IFNA(VLOOKUP(E526,$B$11:$C$247,2,0)-VLOOKUP(E523,$B$11:$C$247,2,0),0)</f>
        <v>0</v>
      </c>
      <c r="I523" s="1">
        <f t="shared" ref="I523:I586" si="35">ROUND(VLOOKUP(E523,$B$11:$C$247,2,0)+VLOOKUP(F523,$J$3:$K$5,2,0)*H523,0)</f>
        <v>500</v>
      </c>
      <c r="J523" s="1">
        <f t="shared" si="33"/>
        <v>1377.41</v>
      </c>
    </row>
    <row r="524" spans="5:10">
      <c r="E524" s="1">
        <f t="array" ref="E524">INDEX($B$11:$B$247,CEILING(ROW(A514)/3,1))</f>
        <v>172</v>
      </c>
      <c r="F524" s="1">
        <f t="shared" si="32"/>
        <v>1</v>
      </c>
      <c r="G524" s="1">
        <v>514</v>
      </c>
      <c r="H524" s="1">
        <f t="shared" si="34"/>
        <v>0</v>
      </c>
      <c r="I524" s="1">
        <f t="shared" si="35"/>
        <v>500</v>
      </c>
      <c r="J524" s="1">
        <f t="shared" si="33"/>
        <v>1404.96</v>
      </c>
    </row>
    <row r="525" spans="5:10">
      <c r="E525" s="1">
        <f t="array" ref="E525">INDEX($B$11:$B$247,CEILING(ROW(A515)/3,1))</f>
        <v>172</v>
      </c>
      <c r="F525" s="1">
        <f t="shared" si="32"/>
        <v>2</v>
      </c>
      <c r="G525" s="1">
        <v>515</v>
      </c>
      <c r="H525" s="1">
        <f t="shared" si="34"/>
        <v>0</v>
      </c>
      <c r="I525" s="1">
        <f t="shared" si="35"/>
        <v>500</v>
      </c>
      <c r="J525" s="1">
        <f t="shared" si="33"/>
        <v>1433.06</v>
      </c>
    </row>
    <row r="526" spans="5:10">
      <c r="E526" s="1">
        <f t="array" ref="E526">INDEX($B$11:$B$247,CEILING(ROW(A516)/3,1))</f>
        <v>172</v>
      </c>
      <c r="F526" s="1">
        <f t="shared" ref="F526:F589" si="36">F523</f>
        <v>3</v>
      </c>
      <c r="G526" s="1">
        <v>516</v>
      </c>
      <c r="H526" s="1">
        <f t="shared" si="34"/>
        <v>0</v>
      </c>
      <c r="I526" s="1">
        <f t="shared" si="35"/>
        <v>500</v>
      </c>
      <c r="J526" s="1">
        <f t="shared" si="33"/>
        <v>1461.72</v>
      </c>
    </row>
    <row r="527" spans="5:10">
      <c r="E527" s="1">
        <f t="array" ref="E527">INDEX($B$11:$B$247,CEILING(ROW(A517)/3,1))</f>
        <v>173</v>
      </c>
      <c r="F527" s="1">
        <f t="shared" si="36"/>
        <v>1</v>
      </c>
      <c r="G527" s="1">
        <v>517</v>
      </c>
      <c r="H527" s="1">
        <f t="shared" si="34"/>
        <v>0</v>
      </c>
      <c r="I527" s="1">
        <f t="shared" si="35"/>
        <v>500</v>
      </c>
      <c r="J527" s="1">
        <f t="shared" si="33"/>
        <v>1490.95</v>
      </c>
    </row>
    <row r="528" spans="5:10">
      <c r="E528" s="1">
        <f t="array" ref="E528">INDEX($B$11:$B$247,CEILING(ROW(A518)/3,1))</f>
        <v>173</v>
      </c>
      <c r="F528" s="1">
        <f t="shared" si="36"/>
        <v>2</v>
      </c>
      <c r="G528" s="1">
        <v>518</v>
      </c>
      <c r="H528" s="1">
        <f t="shared" si="34"/>
        <v>0</v>
      </c>
      <c r="I528" s="1">
        <f t="shared" si="35"/>
        <v>500</v>
      </c>
      <c r="J528" s="1">
        <f t="shared" si="33"/>
        <v>1520.77</v>
      </c>
    </row>
    <row r="529" spans="5:10">
      <c r="E529" s="1">
        <f t="array" ref="E529">INDEX($B$11:$B$247,CEILING(ROW(A519)/3,1))</f>
        <v>173</v>
      </c>
      <c r="F529" s="1">
        <f t="shared" si="36"/>
        <v>3</v>
      </c>
      <c r="G529" s="1">
        <v>519</v>
      </c>
      <c r="H529" s="1">
        <f t="shared" si="34"/>
        <v>0</v>
      </c>
      <c r="I529" s="1">
        <f t="shared" si="35"/>
        <v>500</v>
      </c>
      <c r="J529" s="1">
        <f t="shared" si="33"/>
        <v>1551.19</v>
      </c>
    </row>
    <row r="530" spans="5:10">
      <c r="E530" s="1">
        <f t="array" ref="E530">INDEX($B$11:$B$247,CEILING(ROW(A520)/3,1))</f>
        <v>174</v>
      </c>
      <c r="F530" s="1">
        <f t="shared" si="36"/>
        <v>1</v>
      </c>
      <c r="G530" s="1">
        <v>520</v>
      </c>
      <c r="H530" s="1">
        <f t="shared" si="34"/>
        <v>0</v>
      </c>
      <c r="I530" s="1">
        <f t="shared" si="35"/>
        <v>500</v>
      </c>
      <c r="J530" s="1">
        <f t="shared" si="33"/>
        <v>1582.21</v>
      </c>
    </row>
    <row r="531" spans="5:10">
      <c r="E531" s="1">
        <f t="array" ref="E531">INDEX($B$11:$B$247,CEILING(ROW(A521)/3,1))</f>
        <v>174</v>
      </c>
      <c r="F531" s="1">
        <f t="shared" si="36"/>
        <v>2</v>
      </c>
      <c r="G531" s="1">
        <v>521</v>
      </c>
      <c r="H531" s="1">
        <f t="shared" si="34"/>
        <v>0</v>
      </c>
      <c r="I531" s="1">
        <f t="shared" si="35"/>
        <v>500</v>
      </c>
      <c r="J531" s="1">
        <f t="shared" si="33"/>
        <v>1613.85</v>
      </c>
    </row>
    <row r="532" spans="5:10">
      <c r="E532" s="1">
        <f t="array" ref="E532">INDEX($B$11:$B$247,CEILING(ROW(A522)/3,1))</f>
        <v>174</v>
      </c>
      <c r="F532" s="1">
        <f t="shared" si="36"/>
        <v>3</v>
      </c>
      <c r="G532" s="1">
        <v>522</v>
      </c>
      <c r="H532" s="1">
        <f t="shared" si="34"/>
        <v>0</v>
      </c>
      <c r="I532" s="1">
        <f t="shared" si="35"/>
        <v>500</v>
      </c>
      <c r="J532" s="1">
        <f t="shared" si="33"/>
        <v>1646.13</v>
      </c>
    </row>
    <row r="533" spans="5:10">
      <c r="E533" s="1">
        <f t="array" ref="E533">INDEX($B$11:$B$247,CEILING(ROW(A523)/3,1))</f>
        <v>175</v>
      </c>
      <c r="F533" s="1">
        <f t="shared" si="36"/>
        <v>1</v>
      </c>
      <c r="G533" s="1">
        <v>523</v>
      </c>
      <c r="H533" s="1">
        <f t="shared" si="34"/>
        <v>0</v>
      </c>
      <c r="I533" s="1">
        <f t="shared" si="35"/>
        <v>500</v>
      </c>
      <c r="J533" s="1">
        <f t="shared" si="33"/>
        <v>1679.05</v>
      </c>
    </row>
    <row r="534" spans="5:10">
      <c r="E534" s="1">
        <f t="array" ref="E534">INDEX($B$11:$B$247,CEILING(ROW(A524)/3,1))</f>
        <v>175</v>
      </c>
      <c r="F534" s="1">
        <f t="shared" si="36"/>
        <v>2</v>
      </c>
      <c r="G534" s="1">
        <v>524</v>
      </c>
      <c r="H534" s="1">
        <f t="shared" si="34"/>
        <v>0</v>
      </c>
      <c r="I534" s="1">
        <f t="shared" si="35"/>
        <v>500</v>
      </c>
      <c r="J534" s="1">
        <f t="shared" si="33"/>
        <v>1712.63</v>
      </c>
    </row>
    <row r="535" spans="5:10">
      <c r="E535" s="1">
        <f t="array" ref="E535">INDEX($B$11:$B$247,CEILING(ROW(A525)/3,1))</f>
        <v>175</v>
      </c>
      <c r="F535" s="1">
        <f t="shared" si="36"/>
        <v>3</v>
      </c>
      <c r="G535" s="1">
        <v>525</v>
      </c>
      <c r="H535" s="1">
        <f t="shared" si="34"/>
        <v>0</v>
      </c>
      <c r="I535" s="1">
        <f t="shared" si="35"/>
        <v>500</v>
      </c>
      <c r="J535" s="1">
        <f t="shared" si="33"/>
        <v>1746.89</v>
      </c>
    </row>
    <row r="536" spans="5:10">
      <c r="E536" s="1">
        <f t="array" ref="E536">INDEX($B$11:$B$247,CEILING(ROW(A526)/3,1))</f>
        <v>176</v>
      </c>
      <c r="F536" s="1">
        <f t="shared" si="36"/>
        <v>1</v>
      </c>
      <c r="G536" s="1">
        <v>526</v>
      </c>
      <c r="H536" s="1">
        <f t="shared" si="34"/>
        <v>0</v>
      </c>
      <c r="I536" s="1">
        <f t="shared" si="35"/>
        <v>500</v>
      </c>
      <c r="J536" s="1">
        <f t="shared" si="33"/>
        <v>1781.82</v>
      </c>
    </row>
    <row r="537" spans="5:10">
      <c r="E537" s="1">
        <f t="array" ref="E537">INDEX($B$11:$B$247,CEILING(ROW(A527)/3,1))</f>
        <v>176</v>
      </c>
      <c r="F537" s="1">
        <f t="shared" si="36"/>
        <v>2</v>
      </c>
      <c r="G537" s="1">
        <v>527</v>
      </c>
      <c r="H537" s="1">
        <f t="shared" si="34"/>
        <v>0</v>
      </c>
      <c r="I537" s="1">
        <f t="shared" si="35"/>
        <v>500</v>
      </c>
      <c r="J537" s="1">
        <f t="shared" si="33"/>
        <v>1817.46</v>
      </c>
    </row>
    <row r="538" spans="5:10">
      <c r="E538" s="1">
        <f t="array" ref="E538">INDEX($B$11:$B$247,CEILING(ROW(A528)/3,1))</f>
        <v>176</v>
      </c>
      <c r="F538" s="1">
        <f t="shared" si="36"/>
        <v>3</v>
      </c>
      <c r="G538" s="1">
        <v>528</v>
      </c>
      <c r="H538" s="1">
        <f t="shared" si="34"/>
        <v>0</v>
      </c>
      <c r="I538" s="1">
        <f t="shared" si="35"/>
        <v>500</v>
      </c>
      <c r="J538" s="1">
        <f t="shared" si="33"/>
        <v>1853.81</v>
      </c>
    </row>
    <row r="539" spans="5:10">
      <c r="E539" s="1">
        <f t="array" ref="E539">INDEX($B$11:$B$247,CEILING(ROW(A529)/3,1))</f>
        <v>177</v>
      </c>
      <c r="F539" s="1">
        <f t="shared" si="36"/>
        <v>1</v>
      </c>
      <c r="G539" s="1">
        <v>529</v>
      </c>
      <c r="H539" s="1">
        <f t="shared" si="34"/>
        <v>0</v>
      </c>
      <c r="I539" s="1">
        <f t="shared" si="35"/>
        <v>500</v>
      </c>
      <c r="J539" s="1">
        <f t="shared" si="33"/>
        <v>1890.89</v>
      </c>
    </row>
    <row r="540" spans="5:10">
      <c r="E540" s="1">
        <f t="array" ref="E540">INDEX($B$11:$B$247,CEILING(ROW(A530)/3,1))</f>
        <v>177</v>
      </c>
      <c r="F540" s="1">
        <f t="shared" si="36"/>
        <v>2</v>
      </c>
      <c r="G540" s="1">
        <v>530</v>
      </c>
      <c r="H540" s="1">
        <f t="shared" si="34"/>
        <v>0</v>
      </c>
      <c r="I540" s="1">
        <f t="shared" si="35"/>
        <v>500</v>
      </c>
      <c r="J540" s="1">
        <f t="shared" si="33"/>
        <v>1928.7</v>
      </c>
    </row>
    <row r="541" spans="5:10">
      <c r="E541" s="1">
        <f t="array" ref="E541">INDEX($B$11:$B$247,CEILING(ROW(A531)/3,1))</f>
        <v>177</v>
      </c>
      <c r="F541" s="1">
        <f t="shared" si="36"/>
        <v>3</v>
      </c>
      <c r="G541" s="1">
        <v>531</v>
      </c>
      <c r="H541" s="1">
        <f t="shared" si="34"/>
        <v>0</v>
      </c>
      <c r="I541" s="1">
        <f t="shared" si="35"/>
        <v>500</v>
      </c>
      <c r="J541" s="1">
        <f t="shared" si="33"/>
        <v>1967.28</v>
      </c>
    </row>
    <row r="542" spans="5:10">
      <c r="E542" s="1">
        <f t="array" ref="E542">INDEX($B$11:$B$247,CEILING(ROW(A532)/3,1))</f>
        <v>178</v>
      </c>
      <c r="F542" s="1">
        <f t="shared" si="36"/>
        <v>1</v>
      </c>
      <c r="G542" s="1">
        <v>532</v>
      </c>
      <c r="H542" s="1">
        <f t="shared" si="34"/>
        <v>0</v>
      </c>
      <c r="I542" s="1">
        <f t="shared" si="35"/>
        <v>500</v>
      </c>
      <c r="J542" s="1">
        <f t="shared" si="33"/>
        <v>2006.62</v>
      </c>
    </row>
    <row r="543" spans="5:10">
      <c r="E543" s="1">
        <f t="array" ref="E543">INDEX($B$11:$B$247,CEILING(ROW(A533)/3,1))</f>
        <v>178</v>
      </c>
      <c r="F543" s="1">
        <f t="shared" si="36"/>
        <v>2</v>
      </c>
      <c r="G543" s="1">
        <v>533</v>
      </c>
      <c r="H543" s="1">
        <f t="shared" si="34"/>
        <v>0</v>
      </c>
      <c r="I543" s="1">
        <f t="shared" si="35"/>
        <v>500</v>
      </c>
      <c r="J543" s="1">
        <f t="shared" ref="J543:J606" si="37">ROUND(POWER($N$159,ROW(I543)-158),2)</f>
        <v>2046.76</v>
      </c>
    </row>
    <row r="544" spans="5:10">
      <c r="E544" s="1">
        <f t="array" ref="E544">INDEX($B$11:$B$247,CEILING(ROW(A534)/3,1))</f>
        <v>178</v>
      </c>
      <c r="F544" s="1">
        <f t="shared" si="36"/>
        <v>3</v>
      </c>
      <c r="G544" s="1">
        <v>534</v>
      </c>
      <c r="H544" s="1">
        <f t="shared" si="34"/>
        <v>0</v>
      </c>
      <c r="I544" s="1">
        <f t="shared" si="35"/>
        <v>500</v>
      </c>
      <c r="J544" s="1">
        <f t="shared" si="37"/>
        <v>2087.69</v>
      </c>
    </row>
    <row r="545" spans="5:10">
      <c r="E545" s="1">
        <f t="array" ref="E545">INDEX($B$11:$B$247,CEILING(ROW(A535)/3,1))</f>
        <v>179</v>
      </c>
      <c r="F545" s="1">
        <f t="shared" si="36"/>
        <v>1</v>
      </c>
      <c r="G545" s="1">
        <v>535</v>
      </c>
      <c r="H545" s="1">
        <f t="shared" si="34"/>
        <v>0</v>
      </c>
      <c r="I545" s="1">
        <f t="shared" si="35"/>
        <v>500</v>
      </c>
      <c r="J545" s="1">
        <f t="shared" si="37"/>
        <v>2129.45</v>
      </c>
    </row>
    <row r="546" spans="5:10">
      <c r="E546" s="1">
        <f t="array" ref="E546">INDEX($B$11:$B$247,CEILING(ROW(A536)/3,1))</f>
        <v>179</v>
      </c>
      <c r="F546" s="1">
        <f t="shared" si="36"/>
        <v>2</v>
      </c>
      <c r="G546" s="1">
        <v>536</v>
      </c>
      <c r="H546" s="1">
        <f t="shared" si="34"/>
        <v>0</v>
      </c>
      <c r="I546" s="1">
        <f t="shared" si="35"/>
        <v>500</v>
      </c>
      <c r="J546" s="1">
        <f t="shared" si="37"/>
        <v>2172.03</v>
      </c>
    </row>
    <row r="547" spans="5:10">
      <c r="E547" s="1">
        <f t="array" ref="E547">INDEX($B$11:$B$247,CEILING(ROW(A537)/3,1))</f>
        <v>179</v>
      </c>
      <c r="F547" s="1">
        <f t="shared" si="36"/>
        <v>3</v>
      </c>
      <c r="G547" s="1">
        <v>537</v>
      </c>
      <c r="H547" s="1">
        <f t="shared" si="34"/>
        <v>0</v>
      </c>
      <c r="I547" s="1">
        <f t="shared" si="35"/>
        <v>500</v>
      </c>
      <c r="J547" s="1">
        <f t="shared" si="37"/>
        <v>2215.47</v>
      </c>
    </row>
    <row r="548" spans="5:10">
      <c r="E548" s="1">
        <f t="array" ref="E548">INDEX($B$11:$B$247,CEILING(ROW(A538)/3,1))</f>
        <v>180</v>
      </c>
      <c r="F548" s="1">
        <f t="shared" si="36"/>
        <v>1</v>
      </c>
      <c r="G548" s="1">
        <v>538</v>
      </c>
      <c r="H548" s="1">
        <f t="shared" si="34"/>
        <v>0</v>
      </c>
      <c r="I548" s="1">
        <f t="shared" si="35"/>
        <v>500</v>
      </c>
      <c r="J548" s="1">
        <f t="shared" si="37"/>
        <v>2259.78</v>
      </c>
    </row>
    <row r="549" spans="5:10">
      <c r="E549" s="1">
        <f t="array" ref="E549">INDEX($B$11:$B$247,CEILING(ROW(A539)/3,1))</f>
        <v>180</v>
      </c>
      <c r="F549" s="1">
        <f t="shared" si="36"/>
        <v>2</v>
      </c>
      <c r="G549" s="1">
        <v>539</v>
      </c>
      <c r="H549" s="1">
        <f t="shared" si="34"/>
        <v>0</v>
      </c>
      <c r="I549" s="1">
        <f t="shared" si="35"/>
        <v>500</v>
      </c>
      <c r="J549" s="1">
        <f t="shared" si="37"/>
        <v>2304.98</v>
      </c>
    </row>
    <row r="550" spans="5:10">
      <c r="E550" s="1">
        <f t="array" ref="E550">INDEX($B$11:$B$247,CEILING(ROW(A540)/3,1))</f>
        <v>180</v>
      </c>
      <c r="F550" s="1">
        <f t="shared" si="36"/>
        <v>3</v>
      </c>
      <c r="G550" s="1">
        <v>540</v>
      </c>
      <c r="H550" s="1">
        <f t="shared" si="34"/>
        <v>0</v>
      </c>
      <c r="I550" s="1">
        <f t="shared" si="35"/>
        <v>500</v>
      </c>
      <c r="J550" s="1">
        <f t="shared" si="37"/>
        <v>2351.08</v>
      </c>
    </row>
    <row r="551" spans="5:10">
      <c r="E551" s="1">
        <f t="array" ref="E551">INDEX($B$11:$B$247,CEILING(ROW(A541)/3,1))</f>
        <v>181</v>
      </c>
      <c r="F551" s="1">
        <f t="shared" si="36"/>
        <v>1</v>
      </c>
      <c r="G551" s="1">
        <v>541</v>
      </c>
      <c r="H551" s="1">
        <f t="shared" si="34"/>
        <v>0</v>
      </c>
      <c r="I551" s="1">
        <f t="shared" si="35"/>
        <v>500</v>
      </c>
      <c r="J551" s="1">
        <f t="shared" si="37"/>
        <v>2398.1</v>
      </c>
    </row>
    <row r="552" spans="5:10">
      <c r="E552" s="1">
        <f t="array" ref="E552">INDEX($B$11:$B$247,CEILING(ROW(A542)/3,1))</f>
        <v>181</v>
      </c>
      <c r="F552" s="1">
        <f t="shared" si="36"/>
        <v>2</v>
      </c>
      <c r="G552" s="1">
        <v>542</v>
      </c>
      <c r="H552" s="1">
        <f t="shared" si="34"/>
        <v>0</v>
      </c>
      <c r="I552" s="1">
        <f t="shared" si="35"/>
        <v>500</v>
      </c>
      <c r="J552" s="1">
        <f t="shared" si="37"/>
        <v>2446.06</v>
      </c>
    </row>
    <row r="553" spans="5:10">
      <c r="E553" s="1">
        <f t="array" ref="E553">INDEX($B$11:$B$247,CEILING(ROW(A543)/3,1))</f>
        <v>181</v>
      </c>
      <c r="F553" s="1">
        <f t="shared" si="36"/>
        <v>3</v>
      </c>
      <c r="G553" s="1">
        <v>543</v>
      </c>
      <c r="H553" s="1">
        <f t="shared" si="34"/>
        <v>0</v>
      </c>
      <c r="I553" s="1">
        <f t="shared" si="35"/>
        <v>500</v>
      </c>
      <c r="J553" s="1">
        <f t="shared" si="37"/>
        <v>2494.98</v>
      </c>
    </row>
    <row r="554" spans="5:10">
      <c r="E554" s="1">
        <f t="array" ref="E554">INDEX($B$11:$B$247,CEILING(ROW(A544)/3,1))</f>
        <v>182</v>
      </c>
      <c r="F554" s="1">
        <f t="shared" si="36"/>
        <v>1</v>
      </c>
      <c r="G554" s="1">
        <v>544</v>
      </c>
      <c r="H554" s="1">
        <f t="shared" si="34"/>
        <v>0</v>
      </c>
      <c r="I554" s="1">
        <f t="shared" si="35"/>
        <v>500</v>
      </c>
      <c r="J554" s="1">
        <f t="shared" si="37"/>
        <v>2544.88</v>
      </c>
    </row>
    <row r="555" spans="5:10">
      <c r="E555" s="1">
        <f t="array" ref="E555">INDEX($B$11:$B$247,CEILING(ROW(A545)/3,1))</f>
        <v>182</v>
      </c>
      <c r="F555" s="1">
        <f t="shared" si="36"/>
        <v>2</v>
      </c>
      <c r="G555" s="1">
        <v>545</v>
      </c>
      <c r="H555" s="1">
        <f t="shared" si="34"/>
        <v>0</v>
      </c>
      <c r="I555" s="1">
        <f t="shared" si="35"/>
        <v>500</v>
      </c>
      <c r="J555" s="1">
        <f t="shared" si="37"/>
        <v>2595.78</v>
      </c>
    </row>
    <row r="556" spans="5:10">
      <c r="E556" s="1">
        <f t="array" ref="E556">INDEX($B$11:$B$247,CEILING(ROW(A546)/3,1))</f>
        <v>182</v>
      </c>
      <c r="F556" s="1">
        <f t="shared" si="36"/>
        <v>3</v>
      </c>
      <c r="G556" s="1">
        <v>546</v>
      </c>
      <c r="H556" s="1">
        <f t="shared" si="34"/>
        <v>0</v>
      </c>
      <c r="I556" s="1">
        <f t="shared" si="35"/>
        <v>500</v>
      </c>
      <c r="J556" s="1">
        <f t="shared" si="37"/>
        <v>2647.7</v>
      </c>
    </row>
    <row r="557" spans="5:10">
      <c r="E557" s="1">
        <f t="array" ref="E557">INDEX($B$11:$B$247,CEILING(ROW(A547)/3,1))</f>
        <v>183</v>
      </c>
      <c r="F557" s="1">
        <f t="shared" si="36"/>
        <v>1</v>
      </c>
      <c r="G557" s="1">
        <v>547</v>
      </c>
      <c r="H557" s="1">
        <f t="shared" si="34"/>
        <v>0</v>
      </c>
      <c r="I557" s="1">
        <f t="shared" si="35"/>
        <v>500</v>
      </c>
      <c r="J557" s="1">
        <f t="shared" si="37"/>
        <v>2700.65</v>
      </c>
    </row>
    <row r="558" spans="5:10">
      <c r="E558" s="1">
        <f t="array" ref="E558">INDEX($B$11:$B$247,CEILING(ROW(A548)/3,1))</f>
        <v>183</v>
      </c>
      <c r="F558" s="1">
        <f t="shared" si="36"/>
        <v>2</v>
      </c>
      <c r="G558" s="1">
        <v>548</v>
      </c>
      <c r="H558" s="1">
        <f t="shared" si="34"/>
        <v>0</v>
      </c>
      <c r="I558" s="1">
        <f t="shared" si="35"/>
        <v>500</v>
      </c>
      <c r="J558" s="1">
        <f t="shared" si="37"/>
        <v>2754.66</v>
      </c>
    </row>
    <row r="559" spans="5:10">
      <c r="E559" s="1">
        <f t="array" ref="E559">INDEX($B$11:$B$247,CEILING(ROW(A549)/3,1))</f>
        <v>183</v>
      </c>
      <c r="F559" s="1">
        <f t="shared" si="36"/>
        <v>3</v>
      </c>
      <c r="G559" s="1">
        <v>549</v>
      </c>
      <c r="H559" s="1">
        <f t="shared" si="34"/>
        <v>0</v>
      </c>
      <c r="I559" s="1">
        <f t="shared" si="35"/>
        <v>500</v>
      </c>
      <c r="J559" s="1">
        <f t="shared" si="37"/>
        <v>2809.76</v>
      </c>
    </row>
    <row r="560" spans="5:10">
      <c r="E560" s="1">
        <f t="array" ref="E560">INDEX($B$11:$B$247,CEILING(ROW(A550)/3,1))</f>
        <v>184</v>
      </c>
      <c r="F560" s="1">
        <f t="shared" si="36"/>
        <v>1</v>
      </c>
      <c r="G560" s="1">
        <v>550</v>
      </c>
      <c r="H560" s="1">
        <f t="shared" si="34"/>
        <v>0</v>
      </c>
      <c r="I560" s="1">
        <f t="shared" si="35"/>
        <v>500</v>
      </c>
      <c r="J560" s="1">
        <f t="shared" si="37"/>
        <v>2865.95</v>
      </c>
    </row>
    <row r="561" spans="5:10">
      <c r="E561" s="1">
        <f t="array" ref="E561">INDEX($B$11:$B$247,CEILING(ROW(A551)/3,1))</f>
        <v>184</v>
      </c>
      <c r="F561" s="1">
        <f t="shared" si="36"/>
        <v>2</v>
      </c>
      <c r="G561" s="1">
        <v>551</v>
      </c>
      <c r="H561" s="1">
        <f t="shared" si="34"/>
        <v>0</v>
      </c>
      <c r="I561" s="1">
        <f t="shared" si="35"/>
        <v>500</v>
      </c>
      <c r="J561" s="1">
        <f t="shared" si="37"/>
        <v>2923.27</v>
      </c>
    </row>
    <row r="562" spans="5:10">
      <c r="E562" s="1">
        <f t="array" ref="E562">INDEX($B$11:$B$247,CEILING(ROW(A552)/3,1))</f>
        <v>184</v>
      </c>
      <c r="F562" s="1">
        <f t="shared" si="36"/>
        <v>3</v>
      </c>
      <c r="G562" s="1">
        <v>552</v>
      </c>
      <c r="H562" s="1">
        <f t="shared" si="34"/>
        <v>0</v>
      </c>
      <c r="I562" s="1">
        <f t="shared" si="35"/>
        <v>500</v>
      </c>
      <c r="J562" s="1">
        <f t="shared" si="37"/>
        <v>2981.74</v>
      </c>
    </row>
    <row r="563" spans="5:10">
      <c r="E563" s="1">
        <f t="array" ref="E563">INDEX($B$11:$B$247,CEILING(ROW(A553)/3,1))</f>
        <v>185</v>
      </c>
      <c r="F563" s="1">
        <f t="shared" si="36"/>
        <v>1</v>
      </c>
      <c r="G563" s="1">
        <v>553</v>
      </c>
      <c r="H563" s="1">
        <f t="shared" si="34"/>
        <v>0</v>
      </c>
      <c r="I563" s="1">
        <f t="shared" si="35"/>
        <v>500</v>
      </c>
      <c r="J563" s="1">
        <f t="shared" si="37"/>
        <v>3041.37</v>
      </c>
    </row>
    <row r="564" spans="5:10">
      <c r="E564" s="1">
        <f t="array" ref="E564">INDEX($B$11:$B$247,CEILING(ROW(A554)/3,1))</f>
        <v>185</v>
      </c>
      <c r="F564" s="1">
        <f t="shared" si="36"/>
        <v>2</v>
      </c>
      <c r="G564" s="1">
        <v>554</v>
      </c>
      <c r="H564" s="1">
        <f t="shared" si="34"/>
        <v>0</v>
      </c>
      <c r="I564" s="1">
        <f t="shared" si="35"/>
        <v>500</v>
      </c>
      <c r="J564" s="1">
        <f t="shared" si="37"/>
        <v>3102.2</v>
      </c>
    </row>
    <row r="565" spans="5:10">
      <c r="E565" s="1">
        <f t="array" ref="E565">INDEX($B$11:$B$247,CEILING(ROW(A555)/3,1))</f>
        <v>185</v>
      </c>
      <c r="F565" s="1">
        <f t="shared" si="36"/>
        <v>3</v>
      </c>
      <c r="G565" s="1">
        <v>555</v>
      </c>
      <c r="H565" s="1">
        <f t="shared" si="34"/>
        <v>0</v>
      </c>
      <c r="I565" s="1">
        <f t="shared" si="35"/>
        <v>500</v>
      </c>
      <c r="J565" s="1">
        <f t="shared" si="37"/>
        <v>3164.24</v>
      </c>
    </row>
    <row r="566" spans="5:10">
      <c r="E566" s="1">
        <f t="array" ref="E566">INDEX($B$11:$B$247,CEILING(ROW(A556)/3,1))</f>
        <v>186</v>
      </c>
      <c r="F566" s="1">
        <f t="shared" si="36"/>
        <v>1</v>
      </c>
      <c r="G566" s="1">
        <v>556</v>
      </c>
      <c r="H566" s="1">
        <f t="shared" si="34"/>
        <v>0</v>
      </c>
      <c r="I566" s="1">
        <f t="shared" si="35"/>
        <v>500</v>
      </c>
      <c r="J566" s="1">
        <f t="shared" si="37"/>
        <v>3227.53</v>
      </c>
    </row>
    <row r="567" spans="5:10">
      <c r="E567" s="1">
        <f t="array" ref="E567">INDEX($B$11:$B$247,CEILING(ROW(A557)/3,1))</f>
        <v>186</v>
      </c>
      <c r="F567" s="1">
        <f t="shared" si="36"/>
        <v>2</v>
      </c>
      <c r="G567" s="1">
        <v>557</v>
      </c>
      <c r="H567" s="1">
        <f t="shared" si="34"/>
        <v>0</v>
      </c>
      <c r="I567" s="1">
        <f t="shared" si="35"/>
        <v>500</v>
      </c>
      <c r="J567" s="1">
        <f t="shared" si="37"/>
        <v>3292.08</v>
      </c>
    </row>
    <row r="568" spans="5:10">
      <c r="E568" s="1">
        <f t="array" ref="E568">INDEX($B$11:$B$247,CEILING(ROW(A558)/3,1))</f>
        <v>186</v>
      </c>
      <c r="F568" s="1">
        <f t="shared" si="36"/>
        <v>3</v>
      </c>
      <c r="G568" s="1">
        <v>558</v>
      </c>
      <c r="H568" s="1">
        <f t="shared" si="34"/>
        <v>0</v>
      </c>
      <c r="I568" s="1">
        <f t="shared" si="35"/>
        <v>500</v>
      </c>
      <c r="J568" s="1">
        <f t="shared" si="37"/>
        <v>3357.92</v>
      </c>
    </row>
    <row r="569" spans="5:10">
      <c r="E569" s="1">
        <f t="array" ref="E569">INDEX($B$11:$B$247,CEILING(ROW(A559)/3,1))</f>
        <v>187</v>
      </c>
      <c r="F569" s="1">
        <f t="shared" si="36"/>
        <v>1</v>
      </c>
      <c r="G569" s="1">
        <v>559</v>
      </c>
      <c r="H569" s="1">
        <f t="shared" si="34"/>
        <v>0</v>
      </c>
      <c r="I569" s="1">
        <f t="shared" si="35"/>
        <v>500</v>
      </c>
      <c r="J569" s="1">
        <f t="shared" si="37"/>
        <v>3425.08</v>
      </c>
    </row>
    <row r="570" spans="5:10">
      <c r="E570" s="1">
        <f t="array" ref="E570">INDEX($B$11:$B$247,CEILING(ROW(A560)/3,1))</f>
        <v>187</v>
      </c>
      <c r="F570" s="1">
        <f t="shared" si="36"/>
        <v>2</v>
      </c>
      <c r="G570" s="1">
        <v>560</v>
      </c>
      <c r="H570" s="1">
        <f t="shared" si="34"/>
        <v>0</v>
      </c>
      <c r="I570" s="1">
        <f t="shared" si="35"/>
        <v>500</v>
      </c>
      <c r="J570" s="1">
        <f t="shared" si="37"/>
        <v>3493.58</v>
      </c>
    </row>
    <row r="571" spans="5:10">
      <c r="E571" s="1">
        <f t="array" ref="E571">INDEX($B$11:$B$247,CEILING(ROW(A561)/3,1))</f>
        <v>187</v>
      </c>
      <c r="F571" s="1">
        <f t="shared" si="36"/>
        <v>3</v>
      </c>
      <c r="G571" s="1">
        <v>561</v>
      </c>
      <c r="H571" s="1">
        <f t="shared" si="34"/>
        <v>0</v>
      </c>
      <c r="I571" s="1">
        <f t="shared" si="35"/>
        <v>500</v>
      </c>
      <c r="J571" s="1">
        <f t="shared" si="37"/>
        <v>3563.45</v>
      </c>
    </row>
    <row r="572" spans="5:10">
      <c r="E572" s="1">
        <f t="array" ref="E572">INDEX($B$11:$B$247,CEILING(ROW(A562)/3,1))</f>
        <v>188</v>
      </c>
      <c r="F572" s="1">
        <f t="shared" si="36"/>
        <v>1</v>
      </c>
      <c r="G572" s="1">
        <v>562</v>
      </c>
      <c r="H572" s="1">
        <f t="shared" si="34"/>
        <v>0</v>
      </c>
      <c r="I572" s="1">
        <f t="shared" si="35"/>
        <v>500</v>
      </c>
      <c r="J572" s="1">
        <f t="shared" si="37"/>
        <v>3634.72</v>
      </c>
    </row>
    <row r="573" spans="5:10">
      <c r="E573" s="1">
        <f t="array" ref="E573">INDEX($B$11:$B$247,CEILING(ROW(A563)/3,1))</f>
        <v>188</v>
      </c>
      <c r="F573" s="1">
        <f t="shared" si="36"/>
        <v>2</v>
      </c>
      <c r="G573" s="1">
        <v>563</v>
      </c>
      <c r="H573" s="1">
        <f t="shared" si="34"/>
        <v>0</v>
      </c>
      <c r="I573" s="1">
        <f t="shared" si="35"/>
        <v>500</v>
      </c>
      <c r="J573" s="1">
        <f t="shared" si="37"/>
        <v>3707.42</v>
      </c>
    </row>
    <row r="574" spans="5:10">
      <c r="E574" s="1">
        <f t="array" ref="E574">INDEX($B$11:$B$247,CEILING(ROW(A564)/3,1))</f>
        <v>188</v>
      </c>
      <c r="F574" s="1">
        <f t="shared" si="36"/>
        <v>3</v>
      </c>
      <c r="G574" s="1">
        <v>564</v>
      </c>
      <c r="H574" s="1">
        <f t="shared" si="34"/>
        <v>0</v>
      </c>
      <c r="I574" s="1">
        <f t="shared" si="35"/>
        <v>500</v>
      </c>
      <c r="J574" s="1">
        <f t="shared" si="37"/>
        <v>3781.56</v>
      </c>
    </row>
    <row r="575" spans="5:10">
      <c r="E575" s="1">
        <f t="array" ref="E575">INDEX($B$11:$B$247,CEILING(ROW(A565)/3,1))</f>
        <v>189</v>
      </c>
      <c r="F575" s="1">
        <f t="shared" si="36"/>
        <v>1</v>
      </c>
      <c r="G575" s="1">
        <v>565</v>
      </c>
      <c r="H575" s="1">
        <f t="shared" si="34"/>
        <v>0</v>
      </c>
      <c r="I575" s="1">
        <f t="shared" si="35"/>
        <v>500</v>
      </c>
      <c r="J575" s="1">
        <f t="shared" si="37"/>
        <v>3857.2</v>
      </c>
    </row>
    <row r="576" spans="5:10">
      <c r="E576" s="1">
        <f t="array" ref="E576">INDEX($B$11:$B$247,CEILING(ROW(A566)/3,1))</f>
        <v>189</v>
      </c>
      <c r="F576" s="1">
        <f t="shared" si="36"/>
        <v>2</v>
      </c>
      <c r="G576" s="1">
        <v>566</v>
      </c>
      <c r="H576" s="1">
        <f t="shared" si="34"/>
        <v>0</v>
      </c>
      <c r="I576" s="1">
        <f t="shared" si="35"/>
        <v>500</v>
      </c>
      <c r="J576" s="1">
        <f t="shared" si="37"/>
        <v>3934.34</v>
      </c>
    </row>
    <row r="577" spans="5:10">
      <c r="E577" s="1">
        <f t="array" ref="E577">INDEX($B$11:$B$247,CEILING(ROW(A567)/3,1))</f>
        <v>189</v>
      </c>
      <c r="F577" s="1">
        <f t="shared" si="36"/>
        <v>3</v>
      </c>
      <c r="G577" s="1">
        <v>567</v>
      </c>
      <c r="H577" s="1">
        <f t="shared" si="34"/>
        <v>0</v>
      </c>
      <c r="I577" s="1">
        <f t="shared" si="35"/>
        <v>500</v>
      </c>
      <c r="J577" s="1">
        <f t="shared" si="37"/>
        <v>4013.03</v>
      </c>
    </row>
    <row r="578" spans="5:10">
      <c r="E578" s="1">
        <f t="array" ref="E578">INDEX($B$11:$B$247,CEILING(ROW(A568)/3,1))</f>
        <v>190</v>
      </c>
      <c r="F578" s="1">
        <f t="shared" si="36"/>
        <v>1</v>
      </c>
      <c r="G578" s="1">
        <v>568</v>
      </c>
      <c r="H578" s="1">
        <f t="shared" si="34"/>
        <v>0</v>
      </c>
      <c r="I578" s="1">
        <f t="shared" si="35"/>
        <v>500</v>
      </c>
      <c r="J578" s="1">
        <f t="shared" si="37"/>
        <v>4093.29</v>
      </c>
    </row>
    <row r="579" spans="5:10">
      <c r="E579" s="1">
        <f t="array" ref="E579">INDEX($B$11:$B$247,CEILING(ROW(A569)/3,1))</f>
        <v>190</v>
      </c>
      <c r="F579" s="1">
        <f t="shared" si="36"/>
        <v>2</v>
      </c>
      <c r="G579" s="1">
        <v>569</v>
      </c>
      <c r="H579" s="1">
        <f t="shared" si="34"/>
        <v>0</v>
      </c>
      <c r="I579" s="1">
        <f t="shared" si="35"/>
        <v>500</v>
      </c>
      <c r="J579" s="1">
        <f t="shared" si="37"/>
        <v>4175.15</v>
      </c>
    </row>
    <row r="580" spans="5:10">
      <c r="E580" s="1">
        <f t="array" ref="E580">INDEX($B$11:$B$247,CEILING(ROW(A570)/3,1))</f>
        <v>190</v>
      </c>
      <c r="F580" s="1">
        <f t="shared" si="36"/>
        <v>3</v>
      </c>
      <c r="G580" s="1">
        <v>570</v>
      </c>
      <c r="H580" s="1">
        <f t="shared" si="34"/>
        <v>0</v>
      </c>
      <c r="I580" s="1">
        <f t="shared" si="35"/>
        <v>500</v>
      </c>
      <c r="J580" s="1">
        <f t="shared" si="37"/>
        <v>4258.66</v>
      </c>
    </row>
    <row r="581" spans="5:10">
      <c r="E581" s="1">
        <f t="array" ref="E581">INDEX($B$11:$B$247,CEILING(ROW(A571)/3,1))</f>
        <v>191</v>
      </c>
      <c r="F581" s="1">
        <f t="shared" si="36"/>
        <v>1</v>
      </c>
      <c r="G581" s="1">
        <v>571</v>
      </c>
      <c r="H581" s="1">
        <f t="shared" si="34"/>
        <v>0</v>
      </c>
      <c r="I581" s="1">
        <f t="shared" si="35"/>
        <v>500</v>
      </c>
      <c r="J581" s="1">
        <f t="shared" si="37"/>
        <v>4343.83</v>
      </c>
    </row>
    <row r="582" spans="5:10">
      <c r="E582" s="1">
        <f t="array" ref="E582">INDEX($B$11:$B$247,CEILING(ROW(A572)/3,1))</f>
        <v>191</v>
      </c>
      <c r="F582" s="1">
        <f t="shared" si="36"/>
        <v>2</v>
      </c>
      <c r="G582" s="1">
        <v>572</v>
      </c>
      <c r="H582" s="1">
        <f t="shared" si="34"/>
        <v>0</v>
      </c>
      <c r="I582" s="1">
        <f t="shared" si="35"/>
        <v>500</v>
      </c>
      <c r="J582" s="1">
        <f t="shared" si="37"/>
        <v>4430.7</v>
      </c>
    </row>
    <row r="583" spans="5:10">
      <c r="E583" s="1">
        <f t="array" ref="E583">INDEX($B$11:$B$247,CEILING(ROW(A573)/3,1))</f>
        <v>191</v>
      </c>
      <c r="F583" s="1">
        <f t="shared" si="36"/>
        <v>3</v>
      </c>
      <c r="G583" s="1">
        <v>573</v>
      </c>
      <c r="H583" s="1">
        <f t="shared" si="34"/>
        <v>0</v>
      </c>
      <c r="I583" s="1">
        <f t="shared" si="35"/>
        <v>500</v>
      </c>
      <c r="J583" s="1">
        <f t="shared" si="37"/>
        <v>4519.32</v>
      </c>
    </row>
    <row r="584" spans="5:10">
      <c r="E584" s="1">
        <f t="array" ref="E584">INDEX($B$11:$B$247,CEILING(ROW(A574)/3,1))</f>
        <v>192</v>
      </c>
      <c r="F584" s="1">
        <f t="shared" si="36"/>
        <v>1</v>
      </c>
      <c r="G584" s="1">
        <v>574</v>
      </c>
      <c r="H584" s="1">
        <f t="shared" si="34"/>
        <v>0</v>
      </c>
      <c r="I584" s="1">
        <f t="shared" si="35"/>
        <v>500</v>
      </c>
      <c r="J584" s="1">
        <f t="shared" si="37"/>
        <v>4609.71</v>
      </c>
    </row>
    <row r="585" spans="5:10">
      <c r="E585" s="1">
        <f t="array" ref="E585">INDEX($B$11:$B$247,CEILING(ROW(A575)/3,1))</f>
        <v>192</v>
      </c>
      <c r="F585" s="1">
        <f t="shared" si="36"/>
        <v>2</v>
      </c>
      <c r="G585" s="1">
        <v>575</v>
      </c>
      <c r="H585" s="1">
        <f t="shared" si="34"/>
        <v>0</v>
      </c>
      <c r="I585" s="1">
        <f t="shared" si="35"/>
        <v>500</v>
      </c>
      <c r="J585" s="1">
        <f t="shared" si="37"/>
        <v>4701.9</v>
      </c>
    </row>
    <row r="586" spans="5:10">
      <c r="E586" s="1">
        <f t="array" ref="E586">INDEX($B$11:$B$247,CEILING(ROW(A576)/3,1))</f>
        <v>192</v>
      </c>
      <c r="F586" s="1">
        <f t="shared" si="36"/>
        <v>3</v>
      </c>
      <c r="G586" s="1">
        <v>576</v>
      </c>
      <c r="H586" s="1">
        <f t="shared" si="34"/>
        <v>0</v>
      </c>
      <c r="I586" s="1">
        <f t="shared" si="35"/>
        <v>500</v>
      </c>
      <c r="J586" s="1">
        <f t="shared" si="37"/>
        <v>4795.94</v>
      </c>
    </row>
    <row r="587" spans="5:10">
      <c r="E587" s="1">
        <f t="array" ref="E587">INDEX($B$11:$B$247,CEILING(ROW(A577)/3,1))</f>
        <v>193</v>
      </c>
      <c r="F587" s="1">
        <f t="shared" si="36"/>
        <v>1</v>
      </c>
      <c r="G587" s="1">
        <v>577</v>
      </c>
      <c r="H587" s="1">
        <f t="shared" ref="H587:H650" si="38">_xlfn.IFNA(VLOOKUP(E590,$B$11:$C$247,2,0)-VLOOKUP(E587,$B$11:$C$247,2,0),0)</f>
        <v>0</v>
      </c>
      <c r="I587" s="1">
        <f t="shared" ref="I587:I650" si="39">ROUND(VLOOKUP(E587,$B$11:$C$247,2,0)+VLOOKUP(F587,$J$3:$K$5,2,0)*H587,0)</f>
        <v>500</v>
      </c>
      <c r="J587" s="1">
        <f t="shared" si="37"/>
        <v>4891.86</v>
      </c>
    </row>
    <row r="588" spans="5:10">
      <c r="E588" s="1">
        <f t="array" ref="E588">INDEX($B$11:$B$247,CEILING(ROW(A578)/3,1))</f>
        <v>193</v>
      </c>
      <c r="F588" s="1">
        <f t="shared" si="36"/>
        <v>2</v>
      </c>
      <c r="G588" s="1">
        <v>578</v>
      </c>
      <c r="H588" s="1">
        <f t="shared" si="38"/>
        <v>0</v>
      </c>
      <c r="I588" s="1">
        <f t="shared" si="39"/>
        <v>500</v>
      </c>
      <c r="J588" s="1">
        <f t="shared" si="37"/>
        <v>4989.69</v>
      </c>
    </row>
    <row r="589" spans="5:10">
      <c r="E589" s="1">
        <f t="array" ref="E589">INDEX($B$11:$B$247,CEILING(ROW(A579)/3,1))</f>
        <v>193</v>
      </c>
      <c r="F589" s="1">
        <f t="shared" si="36"/>
        <v>3</v>
      </c>
      <c r="G589" s="1">
        <v>579</v>
      </c>
      <c r="H589" s="1">
        <f t="shared" si="38"/>
        <v>0</v>
      </c>
      <c r="I589" s="1">
        <f t="shared" si="39"/>
        <v>500</v>
      </c>
      <c r="J589" s="1">
        <f t="shared" si="37"/>
        <v>5089.49</v>
      </c>
    </row>
    <row r="590" spans="5:10">
      <c r="E590" s="1">
        <f t="array" ref="E590">INDEX($B$11:$B$247,CEILING(ROW(A580)/3,1))</f>
        <v>194</v>
      </c>
      <c r="F590" s="1">
        <f t="shared" ref="F590:F653" si="40">F587</f>
        <v>1</v>
      </c>
      <c r="G590" s="1">
        <v>580</v>
      </c>
      <c r="H590" s="1">
        <f t="shared" si="38"/>
        <v>0</v>
      </c>
      <c r="I590" s="1">
        <f t="shared" si="39"/>
        <v>500</v>
      </c>
      <c r="J590" s="1">
        <f t="shared" si="37"/>
        <v>5191.28</v>
      </c>
    </row>
    <row r="591" spans="5:10">
      <c r="E591" s="1">
        <f t="array" ref="E591">INDEX($B$11:$B$247,CEILING(ROW(A581)/3,1))</f>
        <v>194</v>
      </c>
      <c r="F591" s="1">
        <f t="shared" si="40"/>
        <v>2</v>
      </c>
      <c r="G591" s="1">
        <v>581</v>
      </c>
      <c r="H591" s="1">
        <f t="shared" si="38"/>
        <v>0</v>
      </c>
      <c r="I591" s="1">
        <f t="shared" si="39"/>
        <v>500</v>
      </c>
      <c r="J591" s="1">
        <f t="shared" si="37"/>
        <v>5295.1</v>
      </c>
    </row>
    <row r="592" spans="5:10">
      <c r="E592" s="1">
        <f t="array" ref="E592">INDEX($B$11:$B$247,CEILING(ROW(A582)/3,1))</f>
        <v>194</v>
      </c>
      <c r="F592" s="1">
        <f t="shared" si="40"/>
        <v>3</v>
      </c>
      <c r="G592" s="1">
        <v>582</v>
      </c>
      <c r="H592" s="1">
        <f t="shared" si="38"/>
        <v>0</v>
      </c>
      <c r="I592" s="1">
        <f t="shared" si="39"/>
        <v>500</v>
      </c>
      <c r="J592" s="1">
        <f t="shared" si="37"/>
        <v>5401</v>
      </c>
    </row>
    <row r="593" spans="5:10">
      <c r="E593" s="1">
        <f t="array" ref="E593">INDEX($B$11:$B$247,CEILING(ROW(A583)/3,1))</f>
        <v>195</v>
      </c>
      <c r="F593" s="1">
        <f t="shared" si="40"/>
        <v>1</v>
      </c>
      <c r="G593" s="1">
        <v>583</v>
      </c>
      <c r="H593" s="1">
        <f t="shared" si="38"/>
        <v>0</v>
      </c>
      <c r="I593" s="1">
        <f t="shared" si="39"/>
        <v>500</v>
      </c>
      <c r="J593" s="1">
        <f t="shared" si="37"/>
        <v>5509.02</v>
      </c>
    </row>
    <row r="594" spans="5:10">
      <c r="E594" s="1">
        <f t="array" ref="E594">INDEX($B$11:$B$247,CEILING(ROW(A584)/3,1))</f>
        <v>195</v>
      </c>
      <c r="F594" s="1">
        <f t="shared" si="40"/>
        <v>2</v>
      </c>
      <c r="G594" s="1">
        <v>584</v>
      </c>
      <c r="H594" s="1">
        <f t="shared" si="38"/>
        <v>0</v>
      </c>
      <c r="I594" s="1">
        <f t="shared" si="39"/>
        <v>500</v>
      </c>
      <c r="J594" s="1">
        <f t="shared" si="37"/>
        <v>5619.21</v>
      </c>
    </row>
    <row r="595" spans="5:10">
      <c r="E595" s="1">
        <f t="array" ref="E595">INDEX($B$11:$B$247,CEILING(ROW(A585)/3,1))</f>
        <v>195</v>
      </c>
      <c r="F595" s="1">
        <f t="shared" si="40"/>
        <v>3</v>
      </c>
      <c r="G595" s="1">
        <v>585</v>
      </c>
      <c r="H595" s="1">
        <f t="shared" si="38"/>
        <v>0</v>
      </c>
      <c r="I595" s="1">
        <f t="shared" si="39"/>
        <v>500</v>
      </c>
      <c r="J595" s="1">
        <f t="shared" si="37"/>
        <v>5731.59</v>
      </c>
    </row>
    <row r="596" spans="5:10">
      <c r="E596" s="1">
        <f t="array" ref="E596">INDEX($B$11:$B$247,CEILING(ROW(A586)/3,1))</f>
        <v>196</v>
      </c>
      <c r="F596" s="1">
        <f t="shared" si="40"/>
        <v>1</v>
      </c>
      <c r="G596" s="1">
        <v>586</v>
      </c>
      <c r="H596" s="1">
        <f t="shared" si="38"/>
        <v>0</v>
      </c>
      <c r="I596" s="1">
        <f t="shared" si="39"/>
        <v>500</v>
      </c>
      <c r="J596" s="1">
        <f t="shared" si="37"/>
        <v>5846.22</v>
      </c>
    </row>
    <row r="597" spans="5:10">
      <c r="E597" s="1">
        <f t="array" ref="E597">INDEX($B$11:$B$247,CEILING(ROW(A587)/3,1))</f>
        <v>196</v>
      </c>
      <c r="F597" s="1">
        <f t="shared" si="40"/>
        <v>2</v>
      </c>
      <c r="G597" s="1">
        <v>587</v>
      </c>
      <c r="H597" s="1">
        <f t="shared" si="38"/>
        <v>0</v>
      </c>
      <c r="I597" s="1">
        <f t="shared" si="39"/>
        <v>500</v>
      </c>
      <c r="J597" s="1">
        <f t="shared" si="37"/>
        <v>5963.15</v>
      </c>
    </row>
    <row r="598" spans="5:10">
      <c r="E598" s="1">
        <f t="array" ref="E598">INDEX($B$11:$B$247,CEILING(ROW(A588)/3,1))</f>
        <v>196</v>
      </c>
      <c r="F598" s="1">
        <f t="shared" si="40"/>
        <v>3</v>
      </c>
      <c r="G598" s="1">
        <v>588</v>
      </c>
      <c r="H598" s="1">
        <f t="shared" si="38"/>
        <v>0</v>
      </c>
      <c r="I598" s="1">
        <f t="shared" si="39"/>
        <v>500</v>
      </c>
      <c r="J598" s="1">
        <f t="shared" si="37"/>
        <v>6082.41</v>
      </c>
    </row>
    <row r="599" spans="5:10">
      <c r="E599" s="1">
        <f t="array" ref="E599">INDEX($B$11:$B$247,CEILING(ROW(A589)/3,1))</f>
        <v>197</v>
      </c>
      <c r="F599" s="1">
        <f t="shared" si="40"/>
        <v>1</v>
      </c>
      <c r="G599" s="1">
        <v>589</v>
      </c>
      <c r="H599" s="1">
        <f t="shared" si="38"/>
        <v>0</v>
      </c>
      <c r="I599" s="1">
        <f t="shared" si="39"/>
        <v>500</v>
      </c>
      <c r="J599" s="1">
        <f t="shared" si="37"/>
        <v>6204.06</v>
      </c>
    </row>
    <row r="600" spans="5:10">
      <c r="E600" s="1">
        <f t="array" ref="E600">INDEX($B$11:$B$247,CEILING(ROW(A590)/3,1))</f>
        <v>197</v>
      </c>
      <c r="F600" s="1">
        <f t="shared" si="40"/>
        <v>2</v>
      </c>
      <c r="G600" s="1">
        <v>590</v>
      </c>
      <c r="H600" s="1">
        <f t="shared" si="38"/>
        <v>0</v>
      </c>
      <c r="I600" s="1">
        <f t="shared" si="39"/>
        <v>500</v>
      </c>
      <c r="J600" s="1">
        <f t="shared" si="37"/>
        <v>6328.14</v>
      </c>
    </row>
    <row r="601" spans="5:10">
      <c r="E601" s="1">
        <f t="array" ref="E601">INDEX($B$11:$B$247,CEILING(ROW(A591)/3,1))</f>
        <v>197</v>
      </c>
      <c r="F601" s="1">
        <f t="shared" si="40"/>
        <v>3</v>
      </c>
      <c r="G601" s="1">
        <v>591</v>
      </c>
      <c r="H601" s="1">
        <f t="shared" si="38"/>
        <v>0</v>
      </c>
      <c r="I601" s="1">
        <f t="shared" si="39"/>
        <v>500</v>
      </c>
      <c r="J601" s="1">
        <f t="shared" si="37"/>
        <v>6454.7</v>
      </c>
    </row>
    <row r="602" spans="5:10">
      <c r="E602" s="1">
        <f t="array" ref="E602">INDEX($B$11:$B$247,CEILING(ROW(A592)/3,1))</f>
        <v>198</v>
      </c>
      <c r="F602" s="1">
        <f t="shared" si="40"/>
        <v>1</v>
      </c>
      <c r="G602" s="1">
        <v>592</v>
      </c>
      <c r="H602" s="1">
        <f t="shared" si="38"/>
        <v>0</v>
      </c>
      <c r="I602" s="1">
        <f t="shared" si="39"/>
        <v>500</v>
      </c>
      <c r="J602" s="1">
        <f t="shared" si="37"/>
        <v>6583.79</v>
      </c>
    </row>
    <row r="603" spans="5:10">
      <c r="E603" s="1">
        <f t="array" ref="E603">INDEX($B$11:$B$247,CEILING(ROW(A593)/3,1))</f>
        <v>198</v>
      </c>
      <c r="F603" s="1">
        <f t="shared" si="40"/>
        <v>2</v>
      </c>
      <c r="G603" s="1">
        <v>593</v>
      </c>
      <c r="H603" s="1">
        <f t="shared" si="38"/>
        <v>0</v>
      </c>
      <c r="I603" s="1">
        <f t="shared" si="39"/>
        <v>500</v>
      </c>
      <c r="J603" s="1">
        <f t="shared" si="37"/>
        <v>6715.47</v>
      </c>
    </row>
    <row r="604" spans="5:10">
      <c r="E604" s="1">
        <f t="array" ref="E604">INDEX($B$11:$B$247,CEILING(ROW(A594)/3,1))</f>
        <v>198</v>
      </c>
      <c r="F604" s="1">
        <f t="shared" si="40"/>
        <v>3</v>
      </c>
      <c r="G604" s="1">
        <v>594</v>
      </c>
      <c r="H604" s="1">
        <f t="shared" si="38"/>
        <v>0</v>
      </c>
      <c r="I604" s="1">
        <f t="shared" si="39"/>
        <v>500</v>
      </c>
      <c r="J604" s="1">
        <f t="shared" si="37"/>
        <v>6849.78</v>
      </c>
    </row>
    <row r="605" spans="5:10">
      <c r="E605" s="1">
        <f t="array" ref="E605">INDEX($B$11:$B$247,CEILING(ROW(A595)/3,1))</f>
        <v>199</v>
      </c>
      <c r="F605" s="1">
        <f t="shared" si="40"/>
        <v>1</v>
      </c>
      <c r="G605" s="1">
        <v>595</v>
      </c>
      <c r="H605" s="1">
        <f t="shared" si="38"/>
        <v>0</v>
      </c>
      <c r="I605" s="1">
        <f t="shared" si="39"/>
        <v>500</v>
      </c>
      <c r="J605" s="1">
        <f t="shared" si="37"/>
        <v>6986.78</v>
      </c>
    </row>
    <row r="606" spans="5:10">
      <c r="E606" s="1">
        <f t="array" ref="E606">INDEX($B$11:$B$247,CEILING(ROW(A596)/3,1))</f>
        <v>199</v>
      </c>
      <c r="F606" s="1">
        <f t="shared" si="40"/>
        <v>2</v>
      </c>
      <c r="G606" s="1">
        <v>596</v>
      </c>
      <c r="H606" s="1">
        <f t="shared" si="38"/>
        <v>0</v>
      </c>
      <c r="I606" s="1">
        <f t="shared" si="39"/>
        <v>500</v>
      </c>
      <c r="J606" s="1">
        <f t="shared" si="37"/>
        <v>7126.51</v>
      </c>
    </row>
    <row r="607" spans="5:10">
      <c r="E607" s="1">
        <f t="array" ref="E607">INDEX($B$11:$B$247,CEILING(ROW(A597)/3,1))</f>
        <v>199</v>
      </c>
      <c r="F607" s="1">
        <f t="shared" si="40"/>
        <v>3</v>
      </c>
      <c r="G607" s="1">
        <v>597</v>
      </c>
      <c r="H607" s="1">
        <f t="shared" si="38"/>
        <v>0</v>
      </c>
      <c r="I607" s="1">
        <f t="shared" si="39"/>
        <v>500</v>
      </c>
      <c r="J607" s="1">
        <f t="shared" ref="J607:J670" si="41">ROUND(POWER($N$159,ROW(I607)-158),2)</f>
        <v>7269.04</v>
      </c>
    </row>
    <row r="608" spans="5:10">
      <c r="E608" s="1">
        <f t="array" ref="E608">INDEX($B$11:$B$247,CEILING(ROW(A598)/3,1))</f>
        <v>200</v>
      </c>
      <c r="F608" s="1">
        <f t="shared" si="40"/>
        <v>1</v>
      </c>
      <c r="G608" s="1">
        <v>598</v>
      </c>
      <c r="H608" s="1">
        <f t="shared" si="38"/>
        <v>0</v>
      </c>
      <c r="I608" s="1">
        <f t="shared" si="39"/>
        <v>500</v>
      </c>
      <c r="J608" s="1">
        <f t="shared" si="41"/>
        <v>7414.42</v>
      </c>
    </row>
    <row r="609" spans="5:10">
      <c r="E609" s="1">
        <f t="array" ref="E609">INDEX($B$11:$B$247,CEILING(ROW(A599)/3,1))</f>
        <v>200</v>
      </c>
      <c r="F609" s="1">
        <f t="shared" si="40"/>
        <v>2</v>
      </c>
      <c r="G609" s="1">
        <v>599</v>
      </c>
      <c r="H609" s="1">
        <f t="shared" si="38"/>
        <v>0</v>
      </c>
      <c r="I609" s="1">
        <f t="shared" si="39"/>
        <v>500</v>
      </c>
      <c r="J609" s="1">
        <f t="shared" si="41"/>
        <v>7562.71</v>
      </c>
    </row>
    <row r="610" spans="5:10">
      <c r="E610" s="1">
        <f t="array" ref="E610">INDEX($B$11:$B$247,CEILING(ROW(A600)/3,1))</f>
        <v>200</v>
      </c>
      <c r="F610" s="1">
        <f t="shared" si="40"/>
        <v>3</v>
      </c>
      <c r="G610" s="1">
        <v>600</v>
      </c>
      <c r="H610" s="1">
        <f t="shared" si="38"/>
        <v>0</v>
      </c>
      <c r="I610" s="1">
        <f t="shared" si="39"/>
        <v>500</v>
      </c>
      <c r="J610" s="1">
        <f t="shared" si="41"/>
        <v>7713.96</v>
      </c>
    </row>
    <row r="611" spans="5:10">
      <c r="E611" s="1">
        <f t="array" ref="E611">INDEX($B$11:$B$247,CEILING(ROW(A601)/3,1))</f>
        <v>201</v>
      </c>
      <c r="F611" s="1">
        <f t="shared" si="40"/>
        <v>1</v>
      </c>
      <c r="G611" s="1">
        <v>601</v>
      </c>
      <c r="H611" s="1">
        <f t="shared" si="38"/>
        <v>0</v>
      </c>
      <c r="I611" s="1">
        <f t="shared" si="39"/>
        <v>500</v>
      </c>
      <c r="J611" s="1">
        <f t="shared" si="41"/>
        <v>7868.24</v>
      </c>
    </row>
    <row r="612" spans="5:10">
      <c r="E612" s="1">
        <f t="array" ref="E612">INDEX($B$11:$B$247,CEILING(ROW(A602)/3,1))</f>
        <v>201</v>
      </c>
      <c r="F612" s="1">
        <f t="shared" si="40"/>
        <v>2</v>
      </c>
      <c r="G612" s="1">
        <v>602</v>
      </c>
      <c r="H612" s="1">
        <f t="shared" si="38"/>
        <v>0</v>
      </c>
      <c r="I612" s="1">
        <f t="shared" si="39"/>
        <v>500</v>
      </c>
      <c r="J612" s="1">
        <f t="shared" si="41"/>
        <v>8025.61</v>
      </c>
    </row>
    <row r="613" spans="5:10">
      <c r="E613" s="1">
        <f t="array" ref="E613">INDEX($B$11:$B$247,CEILING(ROW(A603)/3,1))</f>
        <v>201</v>
      </c>
      <c r="F613" s="1">
        <f t="shared" si="40"/>
        <v>3</v>
      </c>
      <c r="G613" s="1">
        <v>603</v>
      </c>
      <c r="H613" s="1">
        <f t="shared" si="38"/>
        <v>0</v>
      </c>
      <c r="I613" s="1">
        <f t="shared" si="39"/>
        <v>500</v>
      </c>
      <c r="J613" s="1">
        <f t="shared" si="41"/>
        <v>8186.12</v>
      </c>
    </row>
    <row r="614" spans="5:10">
      <c r="E614" s="1">
        <f t="array" ref="E614">INDEX($B$11:$B$247,CEILING(ROW(A604)/3,1))</f>
        <v>202</v>
      </c>
      <c r="F614" s="1">
        <f t="shared" si="40"/>
        <v>1</v>
      </c>
      <c r="G614" s="1">
        <v>604</v>
      </c>
      <c r="H614" s="1">
        <f t="shared" si="38"/>
        <v>0</v>
      </c>
      <c r="I614" s="1">
        <f t="shared" si="39"/>
        <v>500</v>
      </c>
      <c r="J614" s="1">
        <f t="shared" si="41"/>
        <v>8349.84</v>
      </c>
    </row>
    <row r="615" spans="5:10">
      <c r="E615" s="1">
        <f t="array" ref="E615">INDEX($B$11:$B$247,CEILING(ROW(A605)/3,1))</f>
        <v>202</v>
      </c>
      <c r="F615" s="1">
        <f t="shared" si="40"/>
        <v>2</v>
      </c>
      <c r="G615" s="1">
        <v>605</v>
      </c>
      <c r="H615" s="1">
        <f t="shared" si="38"/>
        <v>0</v>
      </c>
      <c r="I615" s="1">
        <f t="shared" si="39"/>
        <v>500</v>
      </c>
      <c r="J615" s="1">
        <f t="shared" si="41"/>
        <v>8516.84</v>
      </c>
    </row>
    <row r="616" spans="5:10">
      <c r="E616" s="1">
        <f t="array" ref="E616">INDEX($B$11:$B$247,CEILING(ROW(A606)/3,1))</f>
        <v>202</v>
      </c>
      <c r="F616" s="1">
        <f t="shared" si="40"/>
        <v>3</v>
      </c>
      <c r="G616" s="1">
        <v>606</v>
      </c>
      <c r="H616" s="1">
        <f t="shared" si="38"/>
        <v>0</v>
      </c>
      <c r="I616" s="1">
        <f t="shared" si="39"/>
        <v>500</v>
      </c>
      <c r="J616" s="1">
        <f t="shared" si="41"/>
        <v>8687.18</v>
      </c>
    </row>
    <row r="617" spans="5:10">
      <c r="E617" s="1">
        <f t="array" ref="E617">INDEX($B$11:$B$247,CEILING(ROW(A607)/3,1))</f>
        <v>203</v>
      </c>
      <c r="F617" s="1">
        <f t="shared" si="40"/>
        <v>1</v>
      </c>
      <c r="G617" s="1">
        <v>607</v>
      </c>
      <c r="H617" s="1">
        <f t="shared" si="38"/>
        <v>0</v>
      </c>
      <c r="I617" s="1">
        <f t="shared" si="39"/>
        <v>500</v>
      </c>
      <c r="J617" s="1">
        <f t="shared" si="41"/>
        <v>8860.92</v>
      </c>
    </row>
    <row r="618" spans="5:10">
      <c r="E618" s="1">
        <f t="array" ref="E618">INDEX($B$11:$B$247,CEILING(ROW(A608)/3,1))</f>
        <v>203</v>
      </c>
      <c r="F618" s="1">
        <f t="shared" si="40"/>
        <v>2</v>
      </c>
      <c r="G618" s="1">
        <v>608</v>
      </c>
      <c r="H618" s="1">
        <f t="shared" si="38"/>
        <v>0</v>
      </c>
      <c r="I618" s="1">
        <f t="shared" si="39"/>
        <v>500</v>
      </c>
      <c r="J618" s="1">
        <f t="shared" si="41"/>
        <v>9038.14</v>
      </c>
    </row>
    <row r="619" spans="5:10">
      <c r="E619" s="1">
        <f t="array" ref="E619">INDEX($B$11:$B$247,CEILING(ROW(A609)/3,1))</f>
        <v>203</v>
      </c>
      <c r="F619" s="1">
        <f t="shared" si="40"/>
        <v>3</v>
      </c>
      <c r="G619" s="1">
        <v>609</v>
      </c>
      <c r="H619" s="1">
        <f t="shared" si="38"/>
        <v>0</v>
      </c>
      <c r="I619" s="1">
        <f t="shared" si="39"/>
        <v>500</v>
      </c>
      <c r="J619" s="1">
        <f t="shared" si="41"/>
        <v>9218.9</v>
      </c>
    </row>
    <row r="620" spans="5:10">
      <c r="E620" s="1">
        <f t="array" ref="E620">INDEX($B$11:$B$247,CEILING(ROW(A610)/3,1))</f>
        <v>204</v>
      </c>
      <c r="F620" s="1">
        <f t="shared" si="40"/>
        <v>1</v>
      </c>
      <c r="G620" s="1">
        <v>610</v>
      </c>
      <c r="H620" s="1">
        <f t="shared" si="38"/>
        <v>0</v>
      </c>
      <c r="I620" s="1">
        <f t="shared" si="39"/>
        <v>500</v>
      </c>
      <c r="J620" s="1">
        <f t="shared" si="41"/>
        <v>9403.28</v>
      </c>
    </row>
    <row r="621" spans="5:10">
      <c r="E621" s="1">
        <f t="array" ref="E621">INDEX($B$11:$B$247,CEILING(ROW(A611)/3,1))</f>
        <v>204</v>
      </c>
      <c r="F621" s="1">
        <f t="shared" si="40"/>
        <v>2</v>
      </c>
      <c r="G621" s="1">
        <v>611</v>
      </c>
      <c r="H621" s="1">
        <f t="shared" si="38"/>
        <v>0</v>
      </c>
      <c r="I621" s="1">
        <f t="shared" si="39"/>
        <v>500</v>
      </c>
      <c r="J621" s="1">
        <f t="shared" si="41"/>
        <v>9591.35</v>
      </c>
    </row>
    <row r="622" spans="5:10">
      <c r="E622" s="1">
        <f t="array" ref="E622">INDEX($B$11:$B$247,CEILING(ROW(A612)/3,1))</f>
        <v>204</v>
      </c>
      <c r="F622" s="1">
        <f t="shared" si="40"/>
        <v>3</v>
      </c>
      <c r="G622" s="1">
        <v>612</v>
      </c>
      <c r="H622" s="1">
        <f t="shared" si="38"/>
        <v>0</v>
      </c>
      <c r="I622" s="1">
        <f t="shared" si="39"/>
        <v>500</v>
      </c>
      <c r="J622" s="1">
        <f t="shared" si="41"/>
        <v>9783.17</v>
      </c>
    </row>
    <row r="623" spans="5:10">
      <c r="E623" s="1">
        <f t="array" ref="E623">INDEX($B$11:$B$247,CEILING(ROW(A613)/3,1))</f>
        <v>205</v>
      </c>
      <c r="F623" s="1">
        <f t="shared" si="40"/>
        <v>1</v>
      </c>
      <c r="G623" s="1">
        <v>613</v>
      </c>
      <c r="H623" s="1">
        <f t="shared" si="38"/>
        <v>0</v>
      </c>
      <c r="I623" s="1">
        <f t="shared" si="39"/>
        <v>500</v>
      </c>
      <c r="J623" s="1">
        <f t="shared" si="41"/>
        <v>9978.84</v>
      </c>
    </row>
    <row r="624" spans="5:10">
      <c r="E624" s="1">
        <f t="array" ref="E624">INDEX($B$11:$B$247,CEILING(ROW(A614)/3,1))</f>
        <v>205</v>
      </c>
      <c r="F624" s="1">
        <f t="shared" si="40"/>
        <v>2</v>
      </c>
      <c r="G624" s="1">
        <v>614</v>
      </c>
      <c r="H624" s="1">
        <f t="shared" si="38"/>
        <v>0</v>
      </c>
      <c r="I624" s="1">
        <f t="shared" si="39"/>
        <v>500</v>
      </c>
      <c r="J624" s="1">
        <f t="shared" si="41"/>
        <v>10178.41</v>
      </c>
    </row>
    <row r="625" spans="5:10">
      <c r="E625" s="1">
        <f t="array" ref="E625">INDEX($B$11:$B$247,CEILING(ROW(A615)/3,1))</f>
        <v>205</v>
      </c>
      <c r="F625" s="1">
        <f t="shared" si="40"/>
        <v>3</v>
      </c>
      <c r="G625" s="1">
        <v>615</v>
      </c>
      <c r="H625" s="1">
        <f t="shared" si="38"/>
        <v>0</v>
      </c>
      <c r="I625" s="1">
        <f t="shared" si="39"/>
        <v>500</v>
      </c>
      <c r="J625" s="1">
        <f t="shared" si="41"/>
        <v>10381.98</v>
      </c>
    </row>
    <row r="626" spans="5:10">
      <c r="E626" s="1">
        <f t="array" ref="E626">INDEX($B$11:$B$247,CEILING(ROW(A616)/3,1))</f>
        <v>206</v>
      </c>
      <c r="F626" s="1">
        <f t="shared" si="40"/>
        <v>1</v>
      </c>
      <c r="G626" s="1">
        <v>616</v>
      </c>
      <c r="H626" s="1">
        <f t="shared" si="38"/>
        <v>0</v>
      </c>
      <c r="I626" s="1">
        <f t="shared" si="39"/>
        <v>500</v>
      </c>
      <c r="J626" s="1">
        <f t="shared" si="41"/>
        <v>10589.62</v>
      </c>
    </row>
    <row r="627" spans="5:10">
      <c r="E627" s="1">
        <f t="array" ref="E627">INDEX($B$11:$B$247,CEILING(ROW(A617)/3,1))</f>
        <v>206</v>
      </c>
      <c r="F627" s="1">
        <f t="shared" si="40"/>
        <v>2</v>
      </c>
      <c r="G627" s="1">
        <v>617</v>
      </c>
      <c r="H627" s="1">
        <f t="shared" si="38"/>
        <v>0</v>
      </c>
      <c r="I627" s="1">
        <f t="shared" si="39"/>
        <v>500</v>
      </c>
      <c r="J627" s="1">
        <f t="shared" si="41"/>
        <v>10801.41</v>
      </c>
    </row>
    <row r="628" spans="5:10">
      <c r="E628" s="1">
        <f t="array" ref="E628">INDEX($B$11:$B$247,CEILING(ROW(A618)/3,1))</f>
        <v>206</v>
      </c>
      <c r="F628" s="1">
        <f t="shared" si="40"/>
        <v>3</v>
      </c>
      <c r="G628" s="1">
        <v>618</v>
      </c>
      <c r="H628" s="1">
        <f t="shared" si="38"/>
        <v>0</v>
      </c>
      <c r="I628" s="1">
        <f t="shared" si="39"/>
        <v>500</v>
      </c>
      <c r="J628" s="1">
        <f t="shared" si="41"/>
        <v>11017.44</v>
      </c>
    </row>
    <row r="629" spans="5:10">
      <c r="E629" s="1">
        <f t="array" ref="E629">INDEX($B$11:$B$247,CEILING(ROW(A619)/3,1))</f>
        <v>207</v>
      </c>
      <c r="F629" s="1">
        <f t="shared" si="40"/>
        <v>1</v>
      </c>
      <c r="G629" s="1">
        <v>619</v>
      </c>
      <c r="H629" s="1">
        <f t="shared" si="38"/>
        <v>0</v>
      </c>
      <c r="I629" s="1">
        <f t="shared" si="39"/>
        <v>500</v>
      </c>
      <c r="J629" s="1">
        <f t="shared" si="41"/>
        <v>11237.79</v>
      </c>
    </row>
    <row r="630" spans="5:10">
      <c r="E630" s="1">
        <f t="array" ref="E630">INDEX($B$11:$B$247,CEILING(ROW(A620)/3,1))</f>
        <v>207</v>
      </c>
      <c r="F630" s="1">
        <f t="shared" si="40"/>
        <v>2</v>
      </c>
      <c r="G630" s="1">
        <v>620</v>
      </c>
      <c r="H630" s="1">
        <f t="shared" si="38"/>
        <v>0</v>
      </c>
      <c r="I630" s="1">
        <f t="shared" si="39"/>
        <v>500</v>
      </c>
      <c r="J630" s="1">
        <f t="shared" si="41"/>
        <v>11462.55</v>
      </c>
    </row>
    <row r="631" spans="5:10">
      <c r="E631" s="1">
        <f t="array" ref="E631">INDEX($B$11:$B$247,CEILING(ROW(A621)/3,1))</f>
        <v>207</v>
      </c>
      <c r="F631" s="1">
        <f t="shared" si="40"/>
        <v>3</v>
      </c>
      <c r="G631" s="1">
        <v>621</v>
      </c>
      <c r="H631" s="1">
        <f t="shared" si="38"/>
        <v>0</v>
      </c>
      <c r="I631" s="1">
        <f t="shared" si="39"/>
        <v>500</v>
      </c>
      <c r="J631" s="1">
        <f t="shared" si="41"/>
        <v>11691.8</v>
      </c>
    </row>
    <row r="632" spans="5:10">
      <c r="E632" s="1">
        <f t="array" ref="E632">INDEX($B$11:$B$247,CEILING(ROW(A622)/3,1))</f>
        <v>208</v>
      </c>
      <c r="F632" s="1">
        <f t="shared" si="40"/>
        <v>1</v>
      </c>
      <c r="G632" s="1">
        <v>622</v>
      </c>
      <c r="H632" s="1">
        <f t="shared" si="38"/>
        <v>0</v>
      </c>
      <c r="I632" s="1">
        <f t="shared" si="39"/>
        <v>500</v>
      </c>
      <c r="J632" s="1">
        <f t="shared" si="41"/>
        <v>11925.63</v>
      </c>
    </row>
    <row r="633" spans="5:10">
      <c r="E633" s="1">
        <f t="array" ref="E633">INDEX($B$11:$B$247,CEILING(ROW(A623)/3,1))</f>
        <v>208</v>
      </c>
      <c r="F633" s="1">
        <f t="shared" si="40"/>
        <v>2</v>
      </c>
      <c r="G633" s="1">
        <v>623</v>
      </c>
      <c r="H633" s="1">
        <f t="shared" si="38"/>
        <v>0</v>
      </c>
      <c r="I633" s="1">
        <f t="shared" si="39"/>
        <v>500</v>
      </c>
      <c r="J633" s="1">
        <f t="shared" si="41"/>
        <v>12164.14</v>
      </c>
    </row>
    <row r="634" spans="5:10">
      <c r="E634" s="1">
        <f t="array" ref="E634">INDEX($B$11:$B$247,CEILING(ROW(A624)/3,1))</f>
        <v>208</v>
      </c>
      <c r="F634" s="1">
        <f t="shared" si="40"/>
        <v>3</v>
      </c>
      <c r="G634" s="1">
        <v>624</v>
      </c>
      <c r="H634" s="1">
        <f t="shared" si="38"/>
        <v>0</v>
      </c>
      <c r="I634" s="1">
        <f t="shared" si="39"/>
        <v>500</v>
      </c>
      <c r="J634" s="1">
        <f t="shared" si="41"/>
        <v>12407.43</v>
      </c>
    </row>
    <row r="635" spans="5:10">
      <c r="E635" s="1">
        <f t="array" ref="E635">INDEX($B$11:$B$247,CEILING(ROW(A625)/3,1))</f>
        <v>209</v>
      </c>
      <c r="F635" s="1">
        <f t="shared" si="40"/>
        <v>1</v>
      </c>
      <c r="G635" s="1">
        <v>625</v>
      </c>
      <c r="H635" s="1">
        <f t="shared" si="38"/>
        <v>0</v>
      </c>
      <c r="I635" s="1">
        <f t="shared" si="39"/>
        <v>500</v>
      </c>
      <c r="J635" s="1">
        <f t="shared" si="41"/>
        <v>12655.58</v>
      </c>
    </row>
    <row r="636" spans="5:10">
      <c r="E636" s="1">
        <f t="array" ref="E636">INDEX($B$11:$B$247,CEILING(ROW(A626)/3,1))</f>
        <v>209</v>
      </c>
      <c r="F636" s="1">
        <f t="shared" si="40"/>
        <v>2</v>
      </c>
      <c r="G636" s="1">
        <v>626</v>
      </c>
      <c r="H636" s="1">
        <f t="shared" si="38"/>
        <v>0</v>
      </c>
      <c r="I636" s="1">
        <f t="shared" si="39"/>
        <v>500</v>
      </c>
      <c r="J636" s="1">
        <f t="shared" si="41"/>
        <v>12908.69</v>
      </c>
    </row>
    <row r="637" spans="5:10">
      <c r="E637" s="1">
        <f t="array" ref="E637">INDEX($B$11:$B$247,CEILING(ROW(A627)/3,1))</f>
        <v>209</v>
      </c>
      <c r="F637" s="1">
        <f t="shared" si="40"/>
        <v>3</v>
      </c>
      <c r="G637" s="1">
        <v>627</v>
      </c>
      <c r="H637" s="1">
        <f t="shared" si="38"/>
        <v>0</v>
      </c>
      <c r="I637" s="1">
        <f t="shared" si="39"/>
        <v>500</v>
      </c>
      <c r="J637" s="1">
        <f t="shared" si="41"/>
        <v>13166.86</v>
      </c>
    </row>
    <row r="638" spans="5:10">
      <c r="E638" s="1">
        <f t="array" ref="E638">INDEX($B$11:$B$247,CEILING(ROW(A628)/3,1))</f>
        <v>210</v>
      </c>
      <c r="F638" s="1">
        <f t="shared" si="40"/>
        <v>1</v>
      </c>
      <c r="G638" s="1">
        <v>628</v>
      </c>
      <c r="H638" s="1">
        <f t="shared" si="38"/>
        <v>0</v>
      </c>
      <c r="I638" s="1">
        <f t="shared" si="39"/>
        <v>500</v>
      </c>
      <c r="J638" s="1">
        <f t="shared" si="41"/>
        <v>13430.2</v>
      </c>
    </row>
    <row r="639" spans="5:10">
      <c r="E639" s="1">
        <f t="array" ref="E639">INDEX($B$11:$B$247,CEILING(ROW(A629)/3,1))</f>
        <v>210</v>
      </c>
      <c r="F639" s="1">
        <f t="shared" si="40"/>
        <v>2</v>
      </c>
      <c r="G639" s="1">
        <v>629</v>
      </c>
      <c r="H639" s="1">
        <f t="shared" si="38"/>
        <v>0</v>
      </c>
      <c r="I639" s="1">
        <f t="shared" si="39"/>
        <v>500</v>
      </c>
      <c r="J639" s="1">
        <f t="shared" si="41"/>
        <v>13698.8</v>
      </c>
    </row>
    <row r="640" spans="5:10">
      <c r="E640" s="1">
        <f t="array" ref="E640">INDEX($B$11:$B$247,CEILING(ROW(A630)/3,1))</f>
        <v>210</v>
      </c>
      <c r="F640" s="1">
        <f t="shared" si="40"/>
        <v>3</v>
      </c>
      <c r="G640" s="1">
        <v>630</v>
      </c>
      <c r="H640" s="1">
        <f t="shared" si="38"/>
        <v>0</v>
      </c>
      <c r="I640" s="1">
        <f t="shared" si="39"/>
        <v>500</v>
      </c>
      <c r="J640" s="1">
        <f t="shared" si="41"/>
        <v>13972.78</v>
      </c>
    </row>
    <row r="641" spans="5:10">
      <c r="E641" s="1">
        <f t="array" ref="E641">INDEX($B$11:$B$247,CEILING(ROW(A631)/3,1))</f>
        <v>211</v>
      </c>
      <c r="F641" s="1">
        <f t="shared" si="40"/>
        <v>1</v>
      </c>
      <c r="G641" s="1">
        <v>631</v>
      </c>
      <c r="H641" s="1">
        <f t="shared" si="38"/>
        <v>0</v>
      </c>
      <c r="I641" s="1">
        <f t="shared" si="39"/>
        <v>500</v>
      </c>
      <c r="J641" s="1">
        <f t="shared" si="41"/>
        <v>14252.23</v>
      </c>
    </row>
    <row r="642" spans="5:10">
      <c r="E642" s="1">
        <f t="array" ref="E642">INDEX($B$11:$B$247,CEILING(ROW(A632)/3,1))</f>
        <v>211</v>
      </c>
      <c r="F642" s="1">
        <f t="shared" si="40"/>
        <v>2</v>
      </c>
      <c r="G642" s="1">
        <v>632</v>
      </c>
      <c r="H642" s="1">
        <f t="shared" si="38"/>
        <v>0</v>
      </c>
      <c r="I642" s="1">
        <f t="shared" si="39"/>
        <v>500</v>
      </c>
      <c r="J642" s="1">
        <f t="shared" si="41"/>
        <v>14537.28</v>
      </c>
    </row>
    <row r="643" spans="5:10">
      <c r="E643" s="1">
        <f t="array" ref="E643">INDEX($B$11:$B$247,CEILING(ROW(A633)/3,1))</f>
        <v>211</v>
      </c>
      <c r="F643" s="1">
        <f t="shared" si="40"/>
        <v>3</v>
      </c>
      <c r="G643" s="1">
        <v>633</v>
      </c>
      <c r="H643" s="1">
        <f t="shared" si="38"/>
        <v>0</v>
      </c>
      <c r="I643" s="1">
        <f t="shared" si="39"/>
        <v>500</v>
      </c>
      <c r="J643" s="1">
        <f t="shared" si="41"/>
        <v>14828.02</v>
      </c>
    </row>
    <row r="644" spans="5:10">
      <c r="E644" s="1">
        <f t="array" ref="E644">INDEX($B$11:$B$247,CEILING(ROW(A634)/3,1))</f>
        <v>212</v>
      </c>
      <c r="F644" s="1">
        <f t="shared" si="40"/>
        <v>1</v>
      </c>
      <c r="G644" s="1">
        <v>634</v>
      </c>
      <c r="H644" s="1">
        <f t="shared" si="38"/>
        <v>0</v>
      </c>
      <c r="I644" s="1">
        <f t="shared" si="39"/>
        <v>500</v>
      </c>
      <c r="J644" s="1">
        <f t="shared" si="41"/>
        <v>15124.59</v>
      </c>
    </row>
    <row r="645" spans="5:10">
      <c r="E645" s="1">
        <f t="array" ref="E645">INDEX($B$11:$B$247,CEILING(ROW(A635)/3,1))</f>
        <v>212</v>
      </c>
      <c r="F645" s="1">
        <f t="shared" si="40"/>
        <v>2</v>
      </c>
      <c r="G645" s="1">
        <v>635</v>
      </c>
      <c r="H645" s="1">
        <f t="shared" si="38"/>
        <v>0</v>
      </c>
      <c r="I645" s="1">
        <f t="shared" si="39"/>
        <v>500</v>
      </c>
      <c r="J645" s="1">
        <f t="shared" si="41"/>
        <v>15427.08</v>
      </c>
    </row>
    <row r="646" spans="5:10">
      <c r="E646" s="1">
        <f t="array" ref="E646">INDEX($B$11:$B$247,CEILING(ROW(A636)/3,1))</f>
        <v>212</v>
      </c>
      <c r="F646" s="1">
        <f t="shared" si="40"/>
        <v>3</v>
      </c>
      <c r="G646" s="1">
        <v>636</v>
      </c>
      <c r="H646" s="1">
        <f t="shared" si="38"/>
        <v>0</v>
      </c>
      <c r="I646" s="1">
        <f t="shared" si="39"/>
        <v>500</v>
      </c>
      <c r="J646" s="1">
        <f t="shared" si="41"/>
        <v>15735.62</v>
      </c>
    </row>
    <row r="647" spans="5:10">
      <c r="E647" s="1">
        <f t="array" ref="E647">INDEX($B$11:$B$247,CEILING(ROW(A637)/3,1))</f>
        <v>213</v>
      </c>
      <c r="F647" s="1">
        <f t="shared" si="40"/>
        <v>1</v>
      </c>
      <c r="G647" s="1">
        <v>637</v>
      </c>
      <c r="H647" s="1">
        <f t="shared" si="38"/>
        <v>0</v>
      </c>
      <c r="I647" s="1">
        <f t="shared" si="39"/>
        <v>500</v>
      </c>
      <c r="J647" s="1">
        <f t="shared" si="41"/>
        <v>16050.33</v>
      </c>
    </row>
    <row r="648" spans="5:10">
      <c r="E648" s="1">
        <f t="array" ref="E648">INDEX($B$11:$B$247,CEILING(ROW(A638)/3,1))</f>
        <v>213</v>
      </c>
      <c r="F648" s="1">
        <f t="shared" si="40"/>
        <v>2</v>
      </c>
      <c r="G648" s="1">
        <v>638</v>
      </c>
      <c r="H648" s="1">
        <f t="shared" si="38"/>
        <v>0</v>
      </c>
      <c r="I648" s="1">
        <f t="shared" si="39"/>
        <v>500</v>
      </c>
      <c r="J648" s="1">
        <f t="shared" si="41"/>
        <v>16371.34</v>
      </c>
    </row>
    <row r="649" spans="5:10">
      <c r="E649" s="1">
        <f t="array" ref="E649">INDEX($B$11:$B$247,CEILING(ROW(A639)/3,1))</f>
        <v>213</v>
      </c>
      <c r="F649" s="1">
        <f t="shared" si="40"/>
        <v>3</v>
      </c>
      <c r="G649" s="1">
        <v>639</v>
      </c>
      <c r="H649" s="1">
        <f t="shared" si="38"/>
        <v>0</v>
      </c>
      <c r="I649" s="1">
        <f t="shared" si="39"/>
        <v>500</v>
      </c>
      <c r="J649" s="1">
        <f t="shared" si="41"/>
        <v>16698.76</v>
      </c>
    </row>
    <row r="650" spans="5:10">
      <c r="E650" s="1">
        <f t="array" ref="E650">INDEX($B$11:$B$247,CEILING(ROW(A640)/3,1))</f>
        <v>214</v>
      </c>
      <c r="F650" s="1">
        <f t="shared" si="40"/>
        <v>1</v>
      </c>
      <c r="G650" s="1">
        <v>640</v>
      </c>
      <c r="H650" s="1">
        <f t="shared" si="38"/>
        <v>0</v>
      </c>
      <c r="I650" s="1">
        <f t="shared" si="39"/>
        <v>500</v>
      </c>
      <c r="J650" s="1">
        <f t="shared" si="41"/>
        <v>17032.74</v>
      </c>
    </row>
    <row r="651" spans="5:10">
      <c r="E651" s="1">
        <f t="array" ref="E651">INDEX($B$11:$B$247,CEILING(ROW(A641)/3,1))</f>
        <v>214</v>
      </c>
      <c r="F651" s="1">
        <f t="shared" si="40"/>
        <v>2</v>
      </c>
      <c r="G651" s="1">
        <v>641</v>
      </c>
      <c r="H651" s="1">
        <f t="shared" ref="H651:H714" si="42">_xlfn.IFNA(VLOOKUP(E654,$B$11:$C$247,2,0)-VLOOKUP(E651,$B$11:$C$247,2,0),0)</f>
        <v>0</v>
      </c>
      <c r="I651" s="1">
        <f t="shared" ref="I651:I714" si="43">ROUND(VLOOKUP(E651,$B$11:$C$247,2,0)+VLOOKUP(F651,$J$3:$K$5,2,0)*H651,0)</f>
        <v>500</v>
      </c>
      <c r="J651" s="1">
        <f t="shared" si="41"/>
        <v>17373.39</v>
      </c>
    </row>
    <row r="652" spans="5:10">
      <c r="E652" s="1">
        <f t="array" ref="E652">INDEX($B$11:$B$247,CEILING(ROW(A642)/3,1))</f>
        <v>214</v>
      </c>
      <c r="F652" s="1">
        <f t="shared" si="40"/>
        <v>3</v>
      </c>
      <c r="G652" s="1">
        <v>642</v>
      </c>
      <c r="H652" s="1">
        <f t="shared" si="42"/>
        <v>0</v>
      </c>
      <c r="I652" s="1">
        <f t="shared" si="43"/>
        <v>500</v>
      </c>
      <c r="J652" s="1">
        <f t="shared" si="41"/>
        <v>17720.86</v>
      </c>
    </row>
    <row r="653" spans="5:10">
      <c r="E653" s="1">
        <f t="array" ref="E653">INDEX($B$11:$B$247,CEILING(ROW(A643)/3,1))</f>
        <v>215</v>
      </c>
      <c r="F653" s="1">
        <f t="shared" si="40"/>
        <v>1</v>
      </c>
      <c r="G653" s="1">
        <v>643</v>
      </c>
      <c r="H653" s="1">
        <f t="shared" si="42"/>
        <v>0</v>
      </c>
      <c r="I653" s="1">
        <f t="shared" si="43"/>
        <v>500</v>
      </c>
      <c r="J653" s="1">
        <f t="shared" si="41"/>
        <v>18075.28</v>
      </c>
    </row>
    <row r="654" spans="5:10">
      <c r="E654" s="1">
        <f t="array" ref="E654">INDEX($B$11:$B$247,CEILING(ROW(A644)/3,1))</f>
        <v>215</v>
      </c>
      <c r="F654" s="1">
        <f t="shared" ref="F654:F717" si="44">F651</f>
        <v>2</v>
      </c>
      <c r="G654" s="1">
        <v>644</v>
      </c>
      <c r="H654" s="1">
        <f t="shared" si="42"/>
        <v>0</v>
      </c>
      <c r="I654" s="1">
        <f t="shared" si="43"/>
        <v>500</v>
      </c>
      <c r="J654" s="1">
        <f t="shared" si="41"/>
        <v>18436.79</v>
      </c>
    </row>
    <row r="655" spans="5:10">
      <c r="E655" s="1">
        <f t="array" ref="E655">INDEX($B$11:$B$247,CEILING(ROW(A645)/3,1))</f>
        <v>215</v>
      </c>
      <c r="F655" s="1">
        <f t="shared" si="44"/>
        <v>3</v>
      </c>
      <c r="G655" s="1">
        <v>645</v>
      </c>
      <c r="H655" s="1">
        <f t="shared" si="42"/>
        <v>0</v>
      </c>
      <c r="I655" s="1">
        <f t="shared" si="43"/>
        <v>500</v>
      </c>
      <c r="J655" s="1">
        <f t="shared" si="41"/>
        <v>18805.52</v>
      </c>
    </row>
    <row r="656" spans="5:10">
      <c r="E656" s="1">
        <f t="array" ref="E656">INDEX($B$11:$B$247,CEILING(ROW(A646)/3,1))</f>
        <v>216</v>
      </c>
      <c r="F656" s="1">
        <f t="shared" si="44"/>
        <v>1</v>
      </c>
      <c r="G656" s="1">
        <v>646</v>
      </c>
      <c r="H656" s="1">
        <f t="shared" si="42"/>
        <v>0</v>
      </c>
      <c r="I656" s="1">
        <f t="shared" si="43"/>
        <v>500</v>
      </c>
      <c r="J656" s="1">
        <f t="shared" si="41"/>
        <v>19181.63</v>
      </c>
    </row>
    <row r="657" spans="5:10">
      <c r="E657" s="1">
        <f t="array" ref="E657">INDEX($B$11:$B$247,CEILING(ROW(A647)/3,1))</f>
        <v>216</v>
      </c>
      <c r="F657" s="1">
        <f t="shared" si="44"/>
        <v>2</v>
      </c>
      <c r="G657" s="1">
        <v>647</v>
      </c>
      <c r="H657" s="1">
        <f t="shared" si="42"/>
        <v>0</v>
      </c>
      <c r="I657" s="1">
        <f t="shared" si="43"/>
        <v>500</v>
      </c>
      <c r="J657" s="1">
        <f t="shared" si="41"/>
        <v>19565.26</v>
      </c>
    </row>
    <row r="658" spans="5:10">
      <c r="E658" s="1">
        <f t="array" ref="E658">INDEX($B$11:$B$247,CEILING(ROW(A648)/3,1))</f>
        <v>216</v>
      </c>
      <c r="F658" s="1">
        <f t="shared" si="44"/>
        <v>3</v>
      </c>
      <c r="G658" s="1">
        <v>648</v>
      </c>
      <c r="H658" s="1">
        <f t="shared" si="42"/>
        <v>0</v>
      </c>
      <c r="I658" s="1">
        <f t="shared" si="43"/>
        <v>500</v>
      </c>
      <c r="J658" s="1">
        <f t="shared" si="41"/>
        <v>19956.57</v>
      </c>
    </row>
    <row r="659" spans="5:10">
      <c r="E659" s="1">
        <f t="array" ref="E659">INDEX($B$11:$B$247,CEILING(ROW(A649)/3,1))</f>
        <v>217</v>
      </c>
      <c r="F659" s="1">
        <f t="shared" si="44"/>
        <v>1</v>
      </c>
      <c r="G659" s="1">
        <v>649</v>
      </c>
      <c r="H659" s="1">
        <f t="shared" si="42"/>
        <v>0</v>
      </c>
      <c r="I659" s="1">
        <f t="shared" si="43"/>
        <v>500</v>
      </c>
      <c r="J659" s="1">
        <f t="shared" si="41"/>
        <v>20355.7</v>
      </c>
    </row>
    <row r="660" spans="5:10">
      <c r="E660" s="1">
        <f t="array" ref="E660">INDEX($B$11:$B$247,CEILING(ROW(A650)/3,1))</f>
        <v>217</v>
      </c>
      <c r="F660" s="1">
        <f t="shared" si="44"/>
        <v>2</v>
      </c>
      <c r="G660" s="1">
        <v>650</v>
      </c>
      <c r="H660" s="1">
        <f t="shared" si="42"/>
        <v>0</v>
      </c>
      <c r="I660" s="1">
        <f t="shared" si="43"/>
        <v>500</v>
      </c>
      <c r="J660" s="1">
        <f t="shared" si="41"/>
        <v>20762.81</v>
      </c>
    </row>
    <row r="661" spans="5:10">
      <c r="E661" s="1">
        <f t="array" ref="E661">INDEX($B$11:$B$247,CEILING(ROW(A651)/3,1))</f>
        <v>217</v>
      </c>
      <c r="F661" s="1">
        <f t="shared" si="44"/>
        <v>3</v>
      </c>
      <c r="G661" s="1">
        <v>651</v>
      </c>
      <c r="H661" s="1">
        <f t="shared" si="42"/>
        <v>0</v>
      </c>
      <c r="I661" s="1">
        <f t="shared" si="43"/>
        <v>500</v>
      </c>
      <c r="J661" s="1">
        <f t="shared" si="41"/>
        <v>21178.07</v>
      </c>
    </row>
    <row r="662" spans="5:10">
      <c r="E662" s="1">
        <f t="array" ref="E662">INDEX($B$11:$B$247,CEILING(ROW(A652)/3,1))</f>
        <v>218</v>
      </c>
      <c r="F662" s="1">
        <f t="shared" si="44"/>
        <v>1</v>
      </c>
      <c r="G662" s="1">
        <v>652</v>
      </c>
      <c r="H662" s="1">
        <f t="shared" si="42"/>
        <v>0</v>
      </c>
      <c r="I662" s="1">
        <f t="shared" si="43"/>
        <v>500</v>
      </c>
      <c r="J662" s="1">
        <f t="shared" si="41"/>
        <v>21601.63</v>
      </c>
    </row>
    <row r="663" spans="5:10">
      <c r="E663" s="1">
        <f t="array" ref="E663">INDEX($B$11:$B$247,CEILING(ROW(A653)/3,1))</f>
        <v>218</v>
      </c>
      <c r="F663" s="1">
        <f t="shared" si="44"/>
        <v>2</v>
      </c>
      <c r="G663" s="1">
        <v>653</v>
      </c>
      <c r="H663" s="1">
        <f t="shared" si="42"/>
        <v>0</v>
      </c>
      <c r="I663" s="1">
        <f t="shared" si="43"/>
        <v>500</v>
      </c>
      <c r="J663" s="1">
        <f t="shared" si="41"/>
        <v>22033.66</v>
      </c>
    </row>
    <row r="664" spans="5:10">
      <c r="E664" s="1">
        <f t="array" ref="E664">INDEX($B$11:$B$247,CEILING(ROW(A654)/3,1))</f>
        <v>218</v>
      </c>
      <c r="F664" s="1">
        <f t="shared" si="44"/>
        <v>3</v>
      </c>
      <c r="G664" s="1">
        <v>654</v>
      </c>
      <c r="H664" s="1">
        <f t="shared" si="42"/>
        <v>0</v>
      </c>
      <c r="I664" s="1">
        <f t="shared" si="43"/>
        <v>500</v>
      </c>
      <c r="J664" s="1">
        <f t="shared" si="41"/>
        <v>22474.34</v>
      </c>
    </row>
    <row r="665" spans="5:10">
      <c r="E665" s="1">
        <f t="array" ref="E665">INDEX($B$11:$B$247,CEILING(ROW(A655)/3,1))</f>
        <v>219</v>
      </c>
      <c r="F665" s="1">
        <f t="shared" si="44"/>
        <v>1</v>
      </c>
      <c r="G665" s="1">
        <v>655</v>
      </c>
      <c r="H665" s="1">
        <f t="shared" si="42"/>
        <v>0</v>
      </c>
      <c r="I665" s="1">
        <f t="shared" si="43"/>
        <v>500</v>
      </c>
      <c r="J665" s="1">
        <f t="shared" si="41"/>
        <v>22923.82</v>
      </c>
    </row>
    <row r="666" spans="5:10">
      <c r="E666" s="1">
        <f t="array" ref="E666">INDEX($B$11:$B$247,CEILING(ROW(A656)/3,1))</f>
        <v>219</v>
      </c>
      <c r="F666" s="1">
        <f t="shared" si="44"/>
        <v>2</v>
      </c>
      <c r="G666" s="1">
        <v>656</v>
      </c>
      <c r="H666" s="1">
        <f t="shared" si="42"/>
        <v>0</v>
      </c>
      <c r="I666" s="1">
        <f t="shared" si="43"/>
        <v>500</v>
      </c>
      <c r="J666" s="1">
        <f t="shared" si="41"/>
        <v>23382.3</v>
      </c>
    </row>
    <row r="667" spans="5:10">
      <c r="E667" s="1">
        <f t="array" ref="E667">INDEX($B$11:$B$247,CEILING(ROW(A657)/3,1))</f>
        <v>219</v>
      </c>
      <c r="F667" s="1">
        <f t="shared" si="44"/>
        <v>3</v>
      </c>
      <c r="G667" s="1">
        <v>657</v>
      </c>
      <c r="H667" s="1">
        <f t="shared" si="42"/>
        <v>0</v>
      </c>
      <c r="I667" s="1">
        <f t="shared" si="43"/>
        <v>500</v>
      </c>
      <c r="J667" s="1">
        <f t="shared" si="41"/>
        <v>23849.95</v>
      </c>
    </row>
    <row r="668" spans="5:10">
      <c r="E668" s="1">
        <f t="array" ref="E668">INDEX($B$11:$B$247,CEILING(ROW(A658)/3,1))</f>
        <v>220</v>
      </c>
      <c r="F668" s="1">
        <f t="shared" si="44"/>
        <v>1</v>
      </c>
      <c r="G668" s="1">
        <v>658</v>
      </c>
      <c r="H668" s="1">
        <f t="shared" si="42"/>
        <v>0</v>
      </c>
      <c r="I668" s="1">
        <f t="shared" si="43"/>
        <v>500</v>
      </c>
      <c r="J668" s="1">
        <f t="shared" si="41"/>
        <v>24326.95</v>
      </c>
    </row>
    <row r="669" spans="5:10">
      <c r="E669" s="1">
        <f t="array" ref="E669">INDEX($B$11:$B$247,CEILING(ROW(A659)/3,1))</f>
        <v>220</v>
      </c>
      <c r="F669" s="1">
        <f t="shared" si="44"/>
        <v>2</v>
      </c>
      <c r="G669" s="1">
        <v>659</v>
      </c>
      <c r="H669" s="1">
        <f t="shared" si="42"/>
        <v>0</v>
      </c>
      <c r="I669" s="1">
        <f t="shared" si="43"/>
        <v>500</v>
      </c>
      <c r="J669" s="1">
        <f t="shared" si="41"/>
        <v>24813.49</v>
      </c>
    </row>
    <row r="670" spans="5:10">
      <c r="E670" s="1">
        <f t="array" ref="E670">INDEX($B$11:$B$247,CEILING(ROW(A660)/3,1))</f>
        <v>220</v>
      </c>
      <c r="F670" s="1">
        <f t="shared" si="44"/>
        <v>3</v>
      </c>
      <c r="G670" s="1">
        <v>660</v>
      </c>
      <c r="H670" s="1">
        <f t="shared" si="42"/>
        <v>0</v>
      </c>
      <c r="I670" s="1">
        <f t="shared" si="43"/>
        <v>500</v>
      </c>
      <c r="J670" s="1">
        <f t="shared" si="41"/>
        <v>25309.76</v>
      </c>
    </row>
    <row r="671" spans="5:10">
      <c r="E671" s="1">
        <f t="array" ref="E671">INDEX($B$11:$B$247,CEILING(ROW(A661)/3,1))</f>
        <v>221</v>
      </c>
      <c r="F671" s="1">
        <f t="shared" si="44"/>
        <v>1</v>
      </c>
      <c r="G671" s="1">
        <v>661</v>
      </c>
      <c r="H671" s="1">
        <f t="shared" si="42"/>
        <v>0</v>
      </c>
      <c r="I671" s="1">
        <f t="shared" si="43"/>
        <v>500</v>
      </c>
      <c r="J671" s="1">
        <f t="shared" ref="J671:J721" si="45">ROUND(POWER($N$159,ROW(I671)-158),2)</f>
        <v>25815.95</v>
      </c>
    </row>
    <row r="672" spans="5:10">
      <c r="E672" s="1">
        <f t="array" ref="E672">INDEX($B$11:$B$247,CEILING(ROW(A662)/3,1))</f>
        <v>221</v>
      </c>
      <c r="F672" s="1">
        <f t="shared" si="44"/>
        <v>2</v>
      </c>
      <c r="G672" s="1">
        <v>662</v>
      </c>
      <c r="H672" s="1">
        <f t="shared" si="42"/>
        <v>0</v>
      </c>
      <c r="I672" s="1">
        <f t="shared" si="43"/>
        <v>500</v>
      </c>
      <c r="J672" s="1">
        <f t="shared" si="45"/>
        <v>26332.27</v>
      </c>
    </row>
    <row r="673" spans="5:10">
      <c r="E673" s="1">
        <f t="array" ref="E673">INDEX($B$11:$B$247,CEILING(ROW(A663)/3,1))</f>
        <v>221</v>
      </c>
      <c r="F673" s="1">
        <f t="shared" si="44"/>
        <v>3</v>
      </c>
      <c r="G673" s="1">
        <v>663</v>
      </c>
      <c r="H673" s="1">
        <f t="shared" si="42"/>
        <v>0</v>
      </c>
      <c r="I673" s="1">
        <f t="shared" si="43"/>
        <v>500</v>
      </c>
      <c r="J673" s="1">
        <f t="shared" si="45"/>
        <v>26858.91</v>
      </c>
    </row>
    <row r="674" spans="5:10">
      <c r="E674" s="1">
        <f t="array" ref="E674">INDEX($B$11:$B$247,CEILING(ROW(A664)/3,1))</f>
        <v>222</v>
      </c>
      <c r="F674" s="1">
        <f t="shared" si="44"/>
        <v>1</v>
      </c>
      <c r="G674" s="1">
        <v>664</v>
      </c>
      <c r="H674" s="1">
        <f t="shared" si="42"/>
        <v>0</v>
      </c>
      <c r="I674" s="1">
        <f t="shared" si="43"/>
        <v>500</v>
      </c>
      <c r="J674" s="1">
        <f t="shared" si="45"/>
        <v>27396.09</v>
      </c>
    </row>
    <row r="675" spans="5:10">
      <c r="E675" s="1">
        <f t="array" ref="E675">INDEX($B$11:$B$247,CEILING(ROW(A665)/3,1))</f>
        <v>222</v>
      </c>
      <c r="F675" s="1">
        <f t="shared" si="44"/>
        <v>2</v>
      </c>
      <c r="G675" s="1">
        <v>665</v>
      </c>
      <c r="H675" s="1">
        <f t="shared" si="42"/>
        <v>0</v>
      </c>
      <c r="I675" s="1">
        <f t="shared" si="43"/>
        <v>500</v>
      </c>
      <c r="J675" s="1">
        <f t="shared" si="45"/>
        <v>27944.01</v>
      </c>
    </row>
    <row r="676" spans="5:10">
      <c r="E676" s="1">
        <f t="array" ref="E676">INDEX($B$11:$B$247,CEILING(ROW(A666)/3,1))</f>
        <v>222</v>
      </c>
      <c r="F676" s="1">
        <f t="shared" si="44"/>
        <v>3</v>
      </c>
      <c r="G676" s="1">
        <v>666</v>
      </c>
      <c r="H676" s="1">
        <f t="shared" si="42"/>
        <v>0</v>
      </c>
      <c r="I676" s="1">
        <f t="shared" si="43"/>
        <v>500</v>
      </c>
      <c r="J676" s="1">
        <f t="shared" si="45"/>
        <v>28502.89</v>
      </c>
    </row>
    <row r="677" spans="5:10">
      <c r="E677" s="1">
        <f t="array" ref="E677">INDEX($B$11:$B$247,CEILING(ROW(A667)/3,1))</f>
        <v>223</v>
      </c>
      <c r="F677" s="1">
        <f t="shared" si="44"/>
        <v>1</v>
      </c>
      <c r="G677" s="1">
        <v>667</v>
      </c>
      <c r="H677" s="1">
        <f t="shared" si="42"/>
        <v>0</v>
      </c>
      <c r="I677" s="1">
        <f t="shared" si="43"/>
        <v>500</v>
      </c>
      <c r="J677" s="1">
        <f t="shared" si="45"/>
        <v>29072.95</v>
      </c>
    </row>
    <row r="678" spans="5:10">
      <c r="E678" s="1">
        <f t="array" ref="E678">INDEX($B$11:$B$247,CEILING(ROW(A668)/3,1))</f>
        <v>223</v>
      </c>
      <c r="F678" s="1">
        <f t="shared" si="44"/>
        <v>2</v>
      </c>
      <c r="G678" s="1">
        <v>668</v>
      </c>
      <c r="H678" s="1">
        <f t="shared" si="42"/>
        <v>0</v>
      </c>
      <c r="I678" s="1">
        <f t="shared" si="43"/>
        <v>500</v>
      </c>
      <c r="J678" s="1">
        <f t="shared" si="45"/>
        <v>29654.41</v>
      </c>
    </row>
    <row r="679" spans="5:10">
      <c r="E679" s="1">
        <f t="array" ref="E679">INDEX($B$11:$B$247,CEILING(ROW(A669)/3,1))</f>
        <v>223</v>
      </c>
      <c r="F679" s="1">
        <f t="shared" si="44"/>
        <v>3</v>
      </c>
      <c r="G679" s="1">
        <v>669</v>
      </c>
      <c r="H679" s="1">
        <f t="shared" si="42"/>
        <v>0</v>
      </c>
      <c r="I679" s="1">
        <f t="shared" si="43"/>
        <v>500</v>
      </c>
      <c r="J679" s="1">
        <f t="shared" si="45"/>
        <v>30247.5</v>
      </c>
    </row>
    <row r="680" spans="5:10">
      <c r="E680" s="1">
        <f t="array" ref="E680">INDEX($B$11:$B$247,CEILING(ROW(A670)/3,1))</f>
        <v>224</v>
      </c>
      <c r="F680" s="1">
        <f t="shared" si="44"/>
        <v>1</v>
      </c>
      <c r="G680" s="1">
        <v>670</v>
      </c>
      <c r="H680" s="1">
        <f t="shared" si="42"/>
        <v>0</v>
      </c>
      <c r="I680" s="1">
        <f t="shared" si="43"/>
        <v>500</v>
      </c>
      <c r="J680" s="1">
        <f t="shared" si="45"/>
        <v>30852.45</v>
      </c>
    </row>
    <row r="681" spans="5:10">
      <c r="E681" s="1">
        <f t="array" ref="E681">INDEX($B$11:$B$247,CEILING(ROW(A671)/3,1))</f>
        <v>224</v>
      </c>
      <c r="F681" s="1">
        <f t="shared" si="44"/>
        <v>2</v>
      </c>
      <c r="G681" s="1">
        <v>671</v>
      </c>
      <c r="H681" s="1">
        <f t="shared" si="42"/>
        <v>0</v>
      </c>
      <c r="I681" s="1">
        <f t="shared" si="43"/>
        <v>500</v>
      </c>
      <c r="J681" s="1">
        <f t="shared" si="45"/>
        <v>31469.5</v>
      </c>
    </row>
    <row r="682" spans="5:10">
      <c r="E682" s="1">
        <f t="array" ref="E682">INDEX($B$11:$B$247,CEILING(ROW(A672)/3,1))</f>
        <v>224</v>
      </c>
      <c r="F682" s="1">
        <f t="shared" si="44"/>
        <v>3</v>
      </c>
      <c r="G682" s="1">
        <v>672</v>
      </c>
      <c r="H682" s="1">
        <f t="shared" si="42"/>
        <v>0</v>
      </c>
      <c r="I682" s="1">
        <f t="shared" si="43"/>
        <v>500</v>
      </c>
      <c r="J682" s="1">
        <f t="shared" si="45"/>
        <v>32098.89</v>
      </c>
    </row>
    <row r="683" spans="5:10">
      <c r="E683" s="1">
        <f t="array" ref="E683">INDEX($B$11:$B$247,CEILING(ROW(A673)/3,1))</f>
        <v>225</v>
      </c>
      <c r="F683" s="1">
        <f t="shared" si="44"/>
        <v>1</v>
      </c>
      <c r="G683" s="1">
        <v>673</v>
      </c>
      <c r="H683" s="1">
        <f t="shared" si="42"/>
        <v>0</v>
      </c>
      <c r="I683" s="1">
        <f t="shared" si="43"/>
        <v>500</v>
      </c>
      <c r="J683" s="1">
        <f t="shared" si="45"/>
        <v>32740.87</v>
      </c>
    </row>
    <row r="684" spans="5:10">
      <c r="E684" s="1">
        <f t="array" ref="E684">INDEX($B$11:$B$247,CEILING(ROW(A674)/3,1))</f>
        <v>225</v>
      </c>
      <c r="F684" s="1">
        <f t="shared" si="44"/>
        <v>2</v>
      </c>
      <c r="G684" s="1">
        <v>674</v>
      </c>
      <c r="H684" s="1">
        <f t="shared" si="42"/>
        <v>0</v>
      </c>
      <c r="I684" s="1">
        <f t="shared" si="43"/>
        <v>500</v>
      </c>
      <c r="J684" s="1">
        <f t="shared" si="45"/>
        <v>33395.68</v>
      </c>
    </row>
    <row r="685" spans="5:10">
      <c r="E685" s="1">
        <f t="array" ref="E685">INDEX($B$11:$B$247,CEILING(ROW(A675)/3,1))</f>
        <v>225</v>
      </c>
      <c r="F685" s="1">
        <f t="shared" si="44"/>
        <v>3</v>
      </c>
      <c r="G685" s="1">
        <v>675</v>
      </c>
      <c r="H685" s="1">
        <f t="shared" si="42"/>
        <v>0</v>
      </c>
      <c r="I685" s="1">
        <f t="shared" si="43"/>
        <v>500</v>
      </c>
      <c r="J685" s="1">
        <f t="shared" si="45"/>
        <v>34063.6</v>
      </c>
    </row>
    <row r="686" spans="5:10">
      <c r="E686" s="1">
        <f t="array" ref="E686">INDEX($B$11:$B$247,CEILING(ROW(A676)/3,1))</f>
        <v>226</v>
      </c>
      <c r="F686" s="1">
        <f t="shared" si="44"/>
        <v>1</v>
      </c>
      <c r="G686" s="1">
        <v>676</v>
      </c>
      <c r="H686" s="1">
        <f t="shared" si="42"/>
        <v>0</v>
      </c>
      <c r="I686" s="1">
        <f t="shared" si="43"/>
        <v>500</v>
      </c>
      <c r="J686" s="1">
        <f t="shared" si="45"/>
        <v>34744.87</v>
      </c>
    </row>
    <row r="687" spans="5:10">
      <c r="E687" s="1">
        <f t="array" ref="E687">INDEX($B$11:$B$247,CEILING(ROW(A677)/3,1))</f>
        <v>226</v>
      </c>
      <c r="F687" s="1">
        <f t="shared" si="44"/>
        <v>2</v>
      </c>
      <c r="G687" s="1">
        <v>677</v>
      </c>
      <c r="H687" s="1">
        <f t="shared" si="42"/>
        <v>0</v>
      </c>
      <c r="I687" s="1">
        <f t="shared" si="43"/>
        <v>500</v>
      </c>
      <c r="J687" s="1">
        <f t="shared" si="45"/>
        <v>35439.77</v>
      </c>
    </row>
    <row r="688" spans="5:10">
      <c r="E688" s="1">
        <f t="array" ref="E688">INDEX($B$11:$B$247,CEILING(ROW(A678)/3,1))</f>
        <v>226</v>
      </c>
      <c r="F688" s="1">
        <f t="shared" si="44"/>
        <v>3</v>
      </c>
      <c r="G688" s="1">
        <v>678</v>
      </c>
      <c r="H688" s="1">
        <f t="shared" si="42"/>
        <v>0</v>
      </c>
      <c r="I688" s="1">
        <f t="shared" si="43"/>
        <v>500</v>
      </c>
      <c r="J688" s="1">
        <f t="shared" si="45"/>
        <v>36148.56</v>
      </c>
    </row>
    <row r="689" spans="5:10">
      <c r="E689" s="1">
        <f t="array" ref="E689">INDEX($B$11:$B$247,CEILING(ROW(A679)/3,1))</f>
        <v>227</v>
      </c>
      <c r="F689" s="1">
        <f t="shared" si="44"/>
        <v>1</v>
      </c>
      <c r="G689" s="1">
        <v>679</v>
      </c>
      <c r="H689" s="1">
        <f t="shared" si="42"/>
        <v>0</v>
      </c>
      <c r="I689" s="1">
        <f t="shared" si="43"/>
        <v>500</v>
      </c>
      <c r="J689" s="1">
        <f t="shared" si="45"/>
        <v>36871.53</v>
      </c>
    </row>
    <row r="690" spans="5:10">
      <c r="E690" s="1">
        <f t="array" ref="E690">INDEX($B$11:$B$247,CEILING(ROW(A680)/3,1))</f>
        <v>227</v>
      </c>
      <c r="F690" s="1">
        <f t="shared" si="44"/>
        <v>2</v>
      </c>
      <c r="G690" s="1">
        <v>680</v>
      </c>
      <c r="H690" s="1">
        <f t="shared" si="42"/>
        <v>0</v>
      </c>
      <c r="I690" s="1">
        <f t="shared" si="43"/>
        <v>500</v>
      </c>
      <c r="J690" s="1">
        <f t="shared" si="45"/>
        <v>37608.96</v>
      </c>
    </row>
    <row r="691" spans="5:10">
      <c r="E691" s="1">
        <f t="array" ref="E691">INDEX($B$11:$B$247,CEILING(ROW(A681)/3,1))</f>
        <v>227</v>
      </c>
      <c r="F691" s="1">
        <f t="shared" si="44"/>
        <v>3</v>
      </c>
      <c r="G691" s="1">
        <v>681</v>
      </c>
      <c r="H691" s="1">
        <f t="shared" si="42"/>
        <v>0</v>
      </c>
      <c r="I691" s="1">
        <f t="shared" si="43"/>
        <v>500</v>
      </c>
      <c r="J691" s="1">
        <f t="shared" si="45"/>
        <v>38361.14</v>
      </c>
    </row>
    <row r="692" spans="5:10">
      <c r="E692" s="1">
        <f t="array" ref="E692">INDEX($B$11:$B$247,CEILING(ROW(A682)/3,1))</f>
        <v>228</v>
      </c>
      <c r="F692" s="1">
        <f t="shared" si="44"/>
        <v>1</v>
      </c>
      <c r="G692" s="1">
        <v>682</v>
      </c>
      <c r="H692" s="1">
        <f t="shared" si="42"/>
        <v>0</v>
      </c>
      <c r="I692" s="1">
        <f t="shared" si="43"/>
        <v>500</v>
      </c>
      <c r="J692" s="1">
        <f t="shared" si="45"/>
        <v>39128.37</v>
      </c>
    </row>
    <row r="693" spans="5:10">
      <c r="E693" s="1">
        <f t="array" ref="E693">INDEX($B$11:$B$247,CEILING(ROW(A683)/3,1))</f>
        <v>228</v>
      </c>
      <c r="F693" s="1">
        <f t="shared" si="44"/>
        <v>2</v>
      </c>
      <c r="G693" s="1">
        <v>683</v>
      </c>
      <c r="H693" s="1">
        <f t="shared" si="42"/>
        <v>0</v>
      </c>
      <c r="I693" s="1">
        <f t="shared" si="43"/>
        <v>500</v>
      </c>
      <c r="J693" s="1">
        <f t="shared" si="45"/>
        <v>39910.93</v>
      </c>
    </row>
    <row r="694" spans="5:10">
      <c r="E694" s="1">
        <f t="array" ref="E694">INDEX($B$11:$B$247,CEILING(ROW(A684)/3,1))</f>
        <v>228</v>
      </c>
      <c r="F694" s="1">
        <f t="shared" si="44"/>
        <v>3</v>
      </c>
      <c r="G694" s="1">
        <v>684</v>
      </c>
      <c r="H694" s="1">
        <f t="shared" si="42"/>
        <v>0</v>
      </c>
      <c r="I694" s="1">
        <f t="shared" si="43"/>
        <v>500</v>
      </c>
      <c r="J694" s="1">
        <f t="shared" si="45"/>
        <v>40709.15</v>
      </c>
    </row>
    <row r="695" spans="5:10">
      <c r="E695" s="1">
        <f t="array" ref="E695">INDEX($B$11:$B$247,CEILING(ROW(A685)/3,1))</f>
        <v>229</v>
      </c>
      <c r="F695" s="1">
        <f t="shared" si="44"/>
        <v>1</v>
      </c>
      <c r="G695" s="1">
        <v>685</v>
      </c>
      <c r="H695" s="1">
        <f t="shared" si="42"/>
        <v>0</v>
      </c>
      <c r="I695" s="1">
        <f t="shared" si="43"/>
        <v>500</v>
      </c>
      <c r="J695" s="1">
        <f t="shared" si="45"/>
        <v>41523.34</v>
      </c>
    </row>
    <row r="696" spans="5:10">
      <c r="E696" s="1">
        <f t="array" ref="E696">INDEX($B$11:$B$247,CEILING(ROW(A686)/3,1))</f>
        <v>229</v>
      </c>
      <c r="F696" s="1">
        <f t="shared" si="44"/>
        <v>2</v>
      </c>
      <c r="G696" s="1">
        <v>686</v>
      </c>
      <c r="H696" s="1">
        <f t="shared" si="42"/>
        <v>0</v>
      </c>
      <c r="I696" s="1">
        <f t="shared" si="43"/>
        <v>500</v>
      </c>
      <c r="J696" s="1">
        <f t="shared" si="45"/>
        <v>42353.8</v>
      </c>
    </row>
    <row r="697" spans="5:10">
      <c r="E697" s="1">
        <f t="array" ref="E697">INDEX($B$11:$B$247,CEILING(ROW(A687)/3,1))</f>
        <v>229</v>
      </c>
      <c r="F697" s="1">
        <f t="shared" si="44"/>
        <v>3</v>
      </c>
      <c r="G697" s="1">
        <v>687</v>
      </c>
      <c r="H697" s="1">
        <f t="shared" si="42"/>
        <v>0</v>
      </c>
      <c r="I697" s="1">
        <f t="shared" si="43"/>
        <v>500</v>
      </c>
      <c r="J697" s="1">
        <f t="shared" si="45"/>
        <v>43200.88</v>
      </c>
    </row>
    <row r="698" spans="5:10">
      <c r="E698" s="1">
        <f t="array" ref="E698">INDEX($B$11:$B$247,CEILING(ROW(A688)/3,1))</f>
        <v>230</v>
      </c>
      <c r="F698" s="1">
        <f t="shared" si="44"/>
        <v>1</v>
      </c>
      <c r="G698" s="1">
        <v>688</v>
      </c>
      <c r="H698" s="1">
        <f t="shared" si="42"/>
        <v>0</v>
      </c>
      <c r="I698" s="1">
        <f t="shared" si="43"/>
        <v>500</v>
      </c>
      <c r="J698" s="1">
        <f t="shared" si="45"/>
        <v>44064.9</v>
      </c>
    </row>
    <row r="699" spans="5:10">
      <c r="E699" s="1">
        <f t="array" ref="E699">INDEX($B$11:$B$247,CEILING(ROW(A689)/3,1))</f>
        <v>230</v>
      </c>
      <c r="F699" s="1">
        <f t="shared" si="44"/>
        <v>2</v>
      </c>
      <c r="G699" s="1">
        <v>689</v>
      </c>
      <c r="H699" s="1">
        <f t="shared" si="42"/>
        <v>0</v>
      </c>
      <c r="I699" s="1">
        <f t="shared" si="43"/>
        <v>500</v>
      </c>
      <c r="J699" s="1">
        <f t="shared" si="45"/>
        <v>44946.19</v>
      </c>
    </row>
    <row r="700" spans="5:10">
      <c r="E700" s="1">
        <f t="array" ref="E700">INDEX($B$11:$B$247,CEILING(ROW(A690)/3,1))</f>
        <v>230</v>
      </c>
      <c r="F700" s="1">
        <f t="shared" si="44"/>
        <v>3</v>
      </c>
      <c r="G700" s="1">
        <v>690</v>
      </c>
      <c r="H700" s="1">
        <f t="shared" si="42"/>
        <v>0</v>
      </c>
      <c r="I700" s="1">
        <f t="shared" si="43"/>
        <v>500</v>
      </c>
      <c r="J700" s="1">
        <f t="shared" si="45"/>
        <v>45845.12</v>
      </c>
    </row>
    <row r="701" spans="5:10">
      <c r="E701" s="1">
        <f t="array" ref="E701">INDEX($B$11:$B$247,CEILING(ROW(A691)/3,1))</f>
        <v>231</v>
      </c>
      <c r="F701" s="1">
        <f t="shared" si="44"/>
        <v>1</v>
      </c>
      <c r="G701" s="1">
        <v>691</v>
      </c>
      <c r="H701" s="1">
        <f t="shared" si="42"/>
        <v>0</v>
      </c>
      <c r="I701" s="1">
        <f t="shared" si="43"/>
        <v>500</v>
      </c>
      <c r="J701" s="1">
        <f t="shared" si="45"/>
        <v>46762.02</v>
      </c>
    </row>
    <row r="702" spans="5:10">
      <c r="E702" s="1">
        <f t="array" ref="E702">INDEX($B$11:$B$247,CEILING(ROW(A692)/3,1))</f>
        <v>231</v>
      </c>
      <c r="F702" s="1">
        <f t="shared" si="44"/>
        <v>2</v>
      </c>
      <c r="G702" s="1">
        <v>692</v>
      </c>
      <c r="H702" s="1">
        <f t="shared" si="42"/>
        <v>0</v>
      </c>
      <c r="I702" s="1">
        <f t="shared" si="43"/>
        <v>500</v>
      </c>
      <c r="J702" s="1">
        <f t="shared" si="45"/>
        <v>47697.26</v>
      </c>
    </row>
    <row r="703" spans="5:10">
      <c r="E703" s="1">
        <f t="array" ref="E703">INDEX($B$11:$B$247,CEILING(ROW(A693)/3,1))</f>
        <v>231</v>
      </c>
      <c r="F703" s="1">
        <f t="shared" si="44"/>
        <v>3</v>
      </c>
      <c r="G703" s="1">
        <v>693</v>
      </c>
      <c r="H703" s="1">
        <f t="shared" si="42"/>
        <v>0</v>
      </c>
      <c r="I703" s="1">
        <f t="shared" si="43"/>
        <v>500</v>
      </c>
      <c r="J703" s="1">
        <f t="shared" si="45"/>
        <v>48651.21</v>
      </c>
    </row>
    <row r="704" spans="5:10">
      <c r="E704" s="1">
        <f t="array" ref="E704">INDEX($B$11:$B$247,CEILING(ROW(A694)/3,1))</f>
        <v>232</v>
      </c>
      <c r="F704" s="1">
        <f t="shared" si="44"/>
        <v>1</v>
      </c>
      <c r="G704" s="1">
        <v>694</v>
      </c>
      <c r="H704" s="1">
        <f t="shared" si="42"/>
        <v>0</v>
      </c>
      <c r="I704" s="1">
        <f t="shared" si="43"/>
        <v>500</v>
      </c>
      <c r="J704" s="1">
        <f t="shared" si="45"/>
        <v>49624.23</v>
      </c>
    </row>
    <row r="705" spans="5:10">
      <c r="E705" s="1">
        <f t="array" ref="E705">INDEX($B$11:$B$247,CEILING(ROW(A695)/3,1))</f>
        <v>232</v>
      </c>
      <c r="F705" s="1">
        <f t="shared" si="44"/>
        <v>2</v>
      </c>
      <c r="G705" s="1">
        <v>695</v>
      </c>
      <c r="H705" s="1">
        <f t="shared" si="42"/>
        <v>0</v>
      </c>
      <c r="I705" s="1">
        <f t="shared" si="43"/>
        <v>500</v>
      </c>
      <c r="J705" s="1">
        <f t="shared" si="45"/>
        <v>50616.71</v>
      </c>
    </row>
    <row r="706" spans="5:10">
      <c r="E706" s="1">
        <f t="array" ref="E706">INDEX($B$11:$B$247,CEILING(ROW(A696)/3,1))</f>
        <v>232</v>
      </c>
      <c r="F706" s="1">
        <f t="shared" si="44"/>
        <v>3</v>
      </c>
      <c r="G706" s="1">
        <v>696</v>
      </c>
      <c r="H706" s="1">
        <f t="shared" si="42"/>
        <v>0</v>
      </c>
      <c r="I706" s="1">
        <f t="shared" si="43"/>
        <v>500</v>
      </c>
      <c r="J706" s="1">
        <f t="shared" si="45"/>
        <v>51629.05</v>
      </c>
    </row>
    <row r="707" spans="5:10">
      <c r="E707" s="1">
        <f t="array" ref="E707">INDEX($B$11:$B$247,CEILING(ROW(A697)/3,1))</f>
        <v>233</v>
      </c>
      <c r="F707" s="1">
        <f t="shared" si="44"/>
        <v>1</v>
      </c>
      <c r="G707" s="1">
        <v>697</v>
      </c>
      <c r="H707" s="1">
        <f t="shared" si="42"/>
        <v>0</v>
      </c>
      <c r="I707" s="1">
        <f t="shared" si="43"/>
        <v>500</v>
      </c>
      <c r="J707" s="1">
        <f t="shared" si="45"/>
        <v>52661.63</v>
      </c>
    </row>
    <row r="708" spans="5:10">
      <c r="E708" s="1">
        <f t="array" ref="E708">INDEX($B$11:$B$247,CEILING(ROW(A698)/3,1))</f>
        <v>233</v>
      </c>
      <c r="F708" s="1">
        <f t="shared" si="44"/>
        <v>2</v>
      </c>
      <c r="G708" s="1">
        <v>698</v>
      </c>
      <c r="H708" s="1">
        <f t="shared" si="42"/>
        <v>0</v>
      </c>
      <c r="I708" s="1">
        <f t="shared" si="43"/>
        <v>500</v>
      </c>
      <c r="J708" s="1">
        <f t="shared" si="45"/>
        <v>53714.86</v>
      </c>
    </row>
    <row r="709" spans="5:10">
      <c r="E709" s="1">
        <f t="array" ref="E709">INDEX($B$11:$B$247,CEILING(ROW(A699)/3,1))</f>
        <v>233</v>
      </c>
      <c r="F709" s="1">
        <f t="shared" si="44"/>
        <v>3</v>
      </c>
      <c r="G709" s="1">
        <v>699</v>
      </c>
      <c r="H709" s="1">
        <f t="shared" si="42"/>
        <v>0</v>
      </c>
      <c r="I709" s="1">
        <f t="shared" si="43"/>
        <v>500</v>
      </c>
      <c r="J709" s="1">
        <f t="shared" si="45"/>
        <v>54789.16</v>
      </c>
    </row>
    <row r="710" spans="5:10">
      <c r="E710" s="1">
        <f t="array" ref="E710">INDEX($B$11:$B$247,CEILING(ROW(A700)/3,1))</f>
        <v>234</v>
      </c>
      <c r="F710" s="1">
        <f t="shared" si="44"/>
        <v>1</v>
      </c>
      <c r="G710" s="1">
        <v>700</v>
      </c>
      <c r="H710" s="1">
        <f t="shared" si="42"/>
        <v>0</v>
      </c>
      <c r="I710" s="1">
        <f t="shared" si="43"/>
        <v>500</v>
      </c>
      <c r="J710" s="1">
        <f t="shared" si="45"/>
        <v>55884.94</v>
      </c>
    </row>
    <row r="711" spans="5:10">
      <c r="E711" s="1">
        <f t="array" ref="E711">INDEX($B$11:$B$247,CEILING(ROW(A701)/3,1))</f>
        <v>234</v>
      </c>
      <c r="F711" s="1">
        <f t="shared" si="44"/>
        <v>2</v>
      </c>
      <c r="G711" s="1">
        <v>701</v>
      </c>
      <c r="H711" s="1">
        <f t="shared" si="42"/>
        <v>0</v>
      </c>
      <c r="I711" s="1">
        <f t="shared" si="43"/>
        <v>500</v>
      </c>
      <c r="J711" s="1">
        <f t="shared" si="45"/>
        <v>57002.64</v>
      </c>
    </row>
    <row r="712" spans="5:10">
      <c r="E712" s="1">
        <f t="array" ref="E712">INDEX($B$11:$B$247,CEILING(ROW(A702)/3,1))</f>
        <v>234</v>
      </c>
      <c r="F712" s="1">
        <f t="shared" si="44"/>
        <v>3</v>
      </c>
      <c r="G712" s="1">
        <v>702</v>
      </c>
      <c r="H712" s="1">
        <f t="shared" si="42"/>
        <v>0</v>
      </c>
      <c r="I712" s="1">
        <f t="shared" si="43"/>
        <v>500</v>
      </c>
      <c r="J712" s="1">
        <f t="shared" si="45"/>
        <v>58142.69</v>
      </c>
    </row>
    <row r="713" spans="5:10">
      <c r="E713" s="1">
        <f t="array" ref="E713">INDEX($B$11:$B$247,CEILING(ROW(A703)/3,1))</f>
        <v>235</v>
      </c>
      <c r="F713" s="1">
        <f t="shared" si="44"/>
        <v>1</v>
      </c>
      <c r="G713" s="1">
        <v>703</v>
      </c>
      <c r="H713" s="1">
        <f t="shared" si="42"/>
        <v>0</v>
      </c>
      <c r="I713" s="1">
        <f t="shared" si="43"/>
        <v>500</v>
      </c>
      <c r="J713" s="1">
        <f t="shared" si="45"/>
        <v>59305.55</v>
      </c>
    </row>
    <row r="714" spans="5:10">
      <c r="E714" s="1">
        <f t="array" ref="E714">INDEX($B$11:$B$247,CEILING(ROW(A704)/3,1))</f>
        <v>235</v>
      </c>
      <c r="F714" s="1">
        <f t="shared" si="44"/>
        <v>2</v>
      </c>
      <c r="G714" s="1">
        <v>704</v>
      </c>
      <c r="H714" s="1">
        <f t="shared" si="42"/>
        <v>0</v>
      </c>
      <c r="I714" s="1">
        <f t="shared" si="43"/>
        <v>500</v>
      </c>
      <c r="J714" s="1">
        <f t="shared" si="45"/>
        <v>60491.66</v>
      </c>
    </row>
    <row r="715" spans="5:10">
      <c r="E715" s="1">
        <f t="array" ref="E715">INDEX($B$11:$B$247,CEILING(ROW(A705)/3,1))</f>
        <v>235</v>
      </c>
      <c r="F715" s="1">
        <f t="shared" si="44"/>
        <v>3</v>
      </c>
      <c r="G715" s="1">
        <v>705</v>
      </c>
      <c r="H715" s="1">
        <f t="shared" ref="H715:H721" si="46">_xlfn.IFNA(VLOOKUP(E718,$B$11:$C$247,2,0)-VLOOKUP(E715,$B$11:$C$247,2,0),0)</f>
        <v>0</v>
      </c>
      <c r="I715" s="1">
        <f t="shared" ref="I715:I721" si="47">ROUND(VLOOKUP(E715,$B$11:$C$247,2,0)+VLOOKUP(F715,$J$3:$K$5,2,0)*H715,0)</f>
        <v>500</v>
      </c>
      <c r="J715" s="1">
        <f t="shared" si="45"/>
        <v>61701.49</v>
      </c>
    </row>
    <row r="716" spans="5:10">
      <c r="E716" s="1">
        <f t="array" ref="E716">INDEX($B$11:$B$247,CEILING(ROW(A706)/3,1))</f>
        <v>236</v>
      </c>
      <c r="F716" s="1">
        <f t="shared" si="44"/>
        <v>1</v>
      </c>
      <c r="G716" s="1">
        <v>706</v>
      </c>
      <c r="H716" s="1">
        <f t="shared" si="46"/>
        <v>0</v>
      </c>
      <c r="I716" s="1">
        <f t="shared" si="47"/>
        <v>500</v>
      </c>
      <c r="J716" s="1">
        <f t="shared" si="45"/>
        <v>62935.52</v>
      </c>
    </row>
    <row r="717" spans="5:10">
      <c r="E717" s="1">
        <f t="array" ref="E717">INDEX($B$11:$B$247,CEILING(ROW(A707)/3,1))</f>
        <v>236</v>
      </c>
      <c r="F717" s="1">
        <f t="shared" si="44"/>
        <v>2</v>
      </c>
      <c r="G717" s="1">
        <v>707</v>
      </c>
      <c r="H717" s="1">
        <f t="shared" si="46"/>
        <v>0</v>
      </c>
      <c r="I717" s="1">
        <f t="shared" si="47"/>
        <v>500</v>
      </c>
      <c r="J717" s="1">
        <f t="shared" si="45"/>
        <v>64194.23</v>
      </c>
    </row>
    <row r="718" spans="5:10">
      <c r="E718" s="1">
        <f t="array" ref="E718">INDEX($B$11:$B$247,CEILING(ROW(A708)/3,1))</f>
        <v>236</v>
      </c>
      <c r="F718" s="1">
        <f>F715</f>
        <v>3</v>
      </c>
      <c r="G718" s="1">
        <v>708</v>
      </c>
      <c r="H718" s="1">
        <f t="shared" si="46"/>
        <v>0</v>
      </c>
      <c r="I718" s="1">
        <f t="shared" si="47"/>
        <v>500</v>
      </c>
      <c r="J718" s="1">
        <f t="shared" si="45"/>
        <v>65478.12</v>
      </c>
    </row>
    <row r="719" spans="5:10">
      <c r="E719" s="1">
        <f t="array" ref="E719">INDEX($B$11:$B$247,CEILING(ROW(A709)/3,1))</f>
        <v>237</v>
      </c>
      <c r="F719" s="1">
        <f>F716</f>
        <v>1</v>
      </c>
      <c r="G719" s="1">
        <v>709</v>
      </c>
      <c r="H719" s="1">
        <f t="shared" si="46"/>
        <v>0</v>
      </c>
      <c r="I719" s="1">
        <f t="shared" si="47"/>
        <v>500</v>
      </c>
      <c r="J719" s="1">
        <f t="shared" si="45"/>
        <v>66787.68</v>
      </c>
    </row>
    <row r="720" spans="5:10">
      <c r="E720" s="1">
        <f t="array" ref="E720">INDEX($B$11:$B$247,CEILING(ROW(A710)/3,1))</f>
        <v>237</v>
      </c>
      <c r="F720" s="1">
        <f>F717</f>
        <v>2</v>
      </c>
      <c r="G720" s="1">
        <v>710</v>
      </c>
      <c r="H720" s="1">
        <f t="shared" si="46"/>
        <v>0</v>
      </c>
      <c r="I720" s="1">
        <f t="shared" si="47"/>
        <v>500</v>
      </c>
      <c r="J720" s="1">
        <f t="shared" si="45"/>
        <v>68123.43</v>
      </c>
    </row>
    <row r="721" spans="5:10">
      <c r="E721" s="1">
        <f t="array" ref="E721">INDEX($B$11:$B$247,CEILING(ROW(A711)/3,1))</f>
        <v>237</v>
      </c>
      <c r="F721" s="1">
        <f>F718</f>
        <v>3</v>
      </c>
      <c r="G721" s="1">
        <v>711</v>
      </c>
      <c r="H721" s="1">
        <f t="shared" si="46"/>
        <v>0</v>
      </c>
      <c r="I721" s="1">
        <f t="shared" si="47"/>
        <v>500</v>
      </c>
      <c r="J721" s="1">
        <f t="shared" si="45"/>
        <v>69485.9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战斗属性</vt:lpstr>
      <vt:lpstr>战斗公式</vt:lpstr>
      <vt:lpstr>标准模型</vt:lpstr>
      <vt:lpstr>怪物标准模型</vt:lpstr>
      <vt:lpstr>技能系数</vt:lpstr>
      <vt:lpstr>Boss技能系数</vt:lpstr>
      <vt:lpstr>草稿-技能系数公式</vt:lpstr>
      <vt:lpstr>怪物标准模型-可视版</vt:lpstr>
      <vt:lpstr>怪物标准模型趋势</vt:lpstr>
      <vt:lpstr>玩家战力曲线</vt:lpstr>
      <vt:lpstr>参考-养成属性规划（从养成属性复制）</vt:lpstr>
      <vt:lpstr>主角等级（从新手引导复制） </vt:lpstr>
      <vt:lpstr>玩家等级对应关卡（从新手节奏复制）</vt:lpstr>
      <vt:lpstr>爬塔难度线</vt:lpstr>
      <vt:lpstr>玩法难度线</vt:lpstr>
      <vt:lpstr>无限挑战难度线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企业用户_251728386</cp:lastModifiedBy>
  <dcterms:created xsi:type="dcterms:W3CDTF">2023-05-12T11:15:00Z</dcterms:created>
  <dcterms:modified xsi:type="dcterms:W3CDTF">2026-07-03T09:59:14Z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6B519694E96044C08193E91BB0979711_12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