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数值文档\数值文档\框架v2\01_源表\"/>
    </mc:Choice>
  </mc:AlternateContent>
  <bookViews>
    <workbookView windowWidth="27945" windowHeight="12375"/>
  </bookViews>
  <sheets>
    <sheet name="资源定价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B159" authorId="0">
      <text>
        <r>
          <rPr>
            <sz val="10"/>
            <rFont val="宋体"/>
            <charset val="134"/>
          </rPr>
          <t>主材60档基准价：紫5/金50/红500钻；其余档位按对应装备等级价值系数折算并做配置友好取整。</t>
        </r>
      </text>
    </comment>
    <comment ref="B231" authorId="0">
      <text>
        <r>
          <rPr>
            <sz val="10"/>
            <rFont val="宋体"/>
            <charset val="134"/>
          </rPr>
          <t>精算期望价值约1.154钻/个，落表取1.2钻/个。四种价格和掉落概率均拉平。</t>
        </r>
      </text>
    </comment>
  </commentList>
</comments>
</file>

<file path=xl/sharedStrings.xml><?xml version="1.0" encoding="utf-8"?>
<sst xmlns="http://schemas.openxmlformats.org/spreadsheetml/2006/main" count="272" uniqueCount="271">
  <si>
    <t>道具备注</t>
  </si>
  <si>
    <t>道具</t>
  </si>
  <si>
    <t>道具id</t>
  </si>
  <si>
    <t>道具定价(rmb)</t>
  </si>
  <si>
    <t>道具定价(钻石)</t>
  </si>
  <si>
    <t>外观道具</t>
  </si>
  <si>
    <t>无</t>
  </si>
  <si>
    <t>头像框</t>
  </si>
  <si>
    <t>头像</t>
  </si>
  <si>
    <t>时装</t>
  </si>
  <si>
    <t>通用资源</t>
  </si>
  <si>
    <t>体力</t>
  </si>
  <si>
    <t>钻石</t>
  </si>
  <si>
    <t>金币</t>
  </si>
  <si>
    <t>玩家经验</t>
  </si>
  <si>
    <t>角色抽卡券普通</t>
  </si>
  <si>
    <t>专武抽卡券普通</t>
  </si>
  <si>
    <t>抽卡大代币</t>
  </si>
  <si>
    <t>抽卡小代币</t>
  </si>
  <si>
    <t>爬塔代币</t>
  </si>
  <si>
    <t>体力药</t>
  </si>
  <si>
    <t>竞技场代币</t>
  </si>
  <si>
    <t>角色抽卡券限时</t>
  </si>
  <si>
    <t>专武抽卡券限时</t>
  </si>
  <si>
    <t>公会</t>
  </si>
  <si>
    <t>公会个人代币</t>
  </si>
  <si>
    <t>公会集体代币</t>
  </si>
  <si>
    <t>角色升级升阶</t>
  </si>
  <si>
    <t>角色经验</t>
  </si>
  <si>
    <t>角色经验低500</t>
  </si>
  <si>
    <t>角色经验中2000</t>
  </si>
  <si>
    <t>角色经验高10000</t>
  </si>
  <si>
    <t>角色万能升阶材料</t>
  </si>
  <si>
    <t>可能根据职业
分成多个类型</t>
  </si>
  <si>
    <t>角色升阶材料低</t>
  </si>
  <si>
    <t>角色升阶材料中</t>
  </si>
  <si>
    <t>角色升阶材料高</t>
  </si>
  <si>
    <t>角色升阶材料低攻击</t>
  </si>
  <si>
    <t>角色升阶材料中攻击</t>
  </si>
  <si>
    <t>角色升阶材料高攻击</t>
  </si>
  <si>
    <t>角色升阶材料低防御</t>
  </si>
  <si>
    <t>角色升阶材料中防御</t>
  </si>
  <si>
    <t>角色升阶材料高防御</t>
  </si>
  <si>
    <t>角色升阶材料低辅助</t>
  </si>
  <si>
    <t>角色升阶材料中辅助</t>
  </si>
  <si>
    <t>角色升阶材料高辅助</t>
  </si>
  <si>
    <t>SSR角色</t>
  </si>
  <si>
    <t>SR角色</t>
  </si>
  <si>
    <t>R角色</t>
  </si>
  <si>
    <t>星盘</t>
  </si>
  <si>
    <t>星盘低级道具自选</t>
  </si>
  <si>
    <t>星盘中级道具自选</t>
  </si>
  <si>
    <t>星盘高级道具自选</t>
  </si>
  <si>
    <t>星盘顶级道具自选</t>
  </si>
  <si>
    <t>星盘低级道具</t>
  </si>
  <si>
    <t>星盘中级道具</t>
  </si>
  <si>
    <t>星盘高级道具</t>
  </si>
  <si>
    <t>星盘顶级道具</t>
  </si>
  <si>
    <t>星盘低级道具攻击1</t>
  </si>
  <si>
    <t>星盘中级道具攻击1</t>
  </si>
  <si>
    <t>星盘高级道具攻击1</t>
  </si>
  <si>
    <t>星盘顶级道具攻击1</t>
  </si>
  <si>
    <t>星盘低级道具攻击2</t>
  </si>
  <si>
    <t>星盘中级道具攻击2</t>
  </si>
  <si>
    <t>星盘高级道具攻击2</t>
  </si>
  <si>
    <t>星盘顶级道具攻击2</t>
  </si>
  <si>
    <t>星盘低级道具防御1</t>
  </si>
  <si>
    <t>星盘中级道具防御1</t>
  </si>
  <si>
    <t>星盘高级道具防御1</t>
  </si>
  <si>
    <t>星盘顶级道具防御1</t>
  </si>
  <si>
    <t>星盘低级道具防御2</t>
  </si>
  <si>
    <t>星盘中级道具防御2</t>
  </si>
  <si>
    <t>星盘高级道具防御2</t>
  </si>
  <si>
    <t>星盘顶级道具防御2</t>
  </si>
  <si>
    <t>星盘低级道具辅助1</t>
  </si>
  <si>
    <t>星盘中级道具辅助1</t>
  </si>
  <si>
    <t>星盘高级道具辅助1</t>
  </si>
  <si>
    <t>星盘顶级道具辅助1</t>
  </si>
  <si>
    <t>星盘低级道具辅助2</t>
  </si>
  <si>
    <t>星盘中级道具辅助2</t>
  </si>
  <si>
    <t>星盘高级道具辅助2</t>
  </si>
  <si>
    <t>星盘顶级道具辅助2</t>
  </si>
  <si>
    <t>额外星盘点</t>
  </si>
  <si>
    <t>专武</t>
  </si>
  <si>
    <t>专武经验</t>
  </si>
  <si>
    <t>专武经验低1000</t>
  </si>
  <si>
    <t>专武经验中4000</t>
  </si>
  <si>
    <t>专武经验高20000</t>
  </si>
  <si>
    <t>专武万能突破材料</t>
  </si>
  <si>
    <t>专武突破材料低</t>
  </si>
  <si>
    <t>专武突破材料中</t>
  </si>
  <si>
    <t>专武突破材料高</t>
  </si>
  <si>
    <t>专武突破材料低攻击</t>
  </si>
  <si>
    <t>专武突破材料中攻击</t>
  </si>
  <si>
    <t>专武突破材料高攻击</t>
  </si>
  <si>
    <t>专武突破材料低防御</t>
  </si>
  <si>
    <t>专武突破材料中防御</t>
  </si>
  <si>
    <t>专武突破材料高防御</t>
  </si>
  <si>
    <t>专武突破材料低辅助</t>
  </si>
  <si>
    <t>专武突破材料中辅助</t>
  </si>
  <si>
    <t>专武突破材料高辅助</t>
  </si>
  <si>
    <t>SSR专武</t>
  </si>
  <si>
    <t>SR专武</t>
  </si>
  <si>
    <t>R专武</t>
  </si>
  <si>
    <t>共鸣（已经废弃）</t>
  </si>
  <si>
    <t>装备经验</t>
  </si>
  <si>
    <t>SSR装备</t>
  </si>
  <si>
    <t>SSR装备随机</t>
  </si>
  <si>
    <t>SSR装备自选</t>
  </si>
  <si>
    <t>SR装备</t>
  </si>
  <si>
    <t>R装备</t>
  </si>
  <si>
    <t>SSR装备突破材料</t>
  </si>
  <si>
    <t>SR装备突破材料</t>
  </si>
  <si>
    <t>R装备突破材料</t>
  </si>
  <si>
    <t>收容物高级材料</t>
  </si>
  <si>
    <t>收容物低级材料</t>
  </si>
  <si>
    <t>旅券</t>
  </si>
  <si>
    <t>旅券经验</t>
  </si>
  <si>
    <t>红旅券</t>
  </si>
  <si>
    <t>金旅券</t>
  </si>
  <si>
    <t>紫旅券</t>
  </si>
  <si>
    <t>蓝旅券</t>
  </si>
  <si>
    <t>邮票体力</t>
  </si>
  <si>
    <t>攻略笔记Ⅰ</t>
  </si>
  <si>
    <t>攻略笔记Ⅱ</t>
  </si>
  <si>
    <t>攻略笔记Ⅲ</t>
  </si>
  <si>
    <t>主角装备</t>
  </si>
  <si>
    <t>1级宝石</t>
  </si>
  <si>
    <t>2级宝石</t>
  </si>
  <si>
    <t>3级宝石</t>
  </si>
  <si>
    <t>4级宝石</t>
  </si>
  <si>
    <t>5级宝石</t>
  </si>
  <si>
    <t>6级宝石</t>
  </si>
  <si>
    <t>7级宝石</t>
  </si>
  <si>
    <t>1级铭文</t>
  </si>
  <si>
    <t>2级铭文</t>
  </si>
  <si>
    <t>3级铭文</t>
  </si>
  <si>
    <t>主角装备经验</t>
  </si>
  <si>
    <t>史诗装备兑换材料</t>
  </si>
  <si>
    <t>传说装备兑换材料</t>
  </si>
  <si>
    <t>映射之匙</t>
  </si>
  <si>
    <t>PVP炮台</t>
  </si>
  <si>
    <t>S炮台</t>
  </si>
  <si>
    <t>A炮台</t>
  </si>
  <si>
    <t>B炮台</t>
  </si>
  <si>
    <t>炮台升级小材料</t>
  </si>
  <si>
    <t>炮台升级大材料</t>
  </si>
  <si>
    <t>房车</t>
  </si>
  <si>
    <t>房车整备升级材料；基础价值2.5钻/个</t>
  </si>
  <si>
    <t>房车零件</t>
  </si>
  <si>
    <t>房车职业技能树全局养成材料；基础价值3钻/个</t>
  </si>
  <si>
    <t>行程便签</t>
  </si>
  <si>
    <t>安途清单</t>
  </si>
  <si>
    <t>探路标记</t>
  </si>
  <si>
    <t>见闻手札</t>
  </si>
  <si>
    <t>调律灯片</t>
  </si>
  <si>
    <t>高级指南材料</t>
  </si>
  <si>
    <t>超高级指南材料</t>
  </si>
  <si>
    <t>低级舱室建材</t>
  </si>
  <si>
    <t>中级舱室建材</t>
  </si>
  <si>
    <t>高级舱室建材</t>
  </si>
  <si>
    <t>映射装备打造材料</t>
  </si>
  <si>
    <t>10档主材：紫0.5/金4.5/红45钻；武器/防具/首饰同价</t>
  </si>
  <si>
    <t>10档紫色武器主材</t>
  </si>
  <si>
    <t>10档金色武器主材</t>
  </si>
  <si>
    <t>10档红色武器主材</t>
  </si>
  <si>
    <t>10档紫色防具主材</t>
  </si>
  <si>
    <t>10档金色防具主材</t>
  </si>
  <si>
    <t>10档红色防具主材</t>
  </si>
  <si>
    <t>10档紫色首饰主材</t>
  </si>
  <si>
    <t>10档金色首饰主材</t>
  </si>
  <si>
    <t>10档红色首饰主材</t>
  </si>
  <si>
    <t>20档主材：紫1/金11/红110钻；武器/防具/首饰同价</t>
  </si>
  <si>
    <t>20档紫色武器主材</t>
  </si>
  <si>
    <t>20档金色武器主材</t>
  </si>
  <si>
    <t>20档红色武器主材</t>
  </si>
  <si>
    <t>20档紫色防具主材</t>
  </si>
  <si>
    <t>20档金色防具主材</t>
  </si>
  <si>
    <t>20档红色防具主材</t>
  </si>
  <si>
    <t>20档紫色首饰主材</t>
  </si>
  <si>
    <t>20档金色首饰主材</t>
  </si>
  <si>
    <t>20档红色首饰主材</t>
  </si>
  <si>
    <t>30档主材：紫2/金19/红190钻；武器/防具/首饰同价</t>
  </si>
  <si>
    <t>30档紫色武器主材</t>
  </si>
  <si>
    <t>30档金色武器主材</t>
  </si>
  <si>
    <t>30档红色武器主材</t>
  </si>
  <si>
    <t>30档紫色防具主材</t>
  </si>
  <si>
    <t>30档金色防具主材</t>
  </si>
  <si>
    <t>30档红色防具主材</t>
  </si>
  <si>
    <t>30档紫色首饰主材</t>
  </si>
  <si>
    <t>30档金色首饰主材</t>
  </si>
  <si>
    <t>30档红色首饰主材</t>
  </si>
  <si>
    <t>40档主材：紫3/金28/红280钻；武器/防具/首饰同价</t>
  </si>
  <si>
    <t>40档紫色武器主材</t>
  </si>
  <si>
    <t>40档金色武器主材</t>
  </si>
  <si>
    <t>40档红色武器主材</t>
  </si>
  <si>
    <t>40档紫色防具主材</t>
  </si>
  <si>
    <t>40档金色防具主材</t>
  </si>
  <si>
    <t>40档红色防具主材</t>
  </si>
  <si>
    <t>40档紫色首饰主材</t>
  </si>
  <si>
    <t>40档金色首饰主材</t>
  </si>
  <si>
    <t>40档红色首饰主材</t>
  </si>
  <si>
    <t>45档主材：紫3.5/金33/红330钻；武器/防具/首饰同价</t>
  </si>
  <si>
    <t>45档紫色武器主材</t>
  </si>
  <si>
    <t>45档金色武器主材</t>
  </si>
  <si>
    <t>45档红色武器主材</t>
  </si>
  <si>
    <t>45档紫色防具主材</t>
  </si>
  <si>
    <t>45档金色防具主材</t>
  </si>
  <si>
    <t>45档红色防具主材</t>
  </si>
  <si>
    <t>45档紫色首饰主材</t>
  </si>
  <si>
    <t>45档金色首饰主材</t>
  </si>
  <si>
    <t>45档红色首饰主材</t>
  </si>
  <si>
    <t>50档主材：紫4/金39/红390钻；武器/防具/首饰同价</t>
  </si>
  <si>
    <t>50档紫色武器主材</t>
  </si>
  <si>
    <t>50档金色武器主材</t>
  </si>
  <si>
    <t>50档红色武器主材</t>
  </si>
  <si>
    <t>50档紫色防具主材</t>
  </si>
  <si>
    <t>50档金色防具主材</t>
  </si>
  <si>
    <t>50档红色防具主材</t>
  </si>
  <si>
    <t>50档紫色首饰主材</t>
  </si>
  <si>
    <t>50档金色首饰主材</t>
  </si>
  <si>
    <t>50档红色首饰主材</t>
  </si>
  <si>
    <t>55档主材：紫4.5/金44/红440钻；武器/防具/首饰同价</t>
  </si>
  <si>
    <t>55档紫色武器主材</t>
  </si>
  <si>
    <t>55档金色武器主材</t>
  </si>
  <si>
    <t>55档红色武器主材</t>
  </si>
  <si>
    <t>55档紫色防具主材</t>
  </si>
  <si>
    <t>55档金色防具主材</t>
  </si>
  <si>
    <t>55档红色防具主材</t>
  </si>
  <si>
    <t>55档紫色首饰主材</t>
  </si>
  <si>
    <t>55档金色首饰主材</t>
  </si>
  <si>
    <t>55档红色首饰主材</t>
  </si>
  <si>
    <t>60档主材：紫5/金50/红500钻；武器/防具/首饰同价</t>
  </si>
  <si>
    <t>60档紫色武器主材</t>
  </si>
  <si>
    <t>60档金色武器主材</t>
  </si>
  <si>
    <t>60档红色武器主材</t>
  </si>
  <si>
    <t>60档紫色防具主材</t>
  </si>
  <si>
    <t>60档金色防具主材</t>
  </si>
  <si>
    <t>60档红色防具主材</t>
  </si>
  <si>
    <t>60档紫色首饰主材</t>
  </si>
  <si>
    <t>60档金色首饰主材</t>
  </si>
  <si>
    <t>60档红色首饰主材</t>
  </si>
  <si>
    <t>四种副材统一价值；25%等概率掉落；允许溢出，后续通过兑换系统回收；基础价值1.2钻/个</t>
  </si>
  <si>
    <t>映射装备副材1</t>
  </si>
  <si>
    <t>映射装备副材2</t>
  </si>
  <si>
    <t>映射装备副材3</t>
  </si>
  <si>
    <t>映射装备副材4</t>
  </si>
  <si>
    <t>自选1个普通能效材料；内容物统一10钻</t>
  </si>
  <si>
    <t>普通能效自选箱</t>
  </si>
  <si>
    <t>自选1个稀有能效材料；内容物统一15钻</t>
  </si>
  <si>
    <t>稀有能效自选箱</t>
  </si>
  <si>
    <t>自选1个史诗能效材料；内容物统一20钻</t>
  </si>
  <si>
    <t>史诗能效自选箱</t>
  </si>
  <si>
    <t>自选1个传说能效材料；内容物统一25钻</t>
  </si>
  <si>
    <t>传说能效自选箱</t>
  </si>
  <si>
    <t>自选1个房车天赋树材料；内容物1075-1079统一10钻；内容池待补</t>
  </si>
  <si>
    <t>房车天赋树材料自选箱</t>
  </si>
  <si>
    <t>自选1个低阶角色升阶材料；内容物统一4钻</t>
  </si>
  <si>
    <t>低阶升阶材料自选箱</t>
  </si>
  <si>
    <t>自选1个中阶角色升阶材料；内容物统一12钻</t>
  </si>
  <si>
    <t>中阶升阶材料自选箱</t>
  </si>
  <si>
    <t>自选1个高阶角色升阶材料；内容物统一36钻</t>
  </si>
  <si>
    <t>高阶升阶材料自选箱</t>
  </si>
  <si>
    <t>自选1个3级普通宝石；内容物统一90钻；内容池待补</t>
  </si>
  <si>
    <t>3级普通宝石自选箱（第一章）</t>
  </si>
  <si>
    <t>自选1个3级普通宝石；内容物统一90钻</t>
  </si>
  <si>
    <t>3级普通宝石自选箱</t>
  </si>
  <si>
    <t>自选1个4级普通宝石；内容物统一270钻</t>
  </si>
  <si>
    <t>4级普通宝石自选箱</t>
  </si>
  <si>
    <t>自选1个映射装备副材；内容物统一1.2钻</t>
  </si>
  <si>
    <t>映射装备副材自选箱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</si>
</sst>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968;&#20540;&#25991;&#26723;\&#25968;&#20540;&#25991;&#26723;\Vgame&#32463;&#27982;&#26694;&#2655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前7天钻石抽卡券统计"/>
      <sheetName val="玩法钻石抽卡券统计"/>
      <sheetName val="道具定价"/>
      <sheetName val="角色、专武、旅券掉落池"/>
      <sheetName val="角色养成汇总"/>
      <sheetName val="角色升级"/>
      <sheetName val="角色升阶"/>
      <sheetName val="角色升星、角色抽卡"/>
      <sheetName val="专武升星、抽卡"/>
      <sheetName val="旅券"/>
      <sheetName val="专武"/>
      <sheetName val="角色星盘"/>
      <sheetName val="映射装备"/>
      <sheetName val="主角等级（从新手引导复制） "/>
      <sheetName val="炮台养成"/>
      <sheetName val="通行证"/>
      <sheetName val="公会数值"/>
      <sheetName val="配置页-通行证"/>
      <sheetName val="无限挑战"/>
      <sheetName val="配置页-无限挑战"/>
      <sheetName val="竞技场"/>
      <sheetName val="配置页-竞技场"/>
      <sheetName val="竞技场分层"/>
      <sheetName val="爬塔"/>
      <sheetName val="配置页-爬塔"/>
      <sheetName val="大秘境"/>
      <sheetName val="商店"/>
      <sheetName val="旅券副本"/>
      <sheetName val="共鸣装备"/>
      <sheetName val="讨论页-玩法定位和产出"/>
      <sheetName val="签到"/>
      <sheetName val="7日任务"/>
      <sheetName val="主线副本"/>
      <sheetName val="配置页-主线副本"/>
      <sheetName val="高难主线关卡"/>
      <sheetName val="高难关卡Drop引用&amp;Drop配置"/>
      <sheetName val="世界boss"/>
      <sheetName val="任务"/>
      <sheetName val="映射装备副本"/>
      <sheetName val="映射装备副本配置"/>
      <sheetName val="资源、装备副本"/>
      <sheetName val="肉鸽（废弃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C7">
            <v>3</v>
          </cell>
        </row>
        <row r="8">
          <cell r="C8">
            <v>3</v>
          </cell>
        </row>
        <row r="9">
          <cell r="C9">
            <v>3</v>
          </cell>
        </row>
        <row r="10">
          <cell r="C10">
            <v>3</v>
          </cell>
        </row>
        <row r="11">
          <cell r="C11">
            <v>3</v>
          </cell>
        </row>
        <row r="12">
          <cell r="C12">
            <v>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46"/>
  <sheetViews>
    <sheetView showGridLines="0" tabSelected="1" workbookViewId="0">
      <pane ySplit="2" topLeftCell="A131" activePane="bottomLeft" state="frozen"/>
      <selection/>
      <selection pane="bottomLeft" activeCell="F149" sqref="F149"/>
    </sheetView>
  </sheetViews>
  <sheetFormatPr defaultColWidth="9" defaultRowHeight="16.5" outlineLevelCol="5"/>
  <cols>
    <col min="1" max="1" width="12.875" style="1" customWidth="1"/>
    <col min="2" max="2" width="85.75" style="1" customWidth="1"/>
    <col min="3" max="3" width="19.125" style="1" customWidth="1"/>
    <col min="4" max="4" width="16.375" style="1" customWidth="1"/>
    <col min="5" max="5" width="13.75" style="1" customWidth="1"/>
    <col min="6" max="6" width="14.375" style="1" customWidth="1"/>
  </cols>
  <sheetData>
    <row r="2" spans="1: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>
      <c r="A3" s="1" t="s">
        <v>5</v>
      </c>
      <c r="C3" s="1" t="s">
        <v>6</v>
      </c>
      <c r="D3" s="1">
        <v>0</v>
      </c>
      <c r="E3" s="1">
        <v>0</v>
      </c>
      <c r="F3" s="1">
        <v>0</v>
      </c>
    </row>
    <row r="4" spans="1:6">
      <c r="C4" s="1" t="s">
        <v>7</v>
      </c>
      <c r="D4" s="1">
        <v>0</v>
      </c>
      <c r="E4" s="1">
        <v>0</v>
      </c>
      <c r="F4" s="1">
        <v>0</v>
      </c>
    </row>
    <row r="5" spans="1:6">
      <c r="C5" s="1" t="s">
        <v>8</v>
      </c>
      <c r="D5" s="1">
        <v>0</v>
      </c>
      <c r="E5" s="1">
        <v>0</v>
      </c>
      <c r="F5" s="1">
        <v>0</v>
      </c>
    </row>
    <row r="6" spans="1:6">
      <c r="C6" s="1" t="s">
        <v>9</v>
      </c>
      <c r="D6" s="1">
        <v>0</v>
      </c>
      <c r="E6" s="1">
        <v>68</v>
      </c>
      <c r="F6" s="1">
        <f>E6*10</f>
        <v>680</v>
      </c>
    </row>
    <row r="9" spans="1:6">
      <c r="A9" s="1" t="s">
        <v>10</v>
      </c>
      <c r="C9" s="1" t="s">
        <v>11</v>
      </c>
      <c r="D9" s="1">
        <v>3</v>
      </c>
      <c r="E9" s="1">
        <v>0.4</v>
      </c>
      <c r="F9" s="1">
        <f t="shared" ref="F9:F17" si="0">E9*10</f>
        <v>4</v>
      </c>
    </row>
    <row r="10" spans="1:6">
      <c r="C10" s="1" t="s">
        <v>12</v>
      </c>
      <c r="D10" s="1">
        <v>2</v>
      </c>
      <c r="E10" s="1">
        <v>0.1</v>
      </c>
      <c r="F10" s="1">
        <f t="shared" si="0"/>
        <v>1</v>
      </c>
    </row>
    <row r="11" spans="1:6">
      <c r="C11" s="1" t="s">
        <v>13</v>
      </c>
      <c r="D11" s="1">
        <v>1</v>
      </c>
      <c r="E11" s="1">
        <v>0.0001</v>
      </c>
      <c r="F11" s="1">
        <f t="shared" si="0"/>
        <v>0.001</v>
      </c>
    </row>
    <row r="12" spans="1:6">
      <c r="C12" s="1" t="s">
        <v>14</v>
      </c>
      <c r="D12" s="1">
        <v>4</v>
      </c>
      <c r="E12" s="1">
        <v>0.04</v>
      </c>
      <c r="F12" s="1">
        <f t="shared" si="0"/>
        <v>0.4</v>
      </c>
    </row>
    <row r="13" spans="1:6">
      <c r="C13" s="1" t="s">
        <v>15</v>
      </c>
      <c r="D13" s="1">
        <v>106</v>
      </c>
      <c r="E13" s="1">
        <v>15</v>
      </c>
      <c r="F13" s="1">
        <f t="shared" si="0"/>
        <v>150</v>
      </c>
    </row>
    <row r="14" spans="1:6">
      <c r="C14" s="1" t="s">
        <v>16</v>
      </c>
      <c r="D14" s="1">
        <v>107</v>
      </c>
      <c r="E14" s="1">
        <v>5</v>
      </c>
      <c r="F14" s="1">
        <f t="shared" si="0"/>
        <v>50</v>
      </c>
    </row>
    <row r="15" spans="1:6">
      <c r="C15" s="1" t="s">
        <v>17</v>
      </c>
      <c r="D15" s="1">
        <v>21</v>
      </c>
      <c r="E15" s="1">
        <v>1.5</v>
      </c>
      <c r="F15" s="1">
        <f t="shared" si="0"/>
        <v>15</v>
      </c>
    </row>
    <row r="16" spans="1:6">
      <c r="C16" s="1" t="s">
        <v>18</v>
      </c>
      <c r="D16" s="1">
        <v>22</v>
      </c>
      <c r="E16" s="1">
        <v>0.15</v>
      </c>
      <c r="F16" s="1">
        <f t="shared" si="0"/>
        <v>1.5</v>
      </c>
    </row>
    <row r="17" spans="1:6">
      <c r="C17" s="1" t="s">
        <v>19</v>
      </c>
      <c r="D17" s="1">
        <v>27</v>
      </c>
      <c r="E17" s="1">
        <v>0.1</v>
      </c>
      <c r="F17" s="1">
        <f t="shared" si="0"/>
        <v>1</v>
      </c>
    </row>
    <row r="18" spans="1:6">
      <c r="C18" s="1" t="s">
        <v>20</v>
      </c>
      <c r="D18" s="1">
        <v>105</v>
      </c>
      <c r="E18" s="1">
        <f>E9*60</f>
        <v>24</v>
      </c>
      <c r="F18" s="1">
        <f>F9*60</f>
        <v>240</v>
      </c>
    </row>
    <row r="19" spans="1:6">
      <c r="C19" s="1" t="s">
        <v>21</v>
      </c>
      <c r="D19" s="1">
        <v>19</v>
      </c>
      <c r="E19" s="1">
        <v>1</v>
      </c>
      <c r="F19" s="1">
        <f>E19*10</f>
        <v>10</v>
      </c>
    </row>
    <row r="20" spans="1:6">
      <c r="C20" s="1" t="s">
        <v>22</v>
      </c>
      <c r="D20" s="1">
        <v>111</v>
      </c>
      <c r="E20" s="1">
        <v>15</v>
      </c>
      <c r="F20" s="1">
        <f>E20*10</f>
        <v>150</v>
      </c>
    </row>
    <row r="21" spans="1:6">
      <c r="C21" s="1" t="s">
        <v>23</v>
      </c>
      <c r="D21" s="1">
        <v>112</v>
      </c>
      <c r="E21" s="1">
        <v>5</v>
      </c>
      <c r="F21" s="1">
        <f>E21*10</f>
        <v>50</v>
      </c>
    </row>
    <row r="22" ht="17.25" customHeight="1" spans="1:6">
      <c r="A22" s="1" t="s">
        <v>24</v>
      </c>
      <c r="C22" s="3" t="s">
        <v>25</v>
      </c>
      <c r="D22" s="4">
        <v>15</v>
      </c>
      <c r="E22" s="1">
        <v>0.1</v>
      </c>
      <c r="F22" s="1">
        <f>E22*10</f>
        <v>1</v>
      </c>
    </row>
    <row r="23" ht="17.25" customHeight="1" spans="1:6">
      <c r="C23" s="3" t="s">
        <v>26</v>
      </c>
      <c r="D23" s="4">
        <v>14</v>
      </c>
      <c r="E23" s="1">
        <v>0.1</v>
      </c>
      <c r="F23" s="1">
        <f>E23*10</f>
        <v>1</v>
      </c>
    </row>
    <row r="25" spans="1:6">
      <c r="A25" s="1" t="s">
        <v>27</v>
      </c>
      <c r="C25" s="1" t="s">
        <v>28</v>
      </c>
      <c r="E25" s="1">
        <v>0.0001</v>
      </c>
      <c r="F25" s="1">
        <f>E25*10</f>
        <v>0.001</v>
      </c>
    </row>
    <row r="26" spans="1:6">
      <c r="C26" s="1" t="s">
        <v>29</v>
      </c>
      <c r="D26" s="1">
        <v>100</v>
      </c>
      <c r="E26" s="1">
        <f>E25*500</f>
        <v>0.05</v>
      </c>
      <c r="F26" s="1">
        <f>E26*10</f>
        <v>0.5</v>
      </c>
    </row>
    <row r="27" spans="1:6">
      <c r="C27" s="1" t="s">
        <v>30</v>
      </c>
      <c r="D27" s="1">
        <v>101</v>
      </c>
      <c r="E27" s="1">
        <f>E25*2000</f>
        <v>0.2</v>
      </c>
      <c r="F27" s="1">
        <f>E27*10</f>
        <v>2</v>
      </c>
    </row>
    <row r="28" spans="1:6">
      <c r="C28" s="1" t="s">
        <v>31</v>
      </c>
      <c r="D28" s="1">
        <v>102</v>
      </c>
      <c r="E28" s="1">
        <f>E25*10000</f>
        <v>1</v>
      </c>
      <c r="F28" s="1">
        <f>E28*10</f>
        <v>10</v>
      </c>
    </row>
    <row r="29" spans="1:6">
      <c r="B29" s="3"/>
    </row>
    <row r="30" spans="1:6">
      <c r="B30" s="3"/>
      <c r="C30" s="1" t="s">
        <v>32</v>
      </c>
      <c r="E30" s="1">
        <f>E31</f>
        <v>0.4</v>
      </c>
      <c r="F30" s="1">
        <f t="shared" ref="F30:F82" si="1">E30*10</f>
        <v>4</v>
      </c>
    </row>
    <row r="31" spans="1:6">
      <c r="B31" s="3" t="s">
        <v>33</v>
      </c>
      <c r="C31" s="1" t="s">
        <v>34</v>
      </c>
      <c r="E31" s="1">
        <v>0.4</v>
      </c>
      <c r="F31" s="1">
        <f t="shared" si="1"/>
        <v>4</v>
      </c>
    </row>
    <row r="32" spans="1:6">
      <c r="C32" s="1" t="s">
        <v>35</v>
      </c>
      <c r="E32" s="1">
        <f>E31*3</f>
        <v>1.2</v>
      </c>
      <c r="F32" s="1">
        <f t="shared" si="1"/>
        <v>12</v>
      </c>
    </row>
    <row r="33" spans="1:6">
      <c r="C33" s="1" t="s">
        <v>36</v>
      </c>
      <c r="E33" s="1">
        <f>E32*3</f>
        <v>3.6</v>
      </c>
      <c r="F33" s="1">
        <f t="shared" si="1"/>
        <v>36</v>
      </c>
    </row>
    <row r="34" spans="1:6">
      <c r="B34" s="3"/>
      <c r="C34" s="1" t="s">
        <v>37</v>
      </c>
      <c r="D34" s="1">
        <v>1001</v>
      </c>
      <c r="E34" s="1">
        <f t="shared" ref="E34:E42" si="2">E31</f>
        <v>0.4</v>
      </c>
      <c r="F34" s="1">
        <f t="shared" si="1"/>
        <v>4</v>
      </c>
    </row>
    <row r="35" spans="1:6">
      <c r="C35" s="1" t="s">
        <v>38</v>
      </c>
      <c r="D35" s="1">
        <v>1004</v>
      </c>
      <c r="E35" s="1">
        <f t="shared" si="2"/>
        <v>1.2</v>
      </c>
      <c r="F35" s="1">
        <f t="shared" si="1"/>
        <v>12</v>
      </c>
    </row>
    <row r="36" spans="1:6">
      <c r="C36" s="1" t="s">
        <v>39</v>
      </c>
      <c r="D36" s="1">
        <v>1007</v>
      </c>
      <c r="E36" s="1">
        <f t="shared" si="2"/>
        <v>3.6</v>
      </c>
      <c r="F36" s="1">
        <f t="shared" si="1"/>
        <v>36</v>
      </c>
    </row>
    <row r="37" spans="1:6">
      <c r="B37" s="3"/>
      <c r="C37" s="1" t="s">
        <v>40</v>
      </c>
      <c r="D37" s="1">
        <v>1002</v>
      </c>
      <c r="E37" s="1">
        <f t="shared" si="2"/>
        <v>0.4</v>
      </c>
      <c r="F37" s="1">
        <f t="shared" si="1"/>
        <v>4</v>
      </c>
    </row>
    <row r="38" spans="1:6">
      <c r="C38" s="1" t="s">
        <v>41</v>
      </c>
      <c r="D38" s="1">
        <v>1005</v>
      </c>
      <c r="E38" s="1">
        <f t="shared" si="2"/>
        <v>1.2</v>
      </c>
      <c r="F38" s="1">
        <f t="shared" si="1"/>
        <v>12</v>
      </c>
    </row>
    <row r="39" spans="1:6">
      <c r="C39" s="1" t="s">
        <v>42</v>
      </c>
      <c r="D39" s="1">
        <v>1008</v>
      </c>
      <c r="E39" s="1">
        <f t="shared" si="2"/>
        <v>3.6</v>
      </c>
      <c r="F39" s="1">
        <f t="shared" si="1"/>
        <v>36</v>
      </c>
    </row>
    <row r="40" spans="1:6">
      <c r="B40" s="3"/>
      <c r="C40" s="1" t="s">
        <v>43</v>
      </c>
      <c r="D40" s="1">
        <v>1003</v>
      </c>
      <c r="E40" s="1">
        <f t="shared" si="2"/>
        <v>0.4</v>
      </c>
      <c r="F40" s="1">
        <f t="shared" si="1"/>
        <v>4</v>
      </c>
    </row>
    <row r="41" spans="1:6">
      <c r="C41" s="1" t="s">
        <v>44</v>
      </c>
      <c r="D41" s="1">
        <v>1006</v>
      </c>
      <c r="E41" s="1">
        <f t="shared" si="2"/>
        <v>1.2</v>
      </c>
      <c r="F41" s="1">
        <f t="shared" si="1"/>
        <v>12</v>
      </c>
    </row>
    <row r="42" spans="1:6">
      <c r="C42" s="1" t="s">
        <v>45</v>
      </c>
      <c r="D42" s="1">
        <v>1009</v>
      </c>
      <c r="E42" s="1">
        <f t="shared" si="2"/>
        <v>3.6</v>
      </c>
      <c r="F42" s="1">
        <f t="shared" si="1"/>
        <v>36</v>
      </c>
    </row>
    <row r="43" spans="1:6">
      <c r="C43" s="1" t="s">
        <v>46</v>
      </c>
      <c r="E43" s="1">
        <v>750</v>
      </c>
      <c r="F43" s="1">
        <f t="shared" si="1"/>
        <v>7500</v>
      </c>
    </row>
    <row r="44" spans="1:6">
      <c r="C44" s="1" t="s">
        <v>47</v>
      </c>
      <c r="E44" s="1">
        <v>50</v>
      </c>
      <c r="F44" s="1">
        <f t="shared" si="1"/>
        <v>500</v>
      </c>
    </row>
    <row r="45" spans="1:6">
      <c r="C45" s="1" t="s">
        <v>48</v>
      </c>
      <c r="E45" s="1">
        <v>9</v>
      </c>
      <c r="F45" s="1">
        <f t="shared" si="1"/>
        <v>90</v>
      </c>
    </row>
    <row r="46" spans="1:6">
      <c r="A46" s="1" t="s">
        <v>49</v>
      </c>
      <c r="C46" s="1" t="s">
        <v>50</v>
      </c>
      <c r="E46" s="1">
        <f>E50</f>
        <v>1</v>
      </c>
      <c r="F46" s="1">
        <f t="shared" si="1"/>
        <v>10</v>
      </c>
    </row>
    <row r="47" spans="1:6">
      <c r="B47" s="3"/>
      <c r="C47" s="1" t="s">
        <v>51</v>
      </c>
      <c r="E47" s="1">
        <f>E51</f>
        <v>1.5</v>
      </c>
      <c r="F47" s="1">
        <f t="shared" si="1"/>
        <v>15</v>
      </c>
    </row>
    <row r="48" spans="1:6">
      <c r="B48" s="3"/>
      <c r="C48" s="1" t="s">
        <v>52</v>
      </c>
      <c r="E48" s="1">
        <f>E52</f>
        <v>2</v>
      </c>
      <c r="F48" s="1">
        <f t="shared" si="1"/>
        <v>20</v>
      </c>
    </row>
    <row r="49" spans="2:6">
      <c r="B49" s="3"/>
      <c r="C49" s="1" t="s">
        <v>53</v>
      </c>
      <c r="E49" s="1">
        <f>E53</f>
        <v>2.5</v>
      </c>
      <c r="F49" s="1">
        <f t="shared" si="1"/>
        <v>25</v>
      </c>
    </row>
    <row r="50" spans="2:6">
      <c r="B50" s="3"/>
      <c r="C50" s="1" t="s">
        <v>54</v>
      </c>
      <c r="E50" s="1">
        <v>1</v>
      </c>
      <c r="F50" s="1">
        <f t="shared" si="1"/>
        <v>10</v>
      </c>
    </row>
    <row r="51" spans="2:6">
      <c r="B51" s="3"/>
      <c r="C51" s="1" t="s">
        <v>55</v>
      </c>
      <c r="E51" s="1">
        <v>1.5</v>
      </c>
      <c r="F51" s="1">
        <f t="shared" si="1"/>
        <v>15</v>
      </c>
    </row>
    <row r="52" spans="2:6">
      <c r="B52" s="3"/>
      <c r="C52" s="1" t="s">
        <v>56</v>
      </c>
      <c r="E52" s="1">
        <v>2</v>
      </c>
      <c r="F52" s="1">
        <f t="shared" si="1"/>
        <v>20</v>
      </c>
    </row>
    <row r="53" spans="2:6">
      <c r="B53" s="3"/>
      <c r="C53" s="1" t="s">
        <v>57</v>
      </c>
      <c r="E53" s="1">
        <v>2.5</v>
      </c>
      <c r="F53" s="1">
        <f t="shared" si="1"/>
        <v>25</v>
      </c>
    </row>
    <row r="54" spans="2:6">
      <c r="B54" s="3"/>
      <c r="C54" s="1" t="s">
        <v>58</v>
      </c>
      <c r="D54" s="1">
        <v>1019</v>
      </c>
      <c r="E54" s="1">
        <f t="shared" ref="E54:E77" si="3">E50</f>
        <v>1</v>
      </c>
      <c r="F54" s="1">
        <f t="shared" si="1"/>
        <v>10</v>
      </c>
    </row>
    <row r="55" spans="2:6">
      <c r="B55" s="3"/>
      <c r="C55" s="1" t="s">
        <v>59</v>
      </c>
      <c r="D55" s="1">
        <v>1025</v>
      </c>
      <c r="E55" s="1">
        <f t="shared" si="3"/>
        <v>1.5</v>
      </c>
      <c r="F55" s="1">
        <f t="shared" si="1"/>
        <v>15</v>
      </c>
    </row>
    <row r="56" spans="2:6">
      <c r="B56" s="3"/>
      <c r="C56" s="1" t="s">
        <v>60</v>
      </c>
      <c r="D56" s="1">
        <v>1031</v>
      </c>
      <c r="E56" s="1">
        <f t="shared" si="3"/>
        <v>2</v>
      </c>
      <c r="F56" s="1">
        <f t="shared" si="1"/>
        <v>20</v>
      </c>
    </row>
    <row r="57" spans="2:6">
      <c r="B57" s="3"/>
      <c r="C57" s="1" t="s">
        <v>61</v>
      </c>
      <c r="D57" s="1">
        <v>1037</v>
      </c>
      <c r="E57" s="1">
        <f t="shared" si="3"/>
        <v>2.5</v>
      </c>
      <c r="F57" s="1">
        <f t="shared" si="1"/>
        <v>25</v>
      </c>
    </row>
    <row r="58" spans="2:6">
      <c r="B58" s="3"/>
      <c r="C58" s="1" t="s">
        <v>62</v>
      </c>
      <c r="D58" s="1">
        <v>1022</v>
      </c>
      <c r="E58" s="1">
        <f t="shared" si="3"/>
        <v>1</v>
      </c>
      <c r="F58" s="1">
        <f t="shared" si="1"/>
        <v>10</v>
      </c>
    </row>
    <row r="59" spans="2:6">
      <c r="B59" s="3"/>
      <c r="C59" s="1" t="s">
        <v>63</v>
      </c>
      <c r="D59" s="1">
        <v>1028</v>
      </c>
      <c r="E59" s="1">
        <f t="shared" si="3"/>
        <v>1.5</v>
      </c>
      <c r="F59" s="1">
        <f t="shared" si="1"/>
        <v>15</v>
      </c>
    </row>
    <row r="60" spans="2:6">
      <c r="B60" s="3"/>
      <c r="C60" s="1" t="s">
        <v>64</v>
      </c>
      <c r="D60" s="1">
        <v>1034</v>
      </c>
      <c r="E60" s="1">
        <f t="shared" si="3"/>
        <v>2</v>
      </c>
      <c r="F60" s="1">
        <f t="shared" si="1"/>
        <v>20</v>
      </c>
    </row>
    <row r="61" spans="2:6">
      <c r="B61" s="3"/>
      <c r="C61" s="1" t="s">
        <v>65</v>
      </c>
      <c r="D61" s="1">
        <v>1040</v>
      </c>
      <c r="E61" s="1">
        <f t="shared" si="3"/>
        <v>2.5</v>
      </c>
      <c r="F61" s="1">
        <f t="shared" si="1"/>
        <v>25</v>
      </c>
    </row>
    <row r="62" spans="2:6">
      <c r="B62" s="3"/>
      <c r="C62" s="1" t="s">
        <v>66</v>
      </c>
      <c r="D62" s="1">
        <v>1020</v>
      </c>
      <c r="E62" s="1">
        <f t="shared" si="3"/>
        <v>1</v>
      </c>
      <c r="F62" s="1">
        <f t="shared" si="1"/>
        <v>10</v>
      </c>
    </row>
    <row r="63" spans="2:6">
      <c r="B63" s="3"/>
      <c r="C63" s="1" t="s">
        <v>67</v>
      </c>
      <c r="D63" s="1">
        <v>1026</v>
      </c>
      <c r="E63" s="1">
        <f t="shared" si="3"/>
        <v>1.5</v>
      </c>
      <c r="F63" s="1">
        <f t="shared" si="1"/>
        <v>15</v>
      </c>
    </row>
    <row r="64" spans="2:6">
      <c r="B64" s="3"/>
      <c r="C64" s="1" t="s">
        <v>68</v>
      </c>
      <c r="D64" s="1">
        <v>1032</v>
      </c>
      <c r="E64" s="1">
        <f t="shared" si="3"/>
        <v>2</v>
      </c>
      <c r="F64" s="1">
        <f t="shared" si="1"/>
        <v>20</v>
      </c>
    </row>
    <row r="65" spans="1:6">
      <c r="B65" s="3"/>
      <c r="C65" s="1" t="s">
        <v>69</v>
      </c>
      <c r="D65" s="1">
        <v>1038</v>
      </c>
      <c r="E65" s="1">
        <f t="shared" si="3"/>
        <v>2.5</v>
      </c>
      <c r="F65" s="1">
        <f t="shared" si="1"/>
        <v>25</v>
      </c>
    </row>
    <row r="66" spans="1:6">
      <c r="B66" s="3"/>
      <c r="C66" s="1" t="s">
        <v>70</v>
      </c>
      <c r="D66" s="1">
        <v>1023</v>
      </c>
      <c r="E66" s="1">
        <f t="shared" si="3"/>
        <v>1</v>
      </c>
      <c r="F66" s="1">
        <f t="shared" si="1"/>
        <v>10</v>
      </c>
    </row>
    <row r="67" spans="1:6">
      <c r="B67" s="3"/>
      <c r="C67" s="1" t="s">
        <v>71</v>
      </c>
      <c r="D67" s="1">
        <v>1029</v>
      </c>
      <c r="E67" s="1">
        <f t="shared" si="3"/>
        <v>1.5</v>
      </c>
      <c r="F67" s="1">
        <f t="shared" si="1"/>
        <v>15</v>
      </c>
    </row>
    <row r="68" spans="1:6">
      <c r="B68" s="3"/>
      <c r="C68" s="1" t="s">
        <v>72</v>
      </c>
      <c r="D68" s="1">
        <v>1035</v>
      </c>
      <c r="E68" s="1">
        <f t="shared" si="3"/>
        <v>2</v>
      </c>
      <c r="F68" s="1">
        <f t="shared" si="1"/>
        <v>20</v>
      </c>
    </row>
    <row r="69" spans="1:6">
      <c r="B69" s="3"/>
      <c r="C69" s="1" t="s">
        <v>73</v>
      </c>
      <c r="D69" s="1">
        <v>1041</v>
      </c>
      <c r="E69" s="1">
        <f t="shared" si="3"/>
        <v>2.5</v>
      </c>
      <c r="F69" s="1">
        <f t="shared" si="1"/>
        <v>25</v>
      </c>
    </row>
    <row r="70" spans="1:6">
      <c r="B70" s="3"/>
      <c r="C70" s="1" t="s">
        <v>74</v>
      </c>
      <c r="D70" s="1">
        <v>1021</v>
      </c>
      <c r="E70" s="1">
        <f t="shared" si="3"/>
        <v>1</v>
      </c>
      <c r="F70" s="1">
        <f t="shared" si="1"/>
        <v>10</v>
      </c>
    </row>
    <row r="71" spans="1:6">
      <c r="B71" s="3"/>
      <c r="C71" s="1" t="s">
        <v>75</v>
      </c>
      <c r="D71" s="1">
        <v>1027</v>
      </c>
      <c r="E71" s="1">
        <f t="shared" si="3"/>
        <v>1.5</v>
      </c>
      <c r="F71" s="1">
        <f t="shared" si="1"/>
        <v>15</v>
      </c>
    </row>
    <row r="72" spans="1:6">
      <c r="B72" s="3"/>
      <c r="C72" s="1" t="s">
        <v>76</v>
      </c>
      <c r="D72" s="1">
        <v>1033</v>
      </c>
      <c r="E72" s="1">
        <f t="shared" si="3"/>
        <v>2</v>
      </c>
      <c r="F72" s="1">
        <f t="shared" si="1"/>
        <v>20</v>
      </c>
    </row>
    <row r="73" spans="1:6">
      <c r="B73" s="3"/>
      <c r="C73" s="1" t="s">
        <v>77</v>
      </c>
      <c r="D73" s="1">
        <v>1039</v>
      </c>
      <c r="E73" s="1">
        <f t="shared" si="3"/>
        <v>2.5</v>
      </c>
      <c r="F73" s="1">
        <f t="shared" si="1"/>
        <v>25</v>
      </c>
    </row>
    <row r="74" spans="1:6">
      <c r="B74" s="3"/>
      <c r="C74" s="1" t="s">
        <v>78</v>
      </c>
      <c r="D74" s="1">
        <v>1024</v>
      </c>
      <c r="E74" s="1">
        <f t="shared" si="3"/>
        <v>1</v>
      </c>
      <c r="F74" s="1">
        <f t="shared" si="1"/>
        <v>10</v>
      </c>
    </row>
    <row r="75" spans="1:6">
      <c r="B75" s="3"/>
      <c r="C75" s="1" t="s">
        <v>79</v>
      </c>
      <c r="D75" s="1">
        <v>1030</v>
      </c>
      <c r="E75" s="1">
        <f t="shared" si="3"/>
        <v>1.5</v>
      </c>
      <c r="F75" s="1">
        <f t="shared" si="1"/>
        <v>15</v>
      </c>
    </row>
    <row r="76" spans="1:6">
      <c r="B76" s="3"/>
      <c r="C76" s="1" t="s">
        <v>80</v>
      </c>
      <c r="D76" s="1">
        <v>1036</v>
      </c>
      <c r="E76" s="1">
        <f t="shared" si="3"/>
        <v>2</v>
      </c>
      <c r="F76" s="1">
        <f t="shared" si="1"/>
        <v>20</v>
      </c>
    </row>
    <row r="77" spans="1:6">
      <c r="B77" s="3"/>
      <c r="C77" s="1" t="s">
        <v>81</v>
      </c>
      <c r="D77" s="1">
        <v>1042</v>
      </c>
      <c r="E77" s="1">
        <f t="shared" si="3"/>
        <v>2.5</v>
      </c>
      <c r="F77" s="1">
        <f t="shared" si="1"/>
        <v>25</v>
      </c>
    </row>
    <row r="78" spans="1:6">
      <c r="B78" s="3"/>
      <c r="C78" s="1" t="s">
        <v>82</v>
      </c>
      <c r="D78" s="1">
        <v>103</v>
      </c>
      <c r="E78" s="1">
        <v>50</v>
      </c>
      <c r="F78" s="1">
        <f t="shared" si="1"/>
        <v>500</v>
      </c>
    </row>
    <row r="79" spans="1:6">
      <c r="A79" s="1" t="s">
        <v>83</v>
      </c>
      <c r="C79" s="1" t="s">
        <v>84</v>
      </c>
      <c r="E79" s="1">
        <v>5e-5</v>
      </c>
      <c r="F79" s="1">
        <f t="shared" si="1"/>
        <v>0.0005</v>
      </c>
    </row>
    <row r="80" ht="17.25" customHeight="1" spans="1:6">
      <c r="C80" s="1" t="s">
        <v>85</v>
      </c>
      <c r="D80" s="4">
        <v>108</v>
      </c>
      <c r="E80" s="1">
        <f>E79*1000</f>
        <v>0.05</v>
      </c>
      <c r="F80" s="1">
        <f t="shared" si="1"/>
        <v>0.5</v>
      </c>
    </row>
    <row r="81" ht="17.25" customHeight="1" spans="2:6">
      <c r="C81" s="1" t="s">
        <v>86</v>
      </c>
      <c r="D81" s="4">
        <v>109</v>
      </c>
      <c r="E81" s="1">
        <f>E79*4000</f>
        <v>0.2</v>
      </c>
      <c r="F81" s="1">
        <f t="shared" si="1"/>
        <v>2</v>
      </c>
    </row>
    <row r="82" ht="17.25" customHeight="1" spans="2:6">
      <c r="C82" s="1" t="s">
        <v>87</v>
      </c>
      <c r="D82" s="4">
        <v>110</v>
      </c>
      <c r="E82" s="1">
        <f>E79*20000</f>
        <v>1</v>
      </c>
      <c r="F82" s="1">
        <f t="shared" si="1"/>
        <v>10</v>
      </c>
    </row>
    <row r="84" spans="2:6">
      <c r="C84" s="1" t="s">
        <v>88</v>
      </c>
      <c r="E84" s="1">
        <f>E85</f>
        <v>0.4</v>
      </c>
      <c r="F84" s="1">
        <f t="shared" ref="F84:F119" si="4">E84*10</f>
        <v>4</v>
      </c>
    </row>
    <row r="85" spans="2:6">
      <c r="B85" s="3" t="s">
        <v>33</v>
      </c>
      <c r="C85" s="1" t="s">
        <v>89</v>
      </c>
      <c r="E85" s="1">
        <v>0.4</v>
      </c>
      <c r="F85" s="1">
        <f t="shared" si="4"/>
        <v>4</v>
      </c>
    </row>
    <row r="86" spans="2:6">
      <c r="C86" s="1" t="s">
        <v>90</v>
      </c>
      <c r="E86" s="1">
        <f>E85*3</f>
        <v>1.2</v>
      </c>
      <c r="F86" s="1">
        <f t="shared" si="4"/>
        <v>12</v>
      </c>
    </row>
    <row r="87" spans="2:6">
      <c r="C87" s="1" t="s">
        <v>91</v>
      </c>
      <c r="E87" s="1">
        <f>E86*3</f>
        <v>3.6</v>
      </c>
      <c r="F87" s="1">
        <f t="shared" si="4"/>
        <v>36</v>
      </c>
    </row>
    <row r="88" spans="2:6">
      <c r="B88" s="3"/>
      <c r="C88" s="1" t="s">
        <v>92</v>
      </c>
      <c r="D88" s="1">
        <v>1010</v>
      </c>
      <c r="E88" s="1">
        <v>0.4</v>
      </c>
      <c r="F88" s="1">
        <f t="shared" si="4"/>
        <v>4</v>
      </c>
    </row>
    <row r="89" spans="2:6">
      <c r="C89" s="1" t="s">
        <v>93</v>
      </c>
      <c r="D89" s="1">
        <v>1013</v>
      </c>
      <c r="E89" s="1">
        <f>E88*3</f>
        <v>1.2</v>
      </c>
      <c r="F89" s="1">
        <f t="shared" si="4"/>
        <v>12</v>
      </c>
    </row>
    <row r="90" spans="2:6">
      <c r="C90" s="1" t="s">
        <v>94</v>
      </c>
      <c r="D90" s="1">
        <v>1016</v>
      </c>
      <c r="E90" s="1">
        <f>E89*3</f>
        <v>3.6</v>
      </c>
      <c r="F90" s="1">
        <f t="shared" si="4"/>
        <v>36</v>
      </c>
    </row>
    <row r="91" spans="2:6">
      <c r="B91" s="3"/>
      <c r="C91" s="1" t="s">
        <v>95</v>
      </c>
      <c r="D91" s="1">
        <v>1011</v>
      </c>
      <c r="E91" s="1">
        <v>0.4</v>
      </c>
      <c r="F91" s="1">
        <f t="shared" si="4"/>
        <v>4</v>
      </c>
    </row>
    <row r="92" spans="2:6">
      <c r="C92" s="1" t="s">
        <v>96</v>
      </c>
      <c r="D92" s="1">
        <v>1014</v>
      </c>
      <c r="E92" s="1">
        <f>E91*3</f>
        <v>1.2</v>
      </c>
      <c r="F92" s="1">
        <f t="shared" si="4"/>
        <v>12</v>
      </c>
    </row>
    <row r="93" spans="2:6">
      <c r="C93" s="1" t="s">
        <v>97</v>
      </c>
      <c r="D93" s="1">
        <v>1017</v>
      </c>
      <c r="E93" s="1">
        <f>E92*3</f>
        <v>3.6</v>
      </c>
      <c r="F93" s="1">
        <f t="shared" si="4"/>
        <v>36</v>
      </c>
    </row>
    <row r="94" spans="2:6">
      <c r="B94" s="3"/>
      <c r="C94" s="1" t="s">
        <v>98</v>
      </c>
      <c r="D94" s="1">
        <v>1012</v>
      </c>
      <c r="E94" s="1">
        <v>0.4</v>
      </c>
      <c r="F94" s="1">
        <f t="shared" si="4"/>
        <v>4</v>
      </c>
    </row>
    <row r="95" spans="2:6">
      <c r="C95" s="1" t="s">
        <v>99</v>
      </c>
      <c r="D95" s="1">
        <v>1015</v>
      </c>
      <c r="E95" s="1">
        <f>E94*3</f>
        <v>1.2</v>
      </c>
      <c r="F95" s="1">
        <f t="shared" si="4"/>
        <v>12</v>
      </c>
    </row>
    <row r="96" spans="2:6">
      <c r="C96" s="1" t="s">
        <v>100</v>
      </c>
      <c r="D96" s="1">
        <v>1018</v>
      </c>
      <c r="E96" s="1">
        <f>E95*3</f>
        <v>3.6</v>
      </c>
      <c r="F96" s="1">
        <f t="shared" si="4"/>
        <v>36</v>
      </c>
    </row>
    <row r="97" spans="1:6">
      <c r="C97" s="1" t="s">
        <v>101</v>
      </c>
      <c r="E97" s="1">
        <v>500</v>
      </c>
      <c r="F97" s="1">
        <f t="shared" si="4"/>
        <v>5000</v>
      </c>
    </row>
    <row r="98" spans="1:6">
      <c r="C98" s="1" t="s">
        <v>102</v>
      </c>
      <c r="E98" s="1">
        <v>50</v>
      </c>
      <c r="F98" s="1">
        <f t="shared" si="4"/>
        <v>500</v>
      </c>
    </row>
    <row r="99" spans="1:6">
      <c r="C99" s="1" t="s">
        <v>103</v>
      </c>
      <c r="E99" s="1">
        <v>13</v>
      </c>
      <c r="F99" s="1">
        <f t="shared" si="4"/>
        <v>130</v>
      </c>
    </row>
    <row r="100" spans="1:6">
      <c r="A100" s="5" t="s">
        <v>104</v>
      </c>
      <c r="B100" s="5"/>
      <c r="C100" s="5" t="s">
        <v>105</v>
      </c>
      <c r="D100" s="5"/>
      <c r="E100" s="5">
        <v>0.001</v>
      </c>
      <c r="F100" s="5">
        <f t="shared" si="4"/>
        <v>0.01</v>
      </c>
    </row>
    <row r="101" spans="1:6">
      <c r="B101" s="5"/>
      <c r="C101" s="5" t="s">
        <v>106</v>
      </c>
      <c r="D101" s="5"/>
      <c r="E101" s="5">
        <v>150</v>
      </c>
      <c r="F101" s="5">
        <f t="shared" si="4"/>
        <v>1500</v>
      </c>
    </row>
    <row r="102" spans="1:6">
      <c r="B102" s="5"/>
      <c r="C102" s="5" t="s">
        <v>107</v>
      </c>
      <c r="D102" s="5"/>
      <c r="E102" s="5">
        <v>150</v>
      </c>
      <c r="F102" s="5">
        <f t="shared" si="4"/>
        <v>1500</v>
      </c>
    </row>
    <row r="103" spans="1:6">
      <c r="B103" s="5"/>
      <c r="C103" s="5" t="s">
        <v>108</v>
      </c>
      <c r="D103" s="5"/>
      <c r="E103" s="5">
        <v>200</v>
      </c>
      <c r="F103" s="5">
        <f t="shared" si="4"/>
        <v>2000</v>
      </c>
    </row>
    <row r="104" spans="1:6">
      <c r="B104" s="5"/>
      <c r="C104" s="5" t="s">
        <v>109</v>
      </c>
      <c r="D104" s="5"/>
      <c r="E104" s="5">
        <v>30</v>
      </c>
      <c r="F104" s="5">
        <f t="shared" si="4"/>
        <v>300</v>
      </c>
    </row>
    <row r="105" spans="1:6">
      <c r="B105" s="5"/>
      <c r="C105" s="5" t="s">
        <v>110</v>
      </c>
      <c r="D105" s="5"/>
      <c r="E105" s="5">
        <v>5</v>
      </c>
      <c r="F105" s="5">
        <f t="shared" si="4"/>
        <v>50</v>
      </c>
    </row>
    <row r="106" spans="1:6">
      <c r="B106" s="5"/>
      <c r="C106" s="5" t="s">
        <v>111</v>
      </c>
      <c r="D106" s="5"/>
      <c r="E106" s="5">
        <f>E101*1.5</f>
        <v>225</v>
      </c>
      <c r="F106" s="5">
        <f t="shared" si="4"/>
        <v>2250</v>
      </c>
    </row>
    <row r="107" spans="1:6">
      <c r="B107" s="5"/>
      <c r="C107" s="5" t="s">
        <v>112</v>
      </c>
      <c r="D107" s="5"/>
      <c r="E107" s="5">
        <f>E104*1.5</f>
        <v>45</v>
      </c>
      <c r="F107" s="5">
        <f t="shared" si="4"/>
        <v>450</v>
      </c>
    </row>
    <row r="108" spans="1:6">
      <c r="B108" s="5"/>
      <c r="C108" s="5" t="s">
        <v>113</v>
      </c>
      <c r="D108" s="5"/>
      <c r="E108" s="5">
        <f>E105*1.5</f>
        <v>7.5</v>
      </c>
      <c r="F108" s="5">
        <f t="shared" si="4"/>
        <v>75</v>
      </c>
    </row>
    <row r="109" spans="1:6">
      <c r="B109" s="5"/>
      <c r="C109" s="5" t="s">
        <v>114</v>
      </c>
      <c r="D109" s="5"/>
      <c r="E109" s="5">
        <v>4</v>
      </c>
      <c r="F109" s="5">
        <f t="shared" si="4"/>
        <v>40</v>
      </c>
    </row>
    <row r="110" spans="1:6">
      <c r="B110" s="5"/>
      <c r="C110" s="5" t="s">
        <v>115</v>
      </c>
      <c r="D110" s="5"/>
      <c r="E110" s="5">
        <v>1</v>
      </c>
      <c r="F110" s="5">
        <f t="shared" si="4"/>
        <v>10</v>
      </c>
    </row>
    <row r="111" spans="1:6">
      <c r="A111" s="1" t="s">
        <v>116</v>
      </c>
      <c r="C111" s="1" t="s">
        <v>117</v>
      </c>
      <c r="D111" s="1">
        <v>6</v>
      </c>
      <c r="E111" s="1">
        <v>0.001</v>
      </c>
      <c r="F111" s="1">
        <f t="shared" si="4"/>
        <v>0.01</v>
      </c>
    </row>
    <row r="112" spans="1:6">
      <c r="C112" s="1" t="s">
        <v>118</v>
      </c>
      <c r="E112" s="1">
        <v>50</v>
      </c>
      <c r="F112" s="1">
        <f t="shared" si="4"/>
        <v>500</v>
      </c>
    </row>
    <row r="113" spans="1:6">
      <c r="C113" s="1" t="s">
        <v>119</v>
      </c>
      <c r="E113" s="1">
        <v>10</v>
      </c>
      <c r="F113" s="1">
        <f t="shared" si="4"/>
        <v>100</v>
      </c>
    </row>
    <row r="114" spans="1:6">
      <c r="C114" s="1" t="s">
        <v>120</v>
      </c>
      <c r="E114" s="1">
        <v>5</v>
      </c>
      <c r="F114" s="1">
        <f t="shared" si="4"/>
        <v>50</v>
      </c>
    </row>
    <row r="115" spans="1:6">
      <c r="C115" s="1" t="s">
        <v>121</v>
      </c>
      <c r="E115" s="1">
        <v>2</v>
      </c>
      <c r="F115" s="1">
        <f t="shared" si="4"/>
        <v>20</v>
      </c>
    </row>
    <row r="116" spans="1:6">
      <c r="C116" s="1" t="s">
        <v>122</v>
      </c>
      <c r="E116" s="1">
        <v>1</v>
      </c>
      <c r="F116" s="1">
        <f t="shared" si="4"/>
        <v>10</v>
      </c>
    </row>
    <row r="117" spans="1:6">
      <c r="C117" s="1" t="s">
        <v>123</v>
      </c>
      <c r="D117" s="1">
        <v>34</v>
      </c>
      <c r="E117" s="1">
        <v>1</v>
      </c>
      <c r="F117" s="1">
        <f t="shared" si="4"/>
        <v>10</v>
      </c>
    </row>
    <row r="118" spans="1:6">
      <c r="C118" s="1" t="s">
        <v>124</v>
      </c>
      <c r="D118" s="1">
        <v>35</v>
      </c>
      <c r="E118" s="1">
        <v>6</v>
      </c>
      <c r="F118" s="1">
        <f t="shared" si="4"/>
        <v>60</v>
      </c>
    </row>
    <row r="119" spans="1:6">
      <c r="C119" s="1" t="s">
        <v>125</v>
      </c>
      <c r="D119" s="1">
        <v>36</v>
      </c>
      <c r="E119" s="1">
        <v>60</v>
      </c>
      <c r="F119" s="1">
        <f t="shared" si="4"/>
        <v>600</v>
      </c>
    </row>
    <row r="122" spans="1:6">
      <c r="A122" s="1" t="s">
        <v>126</v>
      </c>
      <c r="C122" s="1" t="s">
        <v>127</v>
      </c>
      <c r="E122" s="1">
        <v>1</v>
      </c>
      <c r="F122" s="1">
        <f t="shared" ref="F122:F140" si="5">E122*10</f>
        <v>10</v>
      </c>
    </row>
    <row r="123" spans="1:6">
      <c r="C123" s="1" t="s">
        <v>128</v>
      </c>
      <c r="E123" s="1">
        <f>E122*[1]映射装备!C7</f>
        <v>3</v>
      </c>
      <c r="F123" s="1">
        <f t="shared" si="5"/>
        <v>30</v>
      </c>
    </row>
    <row r="124" spans="1:6">
      <c r="C124" s="1" t="s">
        <v>129</v>
      </c>
      <c r="E124" s="1">
        <f>E123*[1]映射装备!C8</f>
        <v>9</v>
      </c>
      <c r="F124" s="1">
        <f t="shared" si="5"/>
        <v>90</v>
      </c>
    </row>
    <row r="125" spans="1:6">
      <c r="C125" s="1" t="s">
        <v>130</v>
      </c>
      <c r="E125" s="1">
        <f>E124*[1]映射装备!C9</f>
        <v>27</v>
      </c>
      <c r="F125" s="1">
        <f t="shared" si="5"/>
        <v>270</v>
      </c>
    </row>
    <row r="126" spans="1:6">
      <c r="C126" s="1" t="s">
        <v>131</v>
      </c>
      <c r="E126" s="1">
        <f>E125*[1]映射装备!C10</f>
        <v>81</v>
      </c>
      <c r="F126" s="1">
        <f t="shared" si="5"/>
        <v>810</v>
      </c>
    </row>
    <row r="127" spans="1:6">
      <c r="C127" s="1" t="s">
        <v>132</v>
      </c>
      <c r="E127" s="1">
        <f>E126*[1]映射装备!C11</f>
        <v>243</v>
      </c>
      <c r="F127" s="1">
        <f t="shared" si="5"/>
        <v>2430</v>
      </c>
    </row>
    <row r="128" spans="1:6">
      <c r="C128" s="1" t="s">
        <v>133</v>
      </c>
      <c r="E128" s="1">
        <f>E127*[1]映射装备!C12</f>
        <v>729</v>
      </c>
      <c r="F128" s="1">
        <f t="shared" si="5"/>
        <v>7290</v>
      </c>
    </row>
    <row r="129" spans="1:6">
      <c r="C129" s="5" t="s">
        <v>134</v>
      </c>
      <c r="D129" s="5"/>
      <c r="E129" s="5">
        <v>10</v>
      </c>
      <c r="F129" s="5">
        <f t="shared" si="5"/>
        <v>100</v>
      </c>
    </row>
    <row r="130" spans="1:6">
      <c r="C130" s="5" t="s">
        <v>135</v>
      </c>
      <c r="D130" s="5"/>
      <c r="E130" s="5">
        <v>25</v>
      </c>
      <c r="F130" s="5">
        <f t="shared" si="5"/>
        <v>250</v>
      </c>
    </row>
    <row r="131" spans="1:6">
      <c r="C131" s="5" t="s">
        <v>136</v>
      </c>
      <c r="D131" s="5"/>
      <c r="E131" s="5">
        <v>100</v>
      </c>
      <c r="F131" s="5">
        <f t="shared" si="5"/>
        <v>1000</v>
      </c>
    </row>
    <row r="132" spans="1:6">
      <c r="C132" s="1" t="s">
        <v>137</v>
      </c>
      <c r="D132" s="1">
        <v>13</v>
      </c>
      <c r="E132" s="1">
        <v>0.001</v>
      </c>
      <c r="F132" s="1">
        <f t="shared" si="5"/>
        <v>0.01</v>
      </c>
    </row>
    <row r="133" spans="1:6">
      <c r="C133" s="1" t="s">
        <v>138</v>
      </c>
      <c r="E133" s="1">
        <v>0.2</v>
      </c>
      <c r="F133" s="1">
        <f t="shared" si="5"/>
        <v>2</v>
      </c>
    </row>
    <row r="134" spans="1:6">
      <c r="C134" s="1" t="s">
        <v>139</v>
      </c>
      <c r="E134" s="1">
        <v>1</v>
      </c>
      <c r="F134" s="1">
        <f t="shared" si="5"/>
        <v>10</v>
      </c>
    </row>
    <row r="135" spans="1:6">
      <c r="C135" s="1" t="s">
        <v>140</v>
      </c>
      <c r="E135" s="1">
        <f>E9*15</f>
        <v>6</v>
      </c>
      <c r="F135" s="1">
        <f t="shared" si="5"/>
        <v>60</v>
      </c>
    </row>
    <row r="136" spans="1:6">
      <c r="A136" s="1" t="s">
        <v>141</v>
      </c>
      <c r="C136" s="1" t="s">
        <v>142</v>
      </c>
      <c r="E136" s="1">
        <v>600</v>
      </c>
      <c r="F136" s="1">
        <f t="shared" si="5"/>
        <v>6000</v>
      </c>
    </row>
    <row r="137" spans="1:6">
      <c r="C137" s="1" t="s">
        <v>143</v>
      </c>
      <c r="E137" s="1">
        <v>100</v>
      </c>
      <c r="F137" s="1">
        <f t="shared" si="5"/>
        <v>1000</v>
      </c>
    </row>
    <row r="138" spans="1:6">
      <c r="C138" s="1" t="s">
        <v>144</v>
      </c>
      <c r="E138" s="1">
        <v>50</v>
      </c>
      <c r="F138" s="1">
        <f t="shared" si="5"/>
        <v>500</v>
      </c>
    </row>
    <row r="139" spans="1:6">
      <c r="C139" s="1" t="s">
        <v>145</v>
      </c>
      <c r="E139" s="1">
        <v>0.1</v>
      </c>
      <c r="F139" s="1">
        <f t="shared" si="5"/>
        <v>1</v>
      </c>
    </row>
    <row r="140" spans="1:6">
      <c r="C140" s="1" t="s">
        <v>146</v>
      </c>
      <c r="E140" s="1">
        <v>100</v>
      </c>
      <c r="F140" s="1">
        <f t="shared" si="5"/>
        <v>1000</v>
      </c>
    </row>
    <row r="147" spans="1:6">
      <c r="A147" s="1" t="s">
        <v>147</v>
      </c>
      <c r="B147" s="1" t="s">
        <v>148</v>
      </c>
      <c r="C147" s="1" t="s">
        <v>149</v>
      </c>
      <c r="D147">
        <v>1074</v>
      </c>
      <c r="E147" s="1">
        <v>0.25</v>
      </c>
      <c r="F147" s="1">
        <f>E147*10</f>
        <v>2.5</v>
      </c>
    </row>
    <row r="148" spans="1:6">
      <c r="B148" s="1" t="s">
        <v>150</v>
      </c>
      <c r="C148" s="1" t="s">
        <v>151</v>
      </c>
      <c r="D148">
        <v>1075</v>
      </c>
      <c r="E148" s="1">
        <v>1</v>
      </c>
      <c r="F148" s="1">
        <f>E148*10</f>
        <v>10</v>
      </c>
    </row>
    <row r="149" spans="1:6">
      <c r="C149" s="1" t="s">
        <v>152</v>
      </c>
      <c r="D149">
        <v>1076</v>
      </c>
      <c r="E149" s="1">
        <v>1</v>
      </c>
      <c r="F149" s="1">
        <f>E149*10</f>
        <v>10</v>
      </c>
    </row>
    <row r="150" spans="1:6">
      <c r="C150" s="1" t="s">
        <v>153</v>
      </c>
      <c r="D150">
        <v>1077</v>
      </c>
      <c r="E150" s="1">
        <v>1</v>
      </c>
      <c r="F150" s="1">
        <f>E150*10</f>
        <v>10</v>
      </c>
    </row>
    <row r="151" spans="1:6">
      <c r="C151" s="1" t="s">
        <v>154</v>
      </c>
      <c r="D151">
        <v>1078</v>
      </c>
      <c r="E151" s="1">
        <v>1</v>
      </c>
      <c r="F151" s="1">
        <f>E151*10</f>
        <v>10</v>
      </c>
    </row>
    <row r="152" spans="1:6">
      <c r="C152" s="1" t="s">
        <v>155</v>
      </c>
      <c r="D152">
        <v>1079</v>
      </c>
      <c r="E152" s="1">
        <v>1</v>
      </c>
      <c r="F152" s="1">
        <f>E152*10</f>
        <v>10</v>
      </c>
    </row>
    <row r="153" spans="1:6">
      <c r="C153" s="1" t="s">
        <v>156</v>
      </c>
      <c r="D153" s="1">
        <v>1156</v>
      </c>
      <c r="E153" s="1">
        <v>5</v>
      </c>
      <c r="F153" s="1">
        <f>E153*10</f>
        <v>50</v>
      </c>
    </row>
    <row r="154" spans="1:6">
      <c r="C154" s="1" t="s">
        <v>157</v>
      </c>
      <c r="D154" s="1">
        <v>1157</v>
      </c>
      <c r="E154" s="1">
        <v>25</v>
      </c>
      <c r="F154" s="1">
        <f>E154*10</f>
        <v>250</v>
      </c>
    </row>
    <row r="155" spans="1:6">
      <c r="D155"/>
    </row>
    <row r="156" spans="1:6">
      <c r="C156" s="1" t="s">
        <v>158</v>
      </c>
      <c r="D156"/>
      <c r="E156" s="1">
        <v>0.5</v>
      </c>
      <c r="F156" s="1">
        <f>E156*10</f>
        <v>5</v>
      </c>
    </row>
    <row r="157" spans="1:6">
      <c r="C157" s="1" t="s">
        <v>159</v>
      </c>
      <c r="D157"/>
      <c r="E157" s="1">
        <f>E156*3</f>
        <v>1.5</v>
      </c>
      <c r="F157" s="1">
        <f>E157*10</f>
        <v>15</v>
      </c>
    </row>
    <row r="158" spans="1:6">
      <c r="C158" s="1" t="s">
        <v>160</v>
      </c>
      <c r="D158"/>
      <c r="E158" s="1">
        <f>E157*3</f>
        <v>4.5</v>
      </c>
      <c r="F158" s="1">
        <f>E158*10</f>
        <v>45</v>
      </c>
    </row>
    <row r="159" spans="1:6">
      <c r="A159" s="1" t="s">
        <v>161</v>
      </c>
      <c r="B159" s="1" t="s">
        <v>162</v>
      </c>
      <c r="C159" s="1" t="s">
        <v>163</v>
      </c>
      <c r="D159">
        <v>1080</v>
      </c>
      <c r="E159" s="1">
        <v>0.05</v>
      </c>
      <c r="F159" s="1">
        <f t="shared" ref="F159:F216" si="6">E159*10</f>
        <v>0.5</v>
      </c>
    </row>
    <row r="160" spans="1:6">
      <c r="C160" s="1" t="s">
        <v>164</v>
      </c>
      <c r="D160">
        <v>1081</v>
      </c>
      <c r="E160" s="1">
        <v>0.45</v>
      </c>
      <c r="F160" s="1">
        <f t="shared" si="6"/>
        <v>4.5</v>
      </c>
    </row>
    <row r="161" spans="2:6">
      <c r="C161" s="1" t="s">
        <v>165</v>
      </c>
      <c r="D161">
        <v>1082</v>
      </c>
      <c r="E161" s="1">
        <v>4.5</v>
      </c>
      <c r="F161" s="1">
        <f t="shared" si="6"/>
        <v>45</v>
      </c>
    </row>
    <row r="162" spans="2:6">
      <c r="C162" s="1" t="s">
        <v>166</v>
      </c>
      <c r="D162">
        <v>1083</v>
      </c>
      <c r="E162" s="1">
        <v>0.05</v>
      </c>
      <c r="F162" s="1">
        <f t="shared" si="6"/>
        <v>0.5</v>
      </c>
    </row>
    <row r="163" spans="2:6">
      <c r="C163" s="1" t="s">
        <v>167</v>
      </c>
      <c r="D163">
        <v>1084</v>
      </c>
      <c r="E163" s="1">
        <v>0.45</v>
      </c>
      <c r="F163" s="1">
        <f t="shared" si="6"/>
        <v>4.5</v>
      </c>
    </row>
    <row r="164" spans="2:6">
      <c r="C164" s="1" t="s">
        <v>168</v>
      </c>
      <c r="D164">
        <v>1085</v>
      </c>
      <c r="E164" s="1">
        <v>4.5</v>
      </c>
      <c r="F164" s="1">
        <f t="shared" si="6"/>
        <v>45</v>
      </c>
    </row>
    <row r="165" spans="2:6">
      <c r="C165" s="1" t="s">
        <v>169</v>
      </c>
      <c r="D165">
        <v>1086</v>
      </c>
      <c r="E165" s="1">
        <v>0.05</v>
      </c>
      <c r="F165" s="1">
        <f t="shared" si="6"/>
        <v>0.5</v>
      </c>
    </row>
    <row r="166" spans="2:6">
      <c r="C166" s="1" t="s">
        <v>170</v>
      </c>
      <c r="D166">
        <v>1087</v>
      </c>
      <c r="E166" s="1">
        <v>0.45</v>
      </c>
      <c r="F166" s="1">
        <f t="shared" si="6"/>
        <v>4.5</v>
      </c>
    </row>
    <row r="167" spans="2:6">
      <c r="C167" s="1" t="s">
        <v>171</v>
      </c>
      <c r="D167">
        <v>1088</v>
      </c>
      <c r="E167" s="1">
        <v>4.5</v>
      </c>
      <c r="F167" s="1">
        <f t="shared" si="6"/>
        <v>45</v>
      </c>
    </row>
    <row r="168" spans="2:6">
      <c r="B168" t="s">
        <v>172</v>
      </c>
      <c r="C168" s="1" t="s">
        <v>173</v>
      </c>
      <c r="D168">
        <v>1089</v>
      </c>
      <c r="E168" s="1">
        <v>0.1</v>
      </c>
      <c r="F168" s="1">
        <f t="shared" si="6"/>
        <v>1</v>
      </c>
    </row>
    <row r="169" spans="2:6">
      <c r="C169" s="1" t="s">
        <v>174</v>
      </c>
      <c r="D169">
        <v>1090</v>
      </c>
      <c r="E169" s="1">
        <v>1.1</v>
      </c>
      <c r="F169" s="1">
        <f t="shared" si="6"/>
        <v>11</v>
      </c>
    </row>
    <row r="170" spans="2:6">
      <c r="C170" s="1" t="s">
        <v>175</v>
      </c>
      <c r="D170">
        <v>1091</v>
      </c>
      <c r="E170" s="1">
        <v>11</v>
      </c>
      <c r="F170" s="1">
        <f t="shared" si="6"/>
        <v>110</v>
      </c>
    </row>
    <row r="171" spans="2:6">
      <c r="C171" s="1" t="s">
        <v>176</v>
      </c>
      <c r="D171">
        <v>1092</v>
      </c>
      <c r="E171" s="1">
        <v>0.1</v>
      </c>
      <c r="F171" s="1">
        <f t="shared" si="6"/>
        <v>1</v>
      </c>
    </row>
    <row r="172" spans="2:6">
      <c r="C172" s="1" t="s">
        <v>177</v>
      </c>
      <c r="D172">
        <v>1093</v>
      </c>
      <c r="E172" s="1">
        <v>1.1</v>
      </c>
      <c r="F172" s="1">
        <f t="shared" si="6"/>
        <v>11</v>
      </c>
    </row>
    <row r="173" spans="2:6">
      <c r="C173" s="1" t="s">
        <v>178</v>
      </c>
      <c r="D173">
        <v>1094</v>
      </c>
      <c r="E173" s="1">
        <v>11</v>
      </c>
      <c r="F173" s="1">
        <f t="shared" si="6"/>
        <v>110</v>
      </c>
    </row>
    <row r="174" spans="2:6">
      <c r="C174" s="1" t="s">
        <v>179</v>
      </c>
      <c r="D174">
        <v>1095</v>
      </c>
      <c r="E174" s="1">
        <v>0.1</v>
      </c>
      <c r="F174" s="1">
        <f t="shared" si="6"/>
        <v>1</v>
      </c>
    </row>
    <row r="175" spans="2:6">
      <c r="C175" s="1" t="s">
        <v>180</v>
      </c>
      <c r="D175">
        <v>1096</v>
      </c>
      <c r="E175" s="1">
        <v>1.1</v>
      </c>
      <c r="F175" s="1">
        <f t="shared" si="6"/>
        <v>11</v>
      </c>
    </row>
    <row r="176" spans="2:6">
      <c r="C176" s="1" t="s">
        <v>181</v>
      </c>
      <c r="D176">
        <v>1097</v>
      </c>
      <c r="E176" s="1">
        <v>11</v>
      </c>
      <c r="F176" s="1">
        <f t="shared" si="6"/>
        <v>110</v>
      </c>
    </row>
    <row r="177" spans="2:6">
      <c r="B177" t="s">
        <v>182</v>
      </c>
      <c r="C177" s="1" t="s">
        <v>183</v>
      </c>
      <c r="D177">
        <v>1098</v>
      </c>
      <c r="E177" s="1">
        <v>0.2</v>
      </c>
      <c r="F177" s="1">
        <f t="shared" si="6"/>
        <v>2</v>
      </c>
    </row>
    <row r="178" spans="2:6">
      <c r="C178" s="1" t="s">
        <v>184</v>
      </c>
      <c r="D178">
        <v>1099</v>
      </c>
      <c r="E178" s="1">
        <v>1.9</v>
      </c>
      <c r="F178" s="1">
        <f t="shared" si="6"/>
        <v>19</v>
      </c>
    </row>
    <row r="179" spans="2:6">
      <c r="C179" s="1" t="s">
        <v>185</v>
      </c>
      <c r="D179">
        <v>1100</v>
      </c>
      <c r="E179" s="1">
        <v>19</v>
      </c>
      <c r="F179" s="1">
        <f t="shared" si="6"/>
        <v>190</v>
      </c>
    </row>
    <row r="180" spans="2:6">
      <c r="C180" s="1" t="s">
        <v>186</v>
      </c>
      <c r="D180">
        <v>1101</v>
      </c>
      <c r="E180" s="1">
        <v>0.2</v>
      </c>
      <c r="F180" s="1">
        <f t="shared" si="6"/>
        <v>2</v>
      </c>
    </row>
    <row r="181" spans="2:6">
      <c r="C181" s="1" t="s">
        <v>187</v>
      </c>
      <c r="D181">
        <v>1102</v>
      </c>
      <c r="E181" s="1">
        <v>1.9</v>
      </c>
      <c r="F181" s="1">
        <f t="shared" si="6"/>
        <v>19</v>
      </c>
    </row>
    <row r="182" spans="2:6">
      <c r="C182" s="1" t="s">
        <v>188</v>
      </c>
      <c r="D182">
        <v>1103</v>
      </c>
      <c r="E182" s="1">
        <v>19</v>
      </c>
      <c r="F182" s="1">
        <f t="shared" si="6"/>
        <v>190</v>
      </c>
    </row>
    <row r="183" spans="2:6">
      <c r="C183" s="1" t="s">
        <v>189</v>
      </c>
      <c r="D183">
        <v>1104</v>
      </c>
      <c r="E183" s="1">
        <v>0.2</v>
      </c>
      <c r="F183" s="1">
        <f t="shared" si="6"/>
        <v>2</v>
      </c>
    </row>
    <row r="184" spans="2:6">
      <c r="C184" s="1" t="s">
        <v>190</v>
      </c>
      <c r="D184">
        <v>1105</v>
      </c>
      <c r="E184" s="1">
        <v>1.9</v>
      </c>
      <c r="F184" s="1">
        <f t="shared" si="6"/>
        <v>19</v>
      </c>
    </row>
    <row r="185" spans="2:6">
      <c r="C185" s="1" t="s">
        <v>191</v>
      </c>
      <c r="D185">
        <v>1106</v>
      </c>
      <c r="E185" s="1">
        <v>19</v>
      </c>
      <c r="F185" s="1">
        <f t="shared" si="6"/>
        <v>190</v>
      </c>
    </row>
    <row r="186" spans="2:6">
      <c r="B186" t="s">
        <v>192</v>
      </c>
      <c r="C186" s="1" t="s">
        <v>193</v>
      </c>
      <c r="D186">
        <v>1107</v>
      </c>
      <c r="E186" s="1">
        <v>0.3</v>
      </c>
      <c r="F186" s="1">
        <f t="shared" si="6"/>
        <v>3</v>
      </c>
    </row>
    <row r="187" spans="2:6">
      <c r="C187" s="1" t="s">
        <v>194</v>
      </c>
      <c r="D187">
        <v>1108</v>
      </c>
      <c r="E187" s="1">
        <v>2.8</v>
      </c>
      <c r="F187" s="1">
        <f t="shared" si="6"/>
        <v>28</v>
      </c>
    </row>
    <row r="188" spans="2:6">
      <c r="C188" s="1" t="s">
        <v>195</v>
      </c>
      <c r="D188">
        <v>1109</v>
      </c>
      <c r="E188" s="1">
        <v>28</v>
      </c>
      <c r="F188" s="1">
        <f t="shared" si="6"/>
        <v>280</v>
      </c>
    </row>
    <row r="189" spans="2:6">
      <c r="C189" s="1" t="s">
        <v>196</v>
      </c>
      <c r="D189">
        <v>1110</v>
      </c>
      <c r="E189" s="1">
        <v>0.3</v>
      </c>
      <c r="F189" s="1">
        <f t="shared" si="6"/>
        <v>3</v>
      </c>
    </row>
    <row r="190" spans="2:6">
      <c r="C190" s="1" t="s">
        <v>197</v>
      </c>
      <c r="D190">
        <v>1111</v>
      </c>
      <c r="E190" s="1">
        <v>2.8</v>
      </c>
      <c r="F190" s="1">
        <f t="shared" si="6"/>
        <v>28</v>
      </c>
    </row>
    <row r="191" spans="2:6">
      <c r="C191" s="1" t="s">
        <v>198</v>
      </c>
      <c r="D191">
        <v>1112</v>
      </c>
      <c r="E191" s="1">
        <v>28</v>
      </c>
      <c r="F191" s="1">
        <f t="shared" si="6"/>
        <v>280</v>
      </c>
    </row>
    <row r="192" spans="2:6">
      <c r="C192" s="1" t="s">
        <v>199</v>
      </c>
      <c r="D192">
        <v>1113</v>
      </c>
      <c r="E192" s="1">
        <v>0.3</v>
      </c>
      <c r="F192" s="1">
        <f t="shared" si="6"/>
        <v>3</v>
      </c>
    </row>
    <row r="193" spans="2:6">
      <c r="C193" s="1" t="s">
        <v>200</v>
      </c>
      <c r="D193">
        <v>1114</v>
      </c>
      <c r="E193" s="1">
        <v>2.8</v>
      </c>
      <c r="F193" s="1">
        <f t="shared" si="6"/>
        <v>28</v>
      </c>
    </row>
    <row r="194" spans="2:6">
      <c r="C194" s="1" t="s">
        <v>201</v>
      </c>
      <c r="D194">
        <v>1115</v>
      </c>
      <c r="E194" s="1">
        <v>28</v>
      </c>
      <c r="F194" s="1">
        <f t="shared" si="6"/>
        <v>280</v>
      </c>
    </row>
    <row r="195" spans="2:6">
      <c r="B195" t="s">
        <v>202</v>
      </c>
      <c r="C195" s="1" t="s">
        <v>203</v>
      </c>
      <c r="D195">
        <v>1116</v>
      </c>
      <c r="E195" s="1">
        <v>0.35</v>
      </c>
      <c r="F195" s="1">
        <f t="shared" si="6"/>
        <v>3.5</v>
      </c>
    </row>
    <row r="196" spans="2:6">
      <c r="C196" s="1" t="s">
        <v>204</v>
      </c>
      <c r="D196">
        <v>1117</v>
      </c>
      <c r="E196" s="1">
        <v>3.3</v>
      </c>
      <c r="F196" s="1">
        <f t="shared" si="6"/>
        <v>33</v>
      </c>
    </row>
    <row r="197" spans="2:6">
      <c r="C197" s="1" t="s">
        <v>205</v>
      </c>
      <c r="D197">
        <v>1118</v>
      </c>
      <c r="E197" s="1">
        <v>33</v>
      </c>
      <c r="F197" s="1">
        <f t="shared" si="6"/>
        <v>330</v>
      </c>
    </row>
    <row r="198" spans="2:6">
      <c r="C198" s="1" t="s">
        <v>206</v>
      </c>
      <c r="D198">
        <v>1119</v>
      </c>
      <c r="E198" s="1">
        <v>0.35</v>
      </c>
      <c r="F198" s="1">
        <f t="shared" si="6"/>
        <v>3.5</v>
      </c>
    </row>
    <row r="199" spans="2:6">
      <c r="C199" s="1" t="s">
        <v>207</v>
      </c>
      <c r="D199">
        <v>1120</v>
      </c>
      <c r="E199" s="1">
        <v>3.3</v>
      </c>
      <c r="F199" s="1">
        <f t="shared" si="6"/>
        <v>33</v>
      </c>
    </row>
    <row r="200" spans="2:6">
      <c r="C200" s="1" t="s">
        <v>208</v>
      </c>
      <c r="D200">
        <v>1121</v>
      </c>
      <c r="E200" s="1">
        <v>33</v>
      </c>
      <c r="F200" s="1">
        <f t="shared" si="6"/>
        <v>330</v>
      </c>
    </row>
    <row r="201" spans="2:6">
      <c r="C201" s="1" t="s">
        <v>209</v>
      </c>
      <c r="D201">
        <v>1122</v>
      </c>
      <c r="E201" s="1">
        <v>0.35</v>
      </c>
      <c r="F201" s="1">
        <f t="shared" si="6"/>
        <v>3.5</v>
      </c>
    </row>
    <row r="202" spans="2:6">
      <c r="C202" s="1" t="s">
        <v>210</v>
      </c>
      <c r="D202">
        <v>1123</v>
      </c>
      <c r="E202" s="1">
        <v>3.3</v>
      </c>
      <c r="F202" s="1">
        <f t="shared" si="6"/>
        <v>33</v>
      </c>
    </row>
    <row r="203" spans="2:6">
      <c r="C203" s="1" t="s">
        <v>211</v>
      </c>
      <c r="D203">
        <v>1124</v>
      </c>
      <c r="E203" s="1">
        <v>33</v>
      </c>
      <c r="F203" s="1">
        <f t="shared" si="6"/>
        <v>330</v>
      </c>
    </row>
    <row r="204" spans="2:6">
      <c r="B204" t="s">
        <v>212</v>
      </c>
      <c r="C204" s="1" t="s">
        <v>213</v>
      </c>
      <c r="D204">
        <v>1125</v>
      </c>
      <c r="E204" s="1">
        <v>0.4</v>
      </c>
      <c r="F204" s="1">
        <f t="shared" si="6"/>
        <v>4</v>
      </c>
    </row>
    <row r="205" spans="2:6">
      <c r="C205" s="1" t="s">
        <v>214</v>
      </c>
      <c r="D205">
        <v>1126</v>
      </c>
      <c r="E205" s="1">
        <v>3.9</v>
      </c>
      <c r="F205" s="1">
        <f t="shared" si="6"/>
        <v>39</v>
      </c>
    </row>
    <row r="206" spans="2:6">
      <c r="C206" s="1" t="s">
        <v>215</v>
      </c>
      <c r="D206">
        <v>1127</v>
      </c>
      <c r="E206" s="1">
        <v>39</v>
      </c>
      <c r="F206" s="1">
        <f t="shared" si="6"/>
        <v>390</v>
      </c>
    </row>
    <row r="207" spans="2:6">
      <c r="C207" s="1" t="s">
        <v>216</v>
      </c>
      <c r="D207">
        <v>1128</v>
      </c>
      <c r="E207" s="1">
        <v>0.4</v>
      </c>
      <c r="F207" s="1">
        <f t="shared" si="6"/>
        <v>4</v>
      </c>
    </row>
    <row r="208" spans="2:6">
      <c r="C208" s="1" t="s">
        <v>217</v>
      </c>
      <c r="D208">
        <v>1129</v>
      </c>
      <c r="E208" s="1">
        <v>3.9</v>
      </c>
      <c r="F208" s="1">
        <f t="shared" si="6"/>
        <v>39</v>
      </c>
    </row>
    <row r="209" spans="2:6">
      <c r="C209" s="1" t="s">
        <v>218</v>
      </c>
      <c r="D209">
        <v>1130</v>
      </c>
      <c r="E209" s="1">
        <v>39</v>
      </c>
      <c r="F209" s="1">
        <f t="shared" si="6"/>
        <v>390</v>
      </c>
    </row>
    <row r="210" spans="2:6">
      <c r="C210" s="1" t="s">
        <v>219</v>
      </c>
      <c r="D210">
        <v>1131</v>
      </c>
      <c r="E210" s="1">
        <v>0.4</v>
      </c>
      <c r="F210" s="1">
        <f t="shared" si="6"/>
        <v>4</v>
      </c>
    </row>
    <row r="211" spans="2:6">
      <c r="C211" s="1" t="s">
        <v>220</v>
      </c>
      <c r="D211">
        <v>1132</v>
      </c>
      <c r="E211" s="1">
        <v>3.9</v>
      </c>
      <c r="F211" s="1">
        <f t="shared" si="6"/>
        <v>39</v>
      </c>
    </row>
    <row r="212" spans="2:6">
      <c r="C212" s="1" t="s">
        <v>221</v>
      </c>
      <c r="D212">
        <v>1133</v>
      </c>
      <c r="E212" s="1">
        <v>39</v>
      </c>
      <c r="F212" s="1">
        <f t="shared" si="6"/>
        <v>390</v>
      </c>
    </row>
    <row r="213" spans="2:6">
      <c r="B213" t="s">
        <v>222</v>
      </c>
      <c r="C213" s="1" t="s">
        <v>223</v>
      </c>
      <c r="D213">
        <v>1134</v>
      </c>
      <c r="E213" s="1">
        <v>0.45</v>
      </c>
      <c r="F213" s="1">
        <f t="shared" si="6"/>
        <v>4.5</v>
      </c>
    </row>
    <row r="214" spans="2:6">
      <c r="C214" s="1" t="s">
        <v>224</v>
      </c>
      <c r="D214">
        <v>1135</v>
      </c>
      <c r="E214" s="1">
        <v>4.4</v>
      </c>
      <c r="F214" s="1">
        <f t="shared" si="6"/>
        <v>44</v>
      </c>
    </row>
    <row r="215" spans="2:6">
      <c r="C215" s="1" t="s">
        <v>225</v>
      </c>
      <c r="D215">
        <v>1136</v>
      </c>
      <c r="E215" s="1">
        <v>44</v>
      </c>
      <c r="F215" s="1">
        <f t="shared" si="6"/>
        <v>440</v>
      </c>
    </row>
    <row r="216" spans="2:6">
      <c r="C216" s="1" t="s">
        <v>226</v>
      </c>
      <c r="D216">
        <v>1137</v>
      </c>
      <c r="E216" s="1">
        <v>0.45</v>
      </c>
      <c r="F216" s="1">
        <f t="shared" si="6"/>
        <v>4.5</v>
      </c>
    </row>
    <row r="217" spans="2:6">
      <c r="C217" s="1" t="s">
        <v>227</v>
      </c>
      <c r="D217">
        <v>1138</v>
      </c>
      <c r="E217" s="1">
        <v>4.4</v>
      </c>
      <c r="F217" s="1">
        <f t="shared" ref="F217:F238" si="7">E217*10</f>
        <v>44</v>
      </c>
    </row>
    <row r="218" spans="2:6">
      <c r="C218" s="1" t="s">
        <v>228</v>
      </c>
      <c r="D218">
        <v>1139</v>
      </c>
      <c r="E218" s="1">
        <v>44</v>
      </c>
      <c r="F218" s="1">
        <f t="shared" si="7"/>
        <v>440</v>
      </c>
    </row>
    <row r="219" spans="2:6">
      <c r="C219" s="1" t="s">
        <v>229</v>
      </c>
      <c r="D219">
        <v>1140</v>
      </c>
      <c r="E219" s="1">
        <v>0.45</v>
      </c>
      <c r="F219" s="1">
        <f t="shared" si="7"/>
        <v>4.5</v>
      </c>
    </row>
    <row r="220" spans="2:6">
      <c r="C220" s="1" t="s">
        <v>230</v>
      </c>
      <c r="D220">
        <v>1141</v>
      </c>
      <c r="E220" s="1">
        <v>4.4</v>
      </c>
      <c r="F220" s="1">
        <f t="shared" si="7"/>
        <v>44</v>
      </c>
    </row>
    <row r="221" spans="2:6">
      <c r="C221" s="1" t="s">
        <v>231</v>
      </c>
      <c r="D221">
        <v>1142</v>
      </c>
      <c r="E221" s="1">
        <v>44</v>
      </c>
      <c r="F221" s="1">
        <f t="shared" si="7"/>
        <v>440</v>
      </c>
    </row>
    <row r="222" spans="2:6">
      <c r="B222" t="s">
        <v>232</v>
      </c>
      <c r="C222" s="1" t="s">
        <v>233</v>
      </c>
      <c r="D222">
        <v>1143</v>
      </c>
      <c r="E222" s="1">
        <v>0.5</v>
      </c>
      <c r="F222" s="1">
        <f t="shared" si="7"/>
        <v>5</v>
      </c>
    </row>
    <row r="223" spans="2:6">
      <c r="C223" s="1" t="s">
        <v>234</v>
      </c>
      <c r="D223">
        <v>1144</v>
      </c>
      <c r="E223" s="1">
        <v>5</v>
      </c>
      <c r="F223" s="1">
        <f t="shared" si="7"/>
        <v>50</v>
      </c>
    </row>
    <row r="224" spans="2:6">
      <c r="C224" s="1" t="s">
        <v>235</v>
      </c>
      <c r="D224">
        <v>1145</v>
      </c>
      <c r="E224" s="1">
        <v>50</v>
      </c>
      <c r="F224" s="1">
        <f t="shared" si="7"/>
        <v>500</v>
      </c>
    </row>
    <row r="225" spans="2:6">
      <c r="C225" s="1" t="s">
        <v>236</v>
      </c>
      <c r="D225">
        <v>1146</v>
      </c>
      <c r="E225" s="1">
        <v>0.5</v>
      </c>
      <c r="F225" s="1">
        <f t="shared" si="7"/>
        <v>5</v>
      </c>
    </row>
    <row r="226" spans="2:6">
      <c r="C226" s="1" t="s">
        <v>237</v>
      </c>
      <c r="D226">
        <v>1147</v>
      </c>
      <c r="E226" s="1">
        <v>5</v>
      </c>
      <c r="F226" s="1">
        <f t="shared" si="7"/>
        <v>50</v>
      </c>
    </row>
    <row r="227" spans="2:6">
      <c r="C227" s="1" t="s">
        <v>238</v>
      </c>
      <c r="D227">
        <v>1148</v>
      </c>
      <c r="E227" s="1">
        <v>50</v>
      </c>
      <c r="F227" s="1">
        <f t="shared" si="7"/>
        <v>500</v>
      </c>
    </row>
    <row r="228" spans="2:6">
      <c r="C228" s="1" t="s">
        <v>239</v>
      </c>
      <c r="D228">
        <v>1149</v>
      </c>
      <c r="E228" s="1">
        <v>0.5</v>
      </c>
      <c r="F228" s="1">
        <f t="shared" si="7"/>
        <v>5</v>
      </c>
    </row>
    <row r="229" spans="2:6">
      <c r="C229" s="1" t="s">
        <v>240</v>
      </c>
      <c r="D229">
        <v>1150</v>
      </c>
      <c r="E229" s="1">
        <v>5</v>
      </c>
      <c r="F229" s="1">
        <f t="shared" si="7"/>
        <v>50</v>
      </c>
    </row>
    <row r="230" spans="2:6">
      <c r="C230" s="1" t="s">
        <v>241</v>
      </c>
      <c r="D230">
        <v>1151</v>
      </c>
      <c r="E230" s="1">
        <v>50</v>
      </c>
      <c r="F230" s="1">
        <f t="shared" si="7"/>
        <v>500</v>
      </c>
    </row>
    <row r="231" spans="2:6">
      <c r="B231" s="1" t="s">
        <v>242</v>
      </c>
      <c r="C231" s="1" t="s">
        <v>243</v>
      </c>
      <c r="D231">
        <v>1152</v>
      </c>
      <c r="E231" s="1">
        <v>0.12</v>
      </c>
      <c r="F231" s="1">
        <f t="shared" si="7"/>
        <v>1.2</v>
      </c>
    </row>
    <row r="232" spans="2:6">
      <c r="C232" s="1" t="s">
        <v>244</v>
      </c>
      <c r="D232">
        <v>1153</v>
      </c>
      <c r="E232" s="1">
        <v>0.12</v>
      </c>
      <c r="F232" s="1">
        <f t="shared" si="7"/>
        <v>1.2</v>
      </c>
    </row>
    <row r="233" spans="2:6">
      <c r="C233" s="1" t="s">
        <v>245</v>
      </c>
      <c r="D233">
        <v>1154</v>
      </c>
      <c r="E233" s="1">
        <v>0.12</v>
      </c>
      <c r="F233" s="1">
        <f t="shared" si="7"/>
        <v>1.2</v>
      </c>
    </row>
    <row r="234" spans="2:6">
      <c r="C234" s="1" t="s">
        <v>246</v>
      </c>
      <c r="D234">
        <v>1155</v>
      </c>
      <c r="E234" s="1">
        <v>0.12</v>
      </c>
      <c r="F234" s="1">
        <f t="shared" si="7"/>
        <v>1.2</v>
      </c>
    </row>
    <row r="235" spans="2:6">
      <c r="B235" s="1" t="s">
        <v>247</v>
      </c>
      <c r="C235" s="1" t="s">
        <v>248</v>
      </c>
      <c r="D235" s="1">
        <v>3015</v>
      </c>
      <c r="E235" s="1">
        <v>1</v>
      </c>
      <c r="F235" s="1">
        <f t="shared" si="7"/>
        <v>10</v>
      </c>
    </row>
    <row r="236" spans="2:6">
      <c r="B236" s="1" t="s">
        <v>249</v>
      </c>
      <c r="C236" s="1" t="s">
        <v>250</v>
      </c>
      <c r="D236" s="1">
        <v>3016</v>
      </c>
      <c r="E236" s="1">
        <v>1.5</v>
      </c>
      <c r="F236" s="1">
        <f t="shared" si="7"/>
        <v>15</v>
      </c>
    </row>
    <row r="237" spans="2:6">
      <c r="B237" s="1" t="s">
        <v>251</v>
      </c>
      <c r="C237" s="1" t="s">
        <v>252</v>
      </c>
      <c r="D237" s="1">
        <v>3017</v>
      </c>
      <c r="E237" s="1">
        <v>2</v>
      </c>
      <c r="F237" s="1">
        <f t="shared" si="7"/>
        <v>20</v>
      </c>
    </row>
    <row r="238" spans="2:6">
      <c r="B238" s="1" t="s">
        <v>253</v>
      </c>
      <c r="C238" s="1" t="s">
        <v>254</v>
      </c>
      <c r="D238" s="1">
        <v>3018</v>
      </c>
      <c r="E238" s="1">
        <v>2.5</v>
      </c>
      <c r="F238" s="1">
        <f t="shared" si="7"/>
        <v>25</v>
      </c>
    </row>
    <row r="239" spans="2:6">
      <c r="B239" s="1" t="s">
        <v>255</v>
      </c>
      <c r="C239" s="1" t="s">
        <v>256</v>
      </c>
      <c r="D239" s="1">
        <v>3027</v>
      </c>
      <c r="E239" s="1">
        <v>1</v>
      </c>
      <c r="F239" s="1">
        <f t="shared" ref="F239:F246" si="8">E239*10</f>
        <v>10</v>
      </c>
    </row>
    <row r="240" spans="2:6">
      <c r="B240" s="1" t="s">
        <v>257</v>
      </c>
      <c r="C240" s="1" t="s">
        <v>258</v>
      </c>
      <c r="D240" s="1">
        <v>3031</v>
      </c>
      <c r="E240" s="1">
        <v>0.4</v>
      </c>
      <c r="F240" s="1">
        <f t="shared" si="8"/>
        <v>4</v>
      </c>
    </row>
    <row r="241" spans="2:6">
      <c r="B241" s="1" t="s">
        <v>259</v>
      </c>
      <c r="C241" s="1" t="s">
        <v>260</v>
      </c>
      <c r="D241" s="1">
        <v>3032</v>
      </c>
      <c r="E241" s="1">
        <v>1.2</v>
      </c>
      <c r="F241" s="1">
        <f t="shared" si="8"/>
        <v>12</v>
      </c>
    </row>
    <row r="242" spans="2:6">
      <c r="B242" s="1" t="s">
        <v>261</v>
      </c>
      <c r="C242" s="1" t="s">
        <v>262</v>
      </c>
      <c r="D242" s="1">
        <v>3033</v>
      </c>
      <c r="E242" s="1">
        <v>3.6</v>
      </c>
      <c r="F242" s="1">
        <f t="shared" si="8"/>
        <v>36</v>
      </c>
    </row>
    <row r="243" spans="2:6">
      <c r="B243" s="1" t="s">
        <v>263</v>
      </c>
      <c r="C243" s="1" t="s">
        <v>264</v>
      </c>
      <c r="D243" s="1">
        <v>3034</v>
      </c>
      <c r="E243" s="1">
        <v>9</v>
      </c>
      <c r="F243" s="1">
        <f t="shared" si="8"/>
        <v>90</v>
      </c>
    </row>
    <row r="244" spans="2:6">
      <c r="B244" s="1" t="s">
        <v>265</v>
      </c>
      <c r="C244" s="1" t="s">
        <v>266</v>
      </c>
      <c r="D244" s="1">
        <v>3035</v>
      </c>
      <c r="E244" s="1">
        <v>9</v>
      </c>
      <c r="F244" s="1">
        <f t="shared" si="8"/>
        <v>90</v>
      </c>
    </row>
    <row r="245" spans="2:6">
      <c r="B245" s="1" t="s">
        <v>267</v>
      </c>
      <c r="C245" s="1" t="s">
        <v>268</v>
      </c>
      <c r="D245" s="1">
        <v>3036</v>
      </c>
      <c r="E245" s="1">
        <v>27</v>
      </c>
      <c r="F245" s="1">
        <f t="shared" si="8"/>
        <v>270</v>
      </c>
    </row>
    <row r="246" spans="2:6">
      <c r="B246" s="1" t="s">
        <v>269</v>
      </c>
      <c r="C246" s="1" t="s">
        <v>270</v>
      </c>
      <c r="D246" s="1">
        <v>3037</v>
      </c>
      <c r="E246" s="1">
        <v>0.12</v>
      </c>
      <c r="F246" s="1">
        <f t="shared" si="8"/>
        <v>1.2</v>
      </c>
    </row>
  </sheetData>
  <mergeCells count="29">
    <mergeCell ref="A3:A8"/>
    <mergeCell ref="A9:A21"/>
    <mergeCell ref="A22:A23"/>
    <mergeCell ref="A25:A45"/>
    <mergeCell ref="A46:A78"/>
    <mergeCell ref="A79:A99"/>
    <mergeCell ref="A100:A110"/>
    <mergeCell ref="A122:A135"/>
    <mergeCell ref="A136:A146"/>
    <mergeCell ref="A147:A152"/>
    <mergeCell ref="A159:A234"/>
    <mergeCell ref="B31:B33"/>
    <mergeCell ref="B34:B36"/>
    <mergeCell ref="B37:B39"/>
    <mergeCell ref="B40:B42"/>
    <mergeCell ref="B85:B87"/>
    <mergeCell ref="B88:B90"/>
    <mergeCell ref="B91:B93"/>
    <mergeCell ref="B94:B96"/>
    <mergeCell ref="B148:B152"/>
    <mergeCell ref="B159:B167"/>
    <mergeCell ref="B168:B176"/>
    <mergeCell ref="B177:B185"/>
    <mergeCell ref="B186:B194"/>
    <mergeCell ref="B195:B203"/>
    <mergeCell ref="B204:B212"/>
    <mergeCell ref="B213:B221"/>
    <mergeCell ref="B222:B230"/>
    <mergeCell ref="B231:B23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资源定价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2026-07-03T07:41:00Z</dcterms:created>
  <dcterms:modified xsi:type="dcterms:W3CDTF">2026-08-21T07:05:30Z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B84D2675C20E4CB8A74DD4CB1C3B7C48_12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