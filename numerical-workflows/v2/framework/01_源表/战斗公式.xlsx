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1_源表\"/>
    </mc:Choice>
  </mc:AlternateContent>
  <bookViews>
    <workbookView windowWidth="27945" windowHeight="12375" firstSheet="1" activeTab="2"/>
  </bookViews>
  <sheets>
    <sheet name="战斗公式" sheetId="1" r:id="rId1"/>
    <sheet name="预计投放属性数值" sheetId="6" r:id="rId2"/>
    <sheet name="怪物标准模型" sheetId="7" r:id="rId3"/>
    <sheet name="技能系数" sheetId="8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<sst xmlns="http://schemas.openxmlformats.org/spreadsheetml/2006/main" count="364" uniqueCount="236">
  <si>
    <t>战斗计算规则</t>
  </si>
  <si>
    <t>攻击行为</t>
  </si>
  <si>
    <t>流程1</t>
  </si>
  <si>
    <t>每次攻击先判定是否命中</t>
  </si>
  <si>
    <t>命中概率为=（攻击者命中 - 受击者闪避）， 如果数值大于等于1则必然命中，数值小于等于X则取最小命中概率X，在0-1之间随机，X为10%</t>
  </si>
  <si>
    <t>技能未命中的情况默认不触发后续机制，除非有特殊说明</t>
  </si>
  <si>
    <t>流程2</t>
  </si>
  <si>
    <t>进行伤害类型的判断</t>
  </si>
  <si>
    <t>真实伤害</t>
  </si>
  <si>
    <t>不进行伤害公式计算，不受护盾影响，直接扣除给定数值的生命（百分比or固定值）</t>
  </si>
  <si>
    <t>物理伤害or魔法伤害</t>
  </si>
  <si>
    <t>走以下伤害数值的计算</t>
  </si>
  <si>
    <t>流程3</t>
  </si>
  <si>
    <t>计算初步伤害数值</t>
  </si>
  <si>
    <t>伤害基数=带入伤害公式的数值，在子弹或攻击组件中计算得出</t>
  </si>
  <si>
    <t>物理伤害/魔法伤害取决于伤害组件的配置，公式相同，作为逻辑标签使用</t>
  </si>
  <si>
    <t>伤害=伤害基数*[（1-(受击者 防御*（1 - 攻击者 无视防御）/【(受击者 防御 *（1- 攻击者 无视防御）+X)】，X为常数根据需求调整（可配置在全局表中），最低伤害保底：伤害基数 * 5%</t>
  </si>
  <si>
    <t>X的值为</t>
  </si>
  <si>
    <t>流程4</t>
  </si>
  <si>
    <t>判断是否暴击</t>
  </si>
  <si>
    <t>由攻击者 暴击率 属性决定 ，数值大于等于1必暴击，数值小于等于0必不暴击</t>
  </si>
  <si>
    <t>命中后判定暴击</t>
  </si>
  <si>
    <t>如果勾选必定暴击，则判断为暴击，如果没勾选，则进行随机</t>
  </si>
  <si>
    <t>如果暴击</t>
  </si>
  <si>
    <t>暴击伤害 = 伤害 * 攻击者暴击伤害</t>
  </si>
  <si>
    <t>流程5</t>
  </si>
  <si>
    <t>判断是否格挡</t>
  </si>
  <si>
    <t>如果既格挡又暴击，则在表现上只显示格挡</t>
  </si>
  <si>
    <t>由攻击者 破击率 属性决定和防御者格挡率决定是否触发格挡</t>
  </si>
  <si>
    <t>格挡概率=受击者格挡率-攻击者破击率，最低为0，最高为1</t>
  </si>
  <si>
    <t>如果格挡</t>
  </si>
  <si>
    <t>格挡后伤害=计算暴击后的伤害*(1-基础格挡伤害X-格挡强度）</t>
  </si>
  <si>
    <t>X</t>
  </si>
  <si>
    <t>格挡强度∈【0,1】</t>
  </si>
  <si>
    <t>举例</t>
  </si>
  <si>
    <t>受击者的格挡强度为20%，受击者计算完暴击后，应该受到的伤害为1000，此时触发了格挡</t>
  </si>
  <si>
    <t>触发格挡后，受到的伤害为1000*（1-50-20%）=300</t>
  </si>
  <si>
    <t>流程6</t>
  </si>
  <si>
    <t>计算最终伤害</t>
  </si>
  <si>
    <t>最终伤害 =</t>
  </si>
  <si>
    <t>计算完暴击、格挡后伤害 *（1+ 攻击者 伤害加成）*（1 - 受击者 伤害减免）*（1 + 受击者受到伤害增加）*（1+ 攻击者 玩法伤害加成）*（1 - 受击者 玩法伤害减免）</t>
  </si>
  <si>
    <t>所有类型的伤害加成的乘区相同</t>
  </si>
  <si>
    <t>例如：A角色拥有10%伤害增加，20%单体伤害增加，30%群体伤害增加，40%技能伤害增加，50%必杀伤害增加，60%的物理伤害增加和70%的魔法伤害增加</t>
  </si>
  <si>
    <t>那么他放单体物理技能时的伤害增加值为10%+20%+40%+60%=130%</t>
  </si>
  <si>
    <t>那么他放群体魔法必杀时的伤害增加值为10%+30%+50%+70%=160%</t>
  </si>
  <si>
    <t>公式中 受击者 伤害减免属性 计算结果 最大不超过X%，X为75</t>
  </si>
  <si>
    <t>最终伤害数值保底为X,X为1</t>
  </si>
  <si>
    <t>物理伤害或魔法伤害可被护盾吸收，优先扣除护盾值，再扣除生命</t>
  </si>
  <si>
    <t>加血行为</t>
  </si>
  <si>
    <t>治疗or恢复 的标签 取决于治疗组件的配置，公式相同，作为逻辑标签使用</t>
  </si>
  <si>
    <t>加血数值 = 加血基数 * （ 1 + 治疗者 治疗加成 + 被治疗者 受治疗加成） 计算结果保底为 1</t>
  </si>
  <si>
    <t>如果是治疗标签，则要判定是否暴击，恢复标签不会暴击</t>
  </si>
  <si>
    <t>设计预期治疗可以投固定值，恢复则是百分比</t>
  </si>
  <si>
    <t>由治疗者 暴击率 属性决定 ，数值大于等于1必暴击，数值小于等于0必不暴击，在0-1之间随机</t>
  </si>
  <si>
    <t>如果暴击 加血数值 = 加血数值 * 治疗者 暴击伤害 计算结果保底为 1</t>
  </si>
  <si>
    <t>护盾行为</t>
  </si>
  <si>
    <t>释放盾牌or加护盾</t>
  </si>
  <si>
    <t>均不用判定是否暴击</t>
  </si>
  <si>
    <t>护盾数值=护盾基数*（ 1 + 护盾释放者 施加护盾加成 + 护盾受到者 受到护盾加成）</t>
  </si>
  <si>
    <t>盾牌血量数值=盾牌血量基数*（ 1 + 盾牌释放者 释放盾牌加成）</t>
  </si>
  <si>
    <t>角色基础属性拍定</t>
  </si>
  <si>
    <t>生命</t>
  </si>
  <si>
    <t>攻击</t>
  </si>
  <si>
    <t>防御</t>
  </si>
  <si>
    <t>基础属性比例</t>
  </si>
  <si>
    <t>角色基础属性投放预计</t>
  </si>
  <si>
    <t>裸体属性</t>
  </si>
  <si>
    <t>额外属性</t>
  </si>
  <si>
    <t>初始属性</t>
  </si>
  <si>
    <t>升级属性</t>
  </si>
  <si>
    <t>升阶属性</t>
  </si>
  <si>
    <t>星盘属性</t>
  </si>
  <si>
    <t>收容物属性</t>
  </si>
  <si>
    <t>旅券</t>
  </si>
  <si>
    <t>主角装备属性</t>
  </si>
  <si>
    <t>房车养成</t>
  </si>
  <si>
    <t>基础属性投放系数</t>
  </si>
  <si>
    <t>裸体总和</t>
  </si>
  <si>
    <t>额外总和</t>
  </si>
  <si>
    <t>角色基础裸体属性</t>
  </si>
  <si>
    <t>角色额外属性</t>
  </si>
  <si>
    <t>角色总属性</t>
  </si>
  <si>
    <t>战斗系数组成</t>
  </si>
  <si>
    <t>普攻</t>
  </si>
  <si>
    <t>/s</t>
  </si>
  <si>
    <t>必杀</t>
  </si>
  <si>
    <t>技能</t>
  </si>
  <si>
    <t>总和</t>
  </si>
  <si>
    <t>boss对战能量上限</t>
  </si>
  <si>
    <t>必杀能量上限</t>
  </si>
  <si>
    <t>必杀回复速度</t>
  </si>
  <si>
    <t>技能释放间隔</t>
  </si>
  <si>
    <t>s</t>
  </si>
  <si>
    <t>技能系数</t>
  </si>
  <si>
    <t>技能数量</t>
  </si>
  <si>
    <t>单个技能系数</t>
  </si>
  <si>
    <t>技能系数拆分</t>
  </si>
  <si>
    <t>技能、能效</t>
  </si>
  <si>
    <t>必杀系数</t>
  </si>
  <si>
    <t>秒伤害系数</t>
  </si>
  <si>
    <t>伤害占比</t>
  </si>
  <si>
    <t>普攻伤害</t>
  </si>
  <si>
    <t>技能伤害</t>
  </si>
  <si>
    <t>额外效果提升比例</t>
  </si>
  <si>
    <t>升星天赋</t>
  </si>
  <si>
    <t>专武技能/天赋</t>
  </si>
  <si>
    <t>旅券技能</t>
  </si>
  <si>
    <t>主角装备技能</t>
  </si>
  <si>
    <t>星盘天赋</t>
  </si>
  <si>
    <t>天赋总提升</t>
  </si>
  <si>
    <t>无升星天赋提升</t>
  </si>
  <si>
    <t>额外</t>
  </si>
  <si>
    <t>初始</t>
  </si>
  <si>
    <t>二级属性投放总量</t>
  </si>
  <si>
    <t>暴击率</t>
  </si>
  <si>
    <t>暴击伤害</t>
  </si>
  <si>
    <t>攻击力百分比</t>
  </si>
  <si>
    <t>普攻速度提升</t>
  </si>
  <si>
    <t>40秒伤害</t>
  </si>
  <si>
    <t>提升比例</t>
  </si>
  <si>
    <t>冷却缩减</t>
  </si>
  <si>
    <t>增伤乘区预计投放值</t>
  </si>
  <si>
    <t>战斗中额外乘区</t>
  </si>
  <si>
    <t>暴击乘区</t>
  </si>
  <si>
    <t>攻击力乘区</t>
  </si>
  <si>
    <t>普攻乘区</t>
  </si>
  <si>
    <t>必杀乘区</t>
  </si>
  <si>
    <t>增伤乘区</t>
  </si>
  <si>
    <t>技能乘区</t>
  </si>
  <si>
    <t>战中额外总乘区</t>
  </si>
  <si>
    <t>MAX单体每秒伤害</t>
  </si>
  <si>
    <t>5人每秒伤害</t>
  </si>
  <si>
    <t>怪物标准模型等级</t>
  </si>
  <si>
    <t>普攻系数倍率</t>
  </si>
  <si>
    <t>技能系数倍率</t>
  </si>
  <si>
    <t>必杀系数倍率</t>
  </si>
  <si>
    <t>战斗支持倍率</t>
  </si>
  <si>
    <t>人数系数</t>
  </si>
  <si>
    <t>攻击系数修正</t>
  </si>
  <si>
    <t>BOSS生命系数修正</t>
  </si>
  <si>
    <t>小怪生命系数修正</t>
  </si>
  <si>
    <t>小怪攻击系数修正</t>
  </si>
  <si>
    <t>最低</t>
  </si>
  <si>
    <t>最高</t>
  </si>
  <si>
    <t>曲率</t>
  </si>
  <si>
    <t>普通怪</t>
  </si>
  <si>
    <t>普通盾怪</t>
  </si>
  <si>
    <t>2级普通怪</t>
  </si>
  <si>
    <t>站桩怪</t>
  </si>
  <si>
    <t>炮灰怪</t>
  </si>
  <si>
    <t>精英怪</t>
  </si>
  <si>
    <t>精英盾怪</t>
  </si>
  <si>
    <t>BOSS</t>
  </si>
  <si>
    <t>装备副本BOSS</t>
  </si>
  <si>
    <t>小怪</t>
  </si>
  <si>
    <t>TTK时间</t>
  </si>
  <si>
    <t>裸体基础属性</t>
  </si>
  <si>
    <t>额外基础属性</t>
  </si>
  <si>
    <t>基础属性百分比</t>
  </si>
  <si>
    <t>算百分比后基础</t>
  </si>
  <si>
    <t>生命放大倍率</t>
  </si>
  <si>
    <t>最终基础属性</t>
  </si>
  <si>
    <t>单位秒，最终基础属性</t>
  </si>
  <si>
    <t>等级</t>
  </si>
  <si>
    <t>无必杀增伤倍率</t>
  </si>
  <si>
    <t>有必杀增伤倍率</t>
  </si>
  <si>
    <t>减伤率</t>
  </si>
  <si>
    <t>ehp</t>
  </si>
  <si>
    <t>无必杀TTK（单位/秒）</t>
  </si>
  <si>
    <t>TTK（单位/秒）</t>
  </si>
  <si>
    <t>技能系数计算</t>
  </si>
  <si>
    <t>拆分系数</t>
  </si>
  <si>
    <t>品质系数</t>
  </si>
  <si>
    <t>攻血比</t>
  </si>
  <si>
    <t>技能当前品质</t>
  </si>
  <si>
    <t>SSR</t>
  </si>
  <si>
    <t>单体伤害</t>
  </si>
  <si>
    <t>基础技能系数</t>
  </si>
  <si>
    <t>R</t>
  </si>
  <si>
    <t>血量</t>
  </si>
  <si>
    <t>单体系数</t>
  </si>
  <si>
    <t>基础冷却时间</t>
  </si>
  <si>
    <t>SR</t>
  </si>
  <si>
    <t>实际冷却时间</t>
  </si>
  <si>
    <t>攻速</t>
  </si>
  <si>
    <t>最终技能系数</t>
  </si>
  <si>
    <t>伤害系数</t>
  </si>
  <si>
    <t>普攻基础系数</t>
  </si>
  <si>
    <t>必杀基础系数</t>
  </si>
  <si>
    <t>穿透子弹</t>
  </si>
  <si>
    <t>穿透子弹系数</t>
  </si>
  <si>
    <t>跟踪子弹</t>
  </si>
  <si>
    <t>普攻、必杀系数</t>
  </si>
  <si>
    <t>跟踪子弹系数</t>
  </si>
  <si>
    <t>%/</t>
  </si>
  <si>
    <t>%</t>
  </si>
  <si>
    <t>AOE子弹</t>
  </si>
  <si>
    <t>AOE系数</t>
  </si>
  <si>
    <t>标准范围半径</t>
  </si>
  <si>
    <t>实际范围半径（标准倍数）</t>
  </si>
  <si>
    <t>衰减系数</t>
  </si>
  <si>
    <t>DOT</t>
  </si>
  <si>
    <t>DOT系数</t>
  </si>
  <si>
    <t>DOT持续时间</t>
  </si>
  <si>
    <t>DOT标准持续时间</t>
  </si>
  <si>
    <t>DOT持续系数</t>
  </si>
  <si>
    <t>DOT标准最大层数</t>
  </si>
  <si>
    <t>DOT最大层数</t>
  </si>
  <si>
    <t>DOT最大层数系数</t>
  </si>
  <si>
    <t>DOT单层系数</t>
  </si>
  <si>
    <t>回血</t>
  </si>
  <si>
    <t>回血系数</t>
  </si>
  <si>
    <t>回血人数</t>
  </si>
  <si>
    <t>标准回血人数</t>
  </si>
  <si>
    <t>人数衰减系数</t>
  </si>
  <si>
    <t>最终回血系数</t>
  </si>
  <si>
    <t>护盾</t>
  </si>
  <si>
    <t>护盾系数</t>
  </si>
  <si>
    <t>护盾人数</t>
  </si>
  <si>
    <t>标准护盾人数</t>
  </si>
  <si>
    <t>护盾持续时间</t>
  </si>
  <si>
    <t>护盾持续上限</t>
  </si>
  <si>
    <t>护盾持续下限</t>
  </si>
  <si>
    <t>最终持续时间</t>
  </si>
  <si>
    <t>标准护盾持续时间</t>
  </si>
  <si>
    <t>时间衰减系数</t>
  </si>
  <si>
    <t>最终护盾系数</t>
  </si>
  <si>
    <t>眩晕</t>
  </si>
  <si>
    <t>控制系数</t>
  </si>
  <si>
    <t>标准控制秒数</t>
  </si>
  <si>
    <t>控制人数</t>
  </si>
  <si>
    <t>标准控制人数</t>
  </si>
  <si>
    <t>控制人数系数</t>
  </si>
  <si>
    <t>实际控制秒数</t>
  </si>
  <si>
    <t>冰冻</t>
  </si>
  <si>
    <t>沉默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</si>
</sst>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63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9" borderId="9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0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8" fillId="0" borderId="0">
      <alignment vertical="center"/>
    </xf>
    <xf numFmtId="0" fontId="19" fillId="10" borderId="12">
      <alignment vertical="center"/>
    </xf>
    <xf numFmtId="0" fontId="20" fillId="11" borderId="13">
      <alignment vertical="center"/>
    </xf>
    <xf numFmtId="0" fontId="21" fillId="11" borderId="12">
      <alignment vertical="center"/>
    </xf>
    <xf numFmtId="0" fontId="22" fillId="12" borderId="14">
      <alignment vertical="center"/>
    </xf>
    <xf numFmtId="0" fontId="23" fillId="0" borderId="15">
      <alignment vertical="center"/>
    </xf>
    <xf numFmtId="0" fontId="24" fillId="0" borderId="16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</cellStyleXfs>
  <cellXfs count="5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9" fontId="1" fillId="2" borderId="0" xfId="3" applyNumberFormat="1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9" fontId="1" fillId="0" borderId="0" xfId="3" applyFont="1" applyAlignment="1">
      <alignment vertical="center"/>
    </xf>
    <xf numFmtId="9" fontId="1" fillId="0" borderId="0" xfId="0" applyNumberFormat="1" applyFont="1" applyAlignment="1">
      <alignment vertical="center"/>
    </xf>
    <xf numFmtId="176" fontId="1" fillId="0" borderId="0" xfId="3" applyNumberFormat="1" applyFont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9" fontId="1" fillId="0" borderId="3" xfId="0" applyNumberFormat="1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6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9" fontId="1" fillId="3" borderId="0" xfId="0" applyNumberFormat="1" applyFont="1" applyFill="1" applyAlignment="1">
      <alignment vertical="center"/>
    </xf>
    <xf numFmtId="176" fontId="1" fillId="2" borderId="0" xfId="3" applyNumberFormat="1" applyFont="1" applyFill="1" applyAlignment="1">
      <alignment vertical="center"/>
    </xf>
    <xf numFmtId="0" fontId="1" fillId="0" borderId="6" xfId="0" applyFont="1" applyBorder="1" applyAlignment="1">
      <alignment vertical="center"/>
    </xf>
    <xf numFmtId="176" fontId="1" fillId="3" borderId="7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8" xfId="0" applyFont="1" applyBorder="1" applyAlignment="1"/>
    <xf numFmtId="9" fontId="4" fillId="2" borderId="8" xfId="0" applyNumberFormat="1" applyFont="1" applyFill="1" applyBorder="1" applyAlignment="1">
      <alignment horizontal="right"/>
    </xf>
    <xf numFmtId="9" fontId="1" fillId="3" borderId="0" xfId="3" applyFont="1" applyFill="1" applyAlignment="1">
      <alignment vertical="center"/>
    </xf>
    <xf numFmtId="0" fontId="4" fillId="0" borderId="8" xfId="0" applyFont="1" applyBorder="1" applyAlignment="1">
      <alignment horizontal="center"/>
    </xf>
    <xf numFmtId="9" fontId="1" fillId="3" borderId="0" xfId="3" applyNumberFormat="1" applyFont="1" applyFill="1" applyAlignment="1">
      <alignment vertical="center"/>
    </xf>
    <xf numFmtId="176" fontId="1" fillId="0" borderId="0" xfId="3" applyNumberFormat="1" applyFont="1" applyAlignment="1">
      <alignment horizontal="center" vertical="center"/>
    </xf>
    <xf numFmtId="0" fontId="1" fillId="0" borderId="8" xfId="0" applyFont="1" applyBorder="1" applyAlignment="1"/>
    <xf numFmtId="9" fontId="1" fillId="2" borderId="0" xfId="0" applyNumberFormat="1" applyFont="1" applyFill="1" applyAlignment="1">
      <alignment vertical="center"/>
    </xf>
    <xf numFmtId="177" fontId="1" fillId="0" borderId="0" xfId="0" applyNumberFormat="1" applyFont="1" applyAlignment="1">
      <alignment vertical="center"/>
    </xf>
    <xf numFmtId="178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0" borderId="8" xfId="0" applyFont="1" applyBorder="1" applyAlignment="1">
      <alignment horizontal="left"/>
    </xf>
    <xf numFmtId="0" fontId="6" fillId="3" borderId="8" xfId="0" applyFont="1" applyFill="1" applyBorder="1" applyAlignment="1"/>
    <xf numFmtId="0" fontId="6" fillId="0" borderId="8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0" xfId="0" applyFont="1" applyAlignment="1"/>
    <xf numFmtId="9" fontId="1" fillId="2" borderId="0" xfId="0" applyNumberFormat="1" applyFont="1" applyFill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10" fillId="3" borderId="8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68;&#20540;&#25991;&#26723;\&#25968;&#20540;&#25991;&#26723;\Vgame&#22522;&#26412;&#25112;&#26007;&#26694;&#2655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战斗属性"/>
      <sheetName val="战斗公式"/>
      <sheetName val="标准模型"/>
      <sheetName val="怪物标准模型"/>
      <sheetName val="技能系数"/>
      <sheetName val="Boss技能系数"/>
      <sheetName val="草稿-技能系数公式"/>
      <sheetName val="怪物标准模型-可视版"/>
      <sheetName val="怪物标准模型趋势"/>
      <sheetName val="玩家战力曲线"/>
      <sheetName val="参考-养成属性规划（从养成属性复制）"/>
      <sheetName val="主角等级（从新手引导复制） "/>
      <sheetName val="玩家等级对应关卡（从新手节奏复制）"/>
      <sheetName val="爬塔难度线"/>
      <sheetName val="玩法难度线"/>
      <sheetName val="无限挑战难度线"/>
    </sheetNames>
    <sheetDataSet>
      <sheetData sheetId="0"/>
      <sheetData sheetId="1">
        <row r="27">
          <cell r="M27">
            <v>24000</v>
          </cell>
        </row>
      </sheetData>
      <sheetData sheetId="2">
        <row r="63">
          <cell r="J63">
            <v>1</v>
          </cell>
        </row>
        <row r="65">
          <cell r="I65">
            <v>3.6</v>
          </cell>
        </row>
        <row r="81">
          <cell r="H81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86"/>
  <sheetViews>
    <sheetView topLeftCell="A33" workbookViewId="0">
      <selection activeCell="B55" sqref="B55:O55"/>
    </sheetView>
  </sheetViews>
  <sheetFormatPr defaultColWidth="9" defaultRowHeight="16.5"/>
  <cols>
    <col min="1" max="1" width="10.5" style="1" customWidth="1"/>
    <col min="2" max="2" width="11.75" style="1" customWidth="1"/>
    <col min="3" max="16384" width="9" style="1" customWidth="1"/>
  </cols>
  <sheetData>
    <row r="3" s="1" customFormat="1" ht="24.75" customHeight="1" spans="1:3">
      <c r="B3" s="44" t="s">
        <v>0</v>
      </c>
    </row>
    <row r="5" s="43" customFormat="1" ht="21" customHeight="1" spans="1:3">
      <c r="B5" s="45" t="s">
        <v>1</v>
      </c>
    </row>
    <row r="7" s="1" customFormat="1" ht="21" customHeight="1" spans="1:3">
      <c r="B7" s="46" t="s">
        <v>2</v>
      </c>
      <c r="C7" s="33" t="s">
        <v>3</v>
      </c>
    </row>
    <row r="9" s="1" customFormat="1" spans="1:3">
      <c r="A9" s="43"/>
      <c r="B9" s="47" t="s">
        <v>4</v>
      </c>
    </row>
    <row r="10" s="1" customFormat="1" spans="1:3">
      <c r="B10" s="33" t="s">
        <v>5</v>
      </c>
    </row>
    <row r="11" s="1" customFormat="1" spans="1:3">
      <c r="B11" s="33"/>
    </row>
    <row r="12" s="1" customFormat="1" spans="1:3">
      <c r="B12" s="33"/>
    </row>
    <row r="13" s="1" customFormat="1" ht="21" customHeight="1" spans="1:3">
      <c r="B13" s="46" t="s">
        <v>6</v>
      </c>
      <c r="C13" s="33" t="s">
        <v>7</v>
      </c>
    </row>
    <row r="15" s="1" customFormat="1" spans="1:3">
      <c r="B15" s="47" t="s">
        <v>8</v>
      </c>
    </row>
    <row r="16" s="1" customFormat="1" spans="1:3">
      <c r="B16" s="33" t="s">
        <v>9</v>
      </c>
    </row>
    <row r="17" s="1" customFormat="1" spans="1:13">
      <c r="B17" s="47"/>
    </row>
    <row r="18" s="1" customFormat="1" spans="1:13">
      <c r="B18" s="47" t="s">
        <v>10</v>
      </c>
    </row>
    <row r="19" s="1" customFormat="1" spans="1:13">
      <c r="B19" s="1" t="s">
        <v>11</v>
      </c>
    </row>
    <row r="21" s="1" customFormat="1" ht="21" customHeight="1" spans="1:13">
      <c r="B21" s="46" t="s">
        <v>12</v>
      </c>
      <c r="C21" s="33" t="s">
        <v>13</v>
      </c>
    </row>
    <row r="22" s="1" customFormat="1" spans="1:13">
      <c r="B22" s="48"/>
    </row>
    <row r="24" s="1" customFormat="1" spans="1:13">
      <c r="B24" s="33" t="s">
        <v>14</v>
      </c>
    </row>
    <row r="25" s="1" customFormat="1" spans="1:13">
      <c r="B25" s="33" t="s">
        <v>15</v>
      </c>
    </row>
    <row r="26" s="1" customFormat="1" spans="1:13">
      <c r="A26" s="43"/>
      <c r="B26" s="47" t="s">
        <v>16</v>
      </c>
    </row>
    <row r="27" s="1" customFormat="1" spans="1:13">
      <c r="B27" s="47"/>
      <c r="L27" s="49" t="s">
        <v>17</v>
      </c>
      <c r="M27" s="28">
        <v>24000</v>
      </c>
    </row>
    <row r="28" s="1" customFormat="1" ht="21" customHeight="1" spans="1:13">
      <c r="B28" s="46" t="s">
        <v>18</v>
      </c>
      <c r="C28" s="33" t="s">
        <v>19</v>
      </c>
    </row>
    <row r="30" s="1" customFormat="1" spans="1:13">
      <c r="B30" s="33" t="s">
        <v>20</v>
      </c>
    </row>
    <row r="31" s="1" customFormat="1" spans="1:13">
      <c r="B31" s="33" t="s">
        <v>21</v>
      </c>
    </row>
    <row r="32" s="1" customFormat="1" spans="1:13">
      <c r="B32" s="33" t="s">
        <v>22</v>
      </c>
    </row>
    <row r="33" s="1" customFormat="1" spans="2:15">
      <c r="B33" s="50" t="s">
        <v>23</v>
      </c>
    </row>
    <row r="34" s="1" customFormat="1" spans="2:15">
      <c r="B34" s="47" t="s">
        <v>24</v>
      </c>
    </row>
    <row r="35" s="1" customFormat="1" spans="2:15">
      <c r="B35" s="51"/>
    </row>
    <row r="36" s="1" customFormat="1" spans="2:15">
      <c r="B36" s="51"/>
    </row>
    <row r="37" s="1" customFormat="1" ht="21" customHeight="1" spans="2:15">
      <c r="B37" s="46" t="s">
        <v>25</v>
      </c>
      <c r="C37" s="33" t="s">
        <v>26</v>
      </c>
      <c r="E37" s="1" t="s">
        <v>27</v>
      </c>
    </row>
    <row r="39" s="1" customFormat="1" spans="2:15">
      <c r="B39" s="33" t="s">
        <v>28</v>
      </c>
    </row>
    <row r="40" s="1" customFormat="1" spans="2:15">
      <c r="B40" s="1" t="s">
        <v>29</v>
      </c>
    </row>
    <row r="41" s="1" customFormat="1" spans="2:15">
      <c r="B41" s="47" t="s">
        <v>30</v>
      </c>
    </row>
    <row r="42" s="1" customFormat="1" spans="2:15">
      <c r="B42" s="47" t="s">
        <v>31</v>
      </c>
    </row>
    <row r="43" s="1" customFormat="1" spans="2:15">
      <c r="D43" s="49" t="s">
        <v>32</v>
      </c>
      <c r="E43" s="52">
        <v>0.5</v>
      </c>
    </row>
    <row r="44" s="1" customFormat="1" spans="2:15">
      <c r="D44" s="1" t="s">
        <v>33</v>
      </c>
    </row>
    <row r="45" s="1" customFormat="1" spans="2:15">
      <c r="B45" s="51" t="s">
        <v>34</v>
      </c>
    </row>
    <row r="46" s="1" customFormat="1" spans="2:15">
      <c r="B46" s="51" t="s">
        <v>35</v>
      </c>
      <c r="M46" s="6"/>
      <c r="O46" s="6"/>
    </row>
    <row r="47" s="1" customFormat="1" spans="2:15">
      <c r="B47" s="51" t="s">
        <v>36</v>
      </c>
    </row>
    <row r="48" s="1" customFormat="1" spans="2:15">
      <c r="B48" s="51"/>
    </row>
    <row r="49" s="1" customFormat="1" spans="1:3">
      <c r="B49" s="51"/>
    </row>
    <row r="50" s="1" customFormat="1" spans="1:3">
      <c r="B50" s="51"/>
    </row>
    <row r="51" s="1" customFormat="1" spans="1:3">
      <c r="B51" s="51"/>
    </row>
    <row r="53" s="1" customFormat="1" ht="21" customHeight="1" spans="1:3">
      <c r="B53" s="46" t="s">
        <v>37</v>
      </c>
      <c r="C53" s="1" t="s">
        <v>38</v>
      </c>
    </row>
    <row r="54" s="1" customFormat="1" spans="1:3">
      <c r="B54" s="47" t="s">
        <v>39</v>
      </c>
    </row>
    <row r="55" s="1" customFormat="1" spans="1:3">
      <c r="B55" s="25" t="s">
        <v>40</v>
      </c>
    </row>
    <row r="56" s="1" customFormat="1" spans="1:3">
      <c r="B56" s="25"/>
    </row>
    <row r="58" s="1" customFormat="1" spans="1:3">
      <c r="A58" s="43"/>
      <c r="B58" s="53" t="s">
        <v>41</v>
      </c>
    </row>
    <row r="59" s="1" customFormat="1" spans="1:3">
      <c r="B59" s="1" t="s">
        <v>42</v>
      </c>
    </row>
    <row r="60" s="1" customFormat="1" spans="1:3">
      <c r="B60" s="1" t="s">
        <v>43</v>
      </c>
    </row>
    <row r="61" s="1" customFormat="1" spans="1:3">
      <c r="B61" s="1" t="s">
        <v>44</v>
      </c>
    </row>
    <row r="63" s="1" customFormat="1" spans="1:3">
      <c r="B63" s="53" t="s">
        <v>45</v>
      </c>
    </row>
    <row r="64" s="1" customFormat="1" spans="1:3">
      <c r="B64" s="47" t="s">
        <v>46</v>
      </c>
    </row>
    <row r="65" s="1" customFormat="1" spans="2:12">
      <c r="B65" s="47" t="s">
        <v>47</v>
      </c>
    </row>
    <row r="67" s="1" customFormat="1" spans="2:12">
      <c r="B67" s="51"/>
    </row>
    <row r="70" s="43" customFormat="1" ht="21" customHeight="1" spans="2:12">
      <c r="B70" s="54" t="s">
        <v>48</v>
      </c>
    </row>
    <row r="72" s="1" customFormat="1" spans="2:12">
      <c r="B72" s="33" t="s">
        <v>49</v>
      </c>
    </row>
    <row r="73" s="1" customFormat="1" spans="2:12">
      <c r="B73" s="53" t="s">
        <v>50</v>
      </c>
    </row>
    <row r="74" s="1" customFormat="1" spans="2:12">
      <c r="B74" s="48"/>
    </row>
    <row r="75" s="1" customFormat="1" spans="2:12">
      <c r="B75" s="48" t="s">
        <v>51</v>
      </c>
      <c r="L75" s="1" t="s">
        <v>52</v>
      </c>
    </row>
    <row r="76" s="1" customFormat="1" spans="2:12">
      <c r="B76" s="47" t="s">
        <v>53</v>
      </c>
    </row>
    <row r="77" s="1" customFormat="1" spans="2:12">
      <c r="B77" s="47" t="s">
        <v>54</v>
      </c>
    </row>
    <row r="80" s="43" customFormat="1" ht="21" customHeight="1" spans="2:12">
      <c r="B80" s="54" t="s">
        <v>55</v>
      </c>
    </row>
    <row r="82" s="1" customFormat="1" spans="2:4">
      <c r="B82" s="1" t="s">
        <v>56</v>
      </c>
      <c r="D82" s="25" t="s">
        <v>57</v>
      </c>
    </row>
    <row r="84" s="1" customFormat="1" spans="2:4">
      <c r="B84" s="25" t="s">
        <v>58</v>
      </c>
    </row>
    <row r="86" s="1" customFormat="1" spans="2:4">
      <c r="B86" s="25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83"/>
  <sheetViews>
    <sheetView workbookViewId="0">
      <selection activeCell="H20" sqref="H20"/>
    </sheetView>
  </sheetViews>
  <sheetFormatPr defaultColWidth="9" defaultRowHeight="16.5"/>
  <cols>
    <col min="1" max="1" width="17.125" style="1" customWidth="1"/>
    <col min="2" max="2" width="23.25" style="1" customWidth="1"/>
    <col min="3" max="3" width="13.625" style="1" customWidth="1"/>
    <col min="4" max="4" width="14.875" style="1" customWidth="1"/>
    <col min="5" max="5" width="13.125" style="1" customWidth="1"/>
    <col min="6" max="6" width="13.25" style="1" customWidth="1"/>
    <col min="7" max="7" width="9" style="1"/>
    <col min="8" max="8" width="17.75" style="1" customWidth="1"/>
    <col min="9" max="9" width="12.875" style="1" customWidth="1"/>
    <col min="10" max="16384" width="9" style="1"/>
  </cols>
  <sheetData>
    <row r="2" spans="1:9">
      <c r="A2" s="25" t="s">
        <v>60</v>
      </c>
      <c r="B2" s="26" t="s">
        <v>61</v>
      </c>
      <c r="C2" s="26" t="s">
        <v>62</v>
      </c>
      <c r="D2" s="26" t="s">
        <v>63</v>
      </c>
    </row>
    <row r="3" spans="1:9">
      <c r="B3" s="28">
        <v>5000</v>
      </c>
      <c r="C3" s="28">
        <v>1500</v>
      </c>
      <c r="D3" s="28">
        <v>1000</v>
      </c>
    </row>
    <row r="4" spans="1:9">
      <c r="A4" s="1" t="s">
        <v>64</v>
      </c>
      <c r="B4" s="4">
        <v>10</v>
      </c>
      <c r="C4" s="4">
        <v>3</v>
      </c>
      <c r="D4" s="4">
        <v>2</v>
      </c>
    </row>
    <row r="6" spans="1:9">
      <c r="A6" s="25" t="s">
        <v>65</v>
      </c>
    </row>
    <row r="7" spans="1:9">
      <c r="B7" s="29" t="s">
        <v>66</v>
      </c>
      <c r="F7" s="30" t="s">
        <v>67</v>
      </c>
      <c r="G7" s="30"/>
      <c r="H7" s="30"/>
      <c r="I7" s="30"/>
    </row>
    <row r="8" spans="1:9"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</row>
    <row r="9" spans="1:9">
      <c r="A9" s="1" t="s">
        <v>76</v>
      </c>
      <c r="B9" s="31">
        <v>1</v>
      </c>
      <c r="C9" s="31">
        <v>4.2</v>
      </c>
      <c r="D9" s="31">
        <v>1.2</v>
      </c>
      <c r="E9" s="31">
        <v>1.5</v>
      </c>
      <c r="F9" s="31">
        <v>8</v>
      </c>
      <c r="G9" s="31">
        <v>6</v>
      </c>
      <c r="H9" s="31">
        <v>10</v>
      </c>
      <c r="I9" s="31">
        <v>5</v>
      </c>
    </row>
    <row r="11" spans="1:9">
      <c r="B11" s="32" t="s">
        <v>77</v>
      </c>
      <c r="C11" s="32" t="s">
        <v>78</v>
      </c>
    </row>
    <row r="12" spans="1:9">
      <c r="B12" s="32">
        <f>SUM(B9:E9)</f>
        <v>7.9</v>
      </c>
      <c r="C12" s="32">
        <f>SUM(F9:I9)</f>
        <v>29</v>
      </c>
    </row>
    <row r="14" spans="1:9">
      <c r="A14" s="1" t="s">
        <v>79</v>
      </c>
      <c r="B14" s="26" t="s">
        <v>61</v>
      </c>
      <c r="C14" s="26" t="s">
        <v>62</v>
      </c>
      <c r="D14" s="26" t="s">
        <v>63</v>
      </c>
    </row>
    <row r="15" spans="1:9">
      <c r="B15" s="4">
        <f>$B$12*B3</f>
        <v>39500</v>
      </c>
      <c r="C15" s="4">
        <f>$B$12*C3</f>
        <v>11850</v>
      </c>
      <c r="D15" s="4">
        <f>$B$12*D3</f>
        <v>7900</v>
      </c>
    </row>
    <row r="17" spans="1:6">
      <c r="A17" s="1" t="s">
        <v>80</v>
      </c>
      <c r="B17" s="26" t="s">
        <v>61</v>
      </c>
      <c r="C17" s="26" t="s">
        <v>62</v>
      </c>
      <c r="D17" s="26" t="s">
        <v>63</v>
      </c>
    </row>
    <row r="18" spans="1:6">
      <c r="B18" s="4">
        <f>$C$12*B3</f>
        <v>145000</v>
      </c>
      <c r="C18" s="4">
        <f>$C$12*C3</f>
        <v>43500</v>
      </c>
      <c r="D18" s="4">
        <f>$C$12*D3</f>
        <v>29000</v>
      </c>
    </row>
    <row r="19" spans="1:6">
      <c r="B19" s="4"/>
      <c r="C19" s="4"/>
      <c r="D19" s="4"/>
    </row>
    <row r="20" spans="1:6">
      <c r="A20" s="1" t="s">
        <v>81</v>
      </c>
      <c r="B20" s="24" t="s">
        <v>61</v>
      </c>
      <c r="C20" s="24" t="s">
        <v>62</v>
      </c>
      <c r="D20" s="24" t="s">
        <v>63</v>
      </c>
    </row>
    <row r="21" spans="1:6">
      <c r="B21" s="4">
        <f>B15+B18</f>
        <v>184500</v>
      </c>
      <c r="C21" s="4">
        <f>C15*(1+C67)+C18</f>
        <v>98010</v>
      </c>
      <c r="D21" s="4">
        <f>D15+D18</f>
        <v>36900</v>
      </c>
    </row>
    <row r="24" spans="1:6">
      <c r="B24" s="25" t="s">
        <v>82</v>
      </c>
    </row>
    <row r="26" spans="1:6">
      <c r="B26" s="33" t="s">
        <v>83</v>
      </c>
      <c r="C26" s="34">
        <v>1</v>
      </c>
      <c r="D26" s="1" t="s">
        <v>84</v>
      </c>
    </row>
    <row r="27" spans="1:6">
      <c r="B27" s="1" t="s">
        <v>85</v>
      </c>
      <c r="C27" s="34">
        <v>0.55</v>
      </c>
      <c r="D27" s="1" t="s">
        <v>84</v>
      </c>
    </row>
    <row r="28" spans="1:6">
      <c r="B28" s="1" t="s">
        <v>86</v>
      </c>
      <c r="C28" s="34">
        <v>0.4</v>
      </c>
      <c r="D28" s="1" t="s">
        <v>84</v>
      </c>
    </row>
    <row r="29" spans="1:6">
      <c r="B29" s="1" t="s">
        <v>87</v>
      </c>
      <c r="C29" s="34">
        <f>C28+C27+C26</f>
        <v>1.95</v>
      </c>
      <c r="D29" s="1" t="s">
        <v>84</v>
      </c>
    </row>
    <row r="31" spans="1:6">
      <c r="B31" s="1" t="s">
        <v>88</v>
      </c>
      <c r="C31" s="15">
        <v>750</v>
      </c>
    </row>
    <row r="32" spans="1:6">
      <c r="B32" s="1" t="s">
        <v>89</v>
      </c>
      <c r="C32" s="15">
        <v>1000</v>
      </c>
      <c r="D32" s="1" t="s">
        <v>90</v>
      </c>
      <c r="E32" s="15">
        <v>25</v>
      </c>
      <c r="F32" s="1" t="s">
        <v>84</v>
      </c>
    </row>
    <row r="33" spans="1:4">
      <c r="B33" s="1" t="s">
        <v>91</v>
      </c>
      <c r="C33" s="15">
        <v>10</v>
      </c>
      <c r="D33" s="1" t="s">
        <v>92</v>
      </c>
    </row>
    <row r="34" spans="1:4">
      <c r="B34" s="1" t="s">
        <v>93</v>
      </c>
      <c r="C34" s="5">
        <f>C33*C28</f>
        <v>4</v>
      </c>
    </row>
    <row r="35" spans="1:4">
      <c r="B35" s="1" t="s">
        <v>94</v>
      </c>
      <c r="C35" s="15">
        <v>2</v>
      </c>
    </row>
    <row r="36" spans="1:4">
      <c r="B36" s="1" t="s">
        <v>95</v>
      </c>
      <c r="C36" s="35">
        <f>C34/C35</f>
        <v>2</v>
      </c>
    </row>
    <row r="38" spans="1:4">
      <c r="B38" s="25" t="s">
        <v>96</v>
      </c>
    </row>
    <row r="39" spans="1:4">
      <c r="A39" s="4"/>
      <c r="B39" s="36" t="s">
        <v>83</v>
      </c>
      <c r="C39" s="4" t="s">
        <v>85</v>
      </c>
      <c r="D39" s="4" t="s">
        <v>97</v>
      </c>
    </row>
    <row r="40" spans="1:4">
      <c r="A40" s="4">
        <v>1</v>
      </c>
      <c r="B40" s="23">
        <v>0.5</v>
      </c>
      <c r="C40" s="23">
        <v>0.5</v>
      </c>
      <c r="D40" s="23">
        <v>0.5</v>
      </c>
    </row>
    <row r="41" spans="1:4">
      <c r="A41" s="4">
        <v>2</v>
      </c>
      <c r="B41" s="23">
        <v>0.65</v>
      </c>
      <c r="C41" s="23">
        <v>0.65</v>
      </c>
      <c r="D41" s="23">
        <v>0.75</v>
      </c>
    </row>
    <row r="42" spans="1:4">
      <c r="A42" s="4">
        <v>3</v>
      </c>
      <c r="B42" s="23">
        <v>0.8</v>
      </c>
      <c r="C42" s="23">
        <v>0.8</v>
      </c>
      <c r="D42" s="23">
        <v>1</v>
      </c>
    </row>
    <row r="43" spans="1:4">
      <c r="A43" s="4">
        <v>4</v>
      </c>
      <c r="B43" s="23">
        <v>1</v>
      </c>
      <c r="C43" s="23">
        <v>1</v>
      </c>
      <c r="D43" s="4"/>
    </row>
    <row r="46" spans="1:4">
      <c r="B46" s="1" t="s">
        <v>90</v>
      </c>
      <c r="C46" s="1">
        <v>25</v>
      </c>
      <c r="D46" s="1" t="s">
        <v>84</v>
      </c>
    </row>
    <row r="47" spans="1:4">
      <c r="B47" s="25" t="s">
        <v>98</v>
      </c>
      <c r="C47" s="37">
        <f>C31/E32*C27</f>
        <v>16.5</v>
      </c>
    </row>
    <row r="49" spans="2:5">
      <c r="B49" s="15">
        <v>40</v>
      </c>
      <c r="C49" s="1" t="s">
        <v>99</v>
      </c>
      <c r="D49" s="24" t="s">
        <v>100</v>
      </c>
    </row>
    <row r="50" spans="2:5">
      <c r="B50" s="33" t="s">
        <v>101</v>
      </c>
      <c r="C50" s="5">
        <f>$B$49*C26</f>
        <v>40</v>
      </c>
      <c r="D50" s="38">
        <f>C50/$C$53</f>
        <v>0.512820512820513</v>
      </c>
    </row>
    <row r="51" spans="2:5">
      <c r="B51" s="25" t="s">
        <v>98</v>
      </c>
      <c r="C51" s="5">
        <f>$B$49*C27</f>
        <v>22</v>
      </c>
      <c r="D51" s="38">
        <f>C51/$C$53</f>
        <v>0.282051282051282</v>
      </c>
    </row>
    <row r="52" spans="2:5">
      <c r="B52" s="33" t="s">
        <v>102</v>
      </c>
      <c r="C52" s="5">
        <f>$B$49*C28</f>
        <v>16</v>
      </c>
      <c r="D52" s="38">
        <f>C52/$C$53</f>
        <v>0.205128205128205</v>
      </c>
    </row>
    <row r="53" spans="2:5">
      <c r="C53" s="5">
        <f>SUM(C50:C52)</f>
        <v>78</v>
      </c>
    </row>
    <row r="55" spans="2:5">
      <c r="B55" s="1" t="s">
        <v>103</v>
      </c>
      <c r="C55" s="39" t="s">
        <v>104</v>
      </c>
      <c r="D55" s="40">
        <v>0.5</v>
      </c>
      <c r="E55" s="1">
        <f t="shared" ref="E55:E59" si="0">D55+1</f>
        <v>1.5</v>
      </c>
    </row>
    <row r="56" spans="2:5">
      <c r="C56" s="39" t="s">
        <v>105</v>
      </c>
      <c r="D56" s="40">
        <v>0</v>
      </c>
      <c r="E56" s="1">
        <f t="shared" si="0"/>
        <v>1</v>
      </c>
    </row>
    <row r="57" spans="2:5">
      <c r="C57" s="39" t="s">
        <v>106</v>
      </c>
      <c r="D57" s="40">
        <v>0</v>
      </c>
      <c r="E57" s="1">
        <f t="shared" si="0"/>
        <v>1</v>
      </c>
    </row>
    <row r="58" spans="2:5">
      <c r="C58" s="39" t="s">
        <v>107</v>
      </c>
      <c r="D58" s="40">
        <v>0</v>
      </c>
      <c r="E58" s="1">
        <f t="shared" si="0"/>
        <v>1</v>
      </c>
    </row>
    <row r="59" spans="2:5">
      <c r="C59" s="39" t="s">
        <v>108</v>
      </c>
      <c r="D59" s="40">
        <v>0.2</v>
      </c>
      <c r="E59" s="1">
        <f t="shared" si="0"/>
        <v>1.2</v>
      </c>
    </row>
    <row r="60" spans="2:5">
      <c r="E60" s="1">
        <f>PRODUCT(E55:E59)</f>
        <v>1.8</v>
      </c>
    </row>
    <row r="61" spans="2:5">
      <c r="C61" s="1" t="s">
        <v>109</v>
      </c>
      <c r="D61" s="30">
        <f>PRODUCT(E55:E59)</f>
        <v>1.8</v>
      </c>
    </row>
    <row r="62" spans="2:5">
      <c r="C62" s="1" t="s">
        <v>110</v>
      </c>
      <c r="D62" s="30">
        <f>D61/E55</f>
        <v>1.2</v>
      </c>
    </row>
    <row r="64" spans="2:5">
      <c r="C64" s="1" t="s">
        <v>111</v>
      </c>
      <c r="D64" s="1" t="s">
        <v>112</v>
      </c>
      <c r="E64" s="1" t="s">
        <v>78</v>
      </c>
    </row>
    <row r="65" spans="1:11">
      <c r="A65" s="1" t="s">
        <v>113</v>
      </c>
      <c r="B65" s="26" t="s">
        <v>114</v>
      </c>
      <c r="C65" s="40">
        <v>0.7</v>
      </c>
      <c r="D65" s="40">
        <v>0</v>
      </c>
      <c r="E65" s="17">
        <f>D65+C65</f>
        <v>0.7</v>
      </c>
    </row>
    <row r="66" spans="1:11">
      <c r="B66" s="26" t="s">
        <v>115</v>
      </c>
      <c r="C66" s="40">
        <v>1.95</v>
      </c>
      <c r="D66" s="40">
        <v>2</v>
      </c>
      <c r="E66" s="17">
        <f t="shared" ref="E66:E71" si="1">D66+C66</f>
        <v>3.95</v>
      </c>
    </row>
    <row r="67" spans="1:11">
      <c r="B67" s="26" t="s">
        <v>116</v>
      </c>
      <c r="C67" s="40">
        <v>3.6</v>
      </c>
      <c r="D67" s="40">
        <v>0</v>
      </c>
      <c r="E67" s="17">
        <f t="shared" si="1"/>
        <v>3.6</v>
      </c>
    </row>
    <row r="68" spans="1:11">
      <c r="B68" s="26" t="s">
        <v>117</v>
      </c>
      <c r="C68" s="40">
        <v>0</v>
      </c>
      <c r="D68" s="40">
        <v>0</v>
      </c>
      <c r="E68" s="17">
        <f t="shared" si="1"/>
        <v>0</v>
      </c>
      <c r="H68" s="1" t="s">
        <v>118</v>
      </c>
      <c r="I68" s="5">
        <f>(1+C68)*C50+C51+C52</f>
        <v>78</v>
      </c>
      <c r="J68" s="1" t="s">
        <v>119</v>
      </c>
      <c r="K68" s="5">
        <f>I68/$C$53-1</f>
        <v>0</v>
      </c>
    </row>
    <row r="69" spans="1:11">
      <c r="B69" s="26" t="s">
        <v>90</v>
      </c>
      <c r="C69" s="40">
        <v>1.2</v>
      </c>
      <c r="D69" s="40">
        <v>0</v>
      </c>
      <c r="E69" s="17">
        <f t="shared" si="1"/>
        <v>1.2</v>
      </c>
      <c r="H69" s="1" t="s">
        <v>118</v>
      </c>
      <c r="I69" s="5">
        <f>(1+C69)*C51*C32/C31+C50+C52</f>
        <v>120.533333333333</v>
      </c>
      <c r="J69" s="1" t="s">
        <v>119</v>
      </c>
      <c r="K69" s="5">
        <f>I69/$C$53-1</f>
        <v>0.545299145299145</v>
      </c>
    </row>
    <row r="70" spans="1:11">
      <c r="B70" s="26" t="s">
        <v>120</v>
      </c>
      <c r="C70" s="40">
        <v>0.6</v>
      </c>
      <c r="D70" s="40">
        <v>0</v>
      </c>
      <c r="E70" s="17">
        <f t="shared" si="1"/>
        <v>0.6</v>
      </c>
      <c r="H70" s="1" t="s">
        <v>118</v>
      </c>
      <c r="I70" s="5">
        <f>1/(1-C70)*C52+C51+C50</f>
        <v>102</v>
      </c>
      <c r="J70" s="1" t="s">
        <v>119</v>
      </c>
      <c r="K70" s="5">
        <f>I70/$C$53-1</f>
        <v>0.307692307692308</v>
      </c>
    </row>
    <row r="71" spans="1:11">
      <c r="B71" s="26" t="s">
        <v>121</v>
      </c>
      <c r="C71" s="40">
        <v>1.6</v>
      </c>
      <c r="D71" s="40">
        <v>0</v>
      </c>
      <c r="E71" s="17">
        <f t="shared" si="1"/>
        <v>1.6</v>
      </c>
    </row>
    <row r="74" spans="1:11">
      <c r="A74" s="1" t="s">
        <v>122</v>
      </c>
      <c r="B74" s="26" t="s">
        <v>123</v>
      </c>
      <c r="C74" s="41">
        <f>1+C65*(2+C66-1)</f>
        <v>3.065</v>
      </c>
    </row>
    <row r="75" spans="1:11">
      <c r="B75" s="26" t="s">
        <v>124</v>
      </c>
      <c r="C75" s="41">
        <v>1</v>
      </c>
    </row>
    <row r="76" spans="1:11">
      <c r="B76" s="26" t="s">
        <v>125</v>
      </c>
      <c r="C76" s="41">
        <f>K68+1</f>
        <v>1</v>
      </c>
    </row>
    <row r="77" spans="1:11">
      <c r="B77" s="26" t="s">
        <v>126</v>
      </c>
      <c r="C77" s="41">
        <f>K69+1</f>
        <v>1.54529914529915</v>
      </c>
    </row>
    <row r="78" spans="1:11">
      <c r="B78" s="26" t="s">
        <v>127</v>
      </c>
      <c r="C78" s="41">
        <f>C71+1</f>
        <v>2.6</v>
      </c>
    </row>
    <row r="79" spans="1:11">
      <c r="B79" s="26" t="s">
        <v>128</v>
      </c>
      <c r="C79" s="41">
        <f>K70+1</f>
        <v>1.30769230769231</v>
      </c>
    </row>
    <row r="81" spans="2:3">
      <c r="B81" s="26" t="s">
        <v>129</v>
      </c>
      <c r="C81" s="17">
        <f>PRODUCT(C74:C79)</f>
        <v>16.1035623931624</v>
      </c>
    </row>
    <row r="82" spans="2:3">
      <c r="B82" s="26" t="s">
        <v>130</v>
      </c>
      <c r="C82" s="42">
        <f>C81*E60*C29*C21</f>
        <v>5539868.62704</v>
      </c>
    </row>
    <row r="83" spans="2:3">
      <c r="B83" s="26" t="s">
        <v>131</v>
      </c>
      <c r="C83" s="42">
        <f>C82*5</f>
        <v>27699343.1352</v>
      </c>
    </row>
  </sheetData>
  <mergeCells count="2">
    <mergeCell ref="B7:E7"/>
    <mergeCell ref="F7:I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C511"/>
  <sheetViews>
    <sheetView tabSelected="1" topLeftCell="AK477" workbookViewId="0">
      <selection activeCell="AQ12" sqref="AQ12:AQ511"/>
    </sheetView>
  </sheetViews>
  <sheetFormatPr defaultColWidth="9" defaultRowHeight="16.5"/>
  <cols>
    <col min="1" max="2" width="9" style="1" customWidth="1"/>
    <col min="3" max="3" width="14.125" style="1" customWidth="1"/>
    <col min="4" max="5" width="10.375" style="1" customWidth="1"/>
    <col min="6" max="6" width="14.125" style="1" customWidth="1"/>
    <col min="7" max="11" width="10.375" style="1" customWidth="1"/>
    <col min="12" max="13" width="14.125" style="1" customWidth="1"/>
    <col min="14" max="14" width="10.375" style="1" customWidth="1"/>
    <col min="15" max="15" width="14.125" style="1" customWidth="1"/>
    <col min="16" max="17" width="12.875" style="1" customWidth="1"/>
    <col min="18" max="18" width="15.25" style="1" customWidth="1"/>
    <col min="19" max="19" width="14.125" style="1" customWidth="1"/>
    <col min="20" max="20" width="10.375" style="1" customWidth="1"/>
    <col min="21" max="28" width="14.125" style="1" customWidth="1"/>
    <col min="29" max="29" width="10.375" style="1" customWidth="1"/>
    <col min="30" max="31" width="14.125" style="1" customWidth="1"/>
    <col min="32" max="32" width="22" style="1" customWidth="1"/>
    <col min="33" max="33" width="15.125" style="1" customWidth="1"/>
    <col min="34" max="34" width="15.375" style="1" customWidth="1"/>
    <col min="35" max="35" width="14.125" style="1" customWidth="1"/>
    <col min="36" max="38" width="18.5" style="1" customWidth="1"/>
    <col min="39" max="40" width="14.125" style="1" customWidth="1"/>
    <col min="41" max="41" width="10.375" style="1" customWidth="1"/>
    <col min="42" max="42" width="19.5" style="1" customWidth="1"/>
    <col min="45" max="51" width="9" style="1" customWidth="1"/>
    <col min="52" max="52" width="12" style="1" customWidth="1"/>
    <col min="53" max="53" width="14.125" style="1" customWidth="1"/>
    <col min="54" max="16384" width="9" style="1" customWidth="1"/>
  </cols>
  <sheetData>
    <row r="2" s="1" customFormat="1" spans="2:55">
      <c r="B2" s="1" t="s">
        <v>132</v>
      </c>
      <c r="AQ2"/>
      <c r="AR2"/>
    </row>
    <row r="3" s="1" customFormat="1" spans="2:55">
      <c r="B3" s="23">
        <v>500</v>
      </c>
      <c r="AQ3"/>
      <c r="AR3"/>
    </row>
    <row r="4" s="1" customFormat="1" spans="2:55">
      <c r="C4" s="24" t="s">
        <v>61</v>
      </c>
      <c r="D4" s="24" t="s">
        <v>62</v>
      </c>
      <c r="E4" s="24" t="s">
        <v>63</v>
      </c>
      <c r="F4" s="24" t="s">
        <v>61</v>
      </c>
      <c r="G4" s="24" t="s">
        <v>62</v>
      </c>
      <c r="H4" s="24" t="s">
        <v>63</v>
      </c>
      <c r="I4" s="24" t="s">
        <v>61</v>
      </c>
      <c r="J4" s="24" t="s">
        <v>62</v>
      </c>
      <c r="K4" s="24" t="s">
        <v>63</v>
      </c>
      <c r="O4" s="24" t="s">
        <v>133</v>
      </c>
      <c r="P4" s="24" t="s">
        <v>134</v>
      </c>
      <c r="Q4" s="24" t="s">
        <v>135</v>
      </c>
      <c r="R4" s="24" t="s">
        <v>136</v>
      </c>
      <c r="S4" s="24" t="s">
        <v>114</v>
      </c>
      <c r="T4" s="24" t="s">
        <v>115</v>
      </c>
      <c r="U4" s="24" t="s">
        <v>125</v>
      </c>
      <c r="V4" s="24" t="s">
        <v>126</v>
      </c>
      <c r="W4" s="24" t="s">
        <v>128</v>
      </c>
      <c r="X4" s="24" t="s">
        <v>127</v>
      </c>
      <c r="AD4" s="25"/>
      <c r="AH4" s="24" t="s">
        <v>137</v>
      </c>
      <c r="AI4" s="24" t="s">
        <v>138</v>
      </c>
      <c r="AJ4" s="24" t="s">
        <v>139</v>
      </c>
      <c r="AK4" s="24" t="s">
        <v>140</v>
      </c>
      <c r="AL4" s="24" t="s">
        <v>141</v>
      </c>
      <c r="AQ4"/>
      <c r="AR4"/>
    </row>
    <row r="5" s="1" customFormat="1" spans="2:55">
      <c r="B5" s="1" t="s">
        <v>142</v>
      </c>
      <c r="C5" s="4">
        <f>预计投放属性数值!B$15/$B$3</f>
        <v>79</v>
      </c>
      <c r="D5" s="4">
        <f>预计投放属性数值!C$15/$B$3</f>
        <v>23.7</v>
      </c>
      <c r="E5" s="4">
        <f>预计投放属性数值!D$15/$B$3</f>
        <v>15.8</v>
      </c>
      <c r="F5" s="4">
        <f>预计投放属性数值!B$18/$B$3</f>
        <v>290</v>
      </c>
      <c r="G5" s="4">
        <f>预计投放属性数值!C$18/$B$3</f>
        <v>87</v>
      </c>
      <c r="H5" s="4">
        <f>预计投放属性数值!D$18/$B$3</f>
        <v>58</v>
      </c>
      <c r="I5" s="4">
        <v>0</v>
      </c>
      <c r="J5" s="4">
        <f>预计投放属性数值!$C$67/$B$3</f>
        <v>0.0072</v>
      </c>
      <c r="K5" s="4">
        <f>预计投放属性数值!$C$67/$B$3</f>
        <v>0.0072</v>
      </c>
      <c r="O5" s="4">
        <f>O6*预计投放属性数值!$B$40</f>
        <v>0.5</v>
      </c>
      <c r="P5" s="4">
        <v>0</v>
      </c>
      <c r="Q5" s="4">
        <f>Q6*预计投放属性数值!$C$40</f>
        <v>0.275</v>
      </c>
      <c r="R5" s="4">
        <v>1</v>
      </c>
      <c r="S5" s="4">
        <v>0</v>
      </c>
      <c r="T5" s="4">
        <f>预计投放属性数值!D66</f>
        <v>2</v>
      </c>
      <c r="U5" s="4">
        <v>1</v>
      </c>
      <c r="V5" s="4">
        <v>1</v>
      </c>
      <c r="W5" s="4">
        <v>1</v>
      </c>
      <c r="X5" s="4">
        <v>1</v>
      </c>
      <c r="AD5" s="25"/>
      <c r="AH5" s="4">
        <v>1</v>
      </c>
      <c r="AI5" s="4">
        <v>0.5</v>
      </c>
      <c r="AJ5" s="4">
        <v>2.15</v>
      </c>
      <c r="AK5" s="4">
        <v>1.8</v>
      </c>
      <c r="AL5" s="4">
        <v>0.8</v>
      </c>
      <c r="AQ5"/>
      <c r="AR5"/>
    </row>
    <row r="6" s="1" customFormat="1" spans="2:55">
      <c r="B6" s="1" t="s">
        <v>143</v>
      </c>
      <c r="C6" s="4">
        <f>预计投放属性数值!B$15</f>
        <v>39500</v>
      </c>
      <c r="D6" s="4">
        <f>预计投放属性数值!C$15</f>
        <v>11850</v>
      </c>
      <c r="E6" s="4">
        <f>预计投放属性数值!D$15</f>
        <v>7900</v>
      </c>
      <c r="F6" s="4">
        <f>预计投放属性数值!B$18</f>
        <v>145000</v>
      </c>
      <c r="G6" s="4">
        <f>预计投放属性数值!C$18</f>
        <v>43500</v>
      </c>
      <c r="H6" s="4">
        <f>预计投放属性数值!D$18</f>
        <v>29000</v>
      </c>
      <c r="I6" s="4">
        <v>0</v>
      </c>
      <c r="J6" s="4">
        <f>预计投放属性数值!$C$67</f>
        <v>3.6</v>
      </c>
      <c r="K6" s="4">
        <f>预计投放属性数值!$C$67</f>
        <v>3.6</v>
      </c>
      <c r="O6" s="4">
        <f>预计投放属性数值!C26</f>
        <v>1</v>
      </c>
      <c r="P6" s="4">
        <f>预计投放属性数值!C28</f>
        <v>0.4</v>
      </c>
      <c r="Q6" s="4">
        <f>预计投放属性数值!C27</f>
        <v>0.55</v>
      </c>
      <c r="R6" s="4">
        <f>预计投放属性数值!D62</f>
        <v>1.2</v>
      </c>
      <c r="S6" s="4">
        <f>预计投放属性数值!C65</f>
        <v>0.7</v>
      </c>
      <c r="T6" s="4">
        <f>预计投放属性数值!E66</f>
        <v>3.95</v>
      </c>
      <c r="U6" s="4">
        <f>1+预计投放属性数值!K68</f>
        <v>1</v>
      </c>
      <c r="V6" s="4">
        <f>1+预计投放属性数值!K69</f>
        <v>1.54529914529915</v>
      </c>
      <c r="W6" s="4">
        <f>预计投放属性数值!K70+1</f>
        <v>1.30769230769231</v>
      </c>
      <c r="X6" s="4">
        <f>1+预计投放属性数值!E71</f>
        <v>2.6</v>
      </c>
      <c r="AD6" s="25"/>
      <c r="AH6" s="4">
        <v>5</v>
      </c>
      <c r="AI6" s="4">
        <v>2.3</v>
      </c>
      <c r="AJ6" s="4">
        <v>1</v>
      </c>
      <c r="AK6" s="4">
        <v>1</v>
      </c>
      <c r="AL6" s="4">
        <v>0.95</v>
      </c>
      <c r="AQ6"/>
      <c r="AR6"/>
    </row>
    <row r="7" s="1" customFormat="1" spans="2:55">
      <c r="B7" s="1" t="s">
        <v>144</v>
      </c>
      <c r="C7" s="23">
        <v>0.999999</v>
      </c>
      <c r="D7" s="23">
        <v>0.999999</v>
      </c>
      <c r="E7" s="23">
        <v>0.999999</v>
      </c>
      <c r="F7" s="23">
        <v>0.999999</v>
      </c>
      <c r="G7" s="23">
        <v>0.999999</v>
      </c>
      <c r="H7" s="23">
        <v>0.999999</v>
      </c>
      <c r="I7" s="23">
        <v>0.999999</v>
      </c>
      <c r="J7" s="23">
        <v>0.999999</v>
      </c>
      <c r="K7" s="23">
        <v>0.999999</v>
      </c>
      <c r="O7" s="23">
        <v>0.999999</v>
      </c>
      <c r="P7" s="23">
        <v>1.0015</v>
      </c>
      <c r="Q7" s="23">
        <v>0.999999</v>
      </c>
      <c r="R7" s="23">
        <v>0.999999</v>
      </c>
      <c r="S7" s="23">
        <v>0.999999</v>
      </c>
      <c r="T7" s="23">
        <v>0.999999</v>
      </c>
      <c r="U7" s="23">
        <v>0.999999</v>
      </c>
      <c r="V7" s="23">
        <v>0.999999</v>
      </c>
      <c r="W7" s="23">
        <v>0.999999</v>
      </c>
      <c r="X7" s="23">
        <v>0.999999</v>
      </c>
      <c r="AD7" s="25"/>
      <c r="AH7" s="23">
        <v>0.9925</v>
      </c>
      <c r="AI7" s="23">
        <v>1.002</v>
      </c>
      <c r="AJ7" s="23">
        <v>0.95</v>
      </c>
      <c r="AK7" s="23">
        <v>0.98</v>
      </c>
      <c r="AL7" s="23">
        <v>0.997</v>
      </c>
      <c r="AQ7"/>
      <c r="AR7"/>
      <c r="AS7" s="4" t="s">
        <v>145</v>
      </c>
      <c r="AT7" s="4" t="s">
        <v>146</v>
      </c>
      <c r="AU7" s="4" t="s">
        <v>147</v>
      </c>
      <c r="AV7" s="4" t="s">
        <v>148</v>
      </c>
      <c r="AW7" s="4" t="s">
        <v>149</v>
      </c>
      <c r="AX7" s="4" t="s">
        <v>150</v>
      </c>
      <c r="AY7" s="4" t="s">
        <v>151</v>
      </c>
      <c r="AZ7" s="4" t="s">
        <v>152</v>
      </c>
      <c r="BA7" s="4" t="s">
        <v>153</v>
      </c>
    </row>
    <row r="9" s="1" customFormat="1" spans="2:55">
      <c r="AM9" s="1" t="s">
        <v>152</v>
      </c>
      <c r="AP9" s="1" t="s">
        <v>154</v>
      </c>
      <c r="AQ9"/>
      <c r="AR9"/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</row>
    <row r="10" s="1" customFormat="1" spans="2:55">
      <c r="C10" s="1" t="s">
        <v>156</v>
      </c>
      <c r="F10" s="1" t="s">
        <v>157</v>
      </c>
      <c r="I10" s="1" t="s">
        <v>158</v>
      </c>
      <c r="L10" s="1" t="s">
        <v>159</v>
      </c>
      <c r="O10" s="1" t="s">
        <v>160</v>
      </c>
      <c r="AA10" s="1" t="s">
        <v>161</v>
      </c>
      <c r="AM10" s="1" t="s">
        <v>162</v>
      </c>
      <c r="AP10" s="1" t="s">
        <v>162</v>
      </c>
      <c r="AQ10"/>
      <c r="AR10"/>
      <c r="AS10" s="23">
        <v>1</v>
      </c>
      <c r="AT10" s="23">
        <v>3</v>
      </c>
      <c r="AU10" s="15">
        <v>1.8</v>
      </c>
      <c r="AV10" s="23">
        <v>0.5</v>
      </c>
      <c r="AW10" s="15">
        <v>0.15</v>
      </c>
      <c r="AX10" s="23">
        <v>4</v>
      </c>
      <c r="AY10" s="23">
        <v>9</v>
      </c>
      <c r="AZ10" s="15">
        <v>60</v>
      </c>
      <c r="BA10" s="15">
        <v>30</v>
      </c>
    </row>
    <row r="11" s="1" customFormat="1" spans="2:55">
      <c r="B11" s="24" t="s">
        <v>163</v>
      </c>
      <c r="C11" s="24" t="s">
        <v>61</v>
      </c>
      <c r="D11" s="24" t="s">
        <v>62</v>
      </c>
      <c r="E11" s="24" t="s">
        <v>63</v>
      </c>
      <c r="F11" s="24" t="s">
        <v>61</v>
      </c>
      <c r="G11" s="24" t="s">
        <v>62</v>
      </c>
      <c r="H11" s="24" t="s">
        <v>63</v>
      </c>
      <c r="I11" s="24" t="s">
        <v>61</v>
      </c>
      <c r="J11" s="24" t="s">
        <v>62</v>
      </c>
      <c r="K11" s="24" t="s">
        <v>63</v>
      </c>
      <c r="L11" s="24" t="s">
        <v>61</v>
      </c>
      <c r="M11" s="24" t="s">
        <v>62</v>
      </c>
      <c r="N11" s="24" t="s">
        <v>63</v>
      </c>
      <c r="O11" s="24" t="s">
        <v>133</v>
      </c>
      <c r="P11" s="24" t="s">
        <v>134</v>
      </c>
      <c r="Q11" s="24" t="s">
        <v>135</v>
      </c>
      <c r="R11" s="24" t="s">
        <v>136</v>
      </c>
      <c r="S11" s="24" t="s">
        <v>114</v>
      </c>
      <c r="T11" s="24" t="s">
        <v>115</v>
      </c>
      <c r="U11" s="24" t="s">
        <v>125</v>
      </c>
      <c r="V11" s="24" t="s">
        <v>126</v>
      </c>
      <c r="W11" s="24" t="s">
        <v>128</v>
      </c>
      <c r="X11" s="24" t="s">
        <v>127</v>
      </c>
      <c r="Y11" s="24" t="s">
        <v>164</v>
      </c>
      <c r="Z11" s="24" t="s">
        <v>165</v>
      </c>
      <c r="AA11" s="24" t="s">
        <v>61</v>
      </c>
      <c r="AB11" s="24" t="s">
        <v>62</v>
      </c>
      <c r="AC11" s="24" t="s">
        <v>63</v>
      </c>
      <c r="AD11" s="24" t="s">
        <v>166</v>
      </c>
      <c r="AE11" s="24" t="s">
        <v>167</v>
      </c>
      <c r="AF11" s="24" t="s">
        <v>168</v>
      </c>
      <c r="AG11" s="24" t="s">
        <v>169</v>
      </c>
      <c r="AH11" s="24" t="s">
        <v>137</v>
      </c>
      <c r="AI11" s="24" t="s">
        <v>138</v>
      </c>
      <c r="AJ11" s="24" t="s">
        <v>139</v>
      </c>
      <c r="AK11" s="24" t="s">
        <v>140</v>
      </c>
      <c r="AL11" s="24" t="s">
        <v>141</v>
      </c>
      <c r="AM11" s="24" t="s">
        <v>61</v>
      </c>
      <c r="AN11" s="24" t="s">
        <v>62</v>
      </c>
      <c r="AO11" s="24" t="s">
        <v>63</v>
      </c>
      <c r="AP11" s="24" t="s">
        <v>61</v>
      </c>
      <c r="AQ11" s="24" t="s">
        <v>62</v>
      </c>
      <c r="AR11"/>
      <c r="AS11" s="26" t="s">
        <v>61</v>
      </c>
      <c r="AT11" s="26" t="s">
        <v>61</v>
      </c>
      <c r="AU11" s="26" t="s">
        <v>61</v>
      </c>
      <c r="AV11" s="26" t="s">
        <v>61</v>
      </c>
      <c r="AW11" s="26" t="s">
        <v>61</v>
      </c>
      <c r="AX11" s="26" t="s">
        <v>61</v>
      </c>
      <c r="AY11" s="26" t="s">
        <v>61</v>
      </c>
      <c r="AZ11" s="26" t="s">
        <v>61</v>
      </c>
      <c r="BA11" s="26" t="s">
        <v>61</v>
      </c>
      <c r="BC11" s="26" t="s">
        <v>163</v>
      </c>
    </row>
    <row r="12" s="1" customFormat="1" spans="2:55">
      <c r="B12" s="4">
        <f t="array" ref="B12:B511">_xlfn.SEQUENCE(B3,1,1,1)</f>
        <v>1</v>
      </c>
      <c r="C12" s="1">
        <f t="shared" ref="C12:I12" si="0">C$5+(C$6-C$5)*(POWER(C$7,$B12-1)-1)/(POWER(C$7,$B$3-1)-1)</f>
        <v>79</v>
      </c>
      <c r="D12" s="1">
        <f t="shared" si="0"/>
        <v>23.7</v>
      </c>
      <c r="E12" s="1">
        <f t="shared" si="0"/>
        <v>15.8</v>
      </c>
      <c r="F12" s="1">
        <f t="shared" si="0"/>
        <v>290</v>
      </c>
      <c r="G12" s="1">
        <f t="shared" si="0"/>
        <v>87</v>
      </c>
      <c r="H12" s="1">
        <f t="shared" si="0"/>
        <v>58</v>
      </c>
      <c r="I12" s="1">
        <f t="shared" si="0"/>
        <v>0</v>
      </c>
      <c r="J12" s="1">
        <f>[1]标准模型!$I$65/1*$B12/$B$3</f>
        <v>0.0072</v>
      </c>
      <c r="K12" s="1">
        <f>J12*[1]标准模型!$J$63</f>
        <v>0.0072</v>
      </c>
      <c r="L12" s="1">
        <f>C12*(1+I12)+F12</f>
        <v>369</v>
      </c>
      <c r="M12" s="1">
        <f t="shared" ref="M12:M75" si="1">D12*(1+J12)+G12</f>
        <v>110.87064</v>
      </c>
      <c r="N12" s="1">
        <f t="shared" ref="N12:N75" si="2">E12*(1+K12)+H12</f>
        <v>73.91376</v>
      </c>
      <c r="O12" s="1">
        <f t="shared" ref="O12:X12" si="3">O$5+(O$6-O$5)*(POWER(O$7,$B12-1)-1)/(POWER(O$7,$B$3-1)-1)</f>
        <v>0.5</v>
      </c>
      <c r="P12" s="1">
        <f t="shared" si="3"/>
        <v>0</v>
      </c>
      <c r="Q12" s="1">
        <f t="shared" si="3"/>
        <v>0.275</v>
      </c>
      <c r="R12" s="1">
        <f t="shared" si="3"/>
        <v>1</v>
      </c>
      <c r="S12" s="1">
        <f t="shared" si="3"/>
        <v>0</v>
      </c>
      <c r="T12" s="1">
        <f t="shared" si="3"/>
        <v>2</v>
      </c>
      <c r="U12" s="1">
        <f t="shared" si="3"/>
        <v>1</v>
      </c>
      <c r="V12" s="1">
        <f t="shared" si="3"/>
        <v>1</v>
      </c>
      <c r="W12" s="1">
        <f t="shared" si="3"/>
        <v>1</v>
      </c>
      <c r="X12" s="1">
        <f t="shared" si="3"/>
        <v>1</v>
      </c>
      <c r="Y12" s="1">
        <f>(1+S12*(T12-1))*U12*X12*(O12+P12)*R12*W12</f>
        <v>0.5</v>
      </c>
      <c r="Z12" s="1">
        <f>(1+S12*(T12-1))*(O12+P12+Q12)*U12*V12*X12*R12*W12</f>
        <v>0.775</v>
      </c>
      <c r="AA12" s="1">
        <f>Z12*L12</f>
        <v>285.975</v>
      </c>
      <c r="AB12" s="1">
        <f t="shared" ref="AB12:AB75" si="4">M12</f>
        <v>110.87064</v>
      </c>
      <c r="AC12" s="1">
        <f t="shared" ref="AC12:AC75" si="5">N12</f>
        <v>73.91376</v>
      </c>
      <c r="AD12" s="1">
        <f>AC12/(AC12+[1]战斗公式!$M$27)</f>
        <v>0.00307028432256044</v>
      </c>
      <c r="AE12" s="1">
        <f t="shared" ref="AE12:AE75" si="6">AA12/(1-AD12)</f>
        <v>286.8557286465</v>
      </c>
      <c r="AF12" s="1">
        <f>AE12/AB12/Y12</f>
        <v>5.17460219669518</v>
      </c>
      <c r="AG12" s="1">
        <f t="shared" ref="AG12:AG75" si="7">AE12/AB12/Z12</f>
        <v>3.33845303012592</v>
      </c>
      <c r="AH12" s="1">
        <f t="shared" ref="AH12:AH75" si="8">AH$5+(AH$6-AH$5)*(POWER(AH$7,$B12-1)-1)/(POWER(AH$7,$B$3-1)-1)</f>
        <v>1</v>
      </c>
      <c r="AI12" s="1">
        <f t="shared" ref="AI12:AI75" si="9">$AI$5+($AI$6-$AI$5)*(POWER($AI$7,$B12-1)-1)/(POWER($AI$7,$B$3-1)-1)</f>
        <v>0.5</v>
      </c>
      <c r="AJ12" s="1">
        <f t="shared" ref="AJ12:AJ75" si="10">$AJ$5+($AJ$6-$AJ$5)*(POWER($AJ$7,$B12-1)-1)/(POWER($AJ$7,$B$3-1)-1)</f>
        <v>2.15</v>
      </c>
      <c r="AK12" s="1">
        <f t="shared" ref="AK12:AK75" si="11">$AK$5+($AK$6-$AK$5)*(POWER($AK$7,$B12-1)-1)/(POWER($AK$7,$B$3-1)-1)</f>
        <v>1.8</v>
      </c>
      <c r="AL12" s="1">
        <f t="shared" ref="AL12:AL75" si="12">$AL$5+($AL$6-$AL$5)*(POWER($AL$7,$B12-1)-1)/(POWER($AL$7,$B$3-1)-1)</f>
        <v>0.8</v>
      </c>
      <c r="AM12" s="27">
        <f t="shared" ref="AM12:AM75" si="13">ROUND(AA12/AG12*AH12,0)</f>
        <v>86</v>
      </c>
      <c r="AN12" s="27">
        <f>ROUND(AB12*AI12,0)</f>
        <v>55</v>
      </c>
      <c r="AO12" s="27">
        <f t="shared" ref="AO12:AO75" si="14">ROUND(AC12,0)</f>
        <v>74</v>
      </c>
      <c r="AP12" s="1">
        <f t="shared" ref="AP12:AP75" si="15">ROUND(AA12/$AF12*AH12*AK12,0)</f>
        <v>99</v>
      </c>
      <c r="AQ12" s="1">
        <f>ROUND(AN12*AL12,0)</f>
        <v>44</v>
      </c>
      <c r="AR12"/>
      <c r="AS12" s="1">
        <f t="shared" ref="AS12:AY12" si="16">ROUNDUP(AS$10*$AP12,0)</f>
        <v>99</v>
      </c>
      <c r="AT12" s="1">
        <f t="shared" si="16"/>
        <v>297</v>
      </c>
      <c r="AU12" s="1">
        <f t="shared" si="16"/>
        <v>179</v>
      </c>
      <c r="AV12" s="1">
        <f t="shared" si="16"/>
        <v>50</v>
      </c>
      <c r="AW12" s="1">
        <f t="shared" si="16"/>
        <v>15</v>
      </c>
      <c r="AX12" s="1">
        <f t="shared" si="16"/>
        <v>396</v>
      </c>
      <c r="AY12" s="1">
        <f t="shared" si="16"/>
        <v>891</v>
      </c>
      <c r="AZ12" s="1">
        <f t="shared" ref="AZ12:AZ75" si="17">ROUND(AM12*$AZ$10*AJ12,0)</f>
        <v>11094</v>
      </c>
      <c r="BA12" s="1">
        <f t="shared" ref="BA12:BA75" si="18">ROUND(AM12*$BA$10*AJ12,0)</f>
        <v>5547</v>
      </c>
      <c r="BC12" s="1">
        <f t="shared" ref="BC12:BC75" si="19">B12</f>
        <v>1</v>
      </c>
    </row>
    <row r="13" s="1" customFormat="1" spans="2:55">
      <c r="B13" s="4">
        <v>2</v>
      </c>
      <c r="C13" s="1">
        <f t="shared" ref="C13:I13" si="20">C$5+(C$6-C$5)*(POWER(C$7,$B13-1)-1)/(POWER(C$7,$B$3-1)-1)</f>
        <v>158.019672639247</v>
      </c>
      <c r="D13" s="1">
        <f t="shared" si="20"/>
        <v>47.4059017917742</v>
      </c>
      <c r="E13" s="1">
        <f t="shared" si="20"/>
        <v>31.6039345278495</v>
      </c>
      <c r="F13" s="1">
        <f t="shared" si="20"/>
        <v>580.072216017491</v>
      </c>
      <c r="G13" s="1">
        <f t="shared" si="20"/>
        <v>174.021664805247</v>
      </c>
      <c r="H13" s="1">
        <f t="shared" si="20"/>
        <v>116.014443203498</v>
      </c>
      <c r="I13" s="1">
        <f t="shared" si="20"/>
        <v>0</v>
      </c>
      <c r="J13" s="1">
        <f>[1]标准模型!$I$65/1*$B13/$B$3</f>
        <v>0.0144</v>
      </c>
      <c r="K13" s="1">
        <f>J13*[1]标准模型!$J$63</f>
        <v>0.0144</v>
      </c>
      <c r="L13" s="1">
        <f t="shared" ref="L12:L75" si="21">C13*(1+I13)+F13</f>
        <v>738.091888656738</v>
      </c>
      <c r="M13" s="1">
        <f t="shared" si="1"/>
        <v>222.110211582823</v>
      </c>
      <c r="N13" s="1">
        <f t="shared" si="2"/>
        <v>148.073474388549</v>
      </c>
      <c r="O13" s="1">
        <f t="shared" ref="O13:X13" si="22">O$5+(O$6-O$5)*(POWER(O$7,$B13-1)-1)/(POWER(O$7,$B$3-1)-1)</f>
        <v>0.501002253527806</v>
      </c>
      <c r="P13" s="1">
        <f t="shared" si="22"/>
        <v>0.000539257125529612</v>
      </c>
      <c r="Q13" s="1">
        <f t="shared" si="22"/>
        <v>0.275551239440293</v>
      </c>
      <c r="R13" s="1">
        <f t="shared" si="22"/>
        <v>1.00040090141112</v>
      </c>
      <c r="S13" s="1">
        <f t="shared" si="22"/>
        <v>0.00140315493892781</v>
      </c>
      <c r="T13" s="1">
        <f t="shared" si="22"/>
        <v>2.00390878875844</v>
      </c>
      <c r="U13" s="1">
        <f t="shared" si="22"/>
        <v>1</v>
      </c>
      <c r="V13" s="1">
        <f t="shared" si="22"/>
        <v>1.00109305598417</v>
      </c>
      <c r="W13" s="1">
        <f t="shared" si="22"/>
        <v>1.00061677140173</v>
      </c>
      <c r="X13" s="1">
        <f t="shared" si="22"/>
        <v>1.00320721128898</v>
      </c>
      <c r="Y13" s="1">
        <f t="shared" ref="Y13:Y76" si="23">(1+S13*(T13-1))*U13*X13*(O13+P13)*R13*W13</f>
        <v>0.50437170534164</v>
      </c>
      <c r="Z13" s="1">
        <f t="shared" ref="Z13:Z76" si="24">(1+S13*(T13-1))*(O13+P13+Q13)*U13*V13*X13*R13*W13</f>
        <v>0.782332077268784</v>
      </c>
      <c r="AA13" s="1">
        <f t="shared" ref="AA12:AA75" si="25">Z13*L13</f>
        <v>577.432960468066</v>
      </c>
      <c r="AB13" s="1">
        <f t="shared" si="4"/>
        <v>222.110211582823</v>
      </c>
      <c r="AC13" s="1">
        <f t="shared" si="5"/>
        <v>148.073474388549</v>
      </c>
      <c r="AD13" s="1">
        <f>AC13/(AC13+[1]战斗公式!$M$27)</f>
        <v>0.00613189596866165</v>
      </c>
      <c r="AE13" s="1">
        <f t="shared" si="6"/>
        <v>580.995564829856</v>
      </c>
      <c r="AF13" s="1">
        <f t="shared" ref="AF12:AF75" si="26">AE13/AB13/Y13</f>
        <v>5.18625153181168</v>
      </c>
      <c r="AG13" s="1">
        <f t="shared" si="7"/>
        <v>3.34359104711981</v>
      </c>
      <c r="AH13" s="1">
        <f t="shared" si="8"/>
        <v>1.03071765423105</v>
      </c>
      <c r="AI13" s="1">
        <f t="shared" si="9"/>
        <v>0.502105080687773</v>
      </c>
      <c r="AJ13" s="1">
        <f t="shared" si="10"/>
        <v>2.09249999999956</v>
      </c>
      <c r="AK13" s="1">
        <f t="shared" si="11"/>
        <v>1.78399933019261</v>
      </c>
      <c r="AL13" s="1">
        <f t="shared" si="12"/>
        <v>0.80057937246336</v>
      </c>
      <c r="AM13" s="27">
        <f t="shared" si="13"/>
        <v>178</v>
      </c>
      <c r="AN13" s="27">
        <f t="shared" ref="AN12:AN75" si="27">ROUND(AB13*AI13,0)</f>
        <v>112</v>
      </c>
      <c r="AO13" s="27">
        <f t="shared" si="14"/>
        <v>148</v>
      </c>
      <c r="AP13" s="1">
        <f t="shared" si="15"/>
        <v>205</v>
      </c>
      <c r="AQ13" s="1">
        <f t="shared" ref="AQ12:AQ75" si="28">ROUND(AN13*AL13,0)</f>
        <v>90</v>
      </c>
      <c r="AR13"/>
      <c r="AS13" s="1">
        <f t="shared" ref="AS13:AY13" si="29">ROUNDUP(AS$10*$AP13,0)</f>
        <v>205</v>
      </c>
      <c r="AT13" s="1">
        <f t="shared" si="29"/>
        <v>615</v>
      </c>
      <c r="AU13" s="1">
        <f t="shared" si="29"/>
        <v>369</v>
      </c>
      <c r="AV13" s="1">
        <f t="shared" si="29"/>
        <v>103</v>
      </c>
      <c r="AW13" s="1">
        <f t="shared" si="29"/>
        <v>31</v>
      </c>
      <c r="AX13" s="1">
        <f t="shared" si="29"/>
        <v>820</v>
      </c>
      <c r="AY13" s="1">
        <f t="shared" si="29"/>
        <v>1845</v>
      </c>
      <c r="AZ13" s="1">
        <f t="shared" si="17"/>
        <v>22348</v>
      </c>
      <c r="BA13" s="1">
        <f t="shared" si="18"/>
        <v>11174</v>
      </c>
      <c r="BC13" s="1">
        <f t="shared" si="19"/>
        <v>2</v>
      </c>
    </row>
    <row r="14" s="1" customFormat="1" spans="2:55">
      <c r="B14" s="4">
        <v>3</v>
      </c>
      <c r="C14" s="1">
        <f t="shared" ref="C14:I14" si="30">C$5+(C$6-C$5)*(POWER(C$7,$B14-1)-1)/(POWER(C$7,$B$3-1)-1)</f>
        <v>237.03926626057</v>
      </c>
      <c r="D14" s="1">
        <f t="shared" si="30"/>
        <v>71.1117798781711</v>
      </c>
      <c r="E14" s="1">
        <f t="shared" si="30"/>
        <v>47.4078532521141</v>
      </c>
      <c r="F14" s="1">
        <f t="shared" si="30"/>
        <v>870.144141969182</v>
      </c>
      <c r="G14" s="1">
        <f t="shared" si="30"/>
        <v>261.043242590755</v>
      </c>
      <c r="H14" s="1">
        <f t="shared" si="30"/>
        <v>174.028828393836</v>
      </c>
      <c r="I14" s="1">
        <f t="shared" si="30"/>
        <v>0</v>
      </c>
      <c r="J14" s="1">
        <f>[1]标准模型!$I$65/1*$B14/$B$3</f>
        <v>0.0216</v>
      </c>
      <c r="K14" s="1">
        <f>J14*[1]标准模型!$J$63</f>
        <v>0.0216</v>
      </c>
      <c r="L14" s="1">
        <f t="shared" si="21"/>
        <v>1107.18340822975</v>
      </c>
      <c r="M14" s="1">
        <f t="shared" si="1"/>
        <v>333.691036914295</v>
      </c>
      <c r="N14" s="1">
        <f t="shared" si="2"/>
        <v>222.460691276196</v>
      </c>
      <c r="O14" s="1">
        <f t="shared" ref="O14:X14" si="31">O$5+(O$6-O$5)*(POWER(O$7,$B14-1)-1)/(POWER(O$7,$B$3-1)-1)</f>
        <v>0.50200450605338</v>
      </c>
      <c r="P14" s="1">
        <f t="shared" si="31"/>
        <v>0.00107932313674755</v>
      </c>
      <c r="Q14" s="1">
        <f t="shared" si="31"/>
        <v>0.276102478329359</v>
      </c>
      <c r="R14" s="1">
        <f t="shared" si="31"/>
        <v>1.00080180242135</v>
      </c>
      <c r="S14" s="1">
        <f t="shared" si="31"/>
        <v>0.00280630847473172</v>
      </c>
      <c r="T14" s="1">
        <f t="shared" si="31"/>
        <v>2.00781757360818</v>
      </c>
      <c r="U14" s="1">
        <f t="shared" si="31"/>
        <v>1</v>
      </c>
      <c r="V14" s="1">
        <f t="shared" si="31"/>
        <v>1.00218611087531</v>
      </c>
      <c r="W14" s="1">
        <f t="shared" si="31"/>
        <v>1.0012335421867</v>
      </c>
      <c r="X14" s="1">
        <f t="shared" si="31"/>
        <v>1.00641441937082</v>
      </c>
      <c r="Y14" s="1">
        <f t="shared" si="23"/>
        <v>0.50877672564582</v>
      </c>
      <c r="Z14" s="1">
        <f t="shared" si="24"/>
        <v>0.789726242729658</v>
      </c>
      <c r="AA14" s="1">
        <f t="shared" si="25"/>
        <v>874.371792993899</v>
      </c>
      <c r="AB14" s="1">
        <f t="shared" si="4"/>
        <v>333.691036914295</v>
      </c>
      <c r="AC14" s="1">
        <f t="shared" si="5"/>
        <v>222.460691276196</v>
      </c>
      <c r="AD14" s="1">
        <f>AC14/(AC14+[1]战斗公式!$M$27)</f>
        <v>0.0091840665616733</v>
      </c>
      <c r="AE14" s="1">
        <f t="shared" si="6"/>
        <v>882.476516056475</v>
      </c>
      <c r="AF14" s="1">
        <f t="shared" si="26"/>
        <v>5.1979414057254</v>
      </c>
      <c r="AG14" s="1">
        <f t="shared" si="7"/>
        <v>3.34874474901945</v>
      </c>
      <c r="AH14" s="1">
        <f t="shared" si="8"/>
        <v>1.06120492605537</v>
      </c>
      <c r="AI14" s="1">
        <f t="shared" si="9"/>
        <v>0.504214371536922</v>
      </c>
      <c r="AJ14" s="1">
        <f t="shared" si="10"/>
        <v>2.03787499999914</v>
      </c>
      <c r="AK14" s="1">
        <f t="shared" si="11"/>
        <v>1.76831867378137</v>
      </c>
      <c r="AL14" s="1">
        <f t="shared" si="12"/>
        <v>0.801157006809329</v>
      </c>
      <c r="AM14" s="27">
        <f t="shared" si="13"/>
        <v>277</v>
      </c>
      <c r="AN14" s="27">
        <f t="shared" si="27"/>
        <v>168</v>
      </c>
      <c r="AO14" s="27">
        <f t="shared" si="14"/>
        <v>222</v>
      </c>
      <c r="AP14" s="1">
        <f t="shared" si="15"/>
        <v>316</v>
      </c>
      <c r="AQ14" s="1">
        <f t="shared" si="28"/>
        <v>135</v>
      </c>
      <c r="AR14"/>
      <c r="AS14" s="1">
        <f t="shared" ref="AS14:AY14" si="32">ROUNDUP(AS$10*$AP14,0)</f>
        <v>316</v>
      </c>
      <c r="AT14" s="1">
        <f t="shared" si="32"/>
        <v>948</v>
      </c>
      <c r="AU14" s="1">
        <f t="shared" si="32"/>
        <v>569</v>
      </c>
      <c r="AV14" s="1">
        <f t="shared" si="32"/>
        <v>158</v>
      </c>
      <c r="AW14" s="1">
        <f t="shared" si="32"/>
        <v>48</v>
      </c>
      <c r="AX14" s="1">
        <f t="shared" si="32"/>
        <v>1264</v>
      </c>
      <c r="AY14" s="1">
        <f t="shared" si="32"/>
        <v>2844</v>
      </c>
      <c r="AZ14" s="1">
        <f t="shared" si="17"/>
        <v>33869</v>
      </c>
      <c r="BA14" s="1">
        <f t="shared" si="18"/>
        <v>16935</v>
      </c>
      <c r="BC14" s="1">
        <f t="shared" si="19"/>
        <v>3</v>
      </c>
    </row>
    <row r="15" s="1" customFormat="1" spans="2:55">
      <c r="B15" s="4">
        <v>4</v>
      </c>
      <c r="C15" s="1">
        <f t="shared" ref="C15:I15" si="33">C$5+(C$6-C$5)*(POWER(C$7,$B15-1)-1)/(POWER(C$7,$B$3-1)-1)</f>
        <v>316.058780855196</v>
      </c>
      <c r="D15" s="1">
        <f t="shared" si="33"/>
        <v>94.8176342565587</v>
      </c>
      <c r="E15" s="1">
        <f t="shared" si="33"/>
        <v>63.2117561710392</v>
      </c>
      <c r="F15" s="1">
        <f t="shared" si="33"/>
        <v>1160.21577782287</v>
      </c>
      <c r="G15" s="1">
        <f t="shared" si="33"/>
        <v>348.064733346861</v>
      </c>
      <c r="H15" s="1">
        <f t="shared" si="33"/>
        <v>232.043155564574</v>
      </c>
      <c r="I15" s="1">
        <f t="shared" si="33"/>
        <v>0</v>
      </c>
      <c r="J15" s="1">
        <f>[1]标准模型!$I$65/1*$B15/$B$3</f>
        <v>0.0288</v>
      </c>
      <c r="K15" s="1">
        <f>J15*[1]标准模型!$J$63</f>
        <v>0.0288</v>
      </c>
      <c r="L15" s="1">
        <f t="shared" si="21"/>
        <v>1476.27455867807</v>
      </c>
      <c r="M15" s="1">
        <f t="shared" si="1"/>
        <v>445.613115470009</v>
      </c>
      <c r="N15" s="1">
        <f t="shared" si="2"/>
        <v>297.075410313339</v>
      </c>
      <c r="O15" s="1">
        <f t="shared" ref="O15:X15" si="34">O$5+(O$6-O$5)*(POWER(O$7,$B15-1)-1)/(POWER(O$7,$B$3-1)-1)</f>
        <v>0.503006757576611</v>
      </c>
      <c r="P15" s="1">
        <f t="shared" si="34"/>
        <v>0.00162019924698221</v>
      </c>
      <c r="Q15" s="1">
        <f t="shared" si="34"/>
        <v>0.276653716667136</v>
      </c>
      <c r="R15" s="1">
        <f t="shared" si="34"/>
        <v>1.00120270303064</v>
      </c>
      <c r="S15" s="1">
        <f t="shared" si="34"/>
        <v>0.00420946060725596</v>
      </c>
      <c r="T15" s="1">
        <f t="shared" si="34"/>
        <v>2.01172635454878</v>
      </c>
      <c r="U15" s="1">
        <f t="shared" si="34"/>
        <v>1</v>
      </c>
      <c r="V15" s="1">
        <f t="shared" si="34"/>
        <v>1.0032791646733</v>
      </c>
      <c r="W15" s="1">
        <f t="shared" si="34"/>
        <v>1.00185031235484</v>
      </c>
      <c r="X15" s="1">
        <f t="shared" si="34"/>
        <v>1.00962162424516</v>
      </c>
      <c r="Y15" s="1">
        <f t="shared" si="23"/>
        <v>0.513215302579211</v>
      </c>
      <c r="Z15" s="1">
        <f t="shared" si="24"/>
        <v>0.797182993724786</v>
      </c>
      <c r="AA15" s="1">
        <f t="shared" si="25"/>
        <v>1176.86097224672</v>
      </c>
      <c r="AB15" s="1">
        <f t="shared" si="4"/>
        <v>445.613115470009</v>
      </c>
      <c r="AC15" s="1">
        <f t="shared" si="5"/>
        <v>297.075410313339</v>
      </c>
      <c r="AD15" s="1">
        <f>AC15/(AC15+[1]战斗公式!$M$27)</f>
        <v>0.0122267970649356</v>
      </c>
      <c r="AE15" s="1">
        <f t="shared" si="6"/>
        <v>1191.42832458888</v>
      </c>
      <c r="AF15" s="1">
        <f t="shared" si="26"/>
        <v>5.20967173143433</v>
      </c>
      <c r="AG15" s="1">
        <f t="shared" si="7"/>
        <v>3.35391406368796</v>
      </c>
      <c r="AH15" s="1">
        <f t="shared" si="8"/>
        <v>1.09146354334101</v>
      </c>
      <c r="AI15" s="1">
        <f t="shared" si="9"/>
        <v>0.506327880967769</v>
      </c>
      <c r="AJ15" s="1">
        <f t="shared" si="10"/>
        <v>1.98598124999874</v>
      </c>
      <c r="AK15" s="1">
        <f t="shared" si="11"/>
        <v>1.75295163049836</v>
      </c>
      <c r="AL15" s="1">
        <f t="shared" si="12"/>
        <v>0.801732908252261</v>
      </c>
      <c r="AM15" s="27">
        <f t="shared" si="13"/>
        <v>383</v>
      </c>
      <c r="AN15" s="27">
        <f t="shared" si="27"/>
        <v>226</v>
      </c>
      <c r="AO15" s="27">
        <f t="shared" si="14"/>
        <v>297</v>
      </c>
      <c r="AP15" s="1">
        <f t="shared" si="15"/>
        <v>432</v>
      </c>
      <c r="AQ15" s="1">
        <f t="shared" si="28"/>
        <v>181</v>
      </c>
      <c r="AR15"/>
      <c r="AS15" s="1">
        <f t="shared" ref="AS15:AY15" si="35">ROUNDUP(AS$10*$AP15,0)</f>
        <v>432</v>
      </c>
      <c r="AT15" s="1">
        <f t="shared" si="35"/>
        <v>1296</v>
      </c>
      <c r="AU15" s="1">
        <f t="shared" si="35"/>
        <v>778</v>
      </c>
      <c r="AV15" s="1">
        <f t="shared" si="35"/>
        <v>216</v>
      </c>
      <c r="AW15" s="1">
        <f t="shared" si="35"/>
        <v>65</v>
      </c>
      <c r="AX15" s="1">
        <f t="shared" si="35"/>
        <v>1728</v>
      </c>
      <c r="AY15" s="1">
        <f t="shared" si="35"/>
        <v>3888</v>
      </c>
      <c r="AZ15" s="1">
        <f t="shared" si="17"/>
        <v>45638</v>
      </c>
      <c r="BA15" s="1">
        <f t="shared" si="18"/>
        <v>22819</v>
      </c>
      <c r="BC15" s="1">
        <f t="shared" si="19"/>
        <v>4</v>
      </c>
    </row>
    <row r="16" s="1" customFormat="1" spans="2:55">
      <c r="B16" s="4">
        <v>5</v>
      </c>
      <c r="C16" s="1">
        <f t="shared" ref="C16:I16" si="36">C$5+(C$6-C$5)*(POWER(C$7,$B16-1)-1)/(POWER(C$7,$B$3-1)-1)</f>
        <v>395.07821644067</v>
      </c>
      <c r="D16" s="1">
        <f t="shared" si="36"/>
        <v>118.523464932201</v>
      </c>
      <c r="E16" s="1">
        <f t="shared" si="36"/>
        <v>79.0156432881339</v>
      </c>
      <c r="F16" s="1">
        <f t="shared" si="36"/>
        <v>1450.28712364296</v>
      </c>
      <c r="G16" s="1">
        <f t="shared" si="36"/>
        <v>435.086137092889</v>
      </c>
      <c r="H16" s="1">
        <f t="shared" si="36"/>
        <v>290.057424728593</v>
      </c>
      <c r="I16" s="1">
        <f t="shared" si="36"/>
        <v>0</v>
      </c>
      <c r="J16" s="1">
        <f>[1]标准模型!$I$65/1*$B16/$B$3</f>
        <v>0.036</v>
      </c>
      <c r="K16" s="1">
        <f>J16*[1]标准模型!$J$63</f>
        <v>0.036</v>
      </c>
      <c r="L16" s="1">
        <f t="shared" si="21"/>
        <v>1845.36534008363</v>
      </c>
      <c r="M16" s="1">
        <f t="shared" si="1"/>
        <v>557.876446762649</v>
      </c>
      <c r="N16" s="1">
        <f t="shared" si="2"/>
        <v>371.9176311751</v>
      </c>
      <c r="O16" s="1">
        <f t="shared" ref="O16:X16" si="37">O$5+(O$6-O$5)*(POWER(O$7,$B16-1)-1)/(POWER(O$7,$B$3-1)-1)</f>
        <v>0.504009008097723</v>
      </c>
      <c r="P16" s="1">
        <f t="shared" si="37"/>
        <v>0.00216188667138234</v>
      </c>
      <c r="Q16" s="1">
        <f t="shared" si="37"/>
        <v>0.277204954453748</v>
      </c>
      <c r="R16" s="1">
        <f t="shared" si="37"/>
        <v>1.00160360323909</v>
      </c>
      <c r="S16" s="1">
        <f t="shared" si="37"/>
        <v>0.00561261133681207</v>
      </c>
      <c r="T16" s="1">
        <f t="shared" si="37"/>
        <v>2.01563513158112</v>
      </c>
      <c r="U16" s="1">
        <f t="shared" si="37"/>
        <v>1</v>
      </c>
      <c r="V16" s="1">
        <f t="shared" si="37"/>
        <v>1.00437221737837</v>
      </c>
      <c r="W16" s="1">
        <f t="shared" si="37"/>
        <v>1.00246708190629</v>
      </c>
      <c r="X16" s="1">
        <f t="shared" si="37"/>
        <v>1.01282882591271</v>
      </c>
      <c r="Y16" s="1">
        <f t="shared" si="23"/>
        <v>0.517687679306961</v>
      </c>
      <c r="Z16" s="1">
        <f t="shared" si="24"/>
        <v>0.804702831107446</v>
      </c>
      <c r="AA16" s="1">
        <f t="shared" si="25"/>
        <v>1484.97071359285</v>
      </c>
      <c r="AB16" s="1">
        <f t="shared" si="4"/>
        <v>557.876446762649</v>
      </c>
      <c r="AC16" s="1">
        <f t="shared" si="5"/>
        <v>371.9176311751</v>
      </c>
      <c r="AD16" s="1">
        <f>AC16/(AC16+[1]战斗公式!$M$27)</f>
        <v>0.0152600889599005</v>
      </c>
      <c r="AE16" s="1">
        <f t="shared" si="6"/>
        <v>1507.98266318301</v>
      </c>
      <c r="AF16" s="1">
        <f t="shared" si="26"/>
        <v>5.22144242269108</v>
      </c>
      <c r="AG16" s="1">
        <f t="shared" si="7"/>
        <v>3.3590989194332</v>
      </c>
      <c r="AH16" s="1">
        <f t="shared" si="8"/>
        <v>1.121495220997</v>
      </c>
      <c r="AI16" s="1">
        <f t="shared" si="9"/>
        <v>0.508445617417478</v>
      </c>
      <c r="AJ16" s="1">
        <f t="shared" si="10"/>
        <v>1.93668218749837</v>
      </c>
      <c r="AK16" s="1">
        <f t="shared" si="11"/>
        <v>1.737891928081</v>
      </c>
      <c r="AL16" s="1">
        <f t="shared" si="12"/>
        <v>0.802307081990864</v>
      </c>
      <c r="AM16" s="27">
        <f t="shared" si="13"/>
        <v>496</v>
      </c>
      <c r="AN16" s="27">
        <f t="shared" si="27"/>
        <v>284</v>
      </c>
      <c r="AO16" s="27">
        <f t="shared" si="14"/>
        <v>372</v>
      </c>
      <c r="AP16" s="1">
        <f t="shared" si="15"/>
        <v>554</v>
      </c>
      <c r="AQ16" s="1">
        <f t="shared" si="28"/>
        <v>228</v>
      </c>
      <c r="AR16"/>
      <c r="AS16" s="1">
        <f t="shared" ref="AS16:AY16" si="38">ROUNDUP(AS$10*$AP16,0)</f>
        <v>554</v>
      </c>
      <c r="AT16" s="1">
        <f t="shared" si="38"/>
        <v>1662</v>
      </c>
      <c r="AU16" s="1">
        <f t="shared" si="38"/>
        <v>998</v>
      </c>
      <c r="AV16" s="1">
        <f t="shared" si="38"/>
        <v>277</v>
      </c>
      <c r="AW16" s="1">
        <f t="shared" si="38"/>
        <v>84</v>
      </c>
      <c r="AX16" s="1">
        <f t="shared" si="38"/>
        <v>2216</v>
      </c>
      <c r="AY16" s="1">
        <f t="shared" si="38"/>
        <v>4986</v>
      </c>
      <c r="AZ16" s="1">
        <f t="shared" si="17"/>
        <v>57636</v>
      </c>
      <c r="BA16" s="1">
        <f t="shared" si="18"/>
        <v>28818</v>
      </c>
      <c r="BC16" s="1">
        <f t="shared" si="19"/>
        <v>5</v>
      </c>
    </row>
    <row r="17" s="1" customFormat="1" spans="2:55">
      <c r="B17" s="4">
        <v>6</v>
      </c>
      <c r="C17" s="1">
        <f t="shared" ref="C17:I17" si="39">C$5+(C$6-C$5)*(POWER(C$7,$B17-1)-1)/(POWER(C$7,$B$3-1)-1)</f>
        <v>474.097572999446</v>
      </c>
      <c r="D17" s="1">
        <f t="shared" si="39"/>
        <v>142.229271899834</v>
      </c>
      <c r="E17" s="1">
        <f t="shared" si="39"/>
        <v>94.8195145998891</v>
      </c>
      <c r="F17" s="1">
        <f t="shared" si="39"/>
        <v>1740.35817936505</v>
      </c>
      <c r="G17" s="1">
        <f t="shared" si="39"/>
        <v>522.107453809516</v>
      </c>
      <c r="H17" s="1">
        <f t="shared" si="39"/>
        <v>348.071635873011</v>
      </c>
      <c r="I17" s="1">
        <f t="shared" si="39"/>
        <v>0</v>
      </c>
      <c r="J17" s="1">
        <f>[1]标准模型!$I$65/1*$B17/$B$3</f>
        <v>0.0432</v>
      </c>
      <c r="K17" s="1">
        <f>J17*[1]标准模型!$J$63</f>
        <v>0.0432</v>
      </c>
      <c r="L17" s="1">
        <f t="shared" si="21"/>
        <v>2214.4557523645</v>
      </c>
      <c r="M17" s="1">
        <f t="shared" si="1"/>
        <v>670.481030255423</v>
      </c>
      <c r="N17" s="1">
        <f t="shared" si="2"/>
        <v>446.987353503615</v>
      </c>
      <c r="O17" s="1">
        <f t="shared" ref="O17:X17" si="40">O$5+(O$6-O$5)*(POWER(O$7,$B17-1)-1)/(POWER(O$7,$B$3-1)-1)</f>
        <v>0.505011257616492</v>
      </c>
      <c r="P17" s="1">
        <f t="shared" si="40"/>
        <v>0.00270438662691903</v>
      </c>
      <c r="Q17" s="1">
        <f t="shared" si="40"/>
        <v>0.277756191689071</v>
      </c>
      <c r="R17" s="1">
        <f t="shared" si="40"/>
        <v>1.0020045030466</v>
      </c>
      <c r="S17" s="1">
        <f t="shared" si="40"/>
        <v>0.00701576066308851</v>
      </c>
      <c r="T17" s="1">
        <f t="shared" si="40"/>
        <v>2.01954390470432</v>
      </c>
      <c r="U17" s="1">
        <f t="shared" si="40"/>
        <v>1</v>
      </c>
      <c r="V17" s="1">
        <f t="shared" si="40"/>
        <v>1.00546526899029</v>
      </c>
      <c r="W17" s="1">
        <f t="shared" si="40"/>
        <v>1.00308385084092</v>
      </c>
      <c r="X17" s="1">
        <f t="shared" si="40"/>
        <v>1.01603602437277</v>
      </c>
      <c r="Y17" s="1">
        <f t="shared" si="23"/>
        <v>0.522194100495531</v>
      </c>
      <c r="Z17" s="1">
        <f t="shared" si="24"/>
        <v>0.81228625925506</v>
      </c>
      <c r="AA17" s="1">
        <f t="shared" si="25"/>
        <v>1798.77197937401</v>
      </c>
      <c r="AB17" s="1">
        <f t="shared" si="4"/>
        <v>670.481030255423</v>
      </c>
      <c r="AC17" s="1">
        <f t="shared" si="5"/>
        <v>446.987353503615</v>
      </c>
      <c r="AD17" s="1">
        <f>AC17/(AC17+[1]战斗公式!$M$27)</f>
        <v>0.0182839442357529</v>
      </c>
      <c r="AE17" s="1">
        <f t="shared" si="6"/>
        <v>1832.27315964971</v>
      </c>
      <c r="AF17" s="1">
        <f t="shared" si="26"/>
        <v>5.23325339397678</v>
      </c>
      <c r="AG17" s="1">
        <f t="shared" si="7"/>
        <v>3.36429924499658</v>
      </c>
      <c r="AH17" s="1">
        <f t="shared" si="8"/>
        <v>1.15130166107058</v>
      </c>
      <c r="AI17" s="1">
        <f t="shared" si="9"/>
        <v>0.510567589340086</v>
      </c>
      <c r="AJ17" s="1">
        <f t="shared" si="10"/>
        <v>1.88984807812301</v>
      </c>
      <c r="AK17" s="1">
        <f t="shared" si="11"/>
        <v>1.72313341971199</v>
      </c>
      <c r="AL17" s="1">
        <f t="shared" si="12"/>
        <v>0.802879533208251</v>
      </c>
      <c r="AM17" s="27">
        <f t="shared" si="13"/>
        <v>616</v>
      </c>
      <c r="AN17" s="27">
        <f t="shared" si="27"/>
        <v>342</v>
      </c>
      <c r="AO17" s="27">
        <f t="shared" si="14"/>
        <v>447</v>
      </c>
      <c r="AP17" s="1">
        <f t="shared" si="15"/>
        <v>682</v>
      </c>
      <c r="AQ17" s="1">
        <f t="shared" si="28"/>
        <v>275</v>
      </c>
      <c r="AR17"/>
      <c r="AS17" s="1">
        <f t="shared" ref="AS17:AY17" si="41">ROUNDUP(AS$10*$AP17,0)</f>
        <v>682</v>
      </c>
      <c r="AT17" s="1">
        <f t="shared" si="41"/>
        <v>2046</v>
      </c>
      <c r="AU17" s="1">
        <f t="shared" si="41"/>
        <v>1228</v>
      </c>
      <c r="AV17" s="1">
        <f t="shared" si="41"/>
        <v>341</v>
      </c>
      <c r="AW17" s="1">
        <f t="shared" si="41"/>
        <v>103</v>
      </c>
      <c r="AX17" s="1">
        <f t="shared" si="41"/>
        <v>2728</v>
      </c>
      <c r="AY17" s="1">
        <f t="shared" si="41"/>
        <v>6138</v>
      </c>
      <c r="AZ17" s="1">
        <f t="shared" si="17"/>
        <v>69849</v>
      </c>
      <c r="BA17" s="1">
        <f t="shared" si="18"/>
        <v>34924</v>
      </c>
      <c r="BC17" s="1">
        <f t="shared" si="19"/>
        <v>6</v>
      </c>
    </row>
    <row r="18" s="1" customFormat="1" spans="2:55">
      <c r="B18" s="4">
        <v>7</v>
      </c>
      <c r="C18" s="1">
        <f t="shared" ref="C18:I18" si="42">C$5+(C$6-C$5)*(POWER(C$7,$B18-1)-1)/(POWER(C$7,$B$3-1)-1)</f>
        <v>553.116850540297</v>
      </c>
      <c r="D18" s="1">
        <f t="shared" si="42"/>
        <v>165.935055162089</v>
      </c>
      <c r="E18" s="1">
        <f t="shared" si="42"/>
        <v>110.623370108059</v>
      </c>
      <c r="F18" s="1">
        <f t="shared" si="42"/>
        <v>2030.42894502134</v>
      </c>
      <c r="G18" s="1">
        <f t="shared" si="42"/>
        <v>609.128683506403</v>
      </c>
      <c r="H18" s="1">
        <f t="shared" si="42"/>
        <v>406.085789004269</v>
      </c>
      <c r="I18" s="1">
        <f t="shared" si="42"/>
        <v>0</v>
      </c>
      <c r="J18" s="1">
        <f>[1]标准模型!$I$65/1*$B18/$B$3</f>
        <v>0.0504</v>
      </c>
      <c r="K18" s="1">
        <f>J18*[1]标准模型!$J$63</f>
        <v>0.0504</v>
      </c>
      <c r="L18" s="1">
        <f t="shared" si="21"/>
        <v>2583.54579556164</v>
      </c>
      <c r="M18" s="1">
        <f t="shared" si="1"/>
        <v>783.426865448661</v>
      </c>
      <c r="N18" s="1">
        <f t="shared" si="2"/>
        <v>522.284576965774</v>
      </c>
      <c r="O18" s="1">
        <f t="shared" ref="O18:X18" si="43">O$5+(O$6-O$5)*(POWER(O$7,$B18-1)-1)/(POWER(O$7,$B$3-1)-1)</f>
        <v>0.506013506133029</v>
      </c>
      <c r="P18" s="1">
        <f t="shared" si="43"/>
        <v>0.00324770033238901</v>
      </c>
      <c r="Q18" s="1">
        <f t="shared" si="43"/>
        <v>0.278307428373166</v>
      </c>
      <c r="R18" s="1">
        <f t="shared" si="43"/>
        <v>1.00240540245321</v>
      </c>
      <c r="S18" s="1">
        <f t="shared" si="43"/>
        <v>0.00841890858624104</v>
      </c>
      <c r="T18" s="1">
        <f t="shared" si="43"/>
        <v>2.02345267391881</v>
      </c>
      <c r="U18" s="1">
        <f t="shared" si="43"/>
        <v>1</v>
      </c>
      <c r="V18" s="1">
        <f t="shared" si="43"/>
        <v>1.00655831950918</v>
      </c>
      <c r="W18" s="1">
        <f t="shared" si="43"/>
        <v>1.00370061915879</v>
      </c>
      <c r="X18" s="1">
        <f t="shared" si="43"/>
        <v>1.01924321962569</v>
      </c>
      <c r="Y18" s="1">
        <f t="shared" si="23"/>
        <v>0.526734812321617</v>
      </c>
      <c r="Z18" s="1">
        <f t="shared" si="24"/>
        <v>0.819933786093076</v>
      </c>
      <c r="AA18" s="1">
        <f t="shared" si="25"/>
        <v>2118.3364856997</v>
      </c>
      <c r="AB18" s="1">
        <f t="shared" si="4"/>
        <v>783.426865448661</v>
      </c>
      <c r="AC18" s="1">
        <f t="shared" si="5"/>
        <v>522.284576965774</v>
      </c>
      <c r="AD18" s="1">
        <f>AC18/(AC18+[1]战斗公式!$M$27)</f>
        <v>0.0212983653838014</v>
      </c>
      <c r="AE18" s="1">
        <f t="shared" si="6"/>
        <v>2164.43542217073</v>
      </c>
      <c r="AF18" s="1">
        <f t="shared" si="26"/>
        <v>5.2451045605082</v>
      </c>
      <c r="AG18" s="1">
        <f t="shared" si="7"/>
        <v>3.36951496955746</v>
      </c>
      <c r="AH18" s="1">
        <f t="shared" si="8"/>
        <v>1.1808845528436</v>
      </c>
      <c r="AI18" s="1">
        <f t="shared" si="9"/>
        <v>0.512693805206539</v>
      </c>
      <c r="AJ18" s="1">
        <f t="shared" si="10"/>
        <v>1.84535567421642</v>
      </c>
      <c r="AK18" s="1">
        <f t="shared" si="11"/>
        <v>1.70867008151036</v>
      </c>
      <c r="AL18" s="1">
        <f t="shared" si="12"/>
        <v>0.803450267071986</v>
      </c>
      <c r="AM18" s="27">
        <f t="shared" si="13"/>
        <v>742</v>
      </c>
      <c r="AN18" s="27">
        <f t="shared" si="27"/>
        <v>402</v>
      </c>
      <c r="AO18" s="27">
        <f t="shared" si="14"/>
        <v>522</v>
      </c>
      <c r="AP18" s="1">
        <f t="shared" si="15"/>
        <v>815</v>
      </c>
      <c r="AQ18" s="1">
        <f t="shared" si="28"/>
        <v>323</v>
      </c>
      <c r="AR18"/>
      <c r="AS18" s="1">
        <f t="shared" ref="AS18:AY18" si="44">ROUNDUP(AS$10*$AP18,0)</f>
        <v>815</v>
      </c>
      <c r="AT18" s="1">
        <f t="shared" si="44"/>
        <v>2445</v>
      </c>
      <c r="AU18" s="1">
        <f t="shared" si="44"/>
        <v>1467</v>
      </c>
      <c r="AV18" s="1">
        <f t="shared" si="44"/>
        <v>408</v>
      </c>
      <c r="AW18" s="1">
        <f t="shared" si="44"/>
        <v>123</v>
      </c>
      <c r="AX18" s="1">
        <f t="shared" si="44"/>
        <v>3260</v>
      </c>
      <c r="AY18" s="1">
        <f t="shared" si="44"/>
        <v>7335</v>
      </c>
      <c r="AZ18" s="1">
        <f t="shared" si="17"/>
        <v>82155</v>
      </c>
      <c r="BA18" s="1">
        <f t="shared" si="18"/>
        <v>41078</v>
      </c>
      <c r="BC18" s="1">
        <f t="shared" si="19"/>
        <v>7</v>
      </c>
    </row>
    <row r="19" s="1" customFormat="1" spans="2:55">
      <c r="B19" s="4">
        <v>8</v>
      </c>
      <c r="C19" s="1">
        <f t="shared" ref="C19:I19" si="45">C$5+(C$6-C$5)*(POWER(C$7,$B19-1)-1)/(POWER(C$7,$B$3-1)-1)</f>
        <v>632.136049063224</v>
      </c>
      <c r="D19" s="1">
        <f t="shared" si="45"/>
        <v>189.640814718967</v>
      </c>
      <c r="E19" s="1">
        <f t="shared" si="45"/>
        <v>126.427209812645</v>
      </c>
      <c r="F19" s="1">
        <f t="shared" si="45"/>
        <v>2320.49942061184</v>
      </c>
      <c r="G19" s="1">
        <f t="shared" si="45"/>
        <v>696.149826183551</v>
      </c>
      <c r="H19" s="1">
        <f t="shared" si="45"/>
        <v>464.099884122367</v>
      </c>
      <c r="I19" s="1">
        <f t="shared" si="45"/>
        <v>0</v>
      </c>
      <c r="J19" s="1">
        <f>[1]标准模型!$I$65/1*$B19/$B$3</f>
        <v>0.0576</v>
      </c>
      <c r="K19" s="1">
        <f>J19*[1]标准模型!$J$63</f>
        <v>0.0576</v>
      </c>
      <c r="L19" s="1">
        <f t="shared" si="21"/>
        <v>2952.63546967506</v>
      </c>
      <c r="M19" s="1">
        <f t="shared" si="1"/>
        <v>896.713951830331</v>
      </c>
      <c r="N19" s="1">
        <f t="shared" si="2"/>
        <v>597.80930122022</v>
      </c>
      <c r="O19" s="1">
        <f t="shared" ref="O19:X19" si="46">O$5+(O$6-O$5)*(POWER(O$7,$B19-1)-1)/(POWER(O$7,$B$3-1)-1)</f>
        <v>0.507015753647336</v>
      </c>
      <c r="P19" s="1">
        <f t="shared" si="46"/>
        <v>0.00379182900841718</v>
      </c>
      <c r="Q19" s="1">
        <f t="shared" si="46"/>
        <v>0.278858664506035</v>
      </c>
      <c r="R19" s="1">
        <f t="shared" si="46"/>
        <v>1.00280630145893</v>
      </c>
      <c r="S19" s="1">
        <f t="shared" si="46"/>
        <v>0.00982205510626968</v>
      </c>
      <c r="T19" s="1">
        <f t="shared" si="46"/>
        <v>2.02736143922461</v>
      </c>
      <c r="U19" s="1">
        <f t="shared" si="46"/>
        <v>1</v>
      </c>
      <c r="V19" s="1">
        <f t="shared" si="46"/>
        <v>1.00765136893504</v>
      </c>
      <c r="W19" s="1">
        <f t="shared" si="46"/>
        <v>1.0043173868599</v>
      </c>
      <c r="X19" s="1">
        <f t="shared" si="46"/>
        <v>1.02245041167147</v>
      </c>
      <c r="Y19" s="1">
        <f t="shared" si="23"/>
        <v>0.531310062476315</v>
      </c>
      <c r="Z19" s="1">
        <f t="shared" si="24"/>
        <v>0.827645923110431</v>
      </c>
      <c r="AA19" s="1">
        <f t="shared" si="25"/>
        <v>2443.73670890782</v>
      </c>
      <c r="AB19" s="1">
        <f t="shared" si="4"/>
        <v>896.713951830331</v>
      </c>
      <c r="AC19" s="1">
        <f t="shared" si="5"/>
        <v>597.80930122022</v>
      </c>
      <c r="AD19" s="1">
        <f>AC19/(AC19+[1]战斗公式!$M$27)</f>
        <v>0.0243033553882607</v>
      </c>
      <c r="AE19" s="1">
        <f t="shared" si="6"/>
        <v>2504.60706450442</v>
      </c>
      <c r="AF19" s="1">
        <f t="shared" si="26"/>
        <v>5.25699583821915</v>
      </c>
      <c r="AG19" s="1">
        <f t="shared" si="7"/>
        <v>3.37474602272555</v>
      </c>
      <c r="AH19" s="1">
        <f t="shared" si="8"/>
        <v>1.21024557292833</v>
      </c>
      <c r="AI19" s="1">
        <f t="shared" si="9"/>
        <v>0.514824273504725</v>
      </c>
      <c r="AJ19" s="1">
        <f t="shared" si="10"/>
        <v>1.80308789050516</v>
      </c>
      <c r="AK19" s="1">
        <f t="shared" si="11"/>
        <v>1.69449601007277</v>
      </c>
      <c r="AL19" s="1">
        <f t="shared" si="12"/>
        <v>0.80401928873413</v>
      </c>
      <c r="AM19" s="27">
        <f t="shared" si="13"/>
        <v>876</v>
      </c>
      <c r="AN19" s="27">
        <f t="shared" si="27"/>
        <v>462</v>
      </c>
      <c r="AO19" s="27">
        <f t="shared" si="14"/>
        <v>598</v>
      </c>
      <c r="AP19" s="1">
        <f t="shared" si="15"/>
        <v>953</v>
      </c>
      <c r="AQ19" s="1">
        <f t="shared" si="28"/>
        <v>371</v>
      </c>
      <c r="AR19"/>
      <c r="AS19" s="1">
        <f t="shared" ref="AS19:AY19" si="47">ROUNDUP(AS$10*$AP19,0)</f>
        <v>953</v>
      </c>
      <c r="AT19" s="1">
        <f t="shared" si="47"/>
        <v>2859</v>
      </c>
      <c r="AU19" s="1">
        <f t="shared" si="47"/>
        <v>1716</v>
      </c>
      <c r="AV19" s="1">
        <f t="shared" si="47"/>
        <v>477</v>
      </c>
      <c r="AW19" s="1">
        <f t="shared" si="47"/>
        <v>143</v>
      </c>
      <c r="AX19" s="1">
        <f t="shared" si="47"/>
        <v>3812</v>
      </c>
      <c r="AY19" s="1">
        <f t="shared" si="47"/>
        <v>8577</v>
      </c>
      <c r="AZ19" s="1">
        <f t="shared" si="17"/>
        <v>94770</v>
      </c>
      <c r="BA19" s="1">
        <f t="shared" si="18"/>
        <v>47385</v>
      </c>
      <c r="BC19" s="1">
        <f t="shared" si="19"/>
        <v>8</v>
      </c>
    </row>
    <row r="20" s="1" customFormat="1" spans="2:55">
      <c r="B20" s="4">
        <v>9</v>
      </c>
      <c r="C20" s="1">
        <f t="shared" ref="C20:I20" si="48">C$5+(C$6-C$5)*(POWER(C$7,$B20-1)-1)/(POWER(C$7,$B$3-1)-1)</f>
        <v>711.155168568227</v>
      </c>
      <c r="D20" s="1">
        <f t="shared" si="48"/>
        <v>213.346550570468</v>
      </c>
      <c r="E20" s="1">
        <f t="shared" si="48"/>
        <v>142.231033713645</v>
      </c>
      <c r="F20" s="1">
        <f t="shared" si="48"/>
        <v>2610.56960613653</v>
      </c>
      <c r="G20" s="1">
        <f t="shared" si="48"/>
        <v>783.170881840959</v>
      </c>
      <c r="H20" s="1">
        <f t="shared" si="48"/>
        <v>522.113921227306</v>
      </c>
      <c r="I20" s="1">
        <f t="shared" si="48"/>
        <v>0</v>
      </c>
      <c r="J20" s="1">
        <f>[1]标准模型!$I$65/1*$B20/$B$3</f>
        <v>0.0648</v>
      </c>
      <c r="K20" s="1">
        <f>J20*[1]标准模型!$J$63</f>
        <v>0.0648</v>
      </c>
      <c r="L20" s="1">
        <f t="shared" si="21"/>
        <v>3321.72477470476</v>
      </c>
      <c r="M20" s="1">
        <f t="shared" si="1"/>
        <v>1010.34228888839</v>
      </c>
      <c r="N20" s="1">
        <f t="shared" si="2"/>
        <v>673.561525925595</v>
      </c>
      <c r="O20" s="1">
        <f t="shared" ref="O20:X20" si="49">O$5+(O$6-O$5)*(POWER(O$7,$B20-1)-1)/(POWER(O$7,$B$3-1)-1)</f>
        <v>0.50801800015941</v>
      </c>
      <c r="P20" s="1">
        <f t="shared" si="49"/>
        <v>0.00433677387745947</v>
      </c>
      <c r="Q20" s="1">
        <f t="shared" si="49"/>
        <v>0.279409900087676</v>
      </c>
      <c r="R20" s="1">
        <f t="shared" si="49"/>
        <v>1.00320720006376</v>
      </c>
      <c r="S20" s="1">
        <f t="shared" si="49"/>
        <v>0.0112252002231744</v>
      </c>
      <c r="T20" s="1">
        <f t="shared" si="49"/>
        <v>2.0312702006217</v>
      </c>
      <c r="U20" s="1">
        <f t="shared" si="49"/>
        <v>1</v>
      </c>
      <c r="V20" s="1">
        <f t="shared" si="49"/>
        <v>1.00874441726787</v>
      </c>
      <c r="W20" s="1">
        <f t="shared" si="49"/>
        <v>1.00493415394425</v>
      </c>
      <c r="X20" s="1">
        <f t="shared" si="49"/>
        <v>1.02565760051011</v>
      </c>
      <c r="Y20" s="1">
        <f t="shared" si="23"/>
        <v>0.535920100171474</v>
      </c>
      <c r="Z20" s="1">
        <f t="shared" si="24"/>
        <v>0.835423185378929</v>
      </c>
      <c r="AA20" s="1">
        <f t="shared" si="25"/>
        <v>2775.04589223595</v>
      </c>
      <c r="AB20" s="1">
        <f t="shared" si="4"/>
        <v>1010.34228888839</v>
      </c>
      <c r="AC20" s="1">
        <f t="shared" si="5"/>
        <v>673.561525925595</v>
      </c>
      <c r="AD20" s="1">
        <f>AC20/(AC20+[1]战斗公式!$M$27)</f>
        <v>0.0272989177187839</v>
      </c>
      <c r="AE20" s="1">
        <f t="shared" si="6"/>
        <v>2852.92773163962</v>
      </c>
      <c r="AF20" s="1">
        <f t="shared" si="26"/>
        <v>5.26892714375343</v>
      </c>
      <c r="AG20" s="1">
        <f t="shared" si="7"/>
        <v>3.37999233453852</v>
      </c>
      <c r="AH20" s="1">
        <f t="shared" si="8"/>
        <v>1.23938638536242</v>
      </c>
      <c r="AI20" s="1">
        <f t="shared" si="9"/>
        <v>0.516959002739508</v>
      </c>
      <c r="AJ20" s="1">
        <f t="shared" si="10"/>
        <v>1.76293349597946</v>
      </c>
      <c r="AK20" s="1">
        <f t="shared" si="11"/>
        <v>1.68060542006392</v>
      </c>
      <c r="AL20" s="1">
        <f t="shared" si="12"/>
        <v>0.804586603331287</v>
      </c>
      <c r="AM20" s="27">
        <f t="shared" si="13"/>
        <v>1018</v>
      </c>
      <c r="AN20" s="27">
        <f t="shared" si="27"/>
        <v>522</v>
      </c>
      <c r="AO20" s="27">
        <f t="shared" si="14"/>
        <v>674</v>
      </c>
      <c r="AP20" s="1">
        <f t="shared" si="15"/>
        <v>1097</v>
      </c>
      <c r="AQ20" s="1">
        <f t="shared" si="28"/>
        <v>420</v>
      </c>
      <c r="AR20"/>
      <c r="AS20" s="1">
        <f t="shared" ref="AS20:AY20" si="50">ROUNDUP(AS$10*$AP20,0)</f>
        <v>1097</v>
      </c>
      <c r="AT20" s="1">
        <f t="shared" si="50"/>
        <v>3291</v>
      </c>
      <c r="AU20" s="1">
        <f t="shared" si="50"/>
        <v>1975</v>
      </c>
      <c r="AV20" s="1">
        <f t="shared" si="50"/>
        <v>549</v>
      </c>
      <c r="AW20" s="1">
        <f t="shared" si="50"/>
        <v>165</v>
      </c>
      <c r="AX20" s="1">
        <f t="shared" si="50"/>
        <v>4388</v>
      </c>
      <c r="AY20" s="1">
        <f t="shared" si="50"/>
        <v>9873</v>
      </c>
      <c r="AZ20" s="1">
        <f t="shared" si="17"/>
        <v>107680</v>
      </c>
      <c r="BA20" s="1">
        <f t="shared" si="18"/>
        <v>53840</v>
      </c>
      <c r="BC20" s="1">
        <f t="shared" si="19"/>
        <v>9</v>
      </c>
    </row>
    <row r="21" s="1" customFormat="1" spans="2:55">
      <c r="B21" s="4">
        <v>10</v>
      </c>
      <c r="C21" s="1">
        <f t="shared" ref="C21:I21" si="51">C$5+(C$6-C$5)*(POWER(C$7,$B21-1)-1)/(POWER(C$7,$B$3-1)-1)</f>
        <v>790.174209055305</v>
      </c>
      <c r="D21" s="1">
        <f t="shared" si="51"/>
        <v>237.052262716591</v>
      </c>
      <c r="E21" s="1">
        <f t="shared" si="51"/>
        <v>158.034841811061</v>
      </c>
      <c r="F21" s="1">
        <f t="shared" si="51"/>
        <v>2900.63950159542</v>
      </c>
      <c r="G21" s="1">
        <f t="shared" si="51"/>
        <v>870.191850478627</v>
      </c>
      <c r="H21" s="1">
        <f t="shared" si="51"/>
        <v>580.127900319084</v>
      </c>
      <c r="I21" s="1">
        <f t="shared" si="51"/>
        <v>0</v>
      </c>
      <c r="J21" s="1">
        <f>[1]标准模型!$I$65/1*$B21/$B$3</f>
        <v>0.072</v>
      </c>
      <c r="K21" s="1">
        <f>J21*[1]标准模型!$J$63</f>
        <v>0.072</v>
      </c>
      <c r="L21" s="1">
        <f t="shared" si="21"/>
        <v>3690.81371065072</v>
      </c>
      <c r="M21" s="1">
        <f t="shared" si="1"/>
        <v>1124.31187611081</v>
      </c>
      <c r="N21" s="1">
        <f t="shared" si="2"/>
        <v>749.541250740541</v>
      </c>
      <c r="O21" s="1">
        <f t="shared" ref="O21:X21" si="52">O$5+(O$6-O$5)*(POWER(O$7,$B21-1)-1)/(POWER(O$7,$B$3-1)-1)</f>
        <v>0.509020245669254</v>
      </c>
      <c r="P21" s="1">
        <f t="shared" si="52"/>
        <v>0.00488253616380521</v>
      </c>
      <c r="Q21" s="1">
        <f t="shared" si="52"/>
        <v>0.27996113511809</v>
      </c>
      <c r="R21" s="1">
        <f t="shared" si="52"/>
        <v>1.0036080982677</v>
      </c>
      <c r="S21" s="1">
        <f t="shared" si="52"/>
        <v>0.0126283439369553</v>
      </c>
      <c r="T21" s="1">
        <f t="shared" si="52"/>
        <v>2.03517895811009</v>
      </c>
      <c r="U21" s="1">
        <f t="shared" si="52"/>
        <v>1</v>
      </c>
      <c r="V21" s="1">
        <f t="shared" si="52"/>
        <v>1.00983746450766</v>
      </c>
      <c r="W21" s="1">
        <f t="shared" si="52"/>
        <v>1.00555092041185</v>
      </c>
      <c r="X21" s="1">
        <f t="shared" si="52"/>
        <v>1.02886478614161</v>
      </c>
      <c r="Y21" s="1">
        <f t="shared" si="23"/>
        <v>0.540565176145629</v>
      </c>
      <c r="Z21" s="1">
        <f t="shared" si="24"/>
        <v>0.843266091571926</v>
      </c>
      <c r="AA21" s="1">
        <f t="shared" si="25"/>
        <v>3112.33805250051</v>
      </c>
      <c r="AB21" s="1">
        <f t="shared" si="4"/>
        <v>1124.31187611081</v>
      </c>
      <c r="AC21" s="1">
        <f t="shared" si="5"/>
        <v>749.541250740541</v>
      </c>
      <c r="AD21" s="1">
        <f>AC21/(AC21+[1]战斗公式!$M$27)</f>
        <v>0.0302850563227354</v>
      </c>
      <c r="AE21" s="1">
        <f t="shared" si="6"/>
        <v>3209.53912569212</v>
      </c>
      <c r="AF21" s="1">
        <f t="shared" si="26"/>
        <v>5.28089839445615</v>
      </c>
      <c r="AG21" s="1">
        <f t="shared" si="7"/>
        <v>3.38525383545897</v>
      </c>
      <c r="AH21" s="1">
        <f t="shared" si="8"/>
        <v>1.26830864170325</v>
      </c>
      <c r="AI21" s="1">
        <f t="shared" si="9"/>
        <v>0.51909800143276</v>
      </c>
      <c r="AJ21" s="1">
        <f t="shared" si="10"/>
        <v>1.72478682118004</v>
      </c>
      <c r="AK21" s="1">
        <f t="shared" si="11"/>
        <v>1.66699264185526</v>
      </c>
      <c r="AL21" s="1">
        <f t="shared" si="12"/>
        <v>0.805152215984653</v>
      </c>
      <c r="AM21" s="27">
        <f t="shared" si="13"/>
        <v>1166</v>
      </c>
      <c r="AN21" s="27">
        <f t="shared" si="27"/>
        <v>584</v>
      </c>
      <c r="AO21" s="27">
        <f t="shared" si="14"/>
        <v>750</v>
      </c>
      <c r="AP21" s="1">
        <f t="shared" si="15"/>
        <v>1246</v>
      </c>
      <c r="AQ21" s="1">
        <f t="shared" si="28"/>
        <v>470</v>
      </c>
      <c r="AR21"/>
      <c r="AS21" s="1">
        <f t="shared" ref="AS21:AY21" si="53">ROUNDUP(AS$10*$AP21,0)</f>
        <v>1246</v>
      </c>
      <c r="AT21" s="1">
        <f t="shared" si="53"/>
        <v>3738</v>
      </c>
      <c r="AU21" s="1">
        <f t="shared" si="53"/>
        <v>2243</v>
      </c>
      <c r="AV21" s="1">
        <f t="shared" si="53"/>
        <v>623</v>
      </c>
      <c r="AW21" s="1">
        <f t="shared" si="53"/>
        <v>187</v>
      </c>
      <c r="AX21" s="1">
        <f t="shared" si="53"/>
        <v>4984</v>
      </c>
      <c r="AY21" s="1">
        <f t="shared" si="53"/>
        <v>11214</v>
      </c>
      <c r="AZ21" s="1">
        <f t="shared" si="17"/>
        <v>120666</v>
      </c>
      <c r="BA21" s="1">
        <f t="shared" si="18"/>
        <v>60333</v>
      </c>
      <c r="BC21" s="1">
        <f t="shared" si="19"/>
        <v>10</v>
      </c>
    </row>
    <row r="22" s="1" customFormat="1" spans="2:55">
      <c r="B22" s="4">
        <v>11</v>
      </c>
      <c r="C22" s="1">
        <f t="shared" ref="C22:I22" si="54">C$5+(C$6-C$5)*(POWER(C$7,$B22-1)-1)/(POWER(C$7,$B$3-1)-1)</f>
        <v>869.193170515685</v>
      </c>
      <c r="D22" s="1">
        <f t="shared" si="54"/>
        <v>260.757951154705</v>
      </c>
      <c r="E22" s="1">
        <f t="shared" si="54"/>
        <v>173.838634103137</v>
      </c>
      <c r="F22" s="1">
        <f t="shared" si="54"/>
        <v>3190.70910695631</v>
      </c>
      <c r="G22" s="1">
        <f t="shared" si="54"/>
        <v>957.212732086894</v>
      </c>
      <c r="H22" s="1">
        <f t="shared" si="54"/>
        <v>638.141821391262</v>
      </c>
      <c r="I22" s="1">
        <f t="shared" si="54"/>
        <v>0</v>
      </c>
      <c r="J22" s="1">
        <f>[1]标准模型!$I$65/1*$B22/$B$3</f>
        <v>0.0792</v>
      </c>
      <c r="K22" s="1">
        <f>J22*[1]标准模型!$J$63</f>
        <v>0.0792</v>
      </c>
      <c r="L22" s="1">
        <f t="shared" si="21"/>
        <v>4059.90227747199</v>
      </c>
      <c r="M22" s="1">
        <f t="shared" si="1"/>
        <v>1238.62271297305</v>
      </c>
      <c r="N22" s="1">
        <f t="shared" si="2"/>
        <v>825.748475315368</v>
      </c>
      <c r="O22" s="1">
        <f t="shared" ref="O22:X22" si="55">O$5+(O$6-O$5)*(POWER(O$7,$B22-1)-1)/(POWER(O$7,$B$3-1)-1)</f>
        <v>0.510022490176755</v>
      </c>
      <c r="P22" s="1">
        <f t="shared" si="55"/>
        <v>0.00542911709358059</v>
      </c>
      <c r="Q22" s="1">
        <f t="shared" si="55"/>
        <v>0.280512369597215</v>
      </c>
      <c r="R22" s="1">
        <f t="shared" si="55"/>
        <v>1.0040089960707</v>
      </c>
      <c r="S22" s="1">
        <f t="shared" si="55"/>
        <v>0.0140314862474564</v>
      </c>
      <c r="T22" s="1">
        <f t="shared" si="55"/>
        <v>2.03908771168934</v>
      </c>
      <c r="U22" s="1">
        <f t="shared" si="55"/>
        <v>1</v>
      </c>
      <c r="V22" s="1">
        <f t="shared" si="55"/>
        <v>1.01093051065431</v>
      </c>
      <c r="W22" s="1">
        <f t="shared" si="55"/>
        <v>1.00616768626262</v>
      </c>
      <c r="X22" s="1">
        <f t="shared" si="55"/>
        <v>1.03207196856561</v>
      </c>
      <c r="Y22" s="1">
        <f t="shared" si="23"/>
        <v>0.545245542669494</v>
      </c>
      <c r="Z22" s="1">
        <f t="shared" si="24"/>
        <v>0.851175163982261</v>
      </c>
      <c r="AA22" s="1">
        <f t="shared" si="25"/>
        <v>3455.68798677918</v>
      </c>
      <c r="AB22" s="1">
        <f t="shared" si="4"/>
        <v>1238.62271297305</v>
      </c>
      <c r="AC22" s="1">
        <f t="shared" si="5"/>
        <v>825.748475315368</v>
      </c>
      <c r="AD22" s="1">
        <f>AC22/(AC22+[1]战斗公式!$M$27)</f>
        <v>0.0332617756172154</v>
      </c>
      <c r="AE22" s="1">
        <f t="shared" si="6"/>
        <v>3574.58503203954</v>
      </c>
      <c r="AF22" s="1">
        <f t="shared" si="26"/>
        <v>5.29290950836227</v>
      </c>
      <c r="AG22" s="1">
        <f t="shared" si="7"/>
        <v>3.39053045636991</v>
      </c>
      <c r="AH22" s="1">
        <f t="shared" si="8"/>
        <v>1.29701398112153</v>
      </c>
      <c r="AI22" s="1">
        <f t="shared" si="9"/>
        <v>0.521241278123399</v>
      </c>
      <c r="AJ22" s="1">
        <f t="shared" si="10"/>
        <v>1.6885474801206</v>
      </c>
      <c r="AK22" s="1">
        <f t="shared" si="11"/>
        <v>1.65365211921076</v>
      </c>
      <c r="AL22" s="1">
        <f t="shared" si="12"/>
        <v>0.805716131800059</v>
      </c>
      <c r="AM22" s="27">
        <f t="shared" si="13"/>
        <v>1322</v>
      </c>
      <c r="AN22" s="27">
        <f t="shared" si="27"/>
        <v>646</v>
      </c>
      <c r="AO22" s="27">
        <f t="shared" si="14"/>
        <v>826</v>
      </c>
      <c r="AP22" s="1">
        <f t="shared" si="15"/>
        <v>1400</v>
      </c>
      <c r="AQ22" s="1">
        <f t="shared" si="28"/>
        <v>520</v>
      </c>
      <c r="AR22"/>
      <c r="AS22" s="1">
        <f t="shared" ref="AS22:AY22" si="56">ROUNDUP(AS$10*$AP22,0)</f>
        <v>1400</v>
      </c>
      <c r="AT22" s="1">
        <f t="shared" si="56"/>
        <v>4200</v>
      </c>
      <c r="AU22" s="1">
        <f t="shared" si="56"/>
        <v>2520</v>
      </c>
      <c r="AV22" s="1">
        <f t="shared" si="56"/>
        <v>700</v>
      </c>
      <c r="AW22" s="1">
        <f t="shared" si="56"/>
        <v>210</v>
      </c>
      <c r="AX22" s="1">
        <f t="shared" si="56"/>
        <v>5600</v>
      </c>
      <c r="AY22" s="1">
        <f t="shared" si="56"/>
        <v>12600</v>
      </c>
      <c r="AZ22" s="1">
        <f t="shared" si="17"/>
        <v>133936</v>
      </c>
      <c r="BA22" s="1">
        <f t="shared" si="18"/>
        <v>66968</v>
      </c>
      <c r="BC22" s="1">
        <f t="shared" si="19"/>
        <v>11</v>
      </c>
    </row>
    <row r="23" s="1" customFormat="1" spans="2:55">
      <c r="B23" s="4">
        <v>12</v>
      </c>
      <c r="C23" s="1">
        <f t="shared" ref="C23:I23" si="57">C$5+(C$6-C$5)*(POWER(C$7,$B23-1)-1)/(POWER(C$7,$B$3-1)-1)</f>
        <v>948.212052966914</v>
      </c>
      <c r="D23" s="1">
        <f t="shared" si="57"/>
        <v>284.463615890074</v>
      </c>
      <c r="E23" s="1">
        <f t="shared" si="57"/>
        <v>189.642410593383</v>
      </c>
      <c r="F23" s="1">
        <f t="shared" si="57"/>
        <v>3480.77842228361</v>
      </c>
      <c r="G23" s="1">
        <f t="shared" si="57"/>
        <v>1044.23352668508</v>
      </c>
      <c r="H23" s="1">
        <f t="shared" si="57"/>
        <v>696.155684456721</v>
      </c>
      <c r="I23" s="1">
        <f t="shared" si="57"/>
        <v>0</v>
      </c>
      <c r="J23" s="1">
        <f>[1]标准模型!$I$65/1*$B23/$B$3</f>
        <v>0.0864</v>
      </c>
      <c r="K23" s="1">
        <f>J23*[1]标准模型!$J$63</f>
        <v>0.0864</v>
      </c>
      <c r="L23" s="1">
        <f t="shared" si="21"/>
        <v>4428.99047525052</v>
      </c>
      <c r="M23" s="1">
        <f t="shared" si="1"/>
        <v>1353.27479898806</v>
      </c>
      <c r="N23" s="1">
        <f t="shared" si="2"/>
        <v>902.183199325372</v>
      </c>
      <c r="O23" s="1">
        <f t="shared" ref="O23:X23" si="58">O$5+(O$6-O$5)*(POWER(O$7,$B23-1)-1)/(POWER(O$7,$B$3-1)-1)</f>
        <v>0.511024733682135</v>
      </c>
      <c r="P23" s="1">
        <f t="shared" si="58"/>
        <v>0.00597651789475059</v>
      </c>
      <c r="Q23" s="1">
        <f t="shared" si="58"/>
        <v>0.281063603525174</v>
      </c>
      <c r="R23" s="1">
        <f t="shared" si="58"/>
        <v>1.00440989347285</v>
      </c>
      <c r="S23" s="1">
        <f t="shared" si="58"/>
        <v>0.0154346271549895</v>
      </c>
      <c r="T23" s="1">
        <f t="shared" si="58"/>
        <v>2.04299646136033</v>
      </c>
      <c r="U23" s="1">
        <f t="shared" si="58"/>
        <v>1</v>
      </c>
      <c r="V23" s="1">
        <f t="shared" si="58"/>
        <v>1.01202355570804</v>
      </c>
      <c r="W23" s="1">
        <f t="shared" si="58"/>
        <v>1.0067844514967</v>
      </c>
      <c r="X23" s="1">
        <f t="shared" si="58"/>
        <v>1.03527914778283</v>
      </c>
      <c r="Y23" s="1">
        <f t="shared" si="23"/>
        <v>0.549961453553751</v>
      </c>
      <c r="Z23" s="1">
        <f t="shared" si="24"/>
        <v>0.859150928544328</v>
      </c>
      <c r="AA23" s="1">
        <f t="shared" si="25"/>
        <v>3805.17127932547</v>
      </c>
      <c r="AB23" s="1">
        <f t="shared" si="4"/>
        <v>1353.27479898806</v>
      </c>
      <c r="AC23" s="1">
        <f t="shared" si="5"/>
        <v>902.183199325372</v>
      </c>
      <c r="AD23" s="1">
        <f>AC23/(AC23+[1]战斗公式!$M$27)</f>
        <v>0.0362290804827833</v>
      </c>
      <c r="AE23" s="1">
        <f t="shared" si="6"/>
        <v>3948.21134594059</v>
      </c>
      <c r="AF23" s="1">
        <f t="shared" si="26"/>
        <v>5.30496040419762</v>
      </c>
      <c r="AG23" s="1">
        <f t="shared" si="7"/>
        <v>3.3958221285762</v>
      </c>
      <c r="AH23" s="1">
        <f t="shared" si="8"/>
        <v>1.32550403049417</v>
      </c>
      <c r="AI23" s="1">
        <f t="shared" si="9"/>
        <v>0.523388841367419</v>
      </c>
      <c r="AJ23" s="1">
        <f t="shared" si="10"/>
        <v>1.65412010611413</v>
      </c>
      <c r="AK23" s="1">
        <f t="shared" si="11"/>
        <v>1.64057840701916</v>
      </c>
      <c r="AL23" s="1">
        <f t="shared" si="12"/>
        <v>0.806278355868018</v>
      </c>
      <c r="AM23" s="27">
        <f t="shared" si="13"/>
        <v>1485</v>
      </c>
      <c r="AN23" s="27">
        <f t="shared" si="27"/>
        <v>708</v>
      </c>
      <c r="AO23" s="27">
        <f t="shared" si="14"/>
        <v>902</v>
      </c>
      <c r="AP23" s="1">
        <f t="shared" si="15"/>
        <v>1560</v>
      </c>
      <c r="AQ23" s="1">
        <f t="shared" si="28"/>
        <v>571</v>
      </c>
      <c r="AR23"/>
      <c r="AS23" s="1">
        <f t="shared" ref="AS23:AY23" si="59">ROUNDUP(AS$10*$AP23,0)</f>
        <v>1560</v>
      </c>
      <c r="AT23" s="1">
        <f t="shared" si="59"/>
        <v>4680</v>
      </c>
      <c r="AU23" s="1">
        <f t="shared" si="59"/>
        <v>2808</v>
      </c>
      <c r="AV23" s="1">
        <f t="shared" si="59"/>
        <v>780</v>
      </c>
      <c r="AW23" s="1">
        <f t="shared" si="59"/>
        <v>234</v>
      </c>
      <c r="AX23" s="1">
        <f t="shared" si="59"/>
        <v>6240</v>
      </c>
      <c r="AY23" s="1">
        <f t="shared" si="59"/>
        <v>14040</v>
      </c>
      <c r="AZ23" s="1">
        <f t="shared" si="17"/>
        <v>147382</v>
      </c>
      <c r="BA23" s="1">
        <f t="shared" si="18"/>
        <v>73691</v>
      </c>
      <c r="BC23" s="1">
        <f t="shared" si="19"/>
        <v>12</v>
      </c>
    </row>
    <row r="24" s="1" customFormat="1" spans="2:55">
      <c r="B24" s="4">
        <v>13</v>
      </c>
      <c r="C24" s="1">
        <f t="shared" ref="C24:I24" si="60">C$5+(C$6-C$5)*(POWER(C$7,$B24-1)-1)/(POWER(C$7,$B$3-1)-1)</f>
        <v>1027.23085639144</v>
      </c>
      <c r="D24" s="1">
        <f t="shared" si="60"/>
        <v>308.169256917433</v>
      </c>
      <c r="E24" s="1">
        <f t="shared" si="60"/>
        <v>205.446171278289</v>
      </c>
      <c r="F24" s="1">
        <f t="shared" si="60"/>
        <v>3770.8474475129</v>
      </c>
      <c r="G24" s="1">
        <f t="shared" si="60"/>
        <v>1131.25423425387</v>
      </c>
      <c r="H24" s="1">
        <f t="shared" si="60"/>
        <v>754.16948950258</v>
      </c>
      <c r="I24" s="1">
        <f t="shared" si="60"/>
        <v>0</v>
      </c>
      <c r="J24" s="1">
        <f>[1]标准模型!$I$65/1*$B24/$B$3</f>
        <v>0.0936</v>
      </c>
      <c r="K24" s="1">
        <f>J24*[1]标准模型!$J$63</f>
        <v>0.0936</v>
      </c>
      <c r="L24" s="1">
        <f t="shared" si="21"/>
        <v>4798.07830390435</v>
      </c>
      <c r="M24" s="1">
        <f t="shared" si="1"/>
        <v>1468.26813361877</v>
      </c>
      <c r="N24" s="1">
        <f t="shared" si="2"/>
        <v>978.845422412517</v>
      </c>
      <c r="O24" s="1">
        <f t="shared" ref="O24:X24" si="61">O$5+(O$6-O$5)*(POWER(O$7,$B24-1)-1)/(POWER(O$7,$B$3-1)-1)</f>
        <v>0.512026976185173</v>
      </c>
      <c r="P24" s="1">
        <f t="shared" si="61"/>
        <v>0.00652473979712226</v>
      </c>
      <c r="Q24" s="1">
        <f t="shared" si="61"/>
        <v>0.281614836901845</v>
      </c>
      <c r="R24" s="1">
        <f t="shared" si="61"/>
        <v>1.00481079047407</v>
      </c>
      <c r="S24" s="1">
        <f t="shared" si="61"/>
        <v>0.0168377666592428</v>
      </c>
      <c r="T24" s="1">
        <f t="shared" si="61"/>
        <v>2.04690520712218</v>
      </c>
      <c r="U24" s="1">
        <f t="shared" si="61"/>
        <v>1</v>
      </c>
      <c r="V24" s="1">
        <f t="shared" si="61"/>
        <v>1.01311659966862</v>
      </c>
      <c r="W24" s="1">
        <f t="shared" si="61"/>
        <v>1.00740121611395</v>
      </c>
      <c r="X24" s="1">
        <f t="shared" si="61"/>
        <v>1.03848632379256</v>
      </c>
      <c r="Y24" s="1">
        <f t="shared" si="23"/>
        <v>0.554713164151839</v>
      </c>
      <c r="Z24" s="1">
        <f t="shared" si="24"/>
        <v>0.86719391484725</v>
      </c>
      <c r="AA24" s="1">
        <f t="shared" si="25"/>
        <v>4160.86430810646</v>
      </c>
      <c r="AB24" s="1">
        <f t="shared" si="4"/>
        <v>1468.26813361877</v>
      </c>
      <c r="AC24" s="1">
        <f t="shared" si="5"/>
        <v>978.845422412517</v>
      </c>
      <c r="AD24" s="1">
        <f>AC24/(AC24+[1]战斗公式!$M$27)</f>
        <v>0.0391869762536838</v>
      </c>
      <c r="AE24" s="1">
        <f t="shared" si="6"/>
        <v>4330.56609899269</v>
      </c>
      <c r="AF24" s="1">
        <f t="shared" si="26"/>
        <v>5.31705100135341</v>
      </c>
      <c r="AG24" s="1">
        <f t="shared" si="7"/>
        <v>3.40112878379339</v>
      </c>
      <c r="AH24" s="1">
        <f t="shared" si="8"/>
        <v>1.35378040449652</v>
      </c>
      <c r="AI24" s="1">
        <f t="shared" si="9"/>
        <v>0.525540699737927</v>
      </c>
      <c r="AJ24" s="1">
        <f t="shared" si="10"/>
        <v>1.62141410080798</v>
      </c>
      <c r="AK24" s="1">
        <f t="shared" si="11"/>
        <v>1.62776616907139</v>
      </c>
      <c r="AL24" s="1">
        <f t="shared" si="12"/>
        <v>0.806838893263774</v>
      </c>
      <c r="AM24" s="27">
        <f t="shared" si="13"/>
        <v>1656</v>
      </c>
      <c r="AN24" s="27">
        <f t="shared" si="27"/>
        <v>772</v>
      </c>
      <c r="AO24" s="27">
        <f t="shared" si="14"/>
        <v>979</v>
      </c>
      <c r="AP24" s="1">
        <f t="shared" si="15"/>
        <v>1724</v>
      </c>
      <c r="AQ24" s="1">
        <f t="shared" si="28"/>
        <v>623</v>
      </c>
      <c r="AR24"/>
      <c r="AS24" s="1">
        <f t="shared" ref="AS24:AY24" si="62">ROUNDUP(AS$10*$AP24,0)</f>
        <v>1724</v>
      </c>
      <c r="AT24" s="1">
        <f t="shared" si="62"/>
        <v>5172</v>
      </c>
      <c r="AU24" s="1">
        <f t="shared" si="62"/>
        <v>3104</v>
      </c>
      <c r="AV24" s="1">
        <f t="shared" si="62"/>
        <v>862</v>
      </c>
      <c r="AW24" s="1">
        <f t="shared" si="62"/>
        <v>259</v>
      </c>
      <c r="AX24" s="1">
        <f t="shared" si="62"/>
        <v>6896</v>
      </c>
      <c r="AY24" s="1">
        <f t="shared" si="62"/>
        <v>15516</v>
      </c>
      <c r="AZ24" s="1">
        <f t="shared" si="17"/>
        <v>161104</v>
      </c>
      <c r="BA24" s="1">
        <f t="shared" si="18"/>
        <v>80552</v>
      </c>
      <c r="BC24" s="1">
        <f t="shared" si="19"/>
        <v>13</v>
      </c>
    </row>
    <row r="25" s="1" customFormat="1" spans="2:55">
      <c r="B25" s="4">
        <v>14</v>
      </c>
      <c r="C25" s="1">
        <f t="shared" ref="C25:I25" si="63">C$5+(C$6-C$5)*(POWER(C$7,$B25-1)-1)/(POWER(C$7,$B$3-1)-1)</f>
        <v>1106.24958079805</v>
      </c>
      <c r="D25" s="1">
        <f t="shared" si="63"/>
        <v>331.874874239415</v>
      </c>
      <c r="E25" s="1">
        <f t="shared" si="63"/>
        <v>221.24991615961</v>
      </c>
      <c r="F25" s="1">
        <f t="shared" si="63"/>
        <v>4060.91618267639</v>
      </c>
      <c r="G25" s="1">
        <f t="shared" si="63"/>
        <v>1218.27485480292</v>
      </c>
      <c r="H25" s="1">
        <f t="shared" si="63"/>
        <v>812.183236535278</v>
      </c>
      <c r="I25" s="1">
        <f t="shared" si="63"/>
        <v>0</v>
      </c>
      <c r="J25" s="1">
        <f>[1]标准模型!$I$65/1*$B25/$B$3</f>
        <v>0.1008</v>
      </c>
      <c r="K25" s="1">
        <f>J25*[1]标准模型!$J$63</f>
        <v>0.1008</v>
      </c>
      <c r="L25" s="1">
        <f t="shared" si="21"/>
        <v>5167.16576347444</v>
      </c>
      <c r="M25" s="1">
        <f t="shared" si="1"/>
        <v>1583.60271636567</v>
      </c>
      <c r="N25" s="1">
        <f t="shared" si="2"/>
        <v>1055.73514424378</v>
      </c>
      <c r="O25" s="1">
        <f t="shared" ref="O25:X25" si="64">O$5+(O$6-O$5)*(POWER(O$7,$B25-1)-1)/(POWER(O$7,$B$3-1)-1)</f>
        <v>0.51302921768598</v>
      </c>
      <c r="P25" s="1">
        <f t="shared" si="64"/>
        <v>0.0070737840323476</v>
      </c>
      <c r="Q25" s="1">
        <f t="shared" si="64"/>
        <v>0.282166069727289</v>
      </c>
      <c r="R25" s="1">
        <f t="shared" si="64"/>
        <v>1.00521168707439</v>
      </c>
      <c r="S25" s="1">
        <f t="shared" si="64"/>
        <v>0.0182409047603723</v>
      </c>
      <c r="T25" s="1">
        <f t="shared" si="64"/>
        <v>2.05081394897532</v>
      </c>
      <c r="U25" s="1">
        <f t="shared" si="64"/>
        <v>1</v>
      </c>
      <c r="V25" s="1">
        <f t="shared" si="64"/>
        <v>1.01420964253616</v>
      </c>
      <c r="W25" s="1">
        <f t="shared" si="64"/>
        <v>1.00801798011445</v>
      </c>
      <c r="X25" s="1">
        <f t="shared" si="64"/>
        <v>1.04169349659514</v>
      </c>
      <c r="Y25" s="1">
        <f t="shared" si="23"/>
        <v>0.559500931369153</v>
      </c>
      <c r="Z25" s="1">
        <f t="shared" si="24"/>
        <v>0.875304656159548</v>
      </c>
      <c r="AA25" s="1">
        <f t="shared" si="25"/>
        <v>4522.84425191738</v>
      </c>
      <c r="AB25" s="1">
        <f t="shared" si="4"/>
        <v>1583.60271636567</v>
      </c>
      <c r="AC25" s="1">
        <f t="shared" si="5"/>
        <v>1055.73514424378</v>
      </c>
      <c r="AD25" s="1">
        <f>AC25/(AC25+[1]战斗公式!$M$27)</f>
        <v>0.0421354687126918</v>
      </c>
      <c r="AE25" s="1">
        <f t="shared" si="6"/>
        <v>4721.79948644614</v>
      </c>
      <c r="AF25" s="1">
        <f t="shared" si="26"/>
        <v>5.32918121989472</v>
      </c>
      <c r="AG25" s="1">
        <f t="shared" si="7"/>
        <v>3.40645035415258</v>
      </c>
      <c r="AH25" s="1">
        <f t="shared" si="8"/>
        <v>1.38184470569384</v>
      </c>
      <c r="AI25" s="1">
        <f t="shared" si="9"/>
        <v>0.527696861825176</v>
      </c>
      <c r="AJ25" s="1">
        <f t="shared" si="10"/>
        <v>1.59034339576715</v>
      </c>
      <c r="AK25" s="1">
        <f t="shared" si="11"/>
        <v>1.61521017588257</v>
      </c>
      <c r="AL25" s="1">
        <f t="shared" si="12"/>
        <v>0.807397749047342</v>
      </c>
      <c r="AM25" s="27">
        <f t="shared" si="13"/>
        <v>1835</v>
      </c>
      <c r="AN25" s="27">
        <f t="shared" si="27"/>
        <v>836</v>
      </c>
      <c r="AO25" s="27">
        <f t="shared" si="14"/>
        <v>1056</v>
      </c>
      <c r="AP25" s="1">
        <f t="shared" si="15"/>
        <v>1894</v>
      </c>
      <c r="AQ25" s="1">
        <f t="shared" si="28"/>
        <v>675</v>
      </c>
      <c r="AR25"/>
      <c r="AS25" s="1">
        <f t="shared" ref="AS25:AY25" si="65">ROUNDUP(AS$10*$AP25,0)</f>
        <v>1894</v>
      </c>
      <c r="AT25" s="1">
        <f t="shared" si="65"/>
        <v>5682</v>
      </c>
      <c r="AU25" s="1">
        <f t="shared" si="65"/>
        <v>3410</v>
      </c>
      <c r="AV25" s="1">
        <f t="shared" si="65"/>
        <v>947</v>
      </c>
      <c r="AW25" s="1">
        <f t="shared" si="65"/>
        <v>285</v>
      </c>
      <c r="AX25" s="1">
        <f t="shared" si="65"/>
        <v>7576</v>
      </c>
      <c r="AY25" s="1">
        <f t="shared" si="65"/>
        <v>17046</v>
      </c>
      <c r="AZ25" s="1">
        <f t="shared" si="17"/>
        <v>175097</v>
      </c>
      <c r="BA25" s="1">
        <f t="shared" si="18"/>
        <v>87548</v>
      </c>
      <c r="BC25" s="1">
        <f t="shared" si="19"/>
        <v>14</v>
      </c>
    </row>
    <row r="26" s="1" customFormat="1" spans="2:55">
      <c r="B26" s="4">
        <v>15</v>
      </c>
      <c r="C26" s="1">
        <f t="shared" ref="C26:I26" si="66">C$5+(C$6-C$5)*(POWER(C$7,$B26-1)-1)/(POWER(C$7,$B$3-1)-1)</f>
        <v>1185.26822618673</v>
      </c>
      <c r="D26" s="1">
        <f t="shared" si="66"/>
        <v>355.58046785602</v>
      </c>
      <c r="E26" s="1">
        <f t="shared" si="66"/>
        <v>237.053645237347</v>
      </c>
      <c r="F26" s="1">
        <f t="shared" si="66"/>
        <v>4350.98462777408</v>
      </c>
      <c r="G26" s="1">
        <f t="shared" si="66"/>
        <v>1305.29538833223</v>
      </c>
      <c r="H26" s="1">
        <f t="shared" si="66"/>
        <v>870.196925554817</v>
      </c>
      <c r="I26" s="1">
        <f t="shared" si="66"/>
        <v>0</v>
      </c>
      <c r="J26" s="1">
        <f>[1]标准模型!$I$65/1*$B26/$B$3</f>
        <v>0.108</v>
      </c>
      <c r="K26" s="1">
        <f>J26*[1]标准模型!$J$63</f>
        <v>0.108</v>
      </c>
      <c r="L26" s="1">
        <f t="shared" si="21"/>
        <v>5536.25285396081</v>
      </c>
      <c r="M26" s="1">
        <f t="shared" si="1"/>
        <v>1699.2785467167</v>
      </c>
      <c r="N26" s="1">
        <f t="shared" si="2"/>
        <v>1132.8523644778</v>
      </c>
      <c r="O26" s="1">
        <f t="shared" ref="O26:X26" si="67">O$5+(O$6-O$5)*(POWER(O$7,$B26-1)-1)/(POWER(O$7,$B$3-1)-1)</f>
        <v>0.514031458184556</v>
      </c>
      <c r="P26" s="1">
        <f t="shared" si="67"/>
        <v>0.0076236518339257</v>
      </c>
      <c r="Q26" s="1">
        <f t="shared" si="67"/>
        <v>0.282717302001506</v>
      </c>
      <c r="R26" s="1">
        <f t="shared" si="67"/>
        <v>1.00561258327382</v>
      </c>
      <c r="S26" s="1">
        <f t="shared" si="67"/>
        <v>0.0196440414583779</v>
      </c>
      <c r="T26" s="1">
        <f t="shared" si="67"/>
        <v>2.05472268691977</v>
      </c>
      <c r="U26" s="1">
        <f t="shared" si="67"/>
        <v>1</v>
      </c>
      <c r="V26" s="1">
        <f t="shared" si="67"/>
        <v>1.01530268431068</v>
      </c>
      <c r="W26" s="1">
        <f t="shared" si="67"/>
        <v>1.00863474349819</v>
      </c>
      <c r="X26" s="1">
        <f t="shared" si="67"/>
        <v>1.04490066619058</v>
      </c>
      <c r="Y26" s="1">
        <f t="shared" si="23"/>
        <v>0.564325013667231</v>
      </c>
      <c r="Z26" s="1">
        <f t="shared" si="24"/>
        <v>0.883483689444887</v>
      </c>
      <c r="AA26" s="1">
        <f t="shared" si="25"/>
        <v>4891.18909711708</v>
      </c>
      <c r="AB26" s="1">
        <f t="shared" si="4"/>
        <v>1699.2785467167</v>
      </c>
      <c r="AC26" s="1">
        <f t="shared" si="5"/>
        <v>1132.8523644778</v>
      </c>
      <c r="AD26" s="1">
        <f>AC26/(AC26+[1]战斗公式!$M$27)</f>
        <v>0.0450745640824654</v>
      </c>
      <c r="AE26" s="1">
        <f t="shared" si="6"/>
        <v>5122.06389435779</v>
      </c>
      <c r="AF26" s="1">
        <f t="shared" si="26"/>
        <v>5.34135098054251</v>
      </c>
      <c r="AG26" s="1">
        <f t="shared" si="7"/>
        <v>3.41178677219277</v>
      </c>
      <c r="AH26" s="1">
        <f t="shared" si="8"/>
        <v>1.40969852463219</v>
      </c>
      <c r="AI26" s="1">
        <f t="shared" si="9"/>
        <v>0.529857336236599</v>
      </c>
      <c r="AJ26" s="1">
        <f t="shared" si="10"/>
        <v>1.56082622597835</v>
      </c>
      <c r="AK26" s="1">
        <f t="shared" si="11"/>
        <v>1.60290530255753</v>
      </c>
      <c r="AL26" s="1">
        <f t="shared" si="12"/>
        <v>0.80795492826356</v>
      </c>
      <c r="AM26" s="27">
        <f t="shared" si="13"/>
        <v>2021</v>
      </c>
      <c r="AN26" s="27">
        <f t="shared" si="27"/>
        <v>900</v>
      </c>
      <c r="AO26" s="27">
        <f t="shared" si="14"/>
        <v>1133</v>
      </c>
      <c r="AP26" s="1">
        <f t="shared" si="15"/>
        <v>2069</v>
      </c>
      <c r="AQ26" s="1">
        <f t="shared" si="28"/>
        <v>727</v>
      </c>
      <c r="AR26"/>
      <c r="AS26" s="1">
        <f t="shared" ref="AS26:AY26" si="68">ROUNDUP(AS$10*$AP26,0)</f>
        <v>2069</v>
      </c>
      <c r="AT26" s="1">
        <f t="shared" si="68"/>
        <v>6207</v>
      </c>
      <c r="AU26" s="1">
        <f t="shared" si="68"/>
        <v>3725</v>
      </c>
      <c r="AV26" s="1">
        <f t="shared" si="68"/>
        <v>1035</v>
      </c>
      <c r="AW26" s="1">
        <f t="shared" si="68"/>
        <v>311</v>
      </c>
      <c r="AX26" s="1">
        <f t="shared" si="68"/>
        <v>8276</v>
      </c>
      <c r="AY26" s="1">
        <f t="shared" si="68"/>
        <v>18621</v>
      </c>
      <c r="AZ26" s="1">
        <f t="shared" si="17"/>
        <v>189266</v>
      </c>
      <c r="BA26" s="1">
        <f t="shared" si="18"/>
        <v>94633</v>
      </c>
      <c r="BC26" s="1">
        <f t="shared" si="19"/>
        <v>15</v>
      </c>
    </row>
    <row r="27" s="1" customFormat="1" spans="2:55">
      <c r="B27" s="4">
        <v>16</v>
      </c>
      <c r="C27" s="1">
        <f t="shared" ref="C27:I27" si="69">C$5+(C$6-C$5)*(POWER(C$7,$B27-1)-1)/(POWER(C$7,$B$3-1)-1)</f>
        <v>1264.28679255749</v>
      </c>
      <c r="D27" s="1">
        <f t="shared" si="69"/>
        <v>379.286037767247</v>
      </c>
      <c r="E27" s="1">
        <f t="shared" si="69"/>
        <v>252.857358511498</v>
      </c>
      <c r="F27" s="1">
        <f t="shared" si="69"/>
        <v>4641.05278280598</v>
      </c>
      <c r="G27" s="1">
        <f t="shared" si="69"/>
        <v>1392.31583484179</v>
      </c>
      <c r="H27" s="1">
        <f t="shared" si="69"/>
        <v>928.210556561196</v>
      </c>
      <c r="I27" s="1">
        <f t="shared" si="69"/>
        <v>0</v>
      </c>
      <c r="J27" s="1">
        <f>[1]标准模型!$I$65/1*$B27/$B$3</f>
        <v>0.1152</v>
      </c>
      <c r="K27" s="1">
        <f>J27*[1]标准模型!$J$63</f>
        <v>0.1152</v>
      </c>
      <c r="L27" s="1">
        <f t="shared" si="21"/>
        <v>5905.33957536347</v>
      </c>
      <c r="M27" s="1">
        <f t="shared" si="1"/>
        <v>1815.29562415982</v>
      </c>
      <c r="N27" s="1">
        <f t="shared" si="2"/>
        <v>1210.19708277322</v>
      </c>
      <c r="O27" s="1">
        <f t="shared" ref="O27:X27" si="70">O$5+(O$6-O$5)*(POWER(O$7,$B27-1)-1)/(POWER(O$7,$B$3-1)-1)</f>
        <v>0.5150336976809</v>
      </c>
      <c r="P27" s="1">
        <f t="shared" si="70"/>
        <v>0.00817434443720618</v>
      </c>
      <c r="Q27" s="1">
        <f t="shared" si="70"/>
        <v>0.283268533724495</v>
      </c>
      <c r="R27" s="1">
        <f t="shared" si="70"/>
        <v>1.00601347907236</v>
      </c>
      <c r="S27" s="1">
        <f t="shared" si="70"/>
        <v>0.0210471767532595</v>
      </c>
      <c r="T27" s="1">
        <f t="shared" si="70"/>
        <v>2.05863142095551</v>
      </c>
      <c r="U27" s="1">
        <f t="shared" si="70"/>
        <v>1</v>
      </c>
      <c r="V27" s="1">
        <f t="shared" si="70"/>
        <v>1.01639572499216</v>
      </c>
      <c r="W27" s="1">
        <f t="shared" si="70"/>
        <v>1.00925150626517</v>
      </c>
      <c r="X27" s="1">
        <f t="shared" si="70"/>
        <v>1.04810783257888</v>
      </c>
      <c r="Y27" s="1">
        <f t="shared" si="23"/>
        <v>0.569185671070234</v>
      </c>
      <c r="Z27" s="1">
        <f t="shared" si="24"/>
        <v>0.891731555381973</v>
      </c>
      <c r="AA27" s="1">
        <f t="shared" si="25"/>
        <v>5265.97764459759</v>
      </c>
      <c r="AB27" s="1">
        <f t="shared" si="4"/>
        <v>1815.29562415982</v>
      </c>
      <c r="AC27" s="1">
        <f t="shared" si="5"/>
        <v>1210.19708277322</v>
      </c>
      <c r="AD27" s="1">
        <f>AC27/(AC27+[1]战斗公式!$M$27)</f>
        <v>0.048004269018594</v>
      </c>
      <c r="AE27" s="1">
        <f t="shared" si="6"/>
        <v>5531.51392724097</v>
      </c>
      <c r="AF27" s="1">
        <f t="shared" si="26"/>
        <v>5.35356020466793</v>
      </c>
      <c r="AG27" s="1">
        <f t="shared" si="7"/>
        <v>3.41713797085891</v>
      </c>
      <c r="AH27" s="1">
        <f t="shared" si="8"/>
        <v>1.4373434399285</v>
      </c>
      <c r="AI27" s="1">
        <f t="shared" si="9"/>
        <v>0.532022131596846</v>
      </c>
      <c r="AJ27" s="1">
        <f t="shared" si="10"/>
        <v>1.53278491467899</v>
      </c>
      <c r="AK27" s="1">
        <f t="shared" si="11"/>
        <v>1.59084652669899</v>
      </c>
      <c r="AL27" s="1">
        <f t="shared" si="12"/>
        <v>0.808510435942129</v>
      </c>
      <c r="AM27" s="27">
        <f t="shared" si="13"/>
        <v>2215</v>
      </c>
      <c r="AN27" s="27">
        <f t="shared" si="27"/>
        <v>966</v>
      </c>
      <c r="AO27" s="27">
        <f t="shared" si="14"/>
        <v>1210</v>
      </c>
      <c r="AP27" s="1">
        <f t="shared" si="15"/>
        <v>2249</v>
      </c>
      <c r="AQ27" s="1">
        <f t="shared" si="28"/>
        <v>781</v>
      </c>
      <c r="AR27"/>
      <c r="AS27" s="1">
        <f t="shared" ref="AS27:AY27" si="71">ROUNDUP(AS$10*$AP27,0)</f>
        <v>2249</v>
      </c>
      <c r="AT27" s="1">
        <f t="shared" si="71"/>
        <v>6747</v>
      </c>
      <c r="AU27" s="1">
        <f t="shared" si="71"/>
        <v>4049</v>
      </c>
      <c r="AV27" s="1">
        <f t="shared" si="71"/>
        <v>1125</v>
      </c>
      <c r="AW27" s="1">
        <f t="shared" si="71"/>
        <v>338</v>
      </c>
      <c r="AX27" s="1">
        <f t="shared" si="71"/>
        <v>8996</v>
      </c>
      <c r="AY27" s="1">
        <f t="shared" si="71"/>
        <v>20241</v>
      </c>
      <c r="AZ27" s="1">
        <f t="shared" si="17"/>
        <v>203707</v>
      </c>
      <c r="BA27" s="1">
        <f t="shared" si="18"/>
        <v>101854</v>
      </c>
      <c r="BC27" s="1">
        <f t="shared" si="19"/>
        <v>16</v>
      </c>
    </row>
    <row r="28" s="1" customFormat="1" spans="2:55">
      <c r="B28" s="4">
        <v>17</v>
      </c>
      <c r="C28" s="1">
        <f t="shared" ref="C28:I28" si="72">C$5+(C$6-C$5)*(POWER(C$7,$B28-1)-1)/(POWER(C$7,$B$3-1)-1)</f>
        <v>1343.30527991032</v>
      </c>
      <c r="D28" s="1">
        <f t="shared" si="72"/>
        <v>402.991583973097</v>
      </c>
      <c r="E28" s="1">
        <f t="shared" si="72"/>
        <v>268.661055982065</v>
      </c>
      <c r="F28" s="1">
        <f t="shared" si="72"/>
        <v>4931.12064777207</v>
      </c>
      <c r="G28" s="1">
        <f t="shared" si="72"/>
        <v>1479.33619433162</v>
      </c>
      <c r="H28" s="1">
        <f t="shared" si="72"/>
        <v>986.224129554415</v>
      </c>
      <c r="I28" s="1">
        <f t="shared" si="72"/>
        <v>0</v>
      </c>
      <c r="J28" s="1">
        <f>[1]标准模型!$I$65/1*$B28/$B$3</f>
        <v>0.1224</v>
      </c>
      <c r="K28" s="1">
        <f>J28*[1]标准模型!$J$63</f>
        <v>0.1224</v>
      </c>
      <c r="L28" s="1">
        <f t="shared" si="21"/>
        <v>6274.42592768239</v>
      </c>
      <c r="M28" s="1">
        <f t="shared" si="1"/>
        <v>1931.65394818302</v>
      </c>
      <c r="N28" s="1">
        <f t="shared" si="2"/>
        <v>1287.76929878868</v>
      </c>
      <c r="O28" s="1">
        <f t="shared" ref="O28:X28" si="73">O$5+(O$6-O$5)*(POWER(O$7,$B28-1)-1)/(POWER(O$7,$B$3-1)-1)</f>
        <v>0.516035936175012</v>
      </c>
      <c r="P28" s="1">
        <f t="shared" si="73"/>
        <v>0.00872586307939166</v>
      </c>
      <c r="Q28" s="1">
        <f t="shared" si="73"/>
        <v>0.283819764896257</v>
      </c>
      <c r="R28" s="1">
        <f t="shared" si="73"/>
        <v>1.00641437447</v>
      </c>
      <c r="S28" s="1">
        <f t="shared" si="73"/>
        <v>0.0224503106450173</v>
      </c>
      <c r="T28" s="1">
        <f t="shared" si="73"/>
        <v>2.06254015108255</v>
      </c>
      <c r="U28" s="1">
        <f t="shared" si="73"/>
        <v>1</v>
      </c>
      <c r="V28" s="1">
        <f t="shared" si="73"/>
        <v>1.01748876458061</v>
      </c>
      <c r="W28" s="1">
        <f t="shared" si="73"/>
        <v>1.00986826841539</v>
      </c>
      <c r="X28" s="1">
        <f t="shared" si="73"/>
        <v>1.05131499576004</v>
      </c>
      <c r="Y28" s="1">
        <f t="shared" si="23"/>
        <v>0.574083165171002</v>
      </c>
      <c r="Z28" s="1">
        <f t="shared" si="24"/>
        <v>0.900048798383706</v>
      </c>
      <c r="AA28" s="1">
        <f t="shared" si="25"/>
        <v>5647.28951675811</v>
      </c>
      <c r="AB28" s="1">
        <f t="shared" si="4"/>
        <v>1931.65394818302</v>
      </c>
      <c r="AC28" s="1">
        <f t="shared" si="5"/>
        <v>1287.76929878868</v>
      </c>
      <c r="AD28" s="1">
        <f>AC28/(AC28+[1]战斗公式!$M$27)</f>
        <v>0.0509245906023973</v>
      </c>
      <c r="AE28" s="1">
        <f t="shared" si="6"/>
        <v>5950.30643596862</v>
      </c>
      <c r="AF28" s="1">
        <f t="shared" si="26"/>
        <v>5.36580881428401</v>
      </c>
      <c r="AG28" s="1">
        <f t="shared" si="7"/>
        <v>3.42250388349876</v>
      </c>
      <c r="AH28" s="1">
        <f t="shared" si="8"/>
        <v>1.46478101836009</v>
      </c>
      <c r="AI28" s="1">
        <f t="shared" si="9"/>
        <v>0.534191256547813</v>
      </c>
      <c r="AJ28" s="1">
        <f t="shared" si="10"/>
        <v>1.5061456689446</v>
      </c>
      <c r="AK28" s="1">
        <f t="shared" si="11"/>
        <v>1.57902892635763</v>
      </c>
      <c r="AL28" s="1">
        <f t="shared" si="12"/>
        <v>0.809064277097662</v>
      </c>
      <c r="AM28" s="27">
        <f t="shared" si="13"/>
        <v>2417</v>
      </c>
      <c r="AN28" s="27">
        <f t="shared" si="27"/>
        <v>1032</v>
      </c>
      <c r="AO28" s="27">
        <f t="shared" si="14"/>
        <v>1288</v>
      </c>
      <c r="AP28" s="1">
        <f t="shared" si="15"/>
        <v>2434</v>
      </c>
      <c r="AQ28" s="1">
        <f t="shared" si="28"/>
        <v>835</v>
      </c>
      <c r="AR28"/>
      <c r="AS28" s="1">
        <f t="shared" ref="AS28:AY28" si="74">ROUNDUP(AS$10*$AP28,0)</f>
        <v>2434</v>
      </c>
      <c r="AT28" s="1">
        <f t="shared" si="74"/>
        <v>7302</v>
      </c>
      <c r="AU28" s="1">
        <f t="shared" si="74"/>
        <v>4382</v>
      </c>
      <c r="AV28" s="1">
        <f t="shared" si="74"/>
        <v>1217</v>
      </c>
      <c r="AW28" s="1">
        <f t="shared" si="74"/>
        <v>366</v>
      </c>
      <c r="AX28" s="1">
        <f t="shared" si="74"/>
        <v>9736</v>
      </c>
      <c r="AY28" s="1">
        <f t="shared" si="74"/>
        <v>21906</v>
      </c>
      <c r="AZ28" s="1">
        <f t="shared" si="17"/>
        <v>218421</v>
      </c>
      <c r="BA28" s="1">
        <f t="shared" si="18"/>
        <v>109211</v>
      </c>
      <c r="BC28" s="1">
        <f t="shared" si="19"/>
        <v>17</v>
      </c>
    </row>
    <row r="29" s="1" customFormat="1" spans="2:55">
      <c r="B29" s="4">
        <v>18</v>
      </c>
      <c r="C29" s="1">
        <f t="shared" ref="C29:I29" si="75">C$5+(C$6-C$5)*(POWER(C$7,$B29-1)-1)/(POWER(C$7,$B$3-1)-1)</f>
        <v>1422.32368824523</v>
      </c>
      <c r="D29" s="1">
        <f t="shared" si="75"/>
        <v>426.69710647357</v>
      </c>
      <c r="E29" s="1">
        <f t="shared" si="75"/>
        <v>284.464737649046</v>
      </c>
      <c r="F29" s="1">
        <f t="shared" si="75"/>
        <v>5221.18822267237</v>
      </c>
      <c r="G29" s="1">
        <f t="shared" si="75"/>
        <v>1566.35646680171</v>
      </c>
      <c r="H29" s="1">
        <f t="shared" si="75"/>
        <v>1044.23764453447</v>
      </c>
      <c r="I29" s="1">
        <f t="shared" si="75"/>
        <v>0</v>
      </c>
      <c r="J29" s="1">
        <f>[1]标准模型!$I$65/1*$B29/$B$3</f>
        <v>0.1296</v>
      </c>
      <c r="K29" s="1">
        <f>J29*[1]标准模型!$J$63</f>
        <v>0.1296</v>
      </c>
      <c r="L29" s="1">
        <f t="shared" si="21"/>
        <v>6643.5119109176</v>
      </c>
      <c r="M29" s="1">
        <f t="shared" si="1"/>
        <v>2048.35351827425</v>
      </c>
      <c r="N29" s="1">
        <f t="shared" si="2"/>
        <v>1365.56901218283</v>
      </c>
      <c r="O29" s="1">
        <f t="shared" ref="O29:X29" si="76">O$5+(O$6-O$5)*(POWER(O$7,$B29-1)-1)/(POWER(O$7,$B$3-1)-1)</f>
        <v>0.517038173666894</v>
      </c>
      <c r="P29" s="1">
        <f t="shared" si="76"/>
        <v>0.0092782089995403</v>
      </c>
      <c r="Q29" s="1">
        <f t="shared" si="76"/>
        <v>0.284370995516792</v>
      </c>
      <c r="R29" s="1">
        <f t="shared" si="76"/>
        <v>1.00681526946676</v>
      </c>
      <c r="S29" s="1">
        <f t="shared" si="76"/>
        <v>0.0238534431336512</v>
      </c>
      <c r="T29" s="1">
        <f t="shared" si="76"/>
        <v>2.06644887730089</v>
      </c>
      <c r="U29" s="1">
        <f t="shared" si="76"/>
        <v>1</v>
      </c>
      <c r="V29" s="1">
        <f t="shared" si="76"/>
        <v>1.01858180307603</v>
      </c>
      <c r="W29" s="1">
        <f t="shared" si="76"/>
        <v>1.01048502994886</v>
      </c>
      <c r="X29" s="1">
        <f t="shared" si="76"/>
        <v>1.05452215573406</v>
      </c>
      <c r="Y29" s="1">
        <f t="shared" si="23"/>
        <v>0.579017759137114</v>
      </c>
      <c r="Z29" s="1">
        <f t="shared" si="24"/>
        <v>0.9084359666164</v>
      </c>
      <c r="AA29" s="1">
        <f t="shared" si="25"/>
        <v>6035.205164522</v>
      </c>
      <c r="AB29" s="1">
        <f t="shared" si="4"/>
        <v>2048.35351827425</v>
      </c>
      <c r="AC29" s="1">
        <f t="shared" si="5"/>
        <v>1365.56901218283</v>
      </c>
      <c r="AD29" s="1">
        <f>AC29/(AC29+[1]战斗公式!$M$27)</f>
        <v>0.0538355363337981</v>
      </c>
      <c r="AE29" s="1">
        <f t="shared" si="6"/>
        <v>6378.60054597354</v>
      </c>
      <c r="AF29" s="1">
        <f t="shared" si="26"/>
        <v>5.37809673203806</v>
      </c>
      <c r="AG29" s="1">
        <f t="shared" si="7"/>
        <v>3.42788444386004</v>
      </c>
      <c r="AH29" s="1">
        <f t="shared" si="8"/>
        <v>1.49201281495344</v>
      </c>
      <c r="AI29" s="1">
        <f t="shared" si="9"/>
        <v>0.536364719748681</v>
      </c>
      <c r="AJ29" s="1">
        <f t="shared" si="10"/>
        <v>1.48083838549693</v>
      </c>
      <c r="AK29" s="1">
        <f t="shared" si="11"/>
        <v>1.56744767802309</v>
      </c>
      <c r="AL29" s="1">
        <f t="shared" si="12"/>
        <v>0.809616456729729</v>
      </c>
      <c r="AM29" s="27">
        <f t="shared" si="13"/>
        <v>2627</v>
      </c>
      <c r="AN29" s="27">
        <f t="shared" si="27"/>
        <v>1099</v>
      </c>
      <c r="AO29" s="27">
        <f t="shared" si="14"/>
        <v>1366</v>
      </c>
      <c r="AP29" s="1">
        <f t="shared" si="15"/>
        <v>2624</v>
      </c>
      <c r="AQ29" s="1">
        <f t="shared" si="28"/>
        <v>890</v>
      </c>
      <c r="AR29"/>
      <c r="AS29" s="1">
        <f t="shared" ref="AS29:AY29" si="77">ROUNDUP(AS$10*$AP29,0)</f>
        <v>2624</v>
      </c>
      <c r="AT29" s="1">
        <f t="shared" si="77"/>
        <v>7872</v>
      </c>
      <c r="AU29" s="1">
        <f t="shared" si="77"/>
        <v>4724</v>
      </c>
      <c r="AV29" s="1">
        <f t="shared" si="77"/>
        <v>1312</v>
      </c>
      <c r="AW29" s="1">
        <f t="shared" si="77"/>
        <v>394</v>
      </c>
      <c r="AX29" s="1">
        <f t="shared" si="77"/>
        <v>10496</v>
      </c>
      <c r="AY29" s="1">
        <f t="shared" si="77"/>
        <v>23616</v>
      </c>
      <c r="AZ29" s="1">
        <f t="shared" si="17"/>
        <v>233410</v>
      </c>
      <c r="BA29" s="1">
        <f t="shared" si="18"/>
        <v>116705</v>
      </c>
      <c r="BC29" s="1">
        <f t="shared" si="19"/>
        <v>18</v>
      </c>
    </row>
    <row r="30" s="1" customFormat="1" spans="2:55">
      <c r="B30" s="4">
        <v>19</v>
      </c>
      <c r="C30" s="1">
        <f t="shared" ref="C30:I30" si="78">C$5+(C$6-C$5)*(POWER(C$7,$B30-1)-1)/(POWER(C$7,$B$3-1)-1)</f>
        <v>1501.34201756222</v>
      </c>
      <c r="D30" s="1">
        <f t="shared" si="78"/>
        <v>450.402605268665</v>
      </c>
      <c r="E30" s="1">
        <f t="shared" si="78"/>
        <v>300.268403512443</v>
      </c>
      <c r="F30" s="1">
        <f t="shared" si="78"/>
        <v>5511.25550750687</v>
      </c>
      <c r="G30" s="1">
        <f t="shared" si="78"/>
        <v>1653.37665225206</v>
      </c>
      <c r="H30" s="1">
        <f t="shared" si="78"/>
        <v>1102.25110150137</v>
      </c>
      <c r="I30" s="1">
        <f t="shared" si="78"/>
        <v>0</v>
      </c>
      <c r="J30" s="1">
        <f>[1]标准模型!$I$65/1*$B30/$B$3</f>
        <v>0.1368</v>
      </c>
      <c r="K30" s="1">
        <f>J30*[1]标准模型!$J$63</f>
        <v>0.1368</v>
      </c>
      <c r="L30" s="1">
        <f t="shared" si="21"/>
        <v>7012.59752506909</v>
      </c>
      <c r="M30" s="1">
        <f t="shared" si="1"/>
        <v>2165.39433392148</v>
      </c>
      <c r="N30" s="1">
        <f t="shared" si="2"/>
        <v>1443.59622261432</v>
      </c>
      <c r="O30" s="1">
        <f t="shared" ref="O30:X30" si="79">O$5+(O$6-O$5)*(POWER(O$7,$B30-1)-1)/(POWER(O$7,$B$3-1)-1)</f>
        <v>0.518040410156544</v>
      </c>
      <c r="P30" s="1">
        <f t="shared" si="79"/>
        <v>0.0098313834385693</v>
      </c>
      <c r="Q30" s="1">
        <f t="shared" si="79"/>
        <v>0.284922225586099</v>
      </c>
      <c r="R30" s="1">
        <f t="shared" si="79"/>
        <v>1.00721616406262</v>
      </c>
      <c r="S30" s="1">
        <f t="shared" si="79"/>
        <v>0.0252565742191611</v>
      </c>
      <c r="T30" s="1">
        <f t="shared" si="79"/>
        <v>2.07035759961052</v>
      </c>
      <c r="U30" s="1">
        <f t="shared" si="79"/>
        <v>1</v>
      </c>
      <c r="V30" s="1">
        <f t="shared" si="79"/>
        <v>1.01967484047842</v>
      </c>
      <c r="W30" s="1">
        <f t="shared" si="79"/>
        <v>1.01110179086557</v>
      </c>
      <c r="X30" s="1">
        <f t="shared" si="79"/>
        <v>1.05772931250094</v>
      </c>
      <c r="Y30" s="1">
        <f t="shared" si="23"/>
        <v>0.583989717716966</v>
      </c>
      <c r="Z30" s="1">
        <f t="shared" si="24"/>
        <v>0.916893612019068</v>
      </c>
      <c r="AA30" s="1">
        <f t="shared" si="25"/>
        <v>6429.80587439657</v>
      </c>
      <c r="AB30" s="1">
        <f t="shared" si="4"/>
        <v>2165.39433392148</v>
      </c>
      <c r="AC30" s="1">
        <f t="shared" si="5"/>
        <v>1443.59622261432</v>
      </c>
      <c r="AD30" s="1">
        <f>AC30/(AC30+[1]战斗公式!$M$27)</f>
        <v>0.0567371141242701</v>
      </c>
      <c r="AE30" s="1">
        <f t="shared" si="6"/>
        <v>6816.5576857475</v>
      </c>
      <c r="AF30" s="1">
        <f t="shared" si="26"/>
        <v>5.39042388120369</v>
      </c>
      <c r="AG30" s="1">
        <f t="shared" si="7"/>
        <v>3.43327958608732</v>
      </c>
      <c r="AH30" s="1">
        <f t="shared" si="8"/>
        <v>1.51904037307235</v>
      </c>
      <c r="AI30" s="1">
        <f t="shared" si="9"/>
        <v>0.538542529875952</v>
      </c>
      <c r="AJ30" s="1">
        <f t="shared" si="10"/>
        <v>1.45679646622164</v>
      </c>
      <c r="AK30" s="1">
        <f t="shared" si="11"/>
        <v>1.55609805465524</v>
      </c>
      <c r="AL30" s="1">
        <f t="shared" si="12"/>
        <v>0.810166979822899</v>
      </c>
      <c r="AM30" s="27">
        <f t="shared" si="13"/>
        <v>2845</v>
      </c>
      <c r="AN30" s="27">
        <f t="shared" si="27"/>
        <v>1166</v>
      </c>
      <c r="AO30" s="27">
        <f t="shared" si="14"/>
        <v>1444</v>
      </c>
      <c r="AP30" s="1">
        <f t="shared" si="15"/>
        <v>2820</v>
      </c>
      <c r="AQ30" s="1">
        <f t="shared" si="28"/>
        <v>945</v>
      </c>
      <c r="AR30"/>
      <c r="AS30" s="1">
        <f t="shared" ref="AS30:AY30" si="80">ROUNDUP(AS$10*$AP30,0)</f>
        <v>2820</v>
      </c>
      <c r="AT30" s="1">
        <f t="shared" si="80"/>
        <v>8460</v>
      </c>
      <c r="AU30" s="1">
        <f t="shared" si="80"/>
        <v>5076</v>
      </c>
      <c r="AV30" s="1">
        <f t="shared" si="80"/>
        <v>1410</v>
      </c>
      <c r="AW30" s="1">
        <f t="shared" si="80"/>
        <v>423</v>
      </c>
      <c r="AX30" s="1">
        <f t="shared" si="80"/>
        <v>11280</v>
      </c>
      <c r="AY30" s="1">
        <f t="shared" si="80"/>
        <v>25380</v>
      </c>
      <c r="AZ30" s="1">
        <f t="shared" si="17"/>
        <v>248675</v>
      </c>
      <c r="BA30" s="1">
        <f t="shared" si="18"/>
        <v>124338</v>
      </c>
      <c r="BC30" s="1">
        <f t="shared" si="19"/>
        <v>19</v>
      </c>
    </row>
    <row r="31" s="1" customFormat="1" spans="2:55">
      <c r="B31" s="4">
        <v>20</v>
      </c>
      <c r="C31" s="1">
        <f t="shared" ref="C31:I31" si="81">C$5+(C$6-C$5)*(POWER(C$7,$B31-1)-1)/(POWER(C$7,$B$3-1)-1)</f>
        <v>1580.36026786127</v>
      </c>
      <c r="D31" s="1">
        <f t="shared" si="81"/>
        <v>474.108080358382</v>
      </c>
      <c r="E31" s="1">
        <f t="shared" si="81"/>
        <v>316.072053572255</v>
      </c>
      <c r="F31" s="1">
        <f t="shared" si="81"/>
        <v>5801.32250227556</v>
      </c>
      <c r="G31" s="1">
        <f t="shared" si="81"/>
        <v>1740.39675068267</v>
      </c>
      <c r="H31" s="1">
        <f t="shared" si="81"/>
        <v>1160.26450045511</v>
      </c>
      <c r="I31" s="1">
        <f t="shared" si="81"/>
        <v>0</v>
      </c>
      <c r="J31" s="1">
        <f>[1]标准模型!$I$65/1*$B31/$B$3</f>
        <v>0.144</v>
      </c>
      <c r="K31" s="1">
        <f>J31*[1]标准模型!$J$63</f>
        <v>0.144</v>
      </c>
      <c r="L31" s="1">
        <f t="shared" si="21"/>
        <v>7381.68277013683</v>
      </c>
      <c r="M31" s="1">
        <f t="shared" si="1"/>
        <v>2282.77639461266</v>
      </c>
      <c r="N31" s="1">
        <f t="shared" si="2"/>
        <v>1521.85092974177</v>
      </c>
      <c r="O31" s="1">
        <f t="shared" ref="O31:X31" si="82">O$5+(O$6-O$5)*(POWER(O$7,$B31-1)-1)/(POWER(O$7,$B$3-1)-1)</f>
        <v>0.519042645643962</v>
      </c>
      <c r="P31" s="1">
        <f t="shared" si="82"/>
        <v>0.0103853876392567</v>
      </c>
      <c r="Q31" s="1">
        <f t="shared" si="82"/>
        <v>0.285473455104179</v>
      </c>
      <c r="R31" s="1">
        <f t="shared" si="82"/>
        <v>1.00761705825758</v>
      </c>
      <c r="S31" s="1">
        <f t="shared" si="82"/>
        <v>0.0266597039015472</v>
      </c>
      <c r="T31" s="1">
        <f t="shared" si="82"/>
        <v>2.07426631801145</v>
      </c>
      <c r="U31" s="1">
        <f t="shared" si="82"/>
        <v>1</v>
      </c>
      <c r="V31" s="1">
        <f t="shared" si="82"/>
        <v>1.02076787678777</v>
      </c>
      <c r="W31" s="1">
        <f t="shared" si="82"/>
        <v>1.01171855116552</v>
      </c>
      <c r="X31" s="1">
        <f t="shared" si="82"/>
        <v>1.06093646606068</v>
      </c>
      <c r="Y31" s="1">
        <f t="shared" si="23"/>
        <v>0.588999307245872</v>
      </c>
      <c r="Z31" s="1">
        <f t="shared" si="24"/>
        <v>0.925422290322779</v>
      </c>
      <c r="AA31" s="1">
        <f t="shared" si="25"/>
        <v>6831.17377557622</v>
      </c>
      <c r="AB31" s="1">
        <f t="shared" si="4"/>
        <v>2282.77639461266</v>
      </c>
      <c r="AC31" s="1">
        <f t="shared" si="5"/>
        <v>1521.85092974177</v>
      </c>
      <c r="AD31" s="1">
        <f>AC31/(AC31+[1]战斗公式!$M$27)</f>
        <v>0.0596293322898571</v>
      </c>
      <c r="AE31" s="1">
        <f t="shared" si="6"/>
        <v>7264.3416156424</v>
      </c>
      <c r="AF31" s="1">
        <f t="shared" si="26"/>
        <v>5.40279018567307</v>
      </c>
      <c r="AG31" s="1">
        <f t="shared" si="7"/>
        <v>3.43868924471908</v>
      </c>
      <c r="AH31" s="1">
        <f t="shared" si="8"/>
        <v>1.54586522450536</v>
      </c>
      <c r="AI31" s="1">
        <f t="shared" si="9"/>
        <v>0.540724695623477</v>
      </c>
      <c r="AJ31" s="1">
        <f t="shared" si="10"/>
        <v>1.43395664291012</v>
      </c>
      <c r="AK31" s="1">
        <f t="shared" si="11"/>
        <v>1.54497542375474</v>
      </c>
      <c r="AL31" s="1">
        <f t="shared" si="12"/>
        <v>0.81071585134679</v>
      </c>
      <c r="AM31" s="27">
        <f t="shared" si="13"/>
        <v>3071</v>
      </c>
      <c r="AN31" s="27">
        <f t="shared" si="27"/>
        <v>1234</v>
      </c>
      <c r="AO31" s="27">
        <f t="shared" si="14"/>
        <v>1522</v>
      </c>
      <c r="AP31" s="1">
        <f t="shared" si="15"/>
        <v>3020</v>
      </c>
      <c r="AQ31" s="1">
        <f t="shared" si="28"/>
        <v>1000</v>
      </c>
      <c r="AR31"/>
      <c r="AS31" s="1">
        <f t="shared" ref="AS31:AY31" si="83">ROUNDUP(AS$10*$AP31,0)</f>
        <v>3020</v>
      </c>
      <c r="AT31" s="1">
        <f t="shared" si="83"/>
        <v>9060</v>
      </c>
      <c r="AU31" s="1">
        <f t="shared" si="83"/>
        <v>5436</v>
      </c>
      <c r="AV31" s="1">
        <f t="shared" si="83"/>
        <v>1510</v>
      </c>
      <c r="AW31" s="1">
        <f t="shared" si="83"/>
        <v>453</v>
      </c>
      <c r="AX31" s="1">
        <f t="shared" si="83"/>
        <v>12080</v>
      </c>
      <c r="AY31" s="1">
        <f t="shared" si="83"/>
        <v>27180</v>
      </c>
      <c r="AZ31" s="1">
        <f t="shared" si="17"/>
        <v>264221</v>
      </c>
      <c r="BA31" s="1">
        <f t="shared" si="18"/>
        <v>132110</v>
      </c>
      <c r="BC31" s="1">
        <f t="shared" si="19"/>
        <v>20</v>
      </c>
    </row>
    <row r="32" s="1" customFormat="1" spans="2:55">
      <c r="B32" s="4">
        <v>21</v>
      </c>
      <c r="C32" s="1">
        <f t="shared" ref="C32:I32" si="84">C$5+(C$6-C$5)*(POWER(C$7,$B32-1)-1)/(POWER(C$7,$B$3-1)-1)</f>
        <v>1659.37843913364</v>
      </c>
      <c r="D32" s="1">
        <f t="shared" si="84"/>
        <v>497.813531740091</v>
      </c>
      <c r="E32" s="1">
        <f t="shared" si="84"/>
        <v>331.875687826727</v>
      </c>
      <c r="F32" s="1">
        <f t="shared" si="84"/>
        <v>6091.38920694626</v>
      </c>
      <c r="G32" s="1">
        <f t="shared" si="84"/>
        <v>1827.41676208388</v>
      </c>
      <c r="H32" s="1">
        <f t="shared" si="84"/>
        <v>1218.27784138925</v>
      </c>
      <c r="I32" s="1">
        <f t="shared" si="84"/>
        <v>0</v>
      </c>
      <c r="J32" s="1">
        <f>[1]标准模型!$I$65/1*$B32/$B$3</f>
        <v>0.1512</v>
      </c>
      <c r="K32" s="1">
        <f>J32*[1]标准模型!$J$63</f>
        <v>0.1512</v>
      </c>
      <c r="L32" s="1">
        <f t="shared" si="21"/>
        <v>7750.7676460799</v>
      </c>
      <c r="M32" s="1">
        <f t="shared" si="1"/>
        <v>2400.49969982307</v>
      </c>
      <c r="N32" s="1">
        <f t="shared" si="2"/>
        <v>1600.33313321538</v>
      </c>
      <c r="O32" s="1">
        <f t="shared" ref="O32:X32" si="85">O$5+(O$6-O$5)*(POWER(O$7,$B32-1)-1)/(POWER(O$7,$B$3-1)-1)</f>
        <v>0.520044880129038</v>
      </c>
      <c r="P32" s="1">
        <f t="shared" si="85"/>
        <v>0.0109402228462452</v>
      </c>
      <c r="Q32" s="1">
        <f t="shared" si="85"/>
        <v>0.286024684070971</v>
      </c>
      <c r="R32" s="1">
        <f t="shared" si="85"/>
        <v>1.00801795205162</v>
      </c>
      <c r="S32" s="1">
        <f t="shared" si="85"/>
        <v>0.0280628321806536</v>
      </c>
      <c r="T32" s="1">
        <f t="shared" si="85"/>
        <v>2.07817503250325</v>
      </c>
      <c r="U32" s="1">
        <f t="shared" si="85"/>
        <v>1</v>
      </c>
      <c r="V32" s="1">
        <f t="shared" si="85"/>
        <v>1.02186091200398</v>
      </c>
      <c r="W32" s="1">
        <f t="shared" si="85"/>
        <v>1.01233531084864</v>
      </c>
      <c r="X32" s="1">
        <f t="shared" si="85"/>
        <v>1.06414361641292</v>
      </c>
      <c r="Y32" s="1">
        <f t="shared" si="23"/>
        <v>0.594046795651681</v>
      </c>
      <c r="Z32" s="1">
        <f t="shared" si="24"/>
        <v>0.934022561069194</v>
      </c>
      <c r="AA32" s="1">
        <f t="shared" si="25"/>
        <v>7239.39184704379</v>
      </c>
      <c r="AB32" s="1">
        <f t="shared" si="4"/>
        <v>2400.49969982307</v>
      </c>
      <c r="AC32" s="1">
        <f t="shared" si="5"/>
        <v>1600.33313321538</v>
      </c>
      <c r="AD32" s="1">
        <f>AC32/(AC32+[1]战斗公式!$M$27)</f>
        <v>0.0625121995439587</v>
      </c>
      <c r="AE32" s="1">
        <f t="shared" si="6"/>
        <v>7722.11845692518</v>
      </c>
      <c r="AF32" s="1">
        <f t="shared" si="26"/>
        <v>5.41519556994705</v>
      </c>
      <c r="AG32" s="1">
        <f t="shared" si="7"/>
        <v>3.44411335468363</v>
      </c>
      <c r="AH32" s="1">
        <f t="shared" si="8"/>
        <v>1.57248888955262</v>
      </c>
      <c r="AI32" s="1">
        <f t="shared" si="9"/>
        <v>0.542911225702497</v>
      </c>
      <c r="AJ32" s="1">
        <f t="shared" si="10"/>
        <v>1.41225881076417</v>
      </c>
      <c r="AK32" s="1">
        <f t="shared" si="11"/>
        <v>1.53407524547226</v>
      </c>
      <c r="AL32" s="1">
        <f t="shared" si="12"/>
        <v>0.811263076256109</v>
      </c>
      <c r="AM32" s="27">
        <f t="shared" si="13"/>
        <v>3305</v>
      </c>
      <c r="AN32" s="27">
        <f t="shared" si="27"/>
        <v>1303</v>
      </c>
      <c r="AO32" s="27">
        <f t="shared" si="14"/>
        <v>1600</v>
      </c>
      <c r="AP32" s="1">
        <f t="shared" si="15"/>
        <v>3225</v>
      </c>
      <c r="AQ32" s="1">
        <f t="shared" si="28"/>
        <v>1057</v>
      </c>
      <c r="AR32"/>
      <c r="AS32" s="1">
        <f t="shared" ref="AS32:AY32" si="86">ROUNDUP(AS$10*$AP32,0)</f>
        <v>3225</v>
      </c>
      <c r="AT32" s="1">
        <f t="shared" si="86"/>
        <v>9675</v>
      </c>
      <c r="AU32" s="1">
        <f t="shared" si="86"/>
        <v>5805</v>
      </c>
      <c r="AV32" s="1">
        <f t="shared" si="86"/>
        <v>1613</v>
      </c>
      <c r="AW32" s="1">
        <f t="shared" si="86"/>
        <v>484</v>
      </c>
      <c r="AX32" s="1">
        <f t="shared" si="86"/>
        <v>12900</v>
      </c>
      <c r="AY32" s="1">
        <f t="shared" si="86"/>
        <v>29025</v>
      </c>
      <c r="AZ32" s="1">
        <f t="shared" si="17"/>
        <v>280051</v>
      </c>
      <c r="BA32" s="1">
        <f t="shared" si="18"/>
        <v>140025</v>
      </c>
      <c r="BC32" s="1">
        <f t="shared" si="19"/>
        <v>21</v>
      </c>
    </row>
    <row r="33" s="1" customFormat="1" spans="2:55">
      <c r="B33" s="4">
        <v>22</v>
      </c>
      <c r="C33" s="1">
        <f t="shared" ref="C33:I33" si="87">C$5+(C$6-C$5)*(POWER(C$7,$B33-1)-1)/(POWER(C$7,$B$3-1)-1)</f>
        <v>1738.39653139685</v>
      </c>
      <c r="D33" s="1">
        <f t="shared" si="87"/>
        <v>521.518959419054</v>
      </c>
      <c r="E33" s="1">
        <f t="shared" si="87"/>
        <v>347.679306279369</v>
      </c>
      <c r="F33" s="1">
        <f t="shared" si="87"/>
        <v>6381.45562158336</v>
      </c>
      <c r="G33" s="1">
        <f t="shared" si="87"/>
        <v>1914.43668647501</v>
      </c>
      <c r="H33" s="1">
        <f t="shared" si="87"/>
        <v>1276.29112431667</v>
      </c>
      <c r="I33" s="1">
        <f t="shared" si="87"/>
        <v>0</v>
      </c>
      <c r="J33" s="1">
        <f>[1]标准模型!$I$65/1*$B33/$B$3</f>
        <v>0.1584</v>
      </c>
      <c r="K33" s="1">
        <f>J33*[1]标准模型!$J$63</f>
        <v>0.1584</v>
      </c>
      <c r="L33" s="1">
        <f t="shared" si="21"/>
        <v>8119.85215298021</v>
      </c>
      <c r="M33" s="1">
        <f t="shared" si="1"/>
        <v>2518.56424906604</v>
      </c>
      <c r="N33" s="1">
        <f t="shared" si="2"/>
        <v>1679.04283271069</v>
      </c>
      <c r="O33" s="1">
        <f t="shared" ref="O33:X33" si="88">O$5+(O$6-O$5)*(POWER(O$7,$B33-1)-1)/(POWER(O$7,$B$3-1)-1)</f>
        <v>0.521047113611994</v>
      </c>
      <c r="P33" s="1">
        <f t="shared" si="88"/>
        <v>0.0114958903060442</v>
      </c>
      <c r="Q33" s="1">
        <f t="shared" si="88"/>
        <v>0.286575912486597</v>
      </c>
      <c r="R33" s="1">
        <f t="shared" si="88"/>
        <v>1.0084188454448</v>
      </c>
      <c r="S33" s="1">
        <f t="shared" si="88"/>
        <v>0.0294659590567919</v>
      </c>
      <c r="T33" s="1">
        <f t="shared" si="88"/>
        <v>2.08208374308678</v>
      </c>
      <c r="U33" s="1">
        <f t="shared" si="88"/>
        <v>1</v>
      </c>
      <c r="V33" s="1">
        <f t="shared" si="88"/>
        <v>1.02295394612727</v>
      </c>
      <c r="W33" s="1">
        <f t="shared" si="88"/>
        <v>1.01295206991507</v>
      </c>
      <c r="X33" s="1">
        <f t="shared" si="88"/>
        <v>1.06735076355838</v>
      </c>
      <c r="Y33" s="1">
        <f t="shared" si="23"/>
        <v>0.599132452462877</v>
      </c>
      <c r="Z33" s="1">
        <f t="shared" si="24"/>
        <v>0.942694987633607</v>
      </c>
      <c r="AA33" s="1">
        <f t="shared" si="25"/>
        <v>7654.54392494039</v>
      </c>
      <c r="AB33" s="1">
        <f t="shared" si="4"/>
        <v>2518.56424906604</v>
      </c>
      <c r="AC33" s="1">
        <f t="shared" si="5"/>
        <v>1679.04283271069</v>
      </c>
      <c r="AD33" s="1">
        <f>AC33/(AC33+[1]战斗公式!$M$27)</f>
        <v>0.0653857249917384</v>
      </c>
      <c r="AE33" s="1">
        <f t="shared" si="6"/>
        <v>8190.05672139207</v>
      </c>
      <c r="AF33" s="1">
        <f t="shared" si="26"/>
        <v>5.42763995913734</v>
      </c>
      <c r="AG33" s="1">
        <f t="shared" si="7"/>
        <v>3.44955185130077</v>
      </c>
      <c r="AH33" s="1">
        <f t="shared" si="8"/>
        <v>1.59891287711203</v>
      </c>
      <c r="AI33" s="1">
        <f t="shared" si="9"/>
        <v>0.545102128841676</v>
      </c>
      <c r="AJ33" s="1">
        <f t="shared" si="10"/>
        <v>1.39164587022552</v>
      </c>
      <c r="AK33" s="1">
        <f t="shared" si="11"/>
        <v>1.52339307075543</v>
      </c>
      <c r="AL33" s="1">
        <f t="shared" si="12"/>
        <v>0.811808659490701</v>
      </c>
      <c r="AM33" s="27">
        <f t="shared" si="13"/>
        <v>3548</v>
      </c>
      <c r="AN33" s="27">
        <f t="shared" si="27"/>
        <v>1373</v>
      </c>
      <c r="AO33" s="27">
        <f t="shared" si="14"/>
        <v>1679</v>
      </c>
      <c r="AP33" s="1">
        <f t="shared" si="15"/>
        <v>3435</v>
      </c>
      <c r="AQ33" s="1">
        <f t="shared" si="28"/>
        <v>1115</v>
      </c>
      <c r="AR33"/>
      <c r="AS33" s="1">
        <f t="shared" ref="AS33:AY33" si="89">ROUNDUP(AS$10*$AP33,0)</f>
        <v>3435</v>
      </c>
      <c r="AT33" s="1">
        <f t="shared" si="89"/>
        <v>10305</v>
      </c>
      <c r="AU33" s="1">
        <f t="shared" si="89"/>
        <v>6183</v>
      </c>
      <c r="AV33" s="1">
        <f t="shared" si="89"/>
        <v>1718</v>
      </c>
      <c r="AW33" s="1">
        <f t="shared" si="89"/>
        <v>516</v>
      </c>
      <c r="AX33" s="1">
        <f t="shared" si="89"/>
        <v>13740</v>
      </c>
      <c r="AY33" s="1">
        <f t="shared" si="89"/>
        <v>30915</v>
      </c>
      <c r="AZ33" s="1">
        <f t="shared" si="17"/>
        <v>296254</v>
      </c>
      <c r="BA33" s="1">
        <f t="shared" si="18"/>
        <v>148127</v>
      </c>
      <c r="BC33" s="1">
        <f t="shared" si="19"/>
        <v>22</v>
      </c>
    </row>
    <row r="34" s="1" customFormat="1" spans="2:55">
      <c r="B34" s="4">
        <v>23</v>
      </c>
      <c r="C34" s="1">
        <f t="shared" ref="C34:I34" si="90">C$5+(C$6-C$5)*(POWER(C$7,$B34-1)-1)/(POWER(C$7,$B$3-1)-1)</f>
        <v>1817.41454464213</v>
      </c>
      <c r="D34" s="1">
        <f t="shared" si="90"/>
        <v>545.224363392639</v>
      </c>
      <c r="E34" s="1">
        <f t="shared" si="90"/>
        <v>363.482908928426</v>
      </c>
      <c r="F34" s="1">
        <f t="shared" si="90"/>
        <v>6671.52174615466</v>
      </c>
      <c r="G34" s="1">
        <f t="shared" si="90"/>
        <v>2001.4565238464</v>
      </c>
      <c r="H34" s="1">
        <f t="shared" si="90"/>
        <v>1334.30434923093</v>
      </c>
      <c r="I34" s="1">
        <f t="shared" si="90"/>
        <v>0</v>
      </c>
      <c r="J34" s="1">
        <f>[1]标准模型!$I$65/1*$B34/$B$3</f>
        <v>0.1656</v>
      </c>
      <c r="K34" s="1">
        <f>J34*[1]标准模型!$J$63</f>
        <v>0.1656</v>
      </c>
      <c r="L34" s="1">
        <f t="shared" si="21"/>
        <v>8488.93629079679</v>
      </c>
      <c r="M34" s="1">
        <f t="shared" si="1"/>
        <v>2636.97004181686</v>
      </c>
      <c r="N34" s="1">
        <f t="shared" si="2"/>
        <v>1757.9800278779</v>
      </c>
      <c r="O34" s="1">
        <f t="shared" ref="O34:X34" si="91">O$5+(O$6-O$5)*(POWER(O$7,$B34-1)-1)/(POWER(O$7,$B$3-1)-1)</f>
        <v>0.522049346092719</v>
      </c>
      <c r="P34" s="1">
        <f t="shared" si="91"/>
        <v>0.0120523912670329</v>
      </c>
      <c r="Q34" s="1">
        <f t="shared" si="91"/>
        <v>0.287127140350995</v>
      </c>
      <c r="R34" s="1">
        <f t="shared" si="91"/>
        <v>1.00881973843709</v>
      </c>
      <c r="S34" s="1">
        <f t="shared" si="91"/>
        <v>0.0308690845298062</v>
      </c>
      <c r="T34" s="1">
        <f t="shared" si="91"/>
        <v>2.0859924497616</v>
      </c>
      <c r="U34" s="1">
        <f t="shared" si="91"/>
        <v>1</v>
      </c>
      <c r="V34" s="1">
        <f t="shared" si="91"/>
        <v>1.02404697915753</v>
      </c>
      <c r="W34" s="1">
        <f t="shared" si="91"/>
        <v>1.01356882836475</v>
      </c>
      <c r="X34" s="1">
        <f t="shared" si="91"/>
        <v>1.0705579074967</v>
      </c>
      <c r="Y34" s="1">
        <f t="shared" si="23"/>
        <v>0.604256548811774</v>
      </c>
      <c r="Z34" s="1">
        <f t="shared" si="24"/>
        <v>0.951440137239192</v>
      </c>
      <c r="AA34" s="1">
        <f t="shared" si="25"/>
        <v>8076.71470953046</v>
      </c>
      <c r="AB34" s="1">
        <f t="shared" si="4"/>
        <v>2636.97004181686</v>
      </c>
      <c r="AC34" s="1">
        <f t="shared" si="5"/>
        <v>1757.9800278779</v>
      </c>
      <c r="AD34" s="1">
        <f>AC34/(AC34+[1]战斗公式!$M$27)</f>
        <v>0.0682499181215002</v>
      </c>
      <c r="AE34" s="1">
        <f t="shared" si="6"/>
        <v>8668.32734078972</v>
      </c>
      <c r="AF34" s="1">
        <f t="shared" si="26"/>
        <v>5.44012327894461</v>
      </c>
      <c r="AG34" s="1">
        <f t="shared" si="7"/>
        <v>3.45500467027202</v>
      </c>
      <c r="AH34" s="1">
        <f t="shared" si="8"/>
        <v>1.62513868476474</v>
      </c>
      <c r="AI34" s="1">
        <f t="shared" si="9"/>
        <v>0.547297413787132</v>
      </c>
      <c r="AJ34" s="1">
        <f t="shared" si="10"/>
        <v>1.37206357671381</v>
      </c>
      <c r="AK34" s="1">
        <f t="shared" si="11"/>
        <v>1.51292453953293</v>
      </c>
      <c r="AL34" s="1">
        <f t="shared" si="12"/>
        <v>0.812352605975588</v>
      </c>
      <c r="AM34" s="27">
        <f t="shared" si="13"/>
        <v>3799</v>
      </c>
      <c r="AN34" s="27">
        <f t="shared" si="27"/>
        <v>1443</v>
      </c>
      <c r="AO34" s="27">
        <f t="shared" si="14"/>
        <v>1758</v>
      </c>
      <c r="AP34" s="1">
        <f t="shared" si="15"/>
        <v>3650</v>
      </c>
      <c r="AQ34" s="1">
        <f t="shared" si="28"/>
        <v>1172</v>
      </c>
      <c r="AR34"/>
      <c r="AS34" s="1">
        <f t="shared" ref="AS34:AY34" si="92">ROUNDUP(AS$10*$AP34,0)</f>
        <v>3650</v>
      </c>
      <c r="AT34" s="1">
        <f t="shared" si="92"/>
        <v>10950</v>
      </c>
      <c r="AU34" s="1">
        <f t="shared" si="92"/>
        <v>6570</v>
      </c>
      <c r="AV34" s="1">
        <f t="shared" si="92"/>
        <v>1825</v>
      </c>
      <c r="AW34" s="1">
        <f t="shared" si="92"/>
        <v>548</v>
      </c>
      <c r="AX34" s="1">
        <f t="shared" si="92"/>
        <v>14600</v>
      </c>
      <c r="AY34" s="1">
        <f t="shared" si="92"/>
        <v>32850</v>
      </c>
      <c r="AZ34" s="1">
        <f t="shared" si="17"/>
        <v>312748</v>
      </c>
      <c r="BA34" s="1">
        <f t="shared" si="18"/>
        <v>156374</v>
      </c>
      <c r="BC34" s="1">
        <f t="shared" si="19"/>
        <v>23</v>
      </c>
    </row>
    <row r="35" s="1" customFormat="1" spans="2:55">
      <c r="B35" s="4">
        <v>24</v>
      </c>
      <c r="C35" s="1">
        <f t="shared" ref="C35:I35" si="93">C$5+(C$6-C$5)*(POWER(C$7,$B35-1)-1)/(POWER(C$7,$B$3-1)-1)</f>
        <v>1896.43247886949</v>
      </c>
      <c r="D35" s="1">
        <f t="shared" si="93"/>
        <v>568.929743660848</v>
      </c>
      <c r="E35" s="1">
        <f t="shared" si="93"/>
        <v>379.286495773898</v>
      </c>
      <c r="F35" s="1">
        <f t="shared" si="93"/>
        <v>6961.58758066016</v>
      </c>
      <c r="G35" s="1">
        <f t="shared" si="93"/>
        <v>2088.47627419805</v>
      </c>
      <c r="H35" s="1">
        <f t="shared" si="93"/>
        <v>1392.31751613203</v>
      </c>
      <c r="I35" s="1">
        <f t="shared" si="93"/>
        <v>0</v>
      </c>
      <c r="J35" s="1">
        <f>[1]标准模型!$I$65/1*$B35/$B$3</f>
        <v>0.1728</v>
      </c>
      <c r="K35" s="1">
        <f>J35*[1]标准模型!$J$63</f>
        <v>0.1728</v>
      </c>
      <c r="L35" s="1">
        <f t="shared" si="21"/>
        <v>8858.02005952965</v>
      </c>
      <c r="M35" s="1">
        <f t="shared" si="1"/>
        <v>2755.71707756349</v>
      </c>
      <c r="N35" s="1">
        <f t="shared" si="2"/>
        <v>1837.14471837566</v>
      </c>
      <c r="O35" s="1">
        <f t="shared" ref="O35:X35" si="94">O$5+(O$6-O$5)*(POWER(O$7,$B35-1)-1)/(POWER(O$7,$B$3-1)-1)</f>
        <v>0.523051577571212</v>
      </c>
      <c r="P35" s="1">
        <f t="shared" si="94"/>
        <v>0.0126097269794631</v>
      </c>
      <c r="Q35" s="1">
        <f t="shared" si="94"/>
        <v>0.287678367664167</v>
      </c>
      <c r="R35" s="1">
        <f t="shared" si="94"/>
        <v>1.00922063102848</v>
      </c>
      <c r="S35" s="1">
        <f t="shared" si="94"/>
        <v>0.0322722085996967</v>
      </c>
      <c r="T35" s="1">
        <f t="shared" si="94"/>
        <v>2.08990115252773</v>
      </c>
      <c r="U35" s="1">
        <f t="shared" si="94"/>
        <v>1</v>
      </c>
      <c r="V35" s="1">
        <f t="shared" si="94"/>
        <v>1.02514001109476</v>
      </c>
      <c r="W35" s="1">
        <f t="shared" si="94"/>
        <v>1.01418558619767</v>
      </c>
      <c r="X35" s="1">
        <f t="shared" si="94"/>
        <v>1.07376504822788</v>
      </c>
      <c r="Y35" s="1">
        <f t="shared" si="23"/>
        <v>0.609419357442648</v>
      </c>
      <c r="Z35" s="1">
        <f t="shared" si="24"/>
        <v>0.960258580980175</v>
      </c>
      <c r="AA35" s="1">
        <f t="shared" si="25"/>
        <v>8505.98977265787</v>
      </c>
      <c r="AB35" s="1">
        <f t="shared" si="4"/>
        <v>2755.71707756349</v>
      </c>
      <c r="AC35" s="1">
        <f t="shared" si="5"/>
        <v>1837.14471837566</v>
      </c>
      <c r="AD35" s="1">
        <f>AC35/(AC35+[1]战斗公式!$M$27)</f>
        <v>0.0711047887992461</v>
      </c>
      <c r="AE35" s="1">
        <f t="shared" si="6"/>
        <v>9157.10369704936</v>
      </c>
      <c r="AF35" s="1">
        <f t="shared" si="26"/>
        <v>5.45264545566091</v>
      </c>
      <c r="AG35" s="1">
        <f t="shared" si="7"/>
        <v>3.46047174768236</v>
      </c>
      <c r="AH35" s="1">
        <f t="shared" si="8"/>
        <v>1.65116779886005</v>
      </c>
      <c r="AI35" s="1">
        <f t="shared" si="9"/>
        <v>0.549497089302479</v>
      </c>
      <c r="AJ35" s="1">
        <f t="shared" si="10"/>
        <v>1.35346039787768</v>
      </c>
      <c r="AK35" s="1">
        <f t="shared" si="11"/>
        <v>1.50266537893488</v>
      </c>
      <c r="AL35" s="1">
        <f t="shared" si="12"/>
        <v>0.812894920621021</v>
      </c>
      <c r="AM35" s="27">
        <f t="shared" si="13"/>
        <v>4059</v>
      </c>
      <c r="AN35" s="27">
        <f t="shared" si="27"/>
        <v>1514</v>
      </c>
      <c r="AO35" s="27">
        <f t="shared" si="14"/>
        <v>1837</v>
      </c>
      <c r="AP35" s="1">
        <f t="shared" si="15"/>
        <v>3871</v>
      </c>
      <c r="AQ35" s="1">
        <f t="shared" si="28"/>
        <v>1231</v>
      </c>
      <c r="AR35"/>
      <c r="AS35" s="1">
        <f t="shared" ref="AS35:AY35" si="95">ROUNDUP(AS$10*$AP35,0)</f>
        <v>3871</v>
      </c>
      <c r="AT35" s="1">
        <f t="shared" si="95"/>
        <v>11613</v>
      </c>
      <c r="AU35" s="1">
        <f t="shared" si="95"/>
        <v>6968</v>
      </c>
      <c r="AV35" s="1">
        <f t="shared" si="95"/>
        <v>1936</v>
      </c>
      <c r="AW35" s="1">
        <f t="shared" si="95"/>
        <v>581</v>
      </c>
      <c r="AX35" s="1">
        <f t="shared" si="95"/>
        <v>15484</v>
      </c>
      <c r="AY35" s="1">
        <f t="shared" si="95"/>
        <v>34839</v>
      </c>
      <c r="AZ35" s="1">
        <f t="shared" si="17"/>
        <v>329622</v>
      </c>
      <c r="BA35" s="1">
        <f t="shared" si="18"/>
        <v>164811</v>
      </c>
      <c r="BC35" s="1">
        <f t="shared" si="19"/>
        <v>24</v>
      </c>
    </row>
    <row r="36" s="1" customFormat="1" spans="2:55">
      <c r="B36" s="4">
        <v>25</v>
      </c>
      <c r="C36" s="1">
        <f t="shared" ref="C36:I36" si="96">C$5+(C$6-C$5)*(POWER(C$7,$B36-1)-1)/(POWER(C$7,$B$3-1)-1)</f>
        <v>1975.45033407016</v>
      </c>
      <c r="D36" s="1">
        <f t="shared" si="96"/>
        <v>592.635100221047</v>
      </c>
      <c r="E36" s="1">
        <f t="shared" si="96"/>
        <v>395.090066814031</v>
      </c>
      <c r="F36" s="1">
        <f t="shared" si="96"/>
        <v>7251.65312506766</v>
      </c>
      <c r="G36" s="1">
        <f t="shared" si="96"/>
        <v>2175.4959375203</v>
      </c>
      <c r="H36" s="1">
        <f t="shared" si="96"/>
        <v>1450.33062501353</v>
      </c>
      <c r="I36" s="1">
        <f t="shared" si="96"/>
        <v>0</v>
      </c>
      <c r="J36" s="1">
        <f>[1]标准模型!$I$65/1*$B36/$B$3</f>
        <v>0.18</v>
      </c>
      <c r="K36" s="1">
        <f>J36*[1]标准模型!$J$63</f>
        <v>0.18</v>
      </c>
      <c r="L36" s="1">
        <f t="shared" si="21"/>
        <v>9227.10345913782</v>
      </c>
      <c r="M36" s="1">
        <f t="shared" si="1"/>
        <v>2874.80535578114</v>
      </c>
      <c r="N36" s="1">
        <f t="shared" si="2"/>
        <v>1916.53690385409</v>
      </c>
      <c r="O36" s="1">
        <f t="shared" ref="O36:X36" si="97">O$5+(O$6-O$5)*(POWER(O$7,$B36-1)-1)/(POWER(O$7,$B$3-1)-1)</f>
        <v>0.524053808047362</v>
      </c>
      <c r="P36" s="1">
        <f t="shared" si="97"/>
        <v>0.0131678986954619</v>
      </c>
      <c r="Q36" s="1">
        <f t="shared" si="97"/>
        <v>0.288229594426049</v>
      </c>
      <c r="R36" s="1">
        <f t="shared" si="97"/>
        <v>1.00962152321894</v>
      </c>
      <c r="S36" s="1">
        <f t="shared" si="97"/>
        <v>0.0336753312663075</v>
      </c>
      <c r="T36" s="1">
        <f t="shared" si="97"/>
        <v>2.09380985138471</v>
      </c>
      <c r="U36" s="1">
        <f t="shared" si="97"/>
        <v>1</v>
      </c>
      <c r="V36" s="1">
        <f t="shared" si="97"/>
        <v>1.02623304193883</v>
      </c>
      <c r="W36" s="1">
        <f t="shared" si="97"/>
        <v>1.01480234341376</v>
      </c>
      <c r="X36" s="1">
        <f t="shared" si="97"/>
        <v>1.07697218575156</v>
      </c>
      <c r="Y36" s="1">
        <f t="shared" si="23"/>
        <v>0.61462115271691</v>
      </c>
      <c r="Z36" s="1">
        <f t="shared" si="24"/>
        <v>0.969150893839724</v>
      </c>
      <c r="AA36" s="1">
        <f t="shared" si="25"/>
        <v>8942.45556497502</v>
      </c>
      <c r="AB36" s="1">
        <f t="shared" si="4"/>
        <v>2874.80535578114</v>
      </c>
      <c r="AC36" s="1">
        <f t="shared" si="5"/>
        <v>1916.53690385409</v>
      </c>
      <c r="AD36" s="1">
        <f>AC36/(AC36+[1]战斗公式!$M$27)</f>
        <v>0.0739503472614459</v>
      </c>
      <c r="AE36" s="1">
        <f t="shared" si="6"/>
        <v>9656.56165253127</v>
      </c>
      <c r="AF36" s="1">
        <f t="shared" si="26"/>
        <v>5.46520641615776</v>
      </c>
      <c r="AG36" s="1">
        <f t="shared" si="7"/>
        <v>3.4659530199951</v>
      </c>
      <c r="AH36" s="1">
        <f t="shared" si="8"/>
        <v>1.67700169459966</v>
      </c>
      <c r="AI36" s="1">
        <f t="shared" si="9"/>
        <v>0.551701164168858</v>
      </c>
      <c r="AJ36" s="1">
        <f t="shared" si="10"/>
        <v>1.33578737798335</v>
      </c>
      <c r="AK36" s="1">
        <f t="shared" si="11"/>
        <v>1.4926114015488</v>
      </c>
      <c r="AL36" s="1">
        <f t="shared" si="12"/>
        <v>0.813435608322518</v>
      </c>
      <c r="AM36" s="27">
        <f t="shared" si="13"/>
        <v>4327</v>
      </c>
      <c r="AN36" s="27">
        <f t="shared" si="27"/>
        <v>1586</v>
      </c>
      <c r="AO36" s="27">
        <f t="shared" si="14"/>
        <v>1917</v>
      </c>
      <c r="AP36" s="1">
        <f t="shared" si="15"/>
        <v>4096</v>
      </c>
      <c r="AQ36" s="1">
        <f t="shared" si="28"/>
        <v>1290</v>
      </c>
      <c r="AR36"/>
      <c r="AS36" s="1">
        <f t="shared" ref="AS36:AY36" si="98">ROUNDUP(AS$10*$AP36,0)</f>
        <v>4096</v>
      </c>
      <c r="AT36" s="1">
        <f t="shared" si="98"/>
        <v>12288</v>
      </c>
      <c r="AU36" s="1">
        <f t="shared" si="98"/>
        <v>7373</v>
      </c>
      <c r="AV36" s="1">
        <f t="shared" si="98"/>
        <v>2048</v>
      </c>
      <c r="AW36" s="1">
        <f t="shared" si="98"/>
        <v>615</v>
      </c>
      <c r="AX36" s="1">
        <f t="shared" si="98"/>
        <v>16384</v>
      </c>
      <c r="AY36" s="1">
        <f t="shared" si="98"/>
        <v>36864</v>
      </c>
      <c r="AZ36" s="1">
        <f t="shared" si="17"/>
        <v>346797</v>
      </c>
      <c r="BA36" s="1">
        <f t="shared" si="18"/>
        <v>173399</v>
      </c>
      <c r="BC36" s="1">
        <f t="shared" si="19"/>
        <v>25</v>
      </c>
    </row>
    <row r="37" s="1" customFormat="1" spans="2:55">
      <c r="B37" s="4">
        <v>26</v>
      </c>
      <c r="C37" s="1">
        <f t="shared" ref="C37:I37" si="99">C$5+(C$6-C$5)*(POWER(C$7,$B37-1)-1)/(POWER(C$7,$B$3-1)-1)</f>
        <v>2054.46811026167</v>
      </c>
      <c r="D37" s="1">
        <f t="shared" si="99"/>
        <v>616.3404330785</v>
      </c>
      <c r="E37" s="1">
        <f t="shared" si="99"/>
        <v>410.893622052333</v>
      </c>
      <c r="F37" s="1">
        <f t="shared" si="99"/>
        <v>7541.71837944156</v>
      </c>
      <c r="G37" s="1">
        <f t="shared" si="99"/>
        <v>2262.51551383247</v>
      </c>
      <c r="H37" s="1">
        <f t="shared" si="99"/>
        <v>1508.34367588831</v>
      </c>
      <c r="I37" s="1">
        <f t="shared" si="99"/>
        <v>0</v>
      </c>
      <c r="J37" s="1">
        <f>[1]标准模型!$I$65/1*$B37/$B$3</f>
        <v>0.1872</v>
      </c>
      <c r="K37" s="1">
        <f>J37*[1]标准模型!$J$63</f>
        <v>0.1872</v>
      </c>
      <c r="L37" s="1">
        <f t="shared" si="21"/>
        <v>9596.18648970323</v>
      </c>
      <c r="M37" s="1">
        <f t="shared" si="1"/>
        <v>2994.23487598327</v>
      </c>
      <c r="N37" s="1">
        <f t="shared" si="2"/>
        <v>1996.15658398884</v>
      </c>
      <c r="O37" s="1">
        <f t="shared" ref="O37:X37" si="100">O$5+(O$6-O$5)*(POWER(O$7,$B37-1)-1)/(POWER(O$7,$B$3-1)-1)</f>
        <v>0.525056037521393</v>
      </c>
      <c r="P37" s="1">
        <f t="shared" si="100"/>
        <v>0.0137269076690347</v>
      </c>
      <c r="Q37" s="1">
        <f t="shared" si="100"/>
        <v>0.288780820636766</v>
      </c>
      <c r="R37" s="1">
        <f t="shared" si="100"/>
        <v>1.01002241500856</v>
      </c>
      <c r="S37" s="1">
        <f t="shared" si="100"/>
        <v>0.0350784525299502</v>
      </c>
      <c r="T37" s="1">
        <f t="shared" si="100"/>
        <v>2.09771854633343</v>
      </c>
      <c r="U37" s="1">
        <f t="shared" si="100"/>
        <v>1</v>
      </c>
      <c r="V37" s="1">
        <f t="shared" si="100"/>
        <v>1.02732607169</v>
      </c>
      <c r="W37" s="1">
        <f t="shared" si="100"/>
        <v>1.01541910001316</v>
      </c>
      <c r="X37" s="1">
        <f t="shared" si="100"/>
        <v>1.08017932006846</v>
      </c>
      <c r="Y37" s="1">
        <f t="shared" si="23"/>
        <v>0.619862210621338</v>
      </c>
      <c r="Z37" s="1">
        <f t="shared" si="24"/>
        <v>0.978117654713393</v>
      </c>
      <c r="AA37" s="1">
        <f t="shared" si="25"/>
        <v>9386.19942350087</v>
      </c>
      <c r="AB37" s="1">
        <f t="shared" si="4"/>
        <v>2994.23487598327</v>
      </c>
      <c r="AC37" s="1">
        <f t="shared" si="5"/>
        <v>1996.15658398884</v>
      </c>
      <c r="AD37" s="1">
        <f>AC37/(AC37+[1]战斗公式!$M$27)</f>
        <v>0.0767866041097122</v>
      </c>
      <c r="AE37" s="1">
        <f t="shared" si="6"/>
        <v>10166.8795809114</v>
      </c>
      <c r="AF37" s="1">
        <f t="shared" si="26"/>
        <v>5.47780608788888</v>
      </c>
      <c r="AG37" s="1">
        <f t="shared" si="7"/>
        <v>3.47144842405361</v>
      </c>
      <c r="AH37" s="1">
        <f t="shared" si="8"/>
        <v>1.70264183612121</v>
      </c>
      <c r="AI37" s="1">
        <f t="shared" si="9"/>
        <v>0.553909647184968</v>
      </c>
      <c r="AJ37" s="1">
        <f t="shared" si="10"/>
        <v>1.31899800908375</v>
      </c>
      <c r="AK37" s="1">
        <f t="shared" si="11"/>
        <v>1.48275850371043</v>
      </c>
      <c r="AL37" s="1">
        <f t="shared" si="12"/>
        <v>0.81397467396091</v>
      </c>
      <c r="AM37" s="27">
        <f t="shared" si="13"/>
        <v>4604</v>
      </c>
      <c r="AN37" s="27">
        <f t="shared" si="27"/>
        <v>1659</v>
      </c>
      <c r="AO37" s="27">
        <f t="shared" si="14"/>
        <v>1996</v>
      </c>
      <c r="AP37" s="1">
        <f t="shared" si="15"/>
        <v>4326</v>
      </c>
      <c r="AQ37" s="1">
        <f t="shared" si="28"/>
        <v>1350</v>
      </c>
      <c r="AR37"/>
      <c r="AS37" s="1">
        <f t="shared" ref="AS37:AY37" si="101">ROUNDUP(AS$10*$AP37,0)</f>
        <v>4326</v>
      </c>
      <c r="AT37" s="1">
        <f t="shared" si="101"/>
        <v>12978</v>
      </c>
      <c r="AU37" s="1">
        <f t="shared" si="101"/>
        <v>7787</v>
      </c>
      <c r="AV37" s="1">
        <f t="shared" si="101"/>
        <v>2163</v>
      </c>
      <c r="AW37" s="1">
        <f t="shared" si="101"/>
        <v>649</v>
      </c>
      <c r="AX37" s="1">
        <f t="shared" si="101"/>
        <v>17304</v>
      </c>
      <c r="AY37" s="1">
        <f t="shared" si="101"/>
        <v>38934</v>
      </c>
      <c r="AZ37" s="1">
        <f t="shared" si="17"/>
        <v>364360</v>
      </c>
      <c r="BA37" s="1">
        <f t="shared" si="18"/>
        <v>182180</v>
      </c>
      <c r="BC37" s="1">
        <f t="shared" si="19"/>
        <v>26</v>
      </c>
    </row>
    <row r="38" s="1" customFormat="1" spans="2:55">
      <c r="B38" s="4">
        <v>27</v>
      </c>
      <c r="C38" s="1">
        <f t="shared" ref="C38:I38" si="102">C$5+(C$6-C$5)*(POWER(C$7,$B38-1)-1)/(POWER(C$7,$B$3-1)-1)</f>
        <v>2133.48580743525</v>
      </c>
      <c r="D38" s="1">
        <f t="shared" si="102"/>
        <v>640.045742230576</v>
      </c>
      <c r="E38" s="1">
        <f t="shared" si="102"/>
        <v>426.697161487051</v>
      </c>
      <c r="F38" s="1">
        <f t="shared" si="102"/>
        <v>7831.78334374966</v>
      </c>
      <c r="G38" s="1">
        <f t="shared" si="102"/>
        <v>2349.5350031249</v>
      </c>
      <c r="H38" s="1">
        <f t="shared" si="102"/>
        <v>1566.35666874993</v>
      </c>
      <c r="I38" s="1">
        <f t="shared" si="102"/>
        <v>0</v>
      </c>
      <c r="J38" s="1">
        <f>[1]标准模型!$I$65/1*$B38/$B$3</f>
        <v>0.1944</v>
      </c>
      <c r="K38" s="1">
        <f>J38*[1]标准模型!$J$63</f>
        <v>0.1944</v>
      </c>
      <c r="L38" s="1">
        <f t="shared" si="21"/>
        <v>9965.26915118491</v>
      </c>
      <c r="M38" s="1">
        <f t="shared" si="1"/>
        <v>3114.0056376451</v>
      </c>
      <c r="N38" s="1">
        <f t="shared" si="2"/>
        <v>2076.00375843006</v>
      </c>
      <c r="O38" s="1">
        <f t="shared" ref="O38:X38" si="103">O$5+(O$6-O$5)*(POWER(O$7,$B38-1)-1)/(POWER(O$7,$B$3-1)-1)</f>
        <v>0.526058265993192</v>
      </c>
      <c r="P38" s="1">
        <f t="shared" si="103"/>
        <v>0.0142867551560678</v>
      </c>
      <c r="Q38" s="1">
        <f t="shared" si="103"/>
        <v>0.289332046296256</v>
      </c>
      <c r="R38" s="1">
        <f t="shared" si="103"/>
        <v>1.01042330639728</v>
      </c>
      <c r="S38" s="1">
        <f t="shared" si="103"/>
        <v>0.036481572390469</v>
      </c>
      <c r="T38" s="1">
        <f t="shared" si="103"/>
        <v>2.10162723737345</v>
      </c>
      <c r="U38" s="1">
        <f t="shared" si="103"/>
        <v>1</v>
      </c>
      <c r="V38" s="1">
        <f t="shared" si="103"/>
        <v>1.02841910034813</v>
      </c>
      <c r="W38" s="1">
        <f t="shared" si="103"/>
        <v>1.01603585599581</v>
      </c>
      <c r="X38" s="1">
        <f t="shared" si="103"/>
        <v>1.08338645117821</v>
      </c>
      <c r="Y38" s="1">
        <f t="shared" si="23"/>
        <v>0.625142808771251</v>
      </c>
      <c r="Z38" s="1">
        <f t="shared" si="24"/>
        <v>0.987159446423469</v>
      </c>
      <c r="AA38" s="1">
        <f t="shared" si="25"/>
        <v>9837.30957874457</v>
      </c>
      <c r="AB38" s="1">
        <f t="shared" si="4"/>
        <v>3114.0056376451</v>
      </c>
      <c r="AC38" s="1">
        <f t="shared" si="5"/>
        <v>2076.00375843006</v>
      </c>
      <c r="AD38" s="1">
        <f>AC38/(AC38+[1]战斗公式!$M$27)</f>
        <v>0.0796135703025014</v>
      </c>
      <c r="AE38" s="1">
        <f t="shared" si="6"/>
        <v>10688.238397841</v>
      </c>
      <c r="AF38" s="1">
        <f t="shared" si="26"/>
        <v>5.49044439886851</v>
      </c>
      <c r="AG38" s="1">
        <f t="shared" si="7"/>
        <v>3.47695789707174</v>
      </c>
      <c r="AH38" s="1">
        <f t="shared" si="8"/>
        <v>1.72808967658136</v>
      </c>
      <c r="AI38" s="1">
        <f t="shared" si="9"/>
        <v>0.556122547167111</v>
      </c>
      <c r="AJ38" s="1">
        <f t="shared" si="10"/>
        <v>1.30304810862912</v>
      </c>
      <c r="AK38" s="1">
        <f t="shared" si="11"/>
        <v>1.47310266382884</v>
      </c>
      <c r="AL38" s="1">
        <f t="shared" si="12"/>
        <v>0.814512122402387</v>
      </c>
      <c r="AM38" s="27">
        <f t="shared" si="13"/>
        <v>4889</v>
      </c>
      <c r="AN38" s="27">
        <f t="shared" si="27"/>
        <v>1732</v>
      </c>
      <c r="AO38" s="27">
        <f t="shared" si="14"/>
        <v>2076</v>
      </c>
      <c r="AP38" s="1">
        <f t="shared" si="15"/>
        <v>4561</v>
      </c>
      <c r="AQ38" s="1">
        <f t="shared" si="28"/>
        <v>1411</v>
      </c>
      <c r="AR38"/>
      <c r="AS38" s="1">
        <f t="shared" ref="AS38:AY38" si="104">ROUNDUP(AS$10*$AP38,0)</f>
        <v>4561</v>
      </c>
      <c r="AT38" s="1">
        <f t="shared" si="104"/>
        <v>13683</v>
      </c>
      <c r="AU38" s="1">
        <f t="shared" si="104"/>
        <v>8210</v>
      </c>
      <c r="AV38" s="1">
        <f t="shared" si="104"/>
        <v>2281</v>
      </c>
      <c r="AW38" s="1">
        <f t="shared" si="104"/>
        <v>685</v>
      </c>
      <c r="AX38" s="1">
        <f t="shared" si="104"/>
        <v>18244</v>
      </c>
      <c r="AY38" s="1">
        <f t="shared" si="104"/>
        <v>41049</v>
      </c>
      <c r="AZ38" s="1">
        <f t="shared" si="17"/>
        <v>382236</v>
      </c>
      <c r="BA38" s="1">
        <f t="shared" si="18"/>
        <v>191118</v>
      </c>
      <c r="BC38" s="1">
        <f t="shared" si="19"/>
        <v>27</v>
      </c>
    </row>
    <row r="39" s="1" customFormat="1" spans="2:55">
      <c r="B39" s="4">
        <v>28</v>
      </c>
      <c r="C39" s="1">
        <f t="shared" ref="C39:I39" si="105">C$5+(C$6-C$5)*(POWER(C$7,$B39-1)-1)/(POWER(C$7,$B$3-1)-1)</f>
        <v>2212.50342558214</v>
      </c>
      <c r="D39" s="1">
        <f t="shared" si="105"/>
        <v>663.751027674643</v>
      </c>
      <c r="E39" s="1">
        <f t="shared" si="105"/>
        <v>442.500685116429</v>
      </c>
      <c r="F39" s="1">
        <f t="shared" si="105"/>
        <v>8121.84801795977</v>
      </c>
      <c r="G39" s="1">
        <f t="shared" si="105"/>
        <v>2436.55440538793</v>
      </c>
      <c r="H39" s="1">
        <f t="shared" si="105"/>
        <v>1624.36960359195</v>
      </c>
      <c r="I39" s="1">
        <f t="shared" si="105"/>
        <v>0</v>
      </c>
      <c r="J39" s="1">
        <f>[1]标准模型!$I$65/1*$B39/$B$3</f>
        <v>0.2016</v>
      </c>
      <c r="K39" s="1">
        <f>J39*[1]标准模型!$J$63</f>
        <v>0.2016</v>
      </c>
      <c r="L39" s="1">
        <f t="shared" si="21"/>
        <v>10334.3514435419</v>
      </c>
      <c r="M39" s="1">
        <f t="shared" si="1"/>
        <v>3234.11764024178</v>
      </c>
      <c r="N39" s="1">
        <f t="shared" si="2"/>
        <v>2156.07842682785</v>
      </c>
      <c r="O39" s="1">
        <f t="shared" ref="O39:X39" si="106">O$5+(O$6-O$5)*(POWER(O$7,$B39-1)-1)/(POWER(O$7,$B$3-1)-1)</f>
        <v>0.527060493462649</v>
      </c>
      <c r="P39" s="1">
        <f t="shared" si="106"/>
        <v>0.0148474424143315</v>
      </c>
      <c r="Q39" s="1">
        <f t="shared" si="106"/>
        <v>0.289883271404457</v>
      </c>
      <c r="R39" s="1">
        <f t="shared" si="106"/>
        <v>1.01082419738506</v>
      </c>
      <c r="S39" s="1">
        <f t="shared" si="106"/>
        <v>0.0378846908477081</v>
      </c>
      <c r="T39" s="1">
        <f t="shared" si="106"/>
        <v>2.10553592450433</v>
      </c>
      <c r="U39" s="1">
        <f t="shared" si="106"/>
        <v>1</v>
      </c>
      <c r="V39" s="1">
        <f t="shared" si="106"/>
        <v>1.02951212791311</v>
      </c>
      <c r="W39" s="1">
        <f t="shared" si="106"/>
        <v>1.01665261136163</v>
      </c>
      <c r="X39" s="1">
        <f t="shared" si="106"/>
        <v>1.08659357908048</v>
      </c>
      <c r="Y39" s="1">
        <f t="shared" si="23"/>
        <v>0.630463226418236</v>
      </c>
      <c r="Z39" s="1">
        <f t="shared" si="24"/>
        <v>0.996276855741593</v>
      </c>
      <c r="AA39" s="1">
        <f t="shared" si="25"/>
        <v>10295.8751623005</v>
      </c>
      <c r="AB39" s="1">
        <f t="shared" si="4"/>
        <v>3234.11764024178</v>
      </c>
      <c r="AC39" s="1">
        <f t="shared" si="5"/>
        <v>2156.07842682785</v>
      </c>
      <c r="AD39" s="1">
        <f>AC39/(AC39+[1]战斗公式!$M$27)</f>
        <v>0.0824312571496344</v>
      </c>
      <c r="AE39" s="1">
        <f t="shared" si="6"/>
        <v>11220.821592415</v>
      </c>
      <c r="AF39" s="1">
        <f t="shared" si="26"/>
        <v>5.50312127767206</v>
      </c>
      <c r="AG39" s="1">
        <f t="shared" si="7"/>
        <v>3.4824813766344</v>
      </c>
      <c r="AH39" s="1">
        <f t="shared" si="8"/>
        <v>1.75334665823805</v>
      </c>
      <c r="AI39" s="1">
        <f t="shared" si="9"/>
        <v>0.558339872949219</v>
      </c>
      <c r="AJ39" s="1">
        <f t="shared" si="10"/>
        <v>1.28789570319722</v>
      </c>
      <c r="AK39" s="1">
        <f t="shared" si="11"/>
        <v>1.46363994074487</v>
      </c>
      <c r="AL39" s="1">
        <f t="shared" si="12"/>
        <v>0.81504795849854</v>
      </c>
      <c r="AM39" s="27">
        <f t="shared" si="13"/>
        <v>5184</v>
      </c>
      <c r="AN39" s="27">
        <f t="shared" si="27"/>
        <v>1806</v>
      </c>
      <c r="AO39" s="27">
        <f t="shared" si="14"/>
        <v>2156</v>
      </c>
      <c r="AP39" s="1">
        <f t="shared" si="15"/>
        <v>4801</v>
      </c>
      <c r="AQ39" s="1">
        <f t="shared" si="28"/>
        <v>1472</v>
      </c>
      <c r="AR39"/>
      <c r="AS39" s="1">
        <f t="shared" ref="AS39:AY39" si="107">ROUNDUP(AS$10*$AP39,0)</f>
        <v>4801</v>
      </c>
      <c r="AT39" s="1">
        <f t="shared" si="107"/>
        <v>14403</v>
      </c>
      <c r="AU39" s="1">
        <f t="shared" si="107"/>
        <v>8642</v>
      </c>
      <c r="AV39" s="1">
        <f t="shared" si="107"/>
        <v>2401</v>
      </c>
      <c r="AW39" s="1">
        <f t="shared" si="107"/>
        <v>721</v>
      </c>
      <c r="AX39" s="1">
        <f t="shared" si="107"/>
        <v>19204</v>
      </c>
      <c r="AY39" s="1">
        <f t="shared" si="107"/>
        <v>43209</v>
      </c>
      <c r="AZ39" s="1">
        <f t="shared" si="17"/>
        <v>400587</v>
      </c>
      <c r="BA39" s="1">
        <f t="shared" si="18"/>
        <v>200294</v>
      </c>
      <c r="BC39" s="1">
        <f t="shared" si="19"/>
        <v>28</v>
      </c>
    </row>
    <row r="40" s="1" customFormat="1" spans="2:55">
      <c r="B40" s="4">
        <v>29</v>
      </c>
      <c r="C40" s="1">
        <f t="shared" ref="C40:I40" si="108">C$5+(C$6-C$5)*(POWER(C$7,$B40-1)-1)/(POWER(C$7,$B$3-1)-1)</f>
        <v>2291.52096471988</v>
      </c>
      <c r="D40" s="1">
        <f t="shared" si="108"/>
        <v>687.456289415964</v>
      </c>
      <c r="E40" s="1">
        <f t="shared" si="108"/>
        <v>458.304192943976</v>
      </c>
      <c r="F40" s="1">
        <f t="shared" si="108"/>
        <v>8411.91240213627</v>
      </c>
      <c r="G40" s="1">
        <f t="shared" si="108"/>
        <v>2523.57372064088</v>
      </c>
      <c r="H40" s="1">
        <f t="shared" si="108"/>
        <v>1682.38248042725</v>
      </c>
      <c r="I40" s="1">
        <f t="shared" si="108"/>
        <v>0</v>
      </c>
      <c r="J40" s="1">
        <f>[1]标准模型!$I$65/1*$B40/$B$3</f>
        <v>0.2088</v>
      </c>
      <c r="K40" s="1">
        <f>J40*[1]标准模型!$J$63</f>
        <v>0.2088</v>
      </c>
      <c r="L40" s="1">
        <f t="shared" si="21"/>
        <v>10703.4333668562</v>
      </c>
      <c r="M40" s="1">
        <f t="shared" si="1"/>
        <v>3354.5708832869</v>
      </c>
      <c r="N40" s="1">
        <f t="shared" si="2"/>
        <v>2236.38058885793</v>
      </c>
      <c r="O40" s="1">
        <f t="shared" ref="O40:X40" si="109">O$5+(O$6-O$5)*(POWER(O$7,$B40-1)-1)/(POWER(O$7,$B$3-1)-1)</f>
        <v>0.528062719929985</v>
      </c>
      <c r="P40" s="1">
        <f t="shared" si="109"/>
        <v>0.0154089707034826</v>
      </c>
      <c r="Q40" s="1">
        <f t="shared" si="109"/>
        <v>0.290434495961492</v>
      </c>
      <c r="R40" s="1">
        <f t="shared" si="109"/>
        <v>1.01122508797199</v>
      </c>
      <c r="S40" s="1">
        <f t="shared" si="109"/>
        <v>0.0392878079019791</v>
      </c>
      <c r="T40" s="1">
        <f t="shared" si="109"/>
        <v>2.10944460772694</v>
      </c>
      <c r="U40" s="1">
        <f t="shared" si="109"/>
        <v>1</v>
      </c>
      <c r="V40" s="1">
        <f t="shared" si="109"/>
        <v>1.03060515438518</v>
      </c>
      <c r="W40" s="1">
        <f t="shared" si="109"/>
        <v>1.01726936611076</v>
      </c>
      <c r="X40" s="1">
        <f t="shared" si="109"/>
        <v>1.08980070377595</v>
      </c>
      <c r="Y40" s="1">
        <f t="shared" si="23"/>
        <v>0.635823744457974</v>
      </c>
      <c r="Z40" s="1">
        <f t="shared" si="24"/>
        <v>1.00547047341158</v>
      </c>
      <c r="AA40" s="1">
        <f t="shared" si="25"/>
        <v>10761.9862145022</v>
      </c>
      <c r="AB40" s="1">
        <f t="shared" si="4"/>
        <v>3354.5708832869</v>
      </c>
      <c r="AC40" s="1">
        <f t="shared" si="5"/>
        <v>2236.38058885793</v>
      </c>
      <c r="AD40" s="1">
        <f>AC40/(AC40+[1]战斗公式!$M$27)</f>
        <v>0.0852396763068635</v>
      </c>
      <c r="AE40" s="1">
        <f t="shared" si="6"/>
        <v>11764.8152589884</v>
      </c>
      <c r="AF40" s="1">
        <f t="shared" si="26"/>
        <v>5.51583665343672</v>
      </c>
      <c r="AG40" s="1">
        <f t="shared" si="7"/>
        <v>3.48801880069836</v>
      </c>
      <c r="AH40" s="1">
        <f t="shared" si="8"/>
        <v>1.77841421253231</v>
      </c>
      <c r="AI40" s="1">
        <f t="shared" si="9"/>
        <v>0.56056163338289</v>
      </c>
      <c r="AJ40" s="1">
        <f t="shared" si="10"/>
        <v>1.27350091803692</v>
      </c>
      <c r="AK40" s="1">
        <f t="shared" si="11"/>
        <v>1.45436647212258</v>
      </c>
      <c r="AL40" s="1">
        <f t="shared" si="12"/>
        <v>0.815582187086404</v>
      </c>
      <c r="AM40" s="27">
        <f t="shared" si="13"/>
        <v>5487</v>
      </c>
      <c r="AN40" s="27">
        <f t="shared" si="27"/>
        <v>1880</v>
      </c>
      <c r="AO40" s="27">
        <f t="shared" si="14"/>
        <v>2236</v>
      </c>
      <c r="AP40" s="1">
        <f t="shared" si="15"/>
        <v>5046</v>
      </c>
      <c r="AQ40" s="1">
        <f t="shared" si="28"/>
        <v>1533</v>
      </c>
      <c r="AR40"/>
      <c r="AS40" s="1">
        <f t="shared" ref="AS40:AY40" si="110">ROUNDUP(AS$10*$AP40,0)</f>
        <v>5046</v>
      </c>
      <c r="AT40" s="1">
        <f t="shared" si="110"/>
        <v>15138</v>
      </c>
      <c r="AU40" s="1">
        <f t="shared" si="110"/>
        <v>9083</v>
      </c>
      <c r="AV40" s="1">
        <f t="shared" si="110"/>
        <v>2523</v>
      </c>
      <c r="AW40" s="1">
        <f t="shared" si="110"/>
        <v>757</v>
      </c>
      <c r="AX40" s="1">
        <f t="shared" si="110"/>
        <v>20184</v>
      </c>
      <c r="AY40" s="1">
        <f t="shared" si="110"/>
        <v>45414</v>
      </c>
      <c r="AZ40" s="1">
        <f t="shared" si="17"/>
        <v>419262</v>
      </c>
      <c r="BA40" s="1">
        <f t="shared" si="18"/>
        <v>209631</v>
      </c>
      <c r="BC40" s="1">
        <f t="shared" si="19"/>
        <v>29</v>
      </c>
    </row>
    <row r="41" s="1" customFormat="1" spans="2:55">
      <c r="B41" s="4">
        <v>30</v>
      </c>
      <c r="C41" s="1">
        <f t="shared" ref="C41:I41" si="111">C$5+(C$6-C$5)*(POWER(C$7,$B41-1)-1)/(POWER(C$7,$B$3-1)-1)</f>
        <v>2370.53842483969</v>
      </c>
      <c r="D41" s="1">
        <f t="shared" si="111"/>
        <v>711.161527451908</v>
      </c>
      <c r="E41" s="1">
        <f t="shared" si="111"/>
        <v>474.107684967939</v>
      </c>
      <c r="F41" s="1">
        <f t="shared" si="111"/>
        <v>8701.97649624698</v>
      </c>
      <c r="G41" s="1">
        <f t="shared" si="111"/>
        <v>2610.59294887409</v>
      </c>
      <c r="H41" s="1">
        <f t="shared" si="111"/>
        <v>1740.3952992494</v>
      </c>
      <c r="I41" s="1">
        <f t="shared" si="111"/>
        <v>0</v>
      </c>
      <c r="J41" s="1">
        <f>[1]标准模型!$I$65/1*$B41/$B$3</f>
        <v>0.216</v>
      </c>
      <c r="K41" s="1">
        <f>J41*[1]标准模型!$J$63</f>
        <v>0.216</v>
      </c>
      <c r="L41" s="1">
        <f t="shared" si="21"/>
        <v>11072.5149210867</v>
      </c>
      <c r="M41" s="1">
        <f t="shared" si="1"/>
        <v>3475.36536625561</v>
      </c>
      <c r="N41" s="1">
        <f t="shared" si="2"/>
        <v>2316.91024417041</v>
      </c>
      <c r="O41" s="1">
        <f t="shared" ref="O41:X41" si="112">O$5+(O$6-O$5)*(POWER(O$7,$B41-1)-1)/(POWER(O$7,$B$3-1)-1)</f>
        <v>0.52906494539509</v>
      </c>
      <c r="P41" s="1">
        <f t="shared" si="112"/>
        <v>0.0159713412850675</v>
      </c>
      <c r="Q41" s="1">
        <f t="shared" si="112"/>
        <v>0.2909857199673</v>
      </c>
      <c r="R41" s="1">
        <f t="shared" si="112"/>
        <v>1.01162597815804</v>
      </c>
      <c r="S41" s="1">
        <f t="shared" si="112"/>
        <v>0.0406909235531261</v>
      </c>
      <c r="T41" s="1">
        <f t="shared" si="112"/>
        <v>2.11335328704085</v>
      </c>
      <c r="U41" s="1">
        <f t="shared" si="112"/>
        <v>1</v>
      </c>
      <c r="V41" s="1">
        <f t="shared" si="112"/>
        <v>1.03169817976422</v>
      </c>
      <c r="W41" s="1">
        <f t="shared" si="112"/>
        <v>1.01788612024313</v>
      </c>
      <c r="X41" s="1">
        <f t="shared" si="112"/>
        <v>1.09300782526429</v>
      </c>
      <c r="Y41" s="1">
        <f t="shared" si="23"/>
        <v>0.641224645433389</v>
      </c>
      <c r="Z41" s="1">
        <f t="shared" si="24"/>
        <v>1.01474089416386</v>
      </c>
      <c r="AA41" s="1">
        <f t="shared" si="25"/>
        <v>11235.7336916662</v>
      </c>
      <c r="AB41" s="1">
        <f t="shared" si="4"/>
        <v>3475.36536625561</v>
      </c>
      <c r="AC41" s="1">
        <f t="shared" si="5"/>
        <v>2316.91024417041</v>
      </c>
      <c r="AD41" s="1">
        <f>AC41/(AC41+[1]战斗公式!$M$27)</f>
        <v>0.0880388397678122</v>
      </c>
      <c r="AE41" s="1">
        <f t="shared" si="6"/>
        <v>12320.4081287909</v>
      </c>
      <c r="AF41" s="1">
        <f t="shared" si="26"/>
        <v>5.52859045584</v>
      </c>
      <c r="AG41" s="1">
        <f t="shared" si="7"/>
        <v>3.49357010758252</v>
      </c>
      <c r="AH41" s="1">
        <f t="shared" si="8"/>
        <v>1.80329376016937</v>
      </c>
      <c r="AI41" s="1">
        <f t="shared" si="9"/>
        <v>0.562787837337429</v>
      </c>
      <c r="AJ41" s="1">
        <f t="shared" si="10"/>
        <v>1.25982587213463</v>
      </c>
      <c r="AK41" s="1">
        <f t="shared" si="11"/>
        <v>1.44527847287274</v>
      </c>
      <c r="AL41" s="1">
        <f t="shared" si="12"/>
        <v>0.816114812988504</v>
      </c>
      <c r="AM41" s="27">
        <f t="shared" si="13"/>
        <v>5800</v>
      </c>
      <c r="AN41" s="27">
        <f t="shared" si="27"/>
        <v>1956</v>
      </c>
      <c r="AO41" s="27">
        <f t="shared" si="14"/>
        <v>2317</v>
      </c>
      <c r="AP41" s="1">
        <f t="shared" si="15"/>
        <v>5297</v>
      </c>
      <c r="AQ41" s="1">
        <f t="shared" si="28"/>
        <v>1596</v>
      </c>
      <c r="AR41"/>
      <c r="AS41" s="1">
        <f t="shared" ref="AS41:AY41" si="113">ROUNDUP(AS$10*$AP41,0)</f>
        <v>5297</v>
      </c>
      <c r="AT41" s="1">
        <f t="shared" si="113"/>
        <v>15891</v>
      </c>
      <c r="AU41" s="1">
        <f t="shared" si="113"/>
        <v>9535</v>
      </c>
      <c r="AV41" s="1">
        <f t="shared" si="113"/>
        <v>2649</v>
      </c>
      <c r="AW41" s="1">
        <f t="shared" si="113"/>
        <v>795</v>
      </c>
      <c r="AX41" s="1">
        <f t="shared" si="113"/>
        <v>21188</v>
      </c>
      <c r="AY41" s="1">
        <f t="shared" si="113"/>
        <v>47673</v>
      </c>
      <c r="AZ41" s="1">
        <f t="shared" si="17"/>
        <v>438419</v>
      </c>
      <c r="BA41" s="1">
        <f t="shared" si="18"/>
        <v>219210</v>
      </c>
      <c r="BC41" s="1">
        <f t="shared" si="19"/>
        <v>30</v>
      </c>
    </row>
    <row r="42" s="1" customFormat="1" spans="2:55">
      <c r="B42" s="4">
        <v>31</v>
      </c>
      <c r="C42" s="1">
        <f t="shared" ref="C42:I42" si="114">C$5+(C$6-C$5)*(POWER(C$7,$B42-1)-1)/(POWER(C$7,$B$3-1)-1)</f>
        <v>2449.55580594158</v>
      </c>
      <c r="D42" s="1">
        <f t="shared" si="114"/>
        <v>734.866741782475</v>
      </c>
      <c r="E42" s="1">
        <f t="shared" si="114"/>
        <v>489.911161188317</v>
      </c>
      <c r="F42" s="1">
        <f t="shared" si="114"/>
        <v>8992.04030029188</v>
      </c>
      <c r="G42" s="1">
        <f t="shared" si="114"/>
        <v>2697.61209008757</v>
      </c>
      <c r="H42" s="1">
        <f t="shared" si="114"/>
        <v>1798.40806005838</v>
      </c>
      <c r="I42" s="1">
        <f t="shared" si="114"/>
        <v>0</v>
      </c>
      <c r="J42" s="1">
        <f>[1]标准模型!$I$65/1*$B42/$B$3</f>
        <v>0.2232</v>
      </c>
      <c r="K42" s="1">
        <f>J42*[1]标准模型!$J$63</f>
        <v>0.2232</v>
      </c>
      <c r="L42" s="1">
        <f t="shared" si="21"/>
        <v>11441.5961062335</v>
      </c>
      <c r="M42" s="1">
        <f t="shared" si="1"/>
        <v>3596.50108863589</v>
      </c>
      <c r="N42" s="1">
        <f t="shared" si="2"/>
        <v>2397.66739242393</v>
      </c>
      <c r="O42" s="1">
        <f t="shared" ref="O42:X42" si="115">O$5+(O$6-O$5)*(POWER(O$7,$B42-1)-1)/(POWER(O$7,$B$3-1)-1)</f>
        <v>0.530067169857964</v>
      </c>
      <c r="P42" s="1">
        <f t="shared" si="115"/>
        <v>0.0165345554225247</v>
      </c>
      <c r="Q42" s="1">
        <f t="shared" si="115"/>
        <v>0.29153694342188</v>
      </c>
      <c r="R42" s="1">
        <f t="shared" si="115"/>
        <v>1.01202686794319</v>
      </c>
      <c r="S42" s="1">
        <f t="shared" si="115"/>
        <v>0.0420940378011493</v>
      </c>
      <c r="T42" s="1">
        <f t="shared" si="115"/>
        <v>2.11726196244606</v>
      </c>
      <c r="U42" s="1">
        <f t="shared" si="115"/>
        <v>1</v>
      </c>
      <c r="V42" s="1">
        <f t="shared" si="115"/>
        <v>1.03279120405022</v>
      </c>
      <c r="W42" s="1">
        <f t="shared" si="115"/>
        <v>1.01850287375875</v>
      </c>
      <c r="X42" s="1">
        <f t="shared" si="115"/>
        <v>1.09621494354548</v>
      </c>
      <c r="Y42" s="1">
        <f t="shared" si="23"/>
        <v>0.646666213543001</v>
      </c>
      <c r="Z42" s="1">
        <f t="shared" si="24"/>
        <v>1.02408871673931</v>
      </c>
      <c r="AA42" s="1">
        <f t="shared" si="25"/>
        <v>11717.2094738821</v>
      </c>
      <c r="AB42" s="1">
        <f t="shared" si="4"/>
        <v>3596.50108863589</v>
      </c>
      <c r="AC42" s="1">
        <f t="shared" si="5"/>
        <v>2397.66739242393</v>
      </c>
      <c r="AD42" s="1">
        <f>AC42/(AC42+[1]战斗公式!$M$27)</f>
        <v>0.0908287598589887</v>
      </c>
      <c r="AE42" s="1">
        <f t="shared" si="6"/>
        <v>12887.7916024541</v>
      </c>
      <c r="AF42" s="1">
        <f t="shared" si="26"/>
        <v>5.54138261510315</v>
      </c>
      <c r="AG42" s="1">
        <f t="shared" si="7"/>
        <v>3.49913523596995</v>
      </c>
      <c r="AH42" s="1">
        <f t="shared" si="8"/>
        <v>1.82798671119916</v>
      </c>
      <c r="AI42" s="1">
        <f t="shared" si="9"/>
        <v>0.565018493699878</v>
      </c>
      <c r="AJ42" s="1">
        <f t="shared" si="10"/>
        <v>1.24683457852746</v>
      </c>
      <c r="AK42" s="1">
        <f t="shared" si="11"/>
        <v>1.4363722336079</v>
      </c>
      <c r="AL42" s="1">
        <f t="shared" si="12"/>
        <v>0.816645841012898</v>
      </c>
      <c r="AM42" s="27">
        <f t="shared" si="13"/>
        <v>6121</v>
      </c>
      <c r="AN42" s="27">
        <f t="shared" si="27"/>
        <v>2032</v>
      </c>
      <c r="AO42" s="27">
        <f t="shared" si="14"/>
        <v>2398</v>
      </c>
      <c r="AP42" s="1">
        <f t="shared" si="15"/>
        <v>5552</v>
      </c>
      <c r="AQ42" s="1">
        <f t="shared" si="28"/>
        <v>1659</v>
      </c>
      <c r="AR42"/>
      <c r="AS42" s="1">
        <f t="shared" ref="AS42:AY42" si="116">ROUNDUP(AS$10*$AP42,0)</f>
        <v>5552</v>
      </c>
      <c r="AT42" s="1">
        <f t="shared" si="116"/>
        <v>16656</v>
      </c>
      <c r="AU42" s="1">
        <f t="shared" si="116"/>
        <v>9994</v>
      </c>
      <c r="AV42" s="1">
        <f t="shared" si="116"/>
        <v>2776</v>
      </c>
      <c r="AW42" s="1">
        <f t="shared" si="116"/>
        <v>833</v>
      </c>
      <c r="AX42" s="1">
        <f t="shared" si="116"/>
        <v>22208</v>
      </c>
      <c r="AY42" s="1">
        <f t="shared" si="116"/>
        <v>49968</v>
      </c>
      <c r="AZ42" s="1">
        <f t="shared" si="17"/>
        <v>457912</v>
      </c>
      <c r="BA42" s="1">
        <f t="shared" si="18"/>
        <v>228956</v>
      </c>
      <c r="BC42" s="1">
        <f t="shared" si="19"/>
        <v>31</v>
      </c>
    </row>
    <row r="43" s="1" customFormat="1" spans="2:55">
      <c r="B43" s="4">
        <v>32</v>
      </c>
      <c r="C43" s="1">
        <f t="shared" ref="C43:I43" si="117">C$5+(C$6-C$5)*(POWER(C$7,$B43-1)-1)/(POWER(C$7,$B$3-1)-1)</f>
        <v>2528.57310802555</v>
      </c>
      <c r="D43" s="1">
        <f t="shared" si="117"/>
        <v>758.571932407664</v>
      </c>
      <c r="E43" s="1">
        <f t="shared" si="117"/>
        <v>505.714621605109</v>
      </c>
      <c r="F43" s="1">
        <f t="shared" si="117"/>
        <v>9282.10381427099</v>
      </c>
      <c r="G43" s="1">
        <f t="shared" si="117"/>
        <v>2784.6311442813</v>
      </c>
      <c r="H43" s="1">
        <f t="shared" si="117"/>
        <v>1856.4207628542</v>
      </c>
      <c r="I43" s="1">
        <f t="shared" si="117"/>
        <v>0</v>
      </c>
      <c r="J43" s="1">
        <f>[1]标准模型!$I$65/1*$B43/$B$3</f>
        <v>0.2304</v>
      </c>
      <c r="K43" s="1">
        <f>J43*[1]标准模型!$J$63</f>
        <v>0.2304</v>
      </c>
      <c r="L43" s="1">
        <f t="shared" si="21"/>
        <v>11810.6769222965</v>
      </c>
      <c r="M43" s="1">
        <f t="shared" si="1"/>
        <v>3717.97804991569</v>
      </c>
      <c r="N43" s="1">
        <f t="shared" si="2"/>
        <v>2478.65203327713</v>
      </c>
      <c r="O43" s="1">
        <f t="shared" ref="O43:X43" si="118">O$5+(O$6-O$5)*(POWER(O$7,$B43-1)-1)/(POWER(O$7,$B$3-1)-1)</f>
        <v>0.531069393318606</v>
      </c>
      <c r="P43" s="1">
        <f t="shared" si="118"/>
        <v>0.0170986143811881</v>
      </c>
      <c r="Q43" s="1">
        <f t="shared" si="118"/>
        <v>0.292088166325233</v>
      </c>
      <c r="R43" s="1">
        <f t="shared" si="118"/>
        <v>1.01242775732744</v>
      </c>
      <c r="S43" s="1">
        <f t="shared" si="118"/>
        <v>0.0434971506460486</v>
      </c>
      <c r="T43" s="1">
        <f t="shared" si="118"/>
        <v>2.12117063394256</v>
      </c>
      <c r="U43" s="1">
        <f t="shared" si="118"/>
        <v>1</v>
      </c>
      <c r="V43" s="1">
        <f t="shared" si="118"/>
        <v>1.0338842272432</v>
      </c>
      <c r="W43" s="1">
        <f t="shared" si="118"/>
        <v>1.0191196266576</v>
      </c>
      <c r="X43" s="1">
        <f t="shared" si="118"/>
        <v>1.09942205861954</v>
      </c>
      <c r="Y43" s="1">
        <f t="shared" si="23"/>
        <v>0.652148734646706</v>
      </c>
      <c r="Z43" s="1">
        <f t="shared" si="24"/>
        <v>1.03351454390853</v>
      </c>
      <c r="AA43" s="1">
        <f t="shared" si="25"/>
        <v>12206.5063725983</v>
      </c>
      <c r="AB43" s="1">
        <f t="shared" si="4"/>
        <v>3717.97804991569</v>
      </c>
      <c r="AC43" s="1">
        <f t="shared" si="5"/>
        <v>2478.65203327713</v>
      </c>
      <c r="AD43" s="1">
        <f>AC43/(AC43+[1]战斗公式!$M$27)</f>
        <v>0.0936094492333701</v>
      </c>
      <c r="AE43" s="1">
        <f t="shared" si="6"/>
        <v>13467.1597825838</v>
      </c>
      <c r="AF43" s="1">
        <f t="shared" si="26"/>
        <v>5.55421306198236</v>
      </c>
      <c r="AG43" s="1">
        <f t="shared" si="7"/>
        <v>3.50471412490406</v>
      </c>
      <c r="AH43" s="1">
        <f t="shared" si="8"/>
        <v>1.85249446509621</v>
      </c>
      <c r="AI43" s="1">
        <f t="shared" si="9"/>
        <v>0.56725361137505</v>
      </c>
      <c r="AJ43" s="1">
        <f t="shared" si="10"/>
        <v>1.23449284960065</v>
      </c>
      <c r="AK43" s="1">
        <f t="shared" si="11"/>
        <v>1.42764411912836</v>
      </c>
      <c r="AL43" s="1">
        <f t="shared" si="12"/>
        <v>0.817175275953219</v>
      </c>
      <c r="AM43" s="27">
        <f t="shared" si="13"/>
        <v>6452</v>
      </c>
      <c r="AN43" s="27">
        <f t="shared" si="27"/>
        <v>2109</v>
      </c>
      <c r="AO43" s="27">
        <f t="shared" si="14"/>
        <v>2479</v>
      </c>
      <c r="AP43" s="1">
        <f t="shared" si="15"/>
        <v>5812</v>
      </c>
      <c r="AQ43" s="1">
        <f t="shared" si="28"/>
        <v>1723</v>
      </c>
      <c r="AR43"/>
      <c r="AS43" s="1">
        <f t="shared" ref="AS43:AY43" si="119">ROUNDUP(AS$10*$AP43,0)</f>
        <v>5812</v>
      </c>
      <c r="AT43" s="1">
        <f t="shared" si="119"/>
        <v>17436</v>
      </c>
      <c r="AU43" s="1">
        <f t="shared" si="119"/>
        <v>10462</v>
      </c>
      <c r="AV43" s="1">
        <f t="shared" si="119"/>
        <v>2906</v>
      </c>
      <c r="AW43" s="1">
        <f t="shared" si="119"/>
        <v>872</v>
      </c>
      <c r="AX43" s="1">
        <f t="shared" si="119"/>
        <v>23248</v>
      </c>
      <c r="AY43" s="1">
        <f t="shared" si="119"/>
        <v>52308</v>
      </c>
      <c r="AZ43" s="1">
        <f t="shared" si="17"/>
        <v>477897</v>
      </c>
      <c r="BA43" s="1">
        <f t="shared" si="18"/>
        <v>238948</v>
      </c>
      <c r="BC43" s="1">
        <f t="shared" si="19"/>
        <v>32</v>
      </c>
    </row>
    <row r="44" s="1" customFormat="1" spans="2:55">
      <c r="B44" s="4">
        <v>33</v>
      </c>
      <c r="C44" s="1">
        <f t="shared" ref="C44:I44" si="120">C$5+(C$6-C$5)*(POWER(C$7,$B44-1)-1)/(POWER(C$7,$B$3-1)-1)</f>
        <v>2607.59033109159</v>
      </c>
      <c r="D44" s="1">
        <f t="shared" si="120"/>
        <v>782.277099327476</v>
      </c>
      <c r="E44" s="1">
        <f t="shared" si="120"/>
        <v>521.518066218317</v>
      </c>
      <c r="F44" s="1">
        <f t="shared" si="120"/>
        <v>9572.1670381843</v>
      </c>
      <c r="G44" s="1">
        <f t="shared" si="120"/>
        <v>2871.65011145529</v>
      </c>
      <c r="H44" s="1">
        <f t="shared" si="120"/>
        <v>1914.43340763686</v>
      </c>
      <c r="I44" s="1">
        <f t="shared" si="120"/>
        <v>0</v>
      </c>
      <c r="J44" s="1">
        <f>[1]标准模型!$I$65/1*$B44/$B$3</f>
        <v>0.2376</v>
      </c>
      <c r="K44" s="1">
        <f>J44*[1]标准模型!$J$63</f>
        <v>0.2376</v>
      </c>
      <c r="L44" s="1">
        <f t="shared" si="21"/>
        <v>12179.7573692759</v>
      </c>
      <c r="M44" s="1">
        <f t="shared" si="1"/>
        <v>3839.79624958297</v>
      </c>
      <c r="N44" s="1">
        <f t="shared" si="2"/>
        <v>2559.86416638865</v>
      </c>
      <c r="O44" s="1">
        <f t="shared" ref="O44:X44" si="121">O$5+(O$6-O$5)*(POWER(O$7,$B44-1)-1)/(POWER(O$7,$B$3-1)-1)</f>
        <v>0.532071615777017</v>
      </c>
      <c r="P44" s="1">
        <f t="shared" si="121"/>
        <v>0.0176635194282895</v>
      </c>
      <c r="Q44" s="1">
        <f t="shared" si="121"/>
        <v>0.292639388677359</v>
      </c>
      <c r="R44" s="1">
        <f t="shared" si="121"/>
        <v>1.01282864631081</v>
      </c>
      <c r="S44" s="1">
        <f t="shared" si="121"/>
        <v>0.044900262087824</v>
      </c>
      <c r="T44" s="1">
        <f t="shared" si="121"/>
        <v>2.12507930153037</v>
      </c>
      <c r="U44" s="1">
        <f t="shared" si="121"/>
        <v>1</v>
      </c>
      <c r="V44" s="1">
        <f t="shared" si="121"/>
        <v>1.03497724934314</v>
      </c>
      <c r="W44" s="1">
        <f t="shared" si="121"/>
        <v>1.0197363789397</v>
      </c>
      <c r="X44" s="1">
        <f t="shared" si="121"/>
        <v>1.10262917048645</v>
      </c>
      <c r="Y44" s="1">
        <f t="shared" si="23"/>
        <v>0.657672496272092</v>
      </c>
      <c r="Z44" s="1">
        <f t="shared" si="24"/>
        <v>1.04301898249211</v>
      </c>
      <c r="AA44" s="1">
        <f t="shared" si="25"/>
        <v>12703.7181383029</v>
      </c>
      <c r="AB44" s="1">
        <f t="shared" si="4"/>
        <v>3839.79624958297</v>
      </c>
      <c r="AC44" s="1">
        <f t="shared" si="5"/>
        <v>2559.86416638865</v>
      </c>
      <c r="AD44" s="1">
        <f>AC44/(AC44+[1]战斗公式!$M$27)</f>
        <v>0.0963809208643523</v>
      </c>
      <c r="AE44" s="1">
        <f t="shared" si="6"/>
        <v>14058.7095067255</v>
      </c>
      <c r="AF44" s="1">
        <f t="shared" si="26"/>
        <v>5.5670817277622</v>
      </c>
      <c r="AG44" s="1">
        <f t="shared" si="7"/>
        <v>3.51030671378583</v>
      </c>
      <c r="AH44" s="1">
        <f t="shared" si="8"/>
        <v>1.87681841083905</v>
      </c>
      <c r="AI44" s="1">
        <f t="shared" si="9"/>
        <v>0.569493199285574</v>
      </c>
      <c r="AJ44" s="1">
        <f t="shared" si="10"/>
        <v>1.22276820712018</v>
      </c>
      <c r="AK44" s="1">
        <f t="shared" si="11"/>
        <v>1.4190905669384</v>
      </c>
      <c r="AL44" s="1">
        <f t="shared" si="12"/>
        <v>0.817703122588719</v>
      </c>
      <c r="AM44" s="27">
        <f t="shared" si="13"/>
        <v>6792</v>
      </c>
      <c r="AN44" s="27">
        <f t="shared" si="27"/>
        <v>2187</v>
      </c>
      <c r="AO44" s="27">
        <f t="shared" si="14"/>
        <v>2560</v>
      </c>
      <c r="AP44" s="1">
        <f t="shared" si="15"/>
        <v>6078</v>
      </c>
      <c r="AQ44" s="1">
        <f t="shared" si="28"/>
        <v>1788</v>
      </c>
      <c r="AR44"/>
      <c r="AS44" s="1">
        <f t="shared" ref="AS44:AY44" si="122">ROUNDUP(AS$10*$AP44,0)</f>
        <v>6078</v>
      </c>
      <c r="AT44" s="1">
        <f t="shared" si="122"/>
        <v>18234</v>
      </c>
      <c r="AU44" s="1">
        <f t="shared" si="122"/>
        <v>10941</v>
      </c>
      <c r="AV44" s="1">
        <f t="shared" si="122"/>
        <v>3039</v>
      </c>
      <c r="AW44" s="1">
        <f t="shared" si="122"/>
        <v>912</v>
      </c>
      <c r="AX44" s="1">
        <f t="shared" si="122"/>
        <v>24312</v>
      </c>
      <c r="AY44" s="1">
        <f t="shared" si="122"/>
        <v>54702</v>
      </c>
      <c r="AZ44" s="1">
        <f t="shared" si="17"/>
        <v>498302</v>
      </c>
      <c r="BA44" s="1">
        <f t="shared" si="18"/>
        <v>249151</v>
      </c>
      <c r="BC44" s="1">
        <f t="shared" si="19"/>
        <v>33</v>
      </c>
    </row>
    <row r="45" s="1" customFormat="1" spans="2:55">
      <c r="B45" s="4">
        <v>34</v>
      </c>
      <c r="C45" s="1">
        <f t="shared" ref="C45:I45" si="123">C$5+(C$6-C$5)*(POWER(C$7,$B45-1)-1)/(POWER(C$7,$B$3-1)-1)</f>
        <v>2686.6074751397</v>
      </c>
      <c r="D45" s="1">
        <f t="shared" si="123"/>
        <v>805.98224254191</v>
      </c>
      <c r="E45" s="1">
        <f t="shared" si="123"/>
        <v>537.32149502794</v>
      </c>
      <c r="F45" s="1">
        <f t="shared" si="123"/>
        <v>9862.22997203181</v>
      </c>
      <c r="G45" s="1">
        <f t="shared" si="123"/>
        <v>2958.66899160954</v>
      </c>
      <c r="H45" s="1">
        <f t="shared" si="123"/>
        <v>1972.44599440636</v>
      </c>
      <c r="I45" s="1">
        <f t="shared" si="123"/>
        <v>0</v>
      </c>
      <c r="J45" s="1">
        <f>[1]标准模型!$I$65/1*$B45/$B$3</f>
        <v>0.2448</v>
      </c>
      <c r="K45" s="1">
        <f>J45*[1]标准模型!$J$63</f>
        <v>0.2448</v>
      </c>
      <c r="L45" s="1">
        <f t="shared" si="21"/>
        <v>12548.8374471715</v>
      </c>
      <c r="M45" s="1">
        <f t="shared" si="1"/>
        <v>3961.95568712571</v>
      </c>
      <c r="N45" s="1">
        <f t="shared" si="2"/>
        <v>2641.30379141714</v>
      </c>
      <c r="O45" s="1">
        <f t="shared" ref="O45:X45" si="124">O$5+(O$6-O$5)*(POWER(O$7,$B45-1)-1)/(POWER(O$7,$B$3-1)-1)</f>
        <v>0.533073837233197</v>
      </c>
      <c r="P45" s="1">
        <f t="shared" si="124"/>
        <v>0.0182292718329616</v>
      </c>
      <c r="Q45" s="1">
        <f t="shared" si="124"/>
        <v>0.293190610478258</v>
      </c>
      <c r="R45" s="1">
        <f t="shared" si="124"/>
        <v>1.01322953489328</v>
      </c>
      <c r="S45" s="1">
        <f t="shared" si="124"/>
        <v>0.0463033721264755</v>
      </c>
      <c r="T45" s="1">
        <f t="shared" si="124"/>
        <v>2.12898796520947</v>
      </c>
      <c r="U45" s="1">
        <f t="shared" si="124"/>
        <v>1</v>
      </c>
      <c r="V45" s="1">
        <f t="shared" si="124"/>
        <v>1.03607027035005</v>
      </c>
      <c r="W45" s="1">
        <f t="shared" si="124"/>
        <v>1.02035313060504</v>
      </c>
      <c r="X45" s="1">
        <f t="shared" si="124"/>
        <v>1.10583627914623</v>
      </c>
      <c r="Y45" s="1">
        <f t="shared" si="23"/>
        <v>0.663237787620769</v>
      </c>
      <c r="Z45" s="1">
        <f t="shared" si="24"/>
        <v>1.05260264338096</v>
      </c>
      <c r="AA45" s="1">
        <f t="shared" si="25"/>
        <v>13208.9394682507</v>
      </c>
      <c r="AB45" s="1">
        <f t="shared" si="4"/>
        <v>3961.95568712571</v>
      </c>
      <c r="AC45" s="1">
        <f t="shared" si="5"/>
        <v>2641.30379141714</v>
      </c>
      <c r="AD45" s="1">
        <f>AC45/(AC45+[1]战斗公式!$M$27)</f>
        <v>0.0991431880397712</v>
      </c>
      <c r="AE45" s="1">
        <f t="shared" si="6"/>
        <v>14662.6403806711</v>
      </c>
      <c r="AF45" s="1">
        <f t="shared" si="26"/>
        <v>5.57998854424968</v>
      </c>
      <c r="AG45" s="1">
        <f t="shared" si="7"/>
        <v>3.51591294237133</v>
      </c>
      <c r="AH45" s="1">
        <f t="shared" si="8"/>
        <v>1.90095992698881</v>
      </c>
      <c r="AI45" s="1">
        <f t="shared" si="9"/>
        <v>0.571737266371918</v>
      </c>
      <c r="AJ45" s="1">
        <f t="shared" si="10"/>
        <v>1.21162979676373</v>
      </c>
      <c r="AK45" s="1">
        <f t="shared" si="11"/>
        <v>1.41070808579224</v>
      </c>
      <c r="AL45" s="1">
        <f t="shared" si="12"/>
        <v>0.818229385684313</v>
      </c>
      <c r="AM45" s="27">
        <f t="shared" si="13"/>
        <v>7142</v>
      </c>
      <c r="AN45" s="27">
        <f t="shared" si="27"/>
        <v>2265</v>
      </c>
      <c r="AO45" s="27">
        <f t="shared" si="14"/>
        <v>2641</v>
      </c>
      <c r="AP45" s="1">
        <f t="shared" si="15"/>
        <v>6348</v>
      </c>
      <c r="AQ45" s="1">
        <f t="shared" si="28"/>
        <v>1853</v>
      </c>
      <c r="AR45"/>
      <c r="AS45" s="1">
        <f t="shared" ref="AS45:AY45" si="125">ROUNDUP(AS$10*$AP45,0)</f>
        <v>6348</v>
      </c>
      <c r="AT45" s="1">
        <f t="shared" si="125"/>
        <v>19044</v>
      </c>
      <c r="AU45" s="1">
        <f t="shared" si="125"/>
        <v>11427</v>
      </c>
      <c r="AV45" s="1">
        <f t="shared" si="125"/>
        <v>3174</v>
      </c>
      <c r="AW45" s="1">
        <f t="shared" si="125"/>
        <v>953</v>
      </c>
      <c r="AX45" s="1">
        <f t="shared" si="125"/>
        <v>25392</v>
      </c>
      <c r="AY45" s="1">
        <f t="shared" si="125"/>
        <v>57132</v>
      </c>
      <c r="AZ45" s="1">
        <f t="shared" si="17"/>
        <v>519208</v>
      </c>
      <c r="BA45" s="1">
        <f t="shared" si="18"/>
        <v>259604</v>
      </c>
      <c r="BC45" s="1">
        <f t="shared" si="19"/>
        <v>34</v>
      </c>
    </row>
    <row r="46" s="1" customFormat="1" spans="2:55">
      <c r="B46" s="4">
        <v>35</v>
      </c>
      <c r="C46" s="1">
        <f t="shared" ref="C46:I46" si="126">C$5+(C$6-C$5)*(POWER(C$7,$B46-1)-1)/(POWER(C$7,$B$3-1)-1)</f>
        <v>2765.62454016989</v>
      </c>
      <c r="D46" s="1">
        <f t="shared" si="126"/>
        <v>829.687362050967</v>
      </c>
      <c r="E46" s="1">
        <f t="shared" si="126"/>
        <v>553.124908033978</v>
      </c>
      <c r="F46" s="1">
        <f t="shared" si="126"/>
        <v>10152.2926158135</v>
      </c>
      <c r="G46" s="1">
        <f t="shared" si="126"/>
        <v>3045.68778474406</v>
      </c>
      <c r="H46" s="1">
        <f t="shared" si="126"/>
        <v>2030.4585231627</v>
      </c>
      <c r="I46" s="1">
        <f t="shared" si="126"/>
        <v>0</v>
      </c>
      <c r="J46" s="1">
        <f>[1]标准模型!$I$65/1*$B46/$B$3</f>
        <v>0.252</v>
      </c>
      <c r="K46" s="1">
        <f>J46*[1]标准模型!$J$63</f>
        <v>0.252</v>
      </c>
      <c r="L46" s="1">
        <f t="shared" si="21"/>
        <v>12917.9171559834</v>
      </c>
      <c r="M46" s="1">
        <f t="shared" si="1"/>
        <v>4084.45636203187</v>
      </c>
      <c r="N46" s="1">
        <f t="shared" si="2"/>
        <v>2722.97090802124</v>
      </c>
      <c r="O46" s="1">
        <f t="shared" ref="O46:X46" si="127">O$5+(O$6-O$5)*(POWER(O$7,$B46-1)-1)/(POWER(O$7,$B$3-1)-1)</f>
        <v>0.534076057687145</v>
      </c>
      <c r="P46" s="1">
        <f t="shared" si="127"/>
        <v>0.0187958728662406</v>
      </c>
      <c r="Q46" s="1">
        <f t="shared" si="127"/>
        <v>0.29374183172793</v>
      </c>
      <c r="R46" s="1">
        <f t="shared" si="127"/>
        <v>1.01363042307486</v>
      </c>
      <c r="S46" s="1">
        <f t="shared" si="127"/>
        <v>0.0477064807620031</v>
      </c>
      <c r="T46" s="1">
        <f t="shared" si="127"/>
        <v>2.13289662497987</v>
      </c>
      <c r="U46" s="1">
        <f t="shared" si="127"/>
        <v>1</v>
      </c>
      <c r="V46" s="1">
        <f t="shared" si="127"/>
        <v>1.03716329026393</v>
      </c>
      <c r="W46" s="1">
        <f t="shared" si="127"/>
        <v>1.02096988165363</v>
      </c>
      <c r="X46" s="1">
        <f t="shared" si="127"/>
        <v>1.10904338459886</v>
      </c>
      <c r="Y46" s="1">
        <f t="shared" si="23"/>
        <v>0.66884489957472</v>
      </c>
      <c r="Z46" s="1">
        <f t="shared" si="24"/>
        <v>1.06226614155668</v>
      </c>
      <c r="AA46" s="1">
        <f t="shared" si="25"/>
        <v>13722.2660142353</v>
      </c>
      <c r="AB46" s="1">
        <f t="shared" si="4"/>
        <v>4084.45636203187</v>
      </c>
      <c r="AC46" s="1">
        <f t="shared" si="5"/>
        <v>2722.97090802124</v>
      </c>
      <c r="AD46" s="1">
        <f>AC46/(AC46+[1]战斗公式!$M$27)</f>
        <v>0.101896264355993</v>
      </c>
      <c r="AE46" s="1">
        <f t="shared" si="6"/>
        <v>15279.1548121058</v>
      </c>
      <c r="AF46" s="1">
        <f t="shared" si="26"/>
        <v>5.5929334437677</v>
      </c>
      <c r="AG46" s="1">
        <f t="shared" si="7"/>
        <v>3.52153275076903</v>
      </c>
      <c r="AH46" s="1">
        <f t="shared" si="8"/>
        <v>1.92492038176744</v>
      </c>
      <c r="AI46" s="1">
        <f t="shared" si="9"/>
        <v>0.573985821592435</v>
      </c>
      <c r="AJ46" s="1">
        <f t="shared" si="10"/>
        <v>1.2010483069251</v>
      </c>
      <c r="AK46" s="1">
        <f t="shared" si="11"/>
        <v>1.40249325426901</v>
      </c>
      <c r="AL46" s="1">
        <f t="shared" si="12"/>
        <v>0.81875406999062</v>
      </c>
      <c r="AM46" s="27">
        <f t="shared" si="13"/>
        <v>7501</v>
      </c>
      <c r="AN46" s="27">
        <f t="shared" si="27"/>
        <v>2344</v>
      </c>
      <c r="AO46" s="27">
        <f t="shared" si="14"/>
        <v>2723</v>
      </c>
      <c r="AP46" s="1">
        <f t="shared" si="15"/>
        <v>6624</v>
      </c>
      <c r="AQ46" s="1">
        <f t="shared" si="28"/>
        <v>1919</v>
      </c>
      <c r="AR46"/>
      <c r="AS46" s="1">
        <f t="shared" ref="AS46:AY46" si="128">ROUNDUP(AS$10*$AP46,0)</f>
        <v>6624</v>
      </c>
      <c r="AT46" s="1">
        <f t="shared" si="128"/>
        <v>19872</v>
      </c>
      <c r="AU46" s="1">
        <f t="shared" si="128"/>
        <v>11924</v>
      </c>
      <c r="AV46" s="1">
        <f t="shared" si="128"/>
        <v>3312</v>
      </c>
      <c r="AW46" s="1">
        <f t="shared" si="128"/>
        <v>994</v>
      </c>
      <c r="AX46" s="1">
        <f t="shared" si="128"/>
        <v>26496</v>
      </c>
      <c r="AY46" s="1">
        <f t="shared" si="128"/>
        <v>59616</v>
      </c>
      <c r="AZ46" s="1">
        <f t="shared" si="17"/>
        <v>540544</v>
      </c>
      <c r="BA46" s="1">
        <f t="shared" si="18"/>
        <v>270272</v>
      </c>
      <c r="BC46" s="1">
        <f t="shared" si="19"/>
        <v>35</v>
      </c>
    </row>
    <row r="47" s="1" customFormat="1" spans="2:55">
      <c r="B47" s="4">
        <v>36</v>
      </c>
      <c r="C47" s="1">
        <f t="shared" ref="C47:I47" si="129">C$5+(C$6-C$5)*(POWER(C$7,$B47-1)-1)/(POWER(C$7,$B$3-1)-1)</f>
        <v>2844.64152618216</v>
      </c>
      <c r="D47" s="1">
        <f t="shared" si="129"/>
        <v>853.392457854647</v>
      </c>
      <c r="E47" s="1">
        <f t="shared" si="129"/>
        <v>568.928305236431</v>
      </c>
      <c r="F47" s="1">
        <f t="shared" si="129"/>
        <v>10442.3549695294</v>
      </c>
      <c r="G47" s="1">
        <f t="shared" si="129"/>
        <v>3132.70649085883</v>
      </c>
      <c r="H47" s="1">
        <f t="shared" si="129"/>
        <v>2088.47099390589</v>
      </c>
      <c r="I47" s="1">
        <f t="shared" si="129"/>
        <v>0</v>
      </c>
      <c r="J47" s="1">
        <f>[1]标准模型!$I$65/1*$B47/$B$3</f>
        <v>0.2592</v>
      </c>
      <c r="K47" s="1">
        <f>J47*[1]标准模型!$J$63</f>
        <v>0.2592</v>
      </c>
      <c r="L47" s="1">
        <f t="shared" si="21"/>
        <v>13286.9964957116</v>
      </c>
      <c r="M47" s="1">
        <f t="shared" si="1"/>
        <v>4207.2982737894</v>
      </c>
      <c r="N47" s="1">
        <f t="shared" si="2"/>
        <v>2804.8655158596</v>
      </c>
      <c r="O47" s="1">
        <f t="shared" ref="O47:X47" si="130">O$5+(O$6-O$5)*(POWER(O$7,$B47-1)-1)/(POWER(O$7,$B$3-1)-1)</f>
        <v>0.535078277138862</v>
      </c>
      <c r="P47" s="1">
        <f t="shared" si="130"/>
        <v>0.0193633238010696</v>
      </c>
      <c r="Q47" s="1">
        <f t="shared" si="130"/>
        <v>0.294293052426374</v>
      </c>
      <c r="R47" s="1">
        <f t="shared" si="130"/>
        <v>1.01403131085554</v>
      </c>
      <c r="S47" s="1">
        <f t="shared" si="130"/>
        <v>0.0491095879944068</v>
      </c>
      <c r="T47" s="1">
        <f t="shared" si="130"/>
        <v>2.13680528084156</v>
      </c>
      <c r="U47" s="1">
        <f t="shared" si="130"/>
        <v>1</v>
      </c>
      <c r="V47" s="1">
        <f t="shared" si="130"/>
        <v>1.03825630908478</v>
      </c>
      <c r="W47" s="1">
        <f t="shared" si="130"/>
        <v>1.02158663208545</v>
      </c>
      <c r="X47" s="1">
        <f t="shared" si="130"/>
        <v>1.11225048684436</v>
      </c>
      <c r="Y47" s="1">
        <f t="shared" si="23"/>
        <v>0.674494124702667</v>
      </c>
      <c r="Z47" s="1">
        <f t="shared" si="24"/>
        <v>1.07201009611209</v>
      </c>
      <c r="AA47" s="1">
        <f t="shared" si="25"/>
        <v>14243.7943904087</v>
      </c>
      <c r="AB47" s="1">
        <f t="shared" si="4"/>
        <v>4207.2982737894</v>
      </c>
      <c r="AC47" s="1">
        <f t="shared" si="5"/>
        <v>2804.8655158596</v>
      </c>
      <c r="AD47" s="1">
        <f>AC47/(AC47+[1]战斗公式!$M$27)</f>
        <v>0.104640163712071</v>
      </c>
      <c r="AE47" s="1">
        <f t="shared" si="6"/>
        <v>15908.4580446025</v>
      </c>
      <c r="AF47" s="1">
        <f t="shared" si="26"/>
        <v>5.60591635914952</v>
      </c>
      <c r="AG47" s="1">
        <f t="shared" si="7"/>
        <v>3.52716607943733</v>
      </c>
      <c r="AH47" s="1">
        <f t="shared" si="8"/>
        <v>1.94870113313524</v>
      </c>
      <c r="AI47" s="1">
        <f t="shared" si="9"/>
        <v>0.576238873923393</v>
      </c>
      <c r="AJ47" s="1">
        <f t="shared" si="10"/>
        <v>1.1909958915784</v>
      </c>
      <c r="AK47" s="1">
        <f t="shared" si="11"/>
        <v>1.39444271937624</v>
      </c>
      <c r="AL47" s="1">
        <f t="shared" si="12"/>
        <v>0.819277180244007</v>
      </c>
      <c r="AM47" s="27">
        <f t="shared" si="13"/>
        <v>7869</v>
      </c>
      <c r="AN47" s="27">
        <f t="shared" si="27"/>
        <v>2424</v>
      </c>
      <c r="AO47" s="27">
        <f t="shared" si="14"/>
        <v>2805</v>
      </c>
      <c r="AP47" s="1">
        <f t="shared" si="15"/>
        <v>6904</v>
      </c>
      <c r="AQ47" s="1">
        <f t="shared" si="28"/>
        <v>1986</v>
      </c>
      <c r="AR47"/>
      <c r="AS47" s="1">
        <f t="shared" ref="AS47:AY47" si="131">ROUNDUP(AS$10*$AP47,0)</f>
        <v>6904</v>
      </c>
      <c r="AT47" s="1">
        <f t="shared" si="131"/>
        <v>20712</v>
      </c>
      <c r="AU47" s="1">
        <f t="shared" si="131"/>
        <v>12428</v>
      </c>
      <c r="AV47" s="1">
        <f t="shared" si="131"/>
        <v>3452</v>
      </c>
      <c r="AW47" s="1">
        <f t="shared" si="131"/>
        <v>1036</v>
      </c>
      <c r="AX47" s="1">
        <f t="shared" si="131"/>
        <v>27616</v>
      </c>
      <c r="AY47" s="1">
        <f t="shared" si="131"/>
        <v>62136</v>
      </c>
      <c r="AZ47" s="1">
        <f t="shared" si="17"/>
        <v>562317</v>
      </c>
      <c r="BA47" s="1">
        <f t="shared" si="18"/>
        <v>281158</v>
      </c>
      <c r="BC47" s="1">
        <f t="shared" si="19"/>
        <v>36</v>
      </c>
    </row>
    <row r="48" s="1" customFormat="1" spans="2:55">
      <c r="B48" s="4">
        <v>37</v>
      </c>
      <c r="C48" s="1">
        <f t="shared" ref="C48:I48" si="132">C$5+(C$6-C$5)*(POWER(C$7,$B48-1)-1)/(POWER(C$7,$B$3-1)-1)</f>
        <v>2923.65843318527</v>
      </c>
      <c r="D48" s="1">
        <f t="shared" si="132"/>
        <v>877.097529955581</v>
      </c>
      <c r="E48" s="1">
        <f t="shared" si="132"/>
        <v>584.731686637054</v>
      </c>
      <c r="F48" s="1">
        <f t="shared" si="132"/>
        <v>10732.4170332118</v>
      </c>
      <c r="G48" s="1">
        <f t="shared" si="132"/>
        <v>3219.72510996353</v>
      </c>
      <c r="H48" s="1">
        <f t="shared" si="132"/>
        <v>2146.48340664235</v>
      </c>
      <c r="I48" s="1">
        <f t="shared" si="132"/>
        <v>0</v>
      </c>
      <c r="J48" s="1">
        <f>[1]标准模型!$I$65/1*$B48/$B$3</f>
        <v>0.2664</v>
      </c>
      <c r="K48" s="1">
        <f>J48*[1]标准模型!$J$63</f>
        <v>0.2664</v>
      </c>
      <c r="L48" s="1">
        <f t="shared" si="21"/>
        <v>13656.0754663971</v>
      </c>
      <c r="M48" s="1">
        <f t="shared" si="1"/>
        <v>4330.48142189928</v>
      </c>
      <c r="N48" s="1">
        <f t="shared" si="2"/>
        <v>2886.98761459952</v>
      </c>
      <c r="O48" s="1">
        <f t="shared" ref="O48:X48" si="133">O$5+(O$6-O$5)*(POWER(O$7,$B48-1)-1)/(POWER(O$7,$B$3-1)-1)</f>
        <v>0.536080495588459</v>
      </c>
      <c r="P48" s="1">
        <f t="shared" si="133"/>
        <v>0.0199316259123008</v>
      </c>
      <c r="Q48" s="1">
        <f t="shared" si="133"/>
        <v>0.294844272573652</v>
      </c>
      <c r="R48" s="1">
        <f t="shared" si="133"/>
        <v>1.01443219823538</v>
      </c>
      <c r="S48" s="1">
        <f t="shared" si="133"/>
        <v>0.0505126938238424</v>
      </c>
      <c r="T48" s="1">
        <f t="shared" si="133"/>
        <v>2.14071393279499</v>
      </c>
      <c r="U48" s="1">
        <f t="shared" si="133"/>
        <v>1</v>
      </c>
      <c r="V48" s="1">
        <f t="shared" si="133"/>
        <v>1.03934932681271</v>
      </c>
      <c r="W48" s="1">
        <f t="shared" si="133"/>
        <v>1.02220338190059</v>
      </c>
      <c r="X48" s="1">
        <f t="shared" si="133"/>
        <v>1.11545758588307</v>
      </c>
      <c r="Y48" s="1">
        <f t="shared" si="23"/>
        <v>0.680185757267012</v>
      </c>
      <c r="Z48" s="1">
        <f t="shared" si="24"/>
        <v>1.08183513027272</v>
      </c>
      <c r="AA48" s="1">
        <f t="shared" si="25"/>
        <v>14773.6221812038</v>
      </c>
      <c r="AB48" s="1">
        <f t="shared" si="4"/>
        <v>4330.48142189928</v>
      </c>
      <c r="AC48" s="1">
        <f t="shared" si="5"/>
        <v>2886.98761459952</v>
      </c>
      <c r="AD48" s="1">
        <f>AC48/(AC48+[1]战斗公式!$M$27)</f>
        <v>0.107374900304261</v>
      </c>
      <c r="AE48" s="1">
        <f t="shared" si="6"/>
        <v>16550.7581920333</v>
      </c>
      <c r="AF48" s="1">
        <f t="shared" si="26"/>
        <v>5.61893722373473</v>
      </c>
      <c r="AG48" s="1">
        <f t="shared" si="7"/>
        <v>3.53281286918307</v>
      </c>
      <c r="AH48" s="1">
        <f t="shared" si="8"/>
        <v>1.97230352886778</v>
      </c>
      <c r="AI48" s="1">
        <f t="shared" si="9"/>
        <v>0.578496432359013</v>
      </c>
      <c r="AJ48" s="1">
        <f t="shared" si="10"/>
        <v>1.18144609699904</v>
      </c>
      <c r="AK48" s="1">
        <f t="shared" si="11"/>
        <v>1.38655319518133</v>
      </c>
      <c r="AL48" s="1">
        <f t="shared" si="12"/>
        <v>0.819798721166635</v>
      </c>
      <c r="AM48" s="27">
        <f t="shared" si="13"/>
        <v>8248</v>
      </c>
      <c r="AN48" s="27">
        <f t="shared" si="27"/>
        <v>2505</v>
      </c>
      <c r="AO48" s="27">
        <f t="shared" si="14"/>
        <v>2887</v>
      </c>
      <c r="AP48" s="1">
        <f t="shared" si="15"/>
        <v>7190</v>
      </c>
      <c r="AQ48" s="1">
        <f t="shared" si="28"/>
        <v>2054</v>
      </c>
      <c r="AR48"/>
      <c r="AS48" s="1">
        <f t="shared" ref="AS48:AY48" si="134">ROUNDUP(AS$10*$AP48,0)</f>
        <v>7190</v>
      </c>
      <c r="AT48" s="1">
        <f t="shared" si="134"/>
        <v>21570</v>
      </c>
      <c r="AU48" s="1">
        <f t="shared" si="134"/>
        <v>12942</v>
      </c>
      <c r="AV48" s="1">
        <f t="shared" si="134"/>
        <v>3595</v>
      </c>
      <c r="AW48" s="1">
        <f t="shared" si="134"/>
        <v>1079</v>
      </c>
      <c r="AX48" s="1">
        <f t="shared" si="134"/>
        <v>28760</v>
      </c>
      <c r="AY48" s="1">
        <f t="shared" si="134"/>
        <v>64710</v>
      </c>
      <c r="AZ48" s="1">
        <f t="shared" si="17"/>
        <v>584674</v>
      </c>
      <c r="BA48" s="1">
        <f t="shared" si="18"/>
        <v>292337</v>
      </c>
      <c r="BC48" s="1">
        <f t="shared" si="19"/>
        <v>37</v>
      </c>
    </row>
    <row r="49" s="1" customFormat="1" spans="2:55">
      <c r="B49" s="4">
        <v>38</v>
      </c>
      <c r="C49" s="1">
        <f t="shared" ref="C49:I49" si="135">C$5+(C$6-C$5)*(POWER(C$7,$B49-1)-1)/(POWER(C$7,$B$3-1)-1)</f>
        <v>3002.67526116169</v>
      </c>
      <c r="D49" s="1">
        <f t="shared" si="135"/>
        <v>900.802578348506</v>
      </c>
      <c r="E49" s="1">
        <f t="shared" si="135"/>
        <v>600.535052232337</v>
      </c>
      <c r="F49" s="1">
        <f t="shared" si="135"/>
        <v>11022.4788067961</v>
      </c>
      <c r="G49" s="1">
        <f t="shared" si="135"/>
        <v>3306.74364203882</v>
      </c>
      <c r="H49" s="1">
        <f t="shared" si="135"/>
        <v>2204.49576135921</v>
      </c>
      <c r="I49" s="1">
        <f t="shared" si="135"/>
        <v>0</v>
      </c>
      <c r="J49" s="1">
        <f>[1]标准模型!$I$65/1*$B49/$B$3</f>
        <v>0.2736</v>
      </c>
      <c r="K49" s="1">
        <f>J49*[1]标准模型!$J$63</f>
        <v>0.2736</v>
      </c>
      <c r="L49" s="1">
        <f t="shared" si="21"/>
        <v>14025.1540679578</v>
      </c>
      <c r="M49" s="1">
        <f t="shared" si="1"/>
        <v>4454.00580582348</v>
      </c>
      <c r="N49" s="1">
        <f t="shared" si="2"/>
        <v>2969.33720388231</v>
      </c>
      <c r="O49" s="1">
        <f t="shared" ref="O49:X49" si="136">O$5+(O$6-O$5)*(POWER(O$7,$B49-1)-1)/(POWER(O$7,$B$3-1)-1)</f>
        <v>0.537082713035713</v>
      </c>
      <c r="P49" s="1">
        <f t="shared" si="136"/>
        <v>0.0205007804766989</v>
      </c>
      <c r="Q49" s="1">
        <f t="shared" si="136"/>
        <v>0.295395492169642</v>
      </c>
      <c r="R49" s="1">
        <f t="shared" si="136"/>
        <v>1.01483308521429</v>
      </c>
      <c r="S49" s="1">
        <f t="shared" si="136"/>
        <v>0.0519157982499983</v>
      </c>
      <c r="T49" s="1">
        <f t="shared" si="136"/>
        <v>2.14462258083928</v>
      </c>
      <c r="U49" s="1">
        <f t="shared" si="136"/>
        <v>1</v>
      </c>
      <c r="V49" s="1">
        <f t="shared" si="136"/>
        <v>1.0404423434475</v>
      </c>
      <c r="W49" s="1">
        <f t="shared" si="136"/>
        <v>1.0228201310989</v>
      </c>
      <c r="X49" s="1">
        <f t="shared" si="136"/>
        <v>1.11866468171428</v>
      </c>
      <c r="Y49" s="1">
        <f t="shared" si="23"/>
        <v>0.685920093228012</v>
      </c>
      <c r="Z49" s="1">
        <f t="shared" si="24"/>
        <v>1.09174187141347</v>
      </c>
      <c r="AA49" s="1">
        <f t="shared" si="25"/>
        <v>15311.8479490145</v>
      </c>
      <c r="AB49" s="1">
        <f t="shared" si="4"/>
        <v>4454.00580582348</v>
      </c>
      <c r="AC49" s="1">
        <f t="shared" si="5"/>
        <v>2969.33720388231</v>
      </c>
      <c r="AD49" s="1">
        <f>AC49/(AC49+[1]战斗公式!$M$27)</f>
        <v>0.110100488619159</v>
      </c>
      <c r="AE49" s="1">
        <f t="shared" si="6"/>
        <v>17206.2662729811</v>
      </c>
      <c r="AF49" s="1">
        <f t="shared" si="26"/>
        <v>5.63199597135384</v>
      </c>
      <c r="AG49" s="1">
        <f t="shared" si="7"/>
        <v>3.53847306115436</v>
      </c>
      <c r="AH49" s="1">
        <f t="shared" si="8"/>
        <v>1.99572890663232</v>
      </c>
      <c r="AI49" s="1">
        <f t="shared" si="9"/>
        <v>0.580758505911504</v>
      </c>
      <c r="AJ49" s="1">
        <f t="shared" si="10"/>
        <v>1.17237379214865</v>
      </c>
      <c r="AK49" s="1">
        <f t="shared" si="11"/>
        <v>1.37882146147031</v>
      </c>
      <c r="AL49" s="1">
        <f t="shared" si="12"/>
        <v>0.820318697466495</v>
      </c>
      <c r="AM49" s="27">
        <f t="shared" si="13"/>
        <v>8636</v>
      </c>
      <c r="AN49" s="27">
        <f t="shared" si="27"/>
        <v>2587</v>
      </c>
      <c r="AO49" s="27">
        <f t="shared" si="14"/>
        <v>2969</v>
      </c>
      <c r="AP49" s="1">
        <f t="shared" si="15"/>
        <v>7481</v>
      </c>
      <c r="AQ49" s="1">
        <f t="shared" si="28"/>
        <v>2122</v>
      </c>
      <c r="AR49"/>
      <c r="AS49" s="1">
        <f t="shared" ref="AS49:AY49" si="137">ROUNDUP(AS$10*$AP49,0)</f>
        <v>7481</v>
      </c>
      <c r="AT49" s="1">
        <f t="shared" si="137"/>
        <v>22443</v>
      </c>
      <c r="AU49" s="1">
        <f t="shared" si="137"/>
        <v>13466</v>
      </c>
      <c r="AV49" s="1">
        <f t="shared" si="137"/>
        <v>3741</v>
      </c>
      <c r="AW49" s="1">
        <f t="shared" si="137"/>
        <v>1123</v>
      </c>
      <c r="AX49" s="1">
        <f t="shared" si="137"/>
        <v>29924</v>
      </c>
      <c r="AY49" s="1">
        <f t="shared" si="137"/>
        <v>67329</v>
      </c>
      <c r="AZ49" s="1">
        <f t="shared" si="17"/>
        <v>607477</v>
      </c>
      <c r="BA49" s="1">
        <f t="shared" si="18"/>
        <v>303739</v>
      </c>
      <c r="BC49" s="1">
        <f t="shared" si="19"/>
        <v>38</v>
      </c>
    </row>
    <row r="50" s="1" customFormat="1" spans="2:55">
      <c r="B50" s="4">
        <v>39</v>
      </c>
      <c r="C50" s="1">
        <f t="shared" ref="C50:I50" si="138">C$5+(C$6-C$5)*(POWER(C$7,$B50-1)-1)/(POWER(C$7,$B$3-1)-1)</f>
        <v>3081.69201012895</v>
      </c>
      <c r="D50" s="1">
        <f t="shared" si="138"/>
        <v>924.507603038686</v>
      </c>
      <c r="E50" s="1">
        <f t="shared" si="138"/>
        <v>616.33840202579</v>
      </c>
      <c r="F50" s="1">
        <f t="shared" si="138"/>
        <v>11312.5402903468</v>
      </c>
      <c r="G50" s="1">
        <f t="shared" si="138"/>
        <v>3393.76208710404</v>
      </c>
      <c r="H50" s="1">
        <f t="shared" si="138"/>
        <v>2262.50805806936</v>
      </c>
      <c r="I50" s="1">
        <f t="shared" si="138"/>
        <v>0</v>
      </c>
      <c r="J50" s="1">
        <f>[1]标准模型!$I$65/1*$B50/$B$3</f>
        <v>0.2808</v>
      </c>
      <c r="K50" s="1">
        <f>J50*[1]标准模型!$J$63</f>
        <v>0.2808</v>
      </c>
      <c r="L50" s="1">
        <f t="shared" si="21"/>
        <v>14394.2323004758</v>
      </c>
      <c r="M50" s="1">
        <f t="shared" si="1"/>
        <v>4577.87142507599</v>
      </c>
      <c r="N50" s="1">
        <f t="shared" si="2"/>
        <v>3051.91428338399</v>
      </c>
      <c r="O50" s="1">
        <f t="shared" ref="O50:X50" si="139">O$5+(O$6-O$5)*(POWER(O$7,$B50-1)-1)/(POWER(O$7,$B$3-1)-1)</f>
        <v>0.538084929480847</v>
      </c>
      <c r="P50" s="1">
        <f t="shared" si="139"/>
        <v>0.0210707887729435</v>
      </c>
      <c r="Q50" s="1">
        <f t="shared" si="139"/>
        <v>0.295946711214466</v>
      </c>
      <c r="R50" s="1">
        <f t="shared" si="139"/>
        <v>1.01523397179234</v>
      </c>
      <c r="S50" s="1">
        <f t="shared" si="139"/>
        <v>0.053318901273186</v>
      </c>
      <c r="T50" s="1">
        <f t="shared" si="139"/>
        <v>2.1485312249753</v>
      </c>
      <c r="U50" s="1">
        <f t="shared" si="139"/>
        <v>1</v>
      </c>
      <c r="V50" s="1">
        <f t="shared" si="139"/>
        <v>1.04153535898937</v>
      </c>
      <c r="W50" s="1">
        <f t="shared" si="139"/>
        <v>1.02343687968052</v>
      </c>
      <c r="X50" s="1">
        <f t="shared" si="139"/>
        <v>1.12187177433871</v>
      </c>
      <c r="Y50" s="1">
        <f t="shared" si="23"/>
        <v>0.691697430254095</v>
      </c>
      <c r="Z50" s="1">
        <f t="shared" si="24"/>
        <v>1.10173095108629</v>
      </c>
      <c r="AA50" s="1">
        <f t="shared" si="25"/>
        <v>15858.5712425601</v>
      </c>
      <c r="AB50" s="1">
        <f t="shared" si="4"/>
        <v>4577.87142507599</v>
      </c>
      <c r="AC50" s="1">
        <f t="shared" si="5"/>
        <v>3051.91428338399</v>
      </c>
      <c r="AD50" s="1">
        <f>AC50/(AC50+[1]战斗公式!$M$27)</f>
        <v>0.112816943430083</v>
      </c>
      <c r="AE50" s="1">
        <f t="shared" si="6"/>
        <v>17875.1962462781</v>
      </c>
      <c r="AF50" s="1">
        <f t="shared" si="26"/>
        <v>5.64509253633957</v>
      </c>
      <c r="AG50" s="1">
        <f t="shared" si="7"/>
        <v>3.54414659684625</v>
      </c>
      <c r="AH50" s="1">
        <f t="shared" si="8"/>
        <v>2.01897859406363</v>
      </c>
      <c r="AI50" s="1">
        <f t="shared" si="9"/>
        <v>0.5830251036111</v>
      </c>
      <c r="AJ50" s="1">
        <f t="shared" si="10"/>
        <v>1.16375510254078</v>
      </c>
      <c r="AK50" s="1">
        <f t="shared" si="11"/>
        <v>1.37124436243352</v>
      </c>
      <c r="AL50" s="1">
        <f t="shared" si="12"/>
        <v>0.820837113837455</v>
      </c>
      <c r="AM50" s="27">
        <f t="shared" si="13"/>
        <v>9034</v>
      </c>
      <c r="AN50" s="27">
        <f t="shared" si="27"/>
        <v>2669</v>
      </c>
      <c r="AO50" s="27">
        <f t="shared" si="14"/>
        <v>3052</v>
      </c>
      <c r="AP50" s="1">
        <f t="shared" si="15"/>
        <v>7777</v>
      </c>
      <c r="AQ50" s="1">
        <f t="shared" si="28"/>
        <v>2191</v>
      </c>
      <c r="AR50"/>
      <c r="AS50" s="1">
        <f t="shared" ref="AS50:AY50" si="140">ROUNDUP(AS$10*$AP50,0)</f>
        <v>7777</v>
      </c>
      <c r="AT50" s="1">
        <f t="shared" si="140"/>
        <v>23331</v>
      </c>
      <c r="AU50" s="1">
        <f t="shared" si="140"/>
        <v>13999</v>
      </c>
      <c r="AV50" s="1">
        <f t="shared" si="140"/>
        <v>3889</v>
      </c>
      <c r="AW50" s="1">
        <f t="shared" si="140"/>
        <v>1167</v>
      </c>
      <c r="AX50" s="1">
        <f t="shared" si="140"/>
        <v>31108</v>
      </c>
      <c r="AY50" s="1">
        <f t="shared" si="140"/>
        <v>69993</v>
      </c>
      <c r="AZ50" s="1">
        <f t="shared" si="17"/>
        <v>630802</v>
      </c>
      <c r="BA50" s="1">
        <f t="shared" si="18"/>
        <v>315401</v>
      </c>
      <c r="BC50" s="1">
        <f t="shared" si="19"/>
        <v>39</v>
      </c>
    </row>
    <row r="51" s="1" customFormat="1" spans="2:55">
      <c r="B51" s="4">
        <v>40</v>
      </c>
      <c r="C51" s="1">
        <f t="shared" ref="C51:I51" si="141">C$5+(C$6-C$5)*(POWER(C$7,$B51-1)-1)/(POWER(C$7,$B$3-1)-1)</f>
        <v>3160.70868007829</v>
      </c>
      <c r="D51" s="1">
        <f t="shared" si="141"/>
        <v>948.212604023488</v>
      </c>
      <c r="E51" s="1">
        <f t="shared" si="141"/>
        <v>632.141736015658</v>
      </c>
      <c r="F51" s="1">
        <f t="shared" si="141"/>
        <v>11602.6014838317</v>
      </c>
      <c r="G51" s="1">
        <f t="shared" si="141"/>
        <v>3480.78044514951</v>
      </c>
      <c r="H51" s="1">
        <f t="shared" si="141"/>
        <v>2320.52029676634</v>
      </c>
      <c r="I51" s="1">
        <f t="shared" si="141"/>
        <v>0</v>
      </c>
      <c r="J51" s="1">
        <f>[1]标准模型!$I$65/1*$B51/$B$3</f>
        <v>0.288</v>
      </c>
      <c r="K51" s="1">
        <f>J51*[1]标准模型!$J$63</f>
        <v>0.288</v>
      </c>
      <c r="L51" s="1">
        <f t="shared" si="21"/>
        <v>14763.31016391</v>
      </c>
      <c r="M51" s="1">
        <f t="shared" si="1"/>
        <v>4702.07827913176</v>
      </c>
      <c r="N51" s="1">
        <f t="shared" si="2"/>
        <v>3134.71885275451</v>
      </c>
      <c r="O51" s="1">
        <f t="shared" ref="O51:X51" si="142">O$5+(O$6-O$5)*(POWER(O$7,$B51-1)-1)/(POWER(O$7,$B$3-1)-1)</f>
        <v>0.53908714492375</v>
      </c>
      <c r="P51" s="1">
        <f t="shared" si="142"/>
        <v>0.0216416520816325</v>
      </c>
      <c r="Q51" s="1">
        <f t="shared" si="142"/>
        <v>0.296497929708062</v>
      </c>
      <c r="R51" s="1">
        <f t="shared" si="142"/>
        <v>1.0156348579695</v>
      </c>
      <c r="S51" s="1">
        <f t="shared" si="142"/>
        <v>0.0547220028932499</v>
      </c>
      <c r="T51" s="1">
        <f t="shared" si="142"/>
        <v>2.15243986520262</v>
      </c>
      <c r="U51" s="1">
        <f t="shared" si="142"/>
        <v>1</v>
      </c>
      <c r="V51" s="1">
        <f t="shared" si="142"/>
        <v>1.04262837343821</v>
      </c>
      <c r="W51" s="1">
        <f t="shared" si="142"/>
        <v>1.02405362764538</v>
      </c>
      <c r="X51" s="1">
        <f t="shared" si="142"/>
        <v>1.125078863756</v>
      </c>
      <c r="Y51" s="1">
        <f t="shared" si="23"/>
        <v>0.697518067724389</v>
      </c>
      <c r="Z51" s="1">
        <f t="shared" si="24"/>
        <v>1.11180300503392</v>
      </c>
      <c r="AA51" s="1">
        <f t="shared" si="25"/>
        <v>16413.8926044829</v>
      </c>
      <c r="AB51" s="1">
        <f t="shared" si="4"/>
        <v>4702.07827913176</v>
      </c>
      <c r="AC51" s="1">
        <f t="shared" si="5"/>
        <v>3134.71885275451</v>
      </c>
      <c r="AD51" s="1">
        <f>AC51/(AC51+[1]战斗公式!$M$27)</f>
        <v>0.115524279789481</v>
      </c>
      <c r="AE51" s="1">
        <f t="shared" si="6"/>
        <v>18557.7650459146</v>
      </c>
      <c r="AF51" s="1">
        <f t="shared" si="26"/>
        <v>5.65822685350419</v>
      </c>
      <c r="AG51" s="1">
        <f t="shared" si="7"/>
        <v>3.54983341809018</v>
      </c>
      <c r="AH51" s="1">
        <f t="shared" si="8"/>
        <v>2.04205390883921</v>
      </c>
      <c r="AI51" s="1">
        <f t="shared" si="9"/>
        <v>0.585296234506096</v>
      </c>
      <c r="AJ51" s="1">
        <f t="shared" si="10"/>
        <v>1.1555673474133</v>
      </c>
      <c r="AK51" s="1">
        <f t="shared" si="11"/>
        <v>1.36381880537746</v>
      </c>
      <c r="AL51" s="1">
        <f t="shared" si="12"/>
        <v>0.821353974959302</v>
      </c>
      <c r="AM51" s="27">
        <f t="shared" si="13"/>
        <v>9442</v>
      </c>
      <c r="AN51" s="27">
        <f t="shared" si="27"/>
        <v>2752</v>
      </c>
      <c r="AO51" s="27">
        <f t="shared" si="14"/>
        <v>3135</v>
      </c>
      <c r="AP51" s="1">
        <f t="shared" si="15"/>
        <v>8079</v>
      </c>
      <c r="AQ51" s="1">
        <f t="shared" si="28"/>
        <v>2260</v>
      </c>
      <c r="AR51"/>
      <c r="AS51" s="1">
        <f t="shared" ref="AS51:AY51" si="143">ROUNDUP(AS$10*$AP51,0)</f>
        <v>8079</v>
      </c>
      <c r="AT51" s="1">
        <f t="shared" si="143"/>
        <v>24237</v>
      </c>
      <c r="AU51" s="1">
        <f t="shared" si="143"/>
        <v>14543</v>
      </c>
      <c r="AV51" s="1">
        <f t="shared" si="143"/>
        <v>4040</v>
      </c>
      <c r="AW51" s="1">
        <f t="shared" si="143"/>
        <v>1212</v>
      </c>
      <c r="AX51" s="1">
        <f t="shared" si="143"/>
        <v>32316</v>
      </c>
      <c r="AY51" s="1">
        <f t="shared" si="143"/>
        <v>72711</v>
      </c>
      <c r="AZ51" s="1">
        <f t="shared" si="17"/>
        <v>654652</v>
      </c>
      <c r="BA51" s="1">
        <f t="shared" si="18"/>
        <v>327326</v>
      </c>
      <c r="BC51" s="1">
        <f t="shared" si="19"/>
        <v>40</v>
      </c>
    </row>
    <row r="52" s="1" customFormat="1" spans="2:55">
      <c r="B52" s="4">
        <v>41</v>
      </c>
      <c r="C52" s="1">
        <f t="shared" ref="C52:I52" si="144">C$5+(C$6-C$5)*(POWER(C$7,$B52-1)-1)/(POWER(C$7,$B$3-1)-1)</f>
        <v>3239.72527100971</v>
      </c>
      <c r="D52" s="1">
        <f t="shared" si="144"/>
        <v>971.917581302912</v>
      </c>
      <c r="E52" s="1">
        <f t="shared" si="144"/>
        <v>647.945054201942</v>
      </c>
      <c r="F52" s="1">
        <f t="shared" si="144"/>
        <v>11892.6623872508</v>
      </c>
      <c r="G52" s="1">
        <f t="shared" si="144"/>
        <v>3567.79871617525</v>
      </c>
      <c r="H52" s="1">
        <f t="shared" si="144"/>
        <v>2378.53247745017</v>
      </c>
      <c r="I52" s="1">
        <f t="shared" si="144"/>
        <v>0</v>
      </c>
      <c r="J52" s="1">
        <f>[1]标准模型!$I$65/1*$B52/$B$3</f>
        <v>0.2952</v>
      </c>
      <c r="K52" s="1">
        <f>J52*[1]标准模型!$J$63</f>
        <v>0.2952</v>
      </c>
      <c r="L52" s="1">
        <f t="shared" si="21"/>
        <v>15132.3876582605</v>
      </c>
      <c r="M52" s="1">
        <f t="shared" si="1"/>
        <v>4826.62636747878</v>
      </c>
      <c r="N52" s="1">
        <f t="shared" si="2"/>
        <v>3217.75091165253</v>
      </c>
      <c r="O52" s="1">
        <f t="shared" ref="O52:X52" si="145">O$5+(O$6-O$5)*(POWER(O$7,$B52-1)-1)/(POWER(O$7,$B$3-1)-1)</f>
        <v>0.540089359364421</v>
      </c>
      <c r="P52" s="1">
        <f t="shared" si="145"/>
        <v>0.0222133716852846</v>
      </c>
      <c r="Q52" s="1">
        <f t="shared" si="145"/>
        <v>0.297049147650432</v>
      </c>
      <c r="R52" s="1">
        <f t="shared" si="145"/>
        <v>1.01603574374577</v>
      </c>
      <c r="S52" s="1">
        <f t="shared" si="145"/>
        <v>0.0561251031101899</v>
      </c>
      <c r="T52" s="1">
        <f t="shared" si="145"/>
        <v>2.15634850152124</v>
      </c>
      <c r="U52" s="1">
        <f t="shared" si="145"/>
        <v>1</v>
      </c>
      <c r="V52" s="1">
        <f t="shared" si="145"/>
        <v>1.04372138679402</v>
      </c>
      <c r="W52" s="1">
        <f t="shared" si="145"/>
        <v>1.02467037499349</v>
      </c>
      <c r="X52" s="1">
        <f t="shared" si="145"/>
        <v>1.12828594996615</v>
      </c>
      <c r="Y52" s="1">
        <f t="shared" si="23"/>
        <v>0.70338230673741</v>
      </c>
      <c r="Z52" s="1">
        <f t="shared" si="24"/>
        <v>1.12195867321473</v>
      </c>
      <c r="AA52" s="1">
        <f t="shared" si="25"/>
        <v>16977.9135796329</v>
      </c>
      <c r="AB52" s="1">
        <f t="shared" si="4"/>
        <v>4826.62636747878</v>
      </c>
      <c r="AC52" s="1">
        <f t="shared" si="5"/>
        <v>3217.75091165253</v>
      </c>
      <c r="AD52" s="1">
        <f>AC52/(AC52+[1]战斗公式!$M$27)</f>
        <v>0.118222513024577</v>
      </c>
      <c r="AE52" s="1">
        <f t="shared" si="6"/>
        <v>19254.1926170838</v>
      </c>
      <c r="AF52" s="1">
        <f t="shared" si="26"/>
        <v>5.67139885814328</v>
      </c>
      <c r="AG52" s="1">
        <f t="shared" si="7"/>
        <v>3.55553346705601</v>
      </c>
      <c r="AH52" s="1">
        <f t="shared" si="8"/>
        <v>2.06495615875396</v>
      </c>
      <c r="AI52" s="1">
        <f t="shared" si="9"/>
        <v>0.587571907662881</v>
      </c>
      <c r="AJ52" s="1">
        <f t="shared" si="10"/>
        <v>1.14778898004219</v>
      </c>
      <c r="AK52" s="1">
        <f t="shared" si="11"/>
        <v>1.35654175946252</v>
      </c>
      <c r="AL52" s="1">
        <f t="shared" si="12"/>
        <v>0.821869285497784</v>
      </c>
      <c r="AM52" s="27">
        <f t="shared" si="13"/>
        <v>9860</v>
      </c>
      <c r="AN52" s="27">
        <f t="shared" si="27"/>
        <v>2836</v>
      </c>
      <c r="AO52" s="27">
        <f t="shared" si="14"/>
        <v>3218</v>
      </c>
      <c r="AP52" s="1">
        <f t="shared" si="15"/>
        <v>8386</v>
      </c>
      <c r="AQ52" s="1">
        <f t="shared" si="28"/>
        <v>2331</v>
      </c>
      <c r="AR52"/>
      <c r="AS52" s="1">
        <f t="shared" ref="AS52:AY52" si="146">ROUNDUP(AS$10*$AP52,0)</f>
        <v>8386</v>
      </c>
      <c r="AT52" s="1">
        <f t="shared" si="146"/>
        <v>25158</v>
      </c>
      <c r="AU52" s="1">
        <f t="shared" si="146"/>
        <v>15095</v>
      </c>
      <c r="AV52" s="1">
        <f t="shared" si="146"/>
        <v>4193</v>
      </c>
      <c r="AW52" s="1">
        <f t="shared" si="146"/>
        <v>1258</v>
      </c>
      <c r="AX52" s="1">
        <f t="shared" si="146"/>
        <v>33544</v>
      </c>
      <c r="AY52" s="1">
        <f t="shared" si="146"/>
        <v>75474</v>
      </c>
      <c r="AZ52" s="1">
        <f t="shared" si="17"/>
        <v>679032</v>
      </c>
      <c r="BA52" s="1">
        <f t="shared" si="18"/>
        <v>339516</v>
      </c>
      <c r="BC52" s="1">
        <f t="shared" si="19"/>
        <v>41</v>
      </c>
    </row>
    <row r="53" s="1" customFormat="1" spans="2:55">
      <c r="B53" s="4">
        <v>42</v>
      </c>
      <c r="C53" s="1">
        <f t="shared" ref="C53:I53" si="147">C$5+(C$6-C$5)*(POWER(C$7,$B53-1)-1)/(POWER(C$7,$B$3-1)-1)</f>
        <v>3318.7417829232</v>
      </c>
      <c r="D53" s="1">
        <f t="shared" si="147"/>
        <v>995.62253487696</v>
      </c>
      <c r="E53" s="1">
        <f t="shared" si="147"/>
        <v>663.74835658464</v>
      </c>
      <c r="F53" s="1">
        <f t="shared" si="147"/>
        <v>12182.7230006041</v>
      </c>
      <c r="G53" s="1">
        <f t="shared" si="147"/>
        <v>3654.81690018124</v>
      </c>
      <c r="H53" s="1">
        <f t="shared" si="147"/>
        <v>2436.54460012083</v>
      </c>
      <c r="I53" s="1">
        <f t="shared" si="147"/>
        <v>0</v>
      </c>
      <c r="J53" s="1">
        <f>[1]标准模型!$I$65/1*$B53/$B$3</f>
        <v>0.3024</v>
      </c>
      <c r="K53" s="1">
        <f>J53*[1]标准模型!$J$63</f>
        <v>0.3024</v>
      </c>
      <c r="L53" s="1">
        <f t="shared" si="21"/>
        <v>15501.4647835273</v>
      </c>
      <c r="M53" s="1">
        <f t="shared" si="1"/>
        <v>4951.51568960499</v>
      </c>
      <c r="N53" s="1">
        <f t="shared" si="2"/>
        <v>3301.01045973667</v>
      </c>
      <c r="O53" s="1">
        <f t="shared" ref="O53:X53" si="148">O$5+(O$6-O$5)*(POWER(O$7,$B53-1)-1)/(POWER(O$7,$B$3-1)-1)</f>
        <v>0.541091572802861</v>
      </c>
      <c r="P53" s="1">
        <f t="shared" si="148"/>
        <v>0.0227859488683421</v>
      </c>
      <c r="Q53" s="1">
        <f t="shared" si="148"/>
        <v>0.297600365041574</v>
      </c>
      <c r="R53" s="1">
        <f t="shared" si="148"/>
        <v>1.01643662912114</v>
      </c>
      <c r="S53" s="1">
        <f t="shared" si="148"/>
        <v>0.057528201924006</v>
      </c>
      <c r="T53" s="1">
        <f t="shared" si="148"/>
        <v>2.16025713393116</v>
      </c>
      <c r="U53" s="1">
        <f t="shared" si="148"/>
        <v>1</v>
      </c>
      <c r="V53" s="1">
        <f t="shared" si="148"/>
        <v>1.0448143990568</v>
      </c>
      <c r="W53" s="1">
        <f t="shared" si="148"/>
        <v>1.02528712172484</v>
      </c>
      <c r="X53" s="1">
        <f t="shared" si="148"/>
        <v>1.13149303296916</v>
      </c>
      <c r="Y53" s="1">
        <f t="shared" si="23"/>
        <v>0.709290450116976</v>
      </c>
      <c r="Z53" s="1">
        <f t="shared" si="24"/>
        <v>1.13219859982263</v>
      </c>
      <c r="AA53" s="1">
        <f t="shared" si="25"/>
        <v>17550.7367231094</v>
      </c>
      <c r="AB53" s="1">
        <f t="shared" si="4"/>
        <v>4951.51568960499</v>
      </c>
      <c r="AC53" s="1">
        <f t="shared" si="5"/>
        <v>3301.01045973667</v>
      </c>
      <c r="AD53" s="1">
        <f>AC53/(AC53+[1]战斗公式!$M$27)</f>
        <v>0.120911658731642</v>
      </c>
      <c r="AE53" s="1">
        <f t="shared" si="6"/>
        <v>19964.7019522373</v>
      </c>
      <c r="AF53" s="1">
        <f t="shared" si="26"/>
        <v>5.68460848602794</v>
      </c>
      <c r="AG53" s="1">
        <f t="shared" si="7"/>
        <v>3.5612466862485</v>
      </c>
      <c r="AH53" s="1">
        <f t="shared" si="8"/>
        <v>2.08768664179436</v>
      </c>
      <c r="AI53" s="1">
        <f t="shared" si="9"/>
        <v>0.58985213216598</v>
      </c>
      <c r="AJ53" s="1">
        <f t="shared" si="10"/>
        <v>1.14039953103964</v>
      </c>
      <c r="AK53" s="1">
        <f t="shared" si="11"/>
        <v>1.34941025446588</v>
      </c>
      <c r="AL53" s="1">
        <f t="shared" si="12"/>
        <v>0.822383050104651</v>
      </c>
      <c r="AM53" s="27">
        <f t="shared" si="13"/>
        <v>10289</v>
      </c>
      <c r="AN53" s="27">
        <f t="shared" si="27"/>
        <v>2921</v>
      </c>
      <c r="AO53" s="27">
        <f t="shared" si="14"/>
        <v>3301</v>
      </c>
      <c r="AP53" s="1">
        <f t="shared" si="15"/>
        <v>8698</v>
      </c>
      <c r="AQ53" s="1">
        <f t="shared" si="28"/>
        <v>2402</v>
      </c>
      <c r="AR53"/>
      <c r="AS53" s="1">
        <f t="shared" ref="AS53:AY53" si="149">ROUNDUP(AS$10*$AP53,0)</f>
        <v>8698</v>
      </c>
      <c r="AT53" s="1">
        <f t="shared" si="149"/>
        <v>26094</v>
      </c>
      <c r="AU53" s="1">
        <f t="shared" si="149"/>
        <v>15657</v>
      </c>
      <c r="AV53" s="1">
        <f t="shared" si="149"/>
        <v>4349</v>
      </c>
      <c r="AW53" s="1">
        <f t="shared" si="149"/>
        <v>1305</v>
      </c>
      <c r="AX53" s="1">
        <f t="shared" si="149"/>
        <v>34792</v>
      </c>
      <c r="AY53" s="1">
        <f t="shared" si="149"/>
        <v>78282</v>
      </c>
      <c r="AZ53" s="1">
        <f t="shared" si="17"/>
        <v>704014</v>
      </c>
      <c r="BA53" s="1">
        <f t="shared" si="18"/>
        <v>352007</v>
      </c>
      <c r="BC53" s="1">
        <f t="shared" si="19"/>
        <v>42</v>
      </c>
    </row>
    <row r="54" s="1" customFormat="1" spans="2:55">
      <c r="B54" s="4">
        <v>43</v>
      </c>
      <c r="C54" s="1">
        <f t="shared" ref="C54:I54" si="150">C$5+(C$6-C$5)*(POWER(C$7,$B54-1)-1)/(POWER(C$7,$B$3-1)-1)</f>
        <v>3397.75821581877</v>
      </c>
      <c r="D54" s="1">
        <f t="shared" si="150"/>
        <v>1019.32746474563</v>
      </c>
      <c r="E54" s="1">
        <f t="shared" si="150"/>
        <v>679.551643163753</v>
      </c>
      <c r="F54" s="1">
        <f t="shared" si="150"/>
        <v>12472.7833238917</v>
      </c>
      <c r="G54" s="1">
        <f t="shared" si="150"/>
        <v>3741.8349971675</v>
      </c>
      <c r="H54" s="1">
        <f t="shared" si="150"/>
        <v>2494.55666477833</v>
      </c>
      <c r="I54" s="1">
        <f t="shared" si="150"/>
        <v>0</v>
      </c>
      <c r="J54" s="1">
        <f>[1]标准模型!$I$65/1*$B54/$B$3</f>
        <v>0.3096</v>
      </c>
      <c r="K54" s="1">
        <f>J54*[1]标准模型!$J$63</f>
        <v>0.3096</v>
      </c>
      <c r="L54" s="1">
        <f t="shared" si="21"/>
        <v>15870.5415397105</v>
      </c>
      <c r="M54" s="1">
        <f t="shared" si="1"/>
        <v>5076.74624499838</v>
      </c>
      <c r="N54" s="1">
        <f t="shared" si="2"/>
        <v>3384.49749666558</v>
      </c>
      <c r="O54" s="1">
        <f t="shared" ref="O54:X54" si="151">O$5+(O$6-O$5)*(POWER(O$7,$B54-1)-1)/(POWER(O$7,$B$3-1)-1)</f>
        <v>0.54209378523907</v>
      </c>
      <c r="P54" s="1">
        <f t="shared" si="151"/>
        <v>0.0233593849171743</v>
      </c>
      <c r="Q54" s="1">
        <f t="shared" si="151"/>
        <v>0.298151581881489</v>
      </c>
      <c r="R54" s="1">
        <f t="shared" si="151"/>
        <v>1.01683751409563</v>
      </c>
      <c r="S54" s="1">
        <f t="shared" si="151"/>
        <v>0.0589312993346982</v>
      </c>
      <c r="T54" s="1">
        <f t="shared" si="151"/>
        <v>2.16416576243237</v>
      </c>
      <c r="U54" s="1">
        <f t="shared" si="151"/>
        <v>1</v>
      </c>
      <c r="V54" s="1">
        <f t="shared" si="151"/>
        <v>1.04590741022654</v>
      </c>
      <c r="W54" s="1">
        <f t="shared" si="151"/>
        <v>1.02590386783943</v>
      </c>
      <c r="X54" s="1">
        <f t="shared" si="151"/>
        <v>1.13470011276502</v>
      </c>
      <c r="Y54" s="1">
        <f t="shared" si="23"/>
        <v>0.715242802418692</v>
      </c>
      <c r="Z54" s="1">
        <f t="shared" si="24"/>
        <v>1.14252343330806</v>
      </c>
      <c r="AA54" s="1">
        <f t="shared" si="25"/>
        <v>18132.4656084082</v>
      </c>
      <c r="AB54" s="1">
        <f t="shared" si="4"/>
        <v>5076.74624499838</v>
      </c>
      <c r="AC54" s="1">
        <f t="shared" si="5"/>
        <v>3384.49749666558</v>
      </c>
      <c r="AD54" s="1">
        <f>AC54/(AC54+[1]战斗公式!$M$27)</f>
        <v>0.123591732770619</v>
      </c>
      <c r="AE54" s="1">
        <f t="shared" si="6"/>
        <v>20689.5191275762</v>
      </c>
      <c r="AF54" s="1">
        <f t="shared" si="26"/>
        <v>5.69785567339943</v>
      </c>
      <c r="AG54" s="1">
        <f t="shared" si="7"/>
        <v>3.56697301850492</v>
      </c>
      <c r="AH54" s="1">
        <f t="shared" si="8"/>
        <v>2.11024664621196</v>
      </c>
      <c r="AI54" s="1">
        <f t="shared" si="9"/>
        <v>0.592136917118085</v>
      </c>
      <c r="AJ54" s="1">
        <f t="shared" si="10"/>
        <v>1.13337955448722</v>
      </c>
      <c r="AK54" s="1">
        <f t="shared" si="11"/>
        <v>1.34242137956918</v>
      </c>
      <c r="AL54" s="1">
        <f t="shared" si="12"/>
        <v>0.822895273417696</v>
      </c>
      <c r="AM54" s="27">
        <f t="shared" si="13"/>
        <v>10727</v>
      </c>
      <c r="AN54" s="27">
        <f t="shared" si="27"/>
        <v>3006</v>
      </c>
      <c r="AO54" s="27">
        <f t="shared" si="14"/>
        <v>3384</v>
      </c>
      <c r="AP54" s="1">
        <f t="shared" si="15"/>
        <v>9015</v>
      </c>
      <c r="AQ54" s="1">
        <f t="shared" si="28"/>
        <v>2474</v>
      </c>
      <c r="AR54"/>
      <c r="AS54" s="1">
        <f t="shared" ref="AS54:AY54" si="152">ROUNDUP(AS$10*$AP54,0)</f>
        <v>9015</v>
      </c>
      <c r="AT54" s="1">
        <f t="shared" si="152"/>
        <v>27045</v>
      </c>
      <c r="AU54" s="1">
        <f t="shared" si="152"/>
        <v>16227</v>
      </c>
      <c r="AV54" s="1">
        <f t="shared" si="152"/>
        <v>4508</v>
      </c>
      <c r="AW54" s="1">
        <f t="shared" si="152"/>
        <v>1353</v>
      </c>
      <c r="AX54" s="1">
        <f t="shared" si="152"/>
        <v>36060</v>
      </c>
      <c r="AY54" s="1">
        <f t="shared" si="152"/>
        <v>81135</v>
      </c>
      <c r="AZ54" s="1">
        <f t="shared" si="17"/>
        <v>729466</v>
      </c>
      <c r="BA54" s="1">
        <f t="shared" si="18"/>
        <v>364733</v>
      </c>
      <c r="BC54" s="1">
        <f t="shared" si="19"/>
        <v>43</v>
      </c>
    </row>
    <row r="55" s="1" customFormat="1" spans="2:55">
      <c r="B55" s="4">
        <v>44</v>
      </c>
      <c r="C55" s="1">
        <f t="shared" ref="C55:I55" si="153">C$5+(C$6-C$5)*(POWER(C$7,$B55-1)-1)/(POWER(C$7,$B$3-1)-1)</f>
        <v>3476.77456969641</v>
      </c>
      <c r="D55" s="1">
        <f t="shared" si="153"/>
        <v>1043.03237090892</v>
      </c>
      <c r="E55" s="1">
        <f t="shared" si="153"/>
        <v>695.354913939281</v>
      </c>
      <c r="F55" s="1">
        <f t="shared" si="153"/>
        <v>12762.8433571134</v>
      </c>
      <c r="G55" s="1">
        <f t="shared" si="153"/>
        <v>3828.85300713402</v>
      </c>
      <c r="H55" s="1">
        <f t="shared" si="153"/>
        <v>2552.56867142268</v>
      </c>
      <c r="I55" s="1">
        <f t="shared" si="153"/>
        <v>0</v>
      </c>
      <c r="J55" s="1">
        <f>[1]标准模型!$I$65/1*$B55/$B$3</f>
        <v>0.3168</v>
      </c>
      <c r="K55" s="1">
        <f>J55*[1]标准模型!$J$63</f>
        <v>0.3168</v>
      </c>
      <c r="L55" s="1">
        <f t="shared" si="21"/>
        <v>16239.6179268098</v>
      </c>
      <c r="M55" s="1">
        <f t="shared" si="1"/>
        <v>5202.31803314689</v>
      </c>
      <c r="N55" s="1">
        <f t="shared" si="2"/>
        <v>3468.21202209793</v>
      </c>
      <c r="O55" s="1">
        <f t="shared" ref="O55:X55" si="154">O$5+(O$6-O$5)*(POWER(O$7,$B55-1)-1)/(POWER(O$7,$B$3-1)-1)</f>
        <v>0.543095996673047</v>
      </c>
      <c r="P55" s="1">
        <f t="shared" si="154"/>
        <v>0.0239336811200796</v>
      </c>
      <c r="Q55" s="1">
        <f t="shared" si="154"/>
        <v>0.298702798170176</v>
      </c>
      <c r="R55" s="1">
        <f t="shared" si="154"/>
        <v>1.01723839866922</v>
      </c>
      <c r="S55" s="1">
        <f t="shared" si="154"/>
        <v>0.0603343953422664</v>
      </c>
      <c r="T55" s="1">
        <f t="shared" si="154"/>
        <v>2.16807438702489</v>
      </c>
      <c r="U55" s="1">
        <f t="shared" si="154"/>
        <v>1</v>
      </c>
      <c r="V55" s="1">
        <f t="shared" si="154"/>
        <v>1.04700042030326</v>
      </c>
      <c r="W55" s="1">
        <f t="shared" si="154"/>
        <v>1.02652061333726</v>
      </c>
      <c r="X55" s="1">
        <f t="shared" si="154"/>
        <v>1.13790718935375</v>
      </c>
      <c r="Y55" s="1">
        <f t="shared" si="23"/>
        <v>0.721239669936457</v>
      </c>
      <c r="Z55" s="1">
        <f t="shared" si="24"/>
        <v>1.15293382639905</v>
      </c>
      <c r="AA55" s="1">
        <f t="shared" si="25"/>
        <v>18723.2048356154</v>
      </c>
      <c r="AB55" s="1">
        <f t="shared" si="4"/>
        <v>5202.31803314689</v>
      </c>
      <c r="AC55" s="1">
        <f t="shared" si="5"/>
        <v>3468.21202209793</v>
      </c>
      <c r="AD55" s="1">
        <f>AC55/(AC55+[1]战斗公式!$M$27)</f>
        <v>0.126262751259812</v>
      </c>
      <c r="AE55" s="1">
        <f t="shared" si="6"/>
        <v>21428.8733399105</v>
      </c>
      <c r="AF55" s="1">
        <f t="shared" si="26"/>
        <v>5.71114035696363</v>
      </c>
      <c r="AG55" s="1">
        <f t="shared" si="7"/>
        <v>3.5727124069925</v>
      </c>
      <c r="AH55" s="1">
        <f t="shared" si="8"/>
        <v>2.13263745059642</v>
      </c>
      <c r="AI55" s="1">
        <f t="shared" si="9"/>
        <v>0.594426271640095</v>
      </c>
      <c r="AJ55" s="1">
        <f t="shared" si="10"/>
        <v>1.12671057676242</v>
      </c>
      <c r="AK55" s="1">
        <f t="shared" si="11"/>
        <v>1.33557228217041</v>
      </c>
      <c r="AL55" s="1">
        <f t="shared" si="12"/>
        <v>0.823405960060803</v>
      </c>
      <c r="AM55" s="27">
        <f t="shared" si="13"/>
        <v>11176</v>
      </c>
      <c r="AN55" s="27">
        <f t="shared" si="27"/>
        <v>3092</v>
      </c>
      <c r="AO55" s="27">
        <f t="shared" si="14"/>
        <v>3468</v>
      </c>
      <c r="AP55" s="1">
        <f t="shared" si="15"/>
        <v>9338</v>
      </c>
      <c r="AQ55" s="1">
        <f t="shared" si="28"/>
        <v>2546</v>
      </c>
      <c r="AR55"/>
      <c r="AS55" s="1">
        <f t="shared" ref="AS55:AY55" si="155">ROUNDUP(AS$10*$AP55,0)</f>
        <v>9338</v>
      </c>
      <c r="AT55" s="1">
        <f t="shared" si="155"/>
        <v>28014</v>
      </c>
      <c r="AU55" s="1">
        <f t="shared" si="155"/>
        <v>16809</v>
      </c>
      <c r="AV55" s="1">
        <f t="shared" si="155"/>
        <v>4669</v>
      </c>
      <c r="AW55" s="1">
        <f t="shared" si="155"/>
        <v>1401</v>
      </c>
      <c r="AX55" s="1">
        <f t="shared" si="155"/>
        <v>37352</v>
      </c>
      <c r="AY55" s="1">
        <f t="shared" si="155"/>
        <v>84042</v>
      </c>
      <c r="AZ55" s="1">
        <f t="shared" si="17"/>
        <v>755527</v>
      </c>
      <c r="BA55" s="1">
        <f t="shared" si="18"/>
        <v>377764</v>
      </c>
      <c r="BC55" s="1">
        <f t="shared" si="19"/>
        <v>44</v>
      </c>
    </row>
    <row r="56" s="1" customFormat="1" spans="2:55">
      <c r="B56" s="4">
        <v>45</v>
      </c>
      <c r="C56" s="1">
        <f t="shared" ref="C56:I56" si="156">C$5+(C$6-C$5)*(POWER(C$7,$B56-1)-1)/(POWER(C$7,$B$3-1)-1)</f>
        <v>3555.7908445649</v>
      </c>
      <c r="D56" s="1">
        <f t="shared" si="156"/>
        <v>1066.73725336947</v>
      </c>
      <c r="E56" s="1">
        <f t="shared" si="156"/>
        <v>711.158168912979</v>
      </c>
      <c r="F56" s="1">
        <f t="shared" si="156"/>
        <v>13052.9031003015</v>
      </c>
      <c r="G56" s="1">
        <f t="shared" si="156"/>
        <v>3915.87093009046</v>
      </c>
      <c r="H56" s="1">
        <f t="shared" si="156"/>
        <v>2610.58062006031</v>
      </c>
      <c r="I56" s="1">
        <f t="shared" si="156"/>
        <v>0</v>
      </c>
      <c r="J56" s="1">
        <f>[1]标准模型!$I$65/1*$B56/$B$3</f>
        <v>0.324</v>
      </c>
      <c r="K56" s="1">
        <f>J56*[1]标准模型!$J$63</f>
        <v>0.324</v>
      </c>
      <c r="L56" s="1">
        <f t="shared" si="21"/>
        <v>16608.6939448664</v>
      </c>
      <c r="M56" s="1">
        <f t="shared" si="1"/>
        <v>5328.23105355164</v>
      </c>
      <c r="N56" s="1">
        <f t="shared" si="2"/>
        <v>3552.15403570109</v>
      </c>
      <c r="O56" s="1">
        <f t="shared" ref="O56:X56" si="157">O$5+(O$6-O$5)*(POWER(O$7,$B56-1)-1)/(POWER(O$7,$B$3-1)-1)</f>
        <v>0.544098207104905</v>
      </c>
      <c r="P56" s="1">
        <f t="shared" si="157"/>
        <v>0.0245088387672894</v>
      </c>
      <c r="Q56" s="1">
        <f t="shared" si="157"/>
        <v>0.299254013907698</v>
      </c>
      <c r="R56" s="1">
        <f t="shared" si="157"/>
        <v>1.01763928284196</v>
      </c>
      <c r="S56" s="1">
        <f t="shared" si="157"/>
        <v>0.0617374899468666</v>
      </c>
      <c r="T56" s="1">
        <f t="shared" si="157"/>
        <v>2.17198300770913</v>
      </c>
      <c r="U56" s="1">
        <f t="shared" si="157"/>
        <v>1</v>
      </c>
      <c r="V56" s="1">
        <f t="shared" si="157"/>
        <v>1.04809342928706</v>
      </c>
      <c r="W56" s="1">
        <f t="shared" si="157"/>
        <v>1.0271373582184</v>
      </c>
      <c r="X56" s="1">
        <f t="shared" si="157"/>
        <v>1.1411142627357</v>
      </c>
      <c r="Y56" s="1">
        <f t="shared" si="23"/>
        <v>0.727281360709581</v>
      </c>
      <c r="Z56" s="1">
        <f t="shared" si="24"/>
        <v>1.16343043612339</v>
      </c>
      <c r="AA56" s="1">
        <f t="shared" si="25"/>
        <v>19323.0600397158</v>
      </c>
      <c r="AB56" s="1">
        <f t="shared" si="4"/>
        <v>5328.23105355164</v>
      </c>
      <c r="AC56" s="1">
        <f t="shared" si="5"/>
        <v>3552.15403570109</v>
      </c>
      <c r="AD56" s="1">
        <f>AC56/(AC56+[1]战斗公式!$M$27)</f>
        <v>0.128924730570914</v>
      </c>
      <c r="AE56" s="1">
        <f t="shared" si="6"/>
        <v>22182.9969439729</v>
      </c>
      <c r="AF56" s="1">
        <f t="shared" si="26"/>
        <v>5.72446247388827</v>
      </c>
      <c r="AG56" s="1">
        <f t="shared" si="7"/>
        <v>3.57846479520744</v>
      </c>
      <c r="AH56" s="1">
        <f t="shared" si="8"/>
        <v>2.154860323948</v>
      </c>
      <c r="AI56" s="1">
        <f t="shared" si="9"/>
        <v>0.596720204871148</v>
      </c>
      <c r="AJ56" s="1">
        <f t="shared" si="10"/>
        <v>1.12037504792386</v>
      </c>
      <c r="AK56" s="1">
        <f t="shared" si="11"/>
        <v>1.32886016671961</v>
      </c>
      <c r="AL56" s="1">
        <f t="shared" si="12"/>
        <v>0.82391511464398</v>
      </c>
      <c r="AM56" s="27">
        <f t="shared" si="13"/>
        <v>11636</v>
      </c>
      <c r="AN56" s="27">
        <f t="shared" si="27"/>
        <v>3179</v>
      </c>
      <c r="AO56" s="27">
        <f t="shared" si="14"/>
        <v>3552</v>
      </c>
      <c r="AP56" s="1">
        <f t="shared" si="15"/>
        <v>9666</v>
      </c>
      <c r="AQ56" s="1">
        <f t="shared" si="28"/>
        <v>2619</v>
      </c>
      <c r="AR56"/>
      <c r="AS56" s="1">
        <f t="shared" ref="AS56:AY56" si="158">ROUNDUP(AS$10*$AP56,0)</f>
        <v>9666</v>
      </c>
      <c r="AT56" s="1">
        <f t="shared" si="158"/>
        <v>28998</v>
      </c>
      <c r="AU56" s="1">
        <f t="shared" si="158"/>
        <v>17399</v>
      </c>
      <c r="AV56" s="1">
        <f t="shared" si="158"/>
        <v>4833</v>
      </c>
      <c r="AW56" s="1">
        <f t="shared" si="158"/>
        <v>1450</v>
      </c>
      <c r="AX56" s="1">
        <f t="shared" si="158"/>
        <v>38664</v>
      </c>
      <c r="AY56" s="1">
        <f t="shared" si="158"/>
        <v>86994</v>
      </c>
      <c r="AZ56" s="1">
        <f t="shared" si="17"/>
        <v>782201</v>
      </c>
      <c r="BA56" s="1">
        <f t="shared" si="18"/>
        <v>391101</v>
      </c>
      <c r="BC56" s="1">
        <f t="shared" si="19"/>
        <v>45</v>
      </c>
    </row>
    <row r="57" s="1" customFormat="1" spans="2:55">
      <c r="B57" s="4">
        <v>46</v>
      </c>
      <c r="C57" s="1">
        <f t="shared" ref="C57:I57" si="159">C$5+(C$6-C$5)*(POWER(C$7,$B57-1)-1)/(POWER(C$7,$B$3-1)-1)</f>
        <v>3634.80704041546</v>
      </c>
      <c r="D57" s="1">
        <f t="shared" si="159"/>
        <v>1090.44211212464</v>
      </c>
      <c r="E57" s="1">
        <f t="shared" si="159"/>
        <v>726.961408083093</v>
      </c>
      <c r="F57" s="1">
        <f t="shared" si="159"/>
        <v>13342.9625534239</v>
      </c>
      <c r="G57" s="1">
        <f t="shared" si="159"/>
        <v>4002.88876602716</v>
      </c>
      <c r="H57" s="1">
        <f t="shared" si="159"/>
        <v>2668.59251068477</v>
      </c>
      <c r="I57" s="1">
        <f t="shared" si="159"/>
        <v>0</v>
      </c>
      <c r="J57" s="1">
        <f>[1]标准模型!$I$65/1*$B57/$B$3</f>
        <v>0.3312</v>
      </c>
      <c r="K57" s="1">
        <f>J57*[1]标准模型!$J$63</f>
        <v>0.3312</v>
      </c>
      <c r="L57" s="1">
        <f t="shared" si="21"/>
        <v>16977.7695938394</v>
      </c>
      <c r="M57" s="1">
        <f t="shared" si="1"/>
        <v>5454.48530568748</v>
      </c>
      <c r="N57" s="1">
        <f t="shared" si="2"/>
        <v>3636.32353712498</v>
      </c>
      <c r="O57" s="1">
        <f t="shared" ref="O57:X57" si="160">O$5+(O$6-O$5)*(POWER(O$7,$B57-1)-1)/(POWER(O$7,$B$3-1)-1)</f>
        <v>0.545100416534531</v>
      </c>
      <c r="P57" s="1">
        <f t="shared" si="160"/>
        <v>0.0250848591509699</v>
      </c>
      <c r="Q57" s="1">
        <f t="shared" si="160"/>
        <v>0.299805229093992</v>
      </c>
      <c r="R57" s="1">
        <f t="shared" si="160"/>
        <v>1.01804016661381</v>
      </c>
      <c r="S57" s="1">
        <f t="shared" si="160"/>
        <v>0.0631405831483429</v>
      </c>
      <c r="T57" s="1">
        <f t="shared" si="160"/>
        <v>2.17589162448467</v>
      </c>
      <c r="U57" s="1">
        <f t="shared" si="160"/>
        <v>1</v>
      </c>
      <c r="V57" s="1">
        <f t="shared" si="160"/>
        <v>1.04918643717783</v>
      </c>
      <c r="W57" s="1">
        <f t="shared" si="160"/>
        <v>1.02775410248279</v>
      </c>
      <c r="X57" s="1">
        <f t="shared" si="160"/>
        <v>1.1443213329105</v>
      </c>
      <c r="Y57" s="1">
        <f t="shared" si="23"/>
        <v>0.733368184527556</v>
      </c>
      <c r="Z57" s="1">
        <f t="shared" si="24"/>
        <v>1.17401392382662</v>
      </c>
      <c r="AA57" s="1">
        <f t="shared" si="25"/>
        <v>19932.1378986876</v>
      </c>
      <c r="AB57" s="1">
        <f t="shared" si="4"/>
        <v>5454.48530568748</v>
      </c>
      <c r="AC57" s="1">
        <f t="shared" si="5"/>
        <v>3636.32353712498</v>
      </c>
      <c r="AD57" s="1">
        <f>AC57/(AC57+[1]战斗公式!$M$27)</f>
        <v>0.131577687322996</v>
      </c>
      <c r="AE57" s="1">
        <f t="shared" si="6"/>
        <v>22952.12548978</v>
      </c>
      <c r="AF57" s="1">
        <f t="shared" si="26"/>
        <v>5.73782196179016</v>
      </c>
      <c r="AG57" s="1">
        <f t="shared" si="7"/>
        <v>3.58423012696894</v>
      </c>
      <c r="AH57" s="1">
        <f t="shared" si="8"/>
        <v>2.17691652574944</v>
      </c>
      <c r="AI57" s="1">
        <f t="shared" si="9"/>
        <v>0.599018725968663</v>
      </c>
      <c r="AJ57" s="1">
        <f t="shared" si="10"/>
        <v>1.11435629552723</v>
      </c>
      <c r="AK57" s="1">
        <f t="shared" si="11"/>
        <v>1.32228229357783</v>
      </c>
      <c r="AL57" s="1">
        <f t="shared" si="12"/>
        <v>0.824422741763408</v>
      </c>
      <c r="AM57" s="27">
        <f t="shared" si="13"/>
        <v>12106</v>
      </c>
      <c r="AN57" s="27">
        <f t="shared" si="27"/>
        <v>3267</v>
      </c>
      <c r="AO57" s="27">
        <f t="shared" si="14"/>
        <v>3636</v>
      </c>
      <c r="AP57" s="1">
        <f t="shared" si="15"/>
        <v>9999</v>
      </c>
      <c r="AQ57" s="1">
        <f t="shared" si="28"/>
        <v>2693</v>
      </c>
      <c r="AR57"/>
      <c r="AS57" s="1">
        <f t="shared" ref="AS57:AY57" si="161">ROUNDUP(AS$10*$AP57,0)</f>
        <v>9999</v>
      </c>
      <c r="AT57" s="1">
        <f t="shared" si="161"/>
        <v>29997</v>
      </c>
      <c r="AU57" s="1">
        <f t="shared" si="161"/>
        <v>17999</v>
      </c>
      <c r="AV57" s="1">
        <f t="shared" si="161"/>
        <v>5000</v>
      </c>
      <c r="AW57" s="1">
        <f t="shared" si="161"/>
        <v>1500</v>
      </c>
      <c r="AX57" s="1">
        <f t="shared" si="161"/>
        <v>39996</v>
      </c>
      <c r="AY57" s="1">
        <f t="shared" si="161"/>
        <v>89991</v>
      </c>
      <c r="AZ57" s="1">
        <f t="shared" si="17"/>
        <v>809424</v>
      </c>
      <c r="BA57" s="1">
        <f t="shared" si="18"/>
        <v>404712</v>
      </c>
      <c r="BC57" s="1">
        <f t="shared" si="19"/>
        <v>46</v>
      </c>
    </row>
    <row r="58" s="1" customFormat="1" spans="2:55">
      <c r="B58" s="4">
        <v>47</v>
      </c>
      <c r="C58" s="1">
        <f t="shared" ref="C58:I58" si="162">C$5+(C$6-C$5)*(POWER(C$7,$B58-1)-1)/(POWER(C$7,$B$3-1)-1)</f>
        <v>3713.82315723933</v>
      </c>
      <c r="D58" s="1">
        <f t="shared" si="162"/>
        <v>1114.1469471718</v>
      </c>
      <c r="E58" s="1">
        <f t="shared" si="162"/>
        <v>742.764631447866</v>
      </c>
      <c r="F58" s="1">
        <f t="shared" si="162"/>
        <v>13633.0217164482</v>
      </c>
      <c r="G58" s="1">
        <f t="shared" si="162"/>
        <v>4089.90651493445</v>
      </c>
      <c r="H58" s="1">
        <f t="shared" si="162"/>
        <v>2726.60434328964</v>
      </c>
      <c r="I58" s="1">
        <f t="shared" si="162"/>
        <v>0</v>
      </c>
      <c r="J58" s="1">
        <f>[1]标准模型!$I$65/1*$B58/$B$3</f>
        <v>0.3384</v>
      </c>
      <c r="K58" s="1">
        <f>J58*[1]标准模型!$J$63</f>
        <v>0.3384</v>
      </c>
      <c r="L58" s="1">
        <f t="shared" si="21"/>
        <v>17346.8448736875</v>
      </c>
      <c r="M58" s="1">
        <f t="shared" si="1"/>
        <v>5581.08078902919</v>
      </c>
      <c r="N58" s="1">
        <f t="shared" si="2"/>
        <v>3720.72052601946</v>
      </c>
      <c r="O58" s="1">
        <f t="shared" ref="O58:X58" si="163">O$5+(O$6-O$5)*(POWER(O$7,$B58-1)-1)/(POWER(O$7,$B$3-1)-1)</f>
        <v>0.546102624961814</v>
      </c>
      <c r="P58" s="1">
        <f t="shared" si="163"/>
        <v>0.025661743565226</v>
      </c>
      <c r="Q58" s="1">
        <f t="shared" si="163"/>
        <v>0.300356443728998</v>
      </c>
      <c r="R58" s="1">
        <f t="shared" si="163"/>
        <v>1.01844104998473</v>
      </c>
      <c r="S58" s="1">
        <f t="shared" si="163"/>
        <v>0.0645436749465395</v>
      </c>
      <c r="T58" s="1">
        <f t="shared" si="163"/>
        <v>2.17980023735107</v>
      </c>
      <c r="U58" s="1">
        <f t="shared" si="163"/>
        <v>1</v>
      </c>
      <c r="V58" s="1">
        <f t="shared" si="163"/>
        <v>1.05027944397545</v>
      </c>
      <c r="W58" s="1">
        <f t="shared" si="163"/>
        <v>1.02837084613035</v>
      </c>
      <c r="X58" s="1">
        <f t="shared" si="163"/>
        <v>1.1475283998778</v>
      </c>
      <c r="Y58" s="1">
        <f t="shared" si="23"/>
        <v>0.739500452937777</v>
      </c>
      <c r="Z58" s="1">
        <f t="shared" si="24"/>
        <v>1.18468495519541</v>
      </c>
      <c r="AA58" s="1">
        <f t="shared" si="25"/>
        <v>20550.5461419662</v>
      </c>
      <c r="AB58" s="1">
        <f t="shared" si="4"/>
        <v>5581.08078902919</v>
      </c>
      <c r="AC58" s="1">
        <f t="shared" si="5"/>
        <v>3720.72052601946</v>
      </c>
      <c r="AD58" s="1">
        <f>AC58/(AC58+[1]战斗公式!$M$27)</f>
        <v>0.134221638377945</v>
      </c>
      <c r="AE58" s="1">
        <f t="shared" si="6"/>
        <v>23736.4977607714</v>
      </c>
      <c r="AF58" s="1">
        <f t="shared" si="26"/>
        <v>5.75121875873493</v>
      </c>
      <c r="AG58" s="1">
        <f t="shared" si="7"/>
        <v>3.59000834641915</v>
      </c>
      <c r="AH58" s="1">
        <f t="shared" si="8"/>
        <v>2.19880730603737</v>
      </c>
      <c r="AI58" s="1">
        <f t="shared" si="9"/>
        <v>0.601321844108374</v>
      </c>
      <c r="AJ58" s="1">
        <f t="shared" si="10"/>
        <v>1.10863848075042</v>
      </c>
      <c r="AK58" s="1">
        <f t="shared" si="11"/>
        <v>1.31583597789889</v>
      </c>
      <c r="AL58" s="1">
        <f t="shared" si="12"/>
        <v>0.824928846001477</v>
      </c>
      <c r="AM58" s="27">
        <f t="shared" si="13"/>
        <v>12587</v>
      </c>
      <c r="AN58" s="27">
        <f t="shared" si="27"/>
        <v>3356</v>
      </c>
      <c r="AO58" s="27">
        <f t="shared" si="14"/>
        <v>3721</v>
      </c>
      <c r="AP58" s="1">
        <f t="shared" si="15"/>
        <v>10338</v>
      </c>
      <c r="AQ58" s="1">
        <f t="shared" si="28"/>
        <v>2768</v>
      </c>
      <c r="AR58"/>
      <c r="AS58" s="1">
        <f t="shared" ref="AS58:AY58" si="164">ROUNDUP(AS$10*$AP58,0)</f>
        <v>10338</v>
      </c>
      <c r="AT58" s="1">
        <f t="shared" si="164"/>
        <v>31014</v>
      </c>
      <c r="AU58" s="1">
        <f t="shared" si="164"/>
        <v>18609</v>
      </c>
      <c r="AV58" s="1">
        <f t="shared" si="164"/>
        <v>5169</v>
      </c>
      <c r="AW58" s="1">
        <f t="shared" si="164"/>
        <v>1551</v>
      </c>
      <c r="AX58" s="1">
        <f t="shared" si="164"/>
        <v>41352</v>
      </c>
      <c r="AY58" s="1">
        <f t="shared" si="164"/>
        <v>93042</v>
      </c>
      <c r="AZ58" s="1">
        <f t="shared" si="17"/>
        <v>837266</v>
      </c>
      <c r="BA58" s="1">
        <f t="shared" si="18"/>
        <v>418633</v>
      </c>
      <c r="BC58" s="1">
        <f t="shared" si="19"/>
        <v>47</v>
      </c>
    </row>
    <row r="59" s="1" customFormat="1" spans="2:55">
      <c r="B59" s="4">
        <v>48</v>
      </c>
      <c r="C59" s="1">
        <f t="shared" ref="C59:I59" si="165">C$5+(C$6-C$5)*(POWER(C$7,$B59-1)-1)/(POWER(C$7,$B$3-1)-1)</f>
        <v>3792.83919506282</v>
      </c>
      <c r="D59" s="1">
        <f t="shared" si="165"/>
        <v>1137.85175851885</v>
      </c>
      <c r="E59" s="1">
        <f t="shared" si="165"/>
        <v>758.567839012564</v>
      </c>
      <c r="F59" s="1">
        <f t="shared" si="165"/>
        <v>13923.0805894711</v>
      </c>
      <c r="G59" s="1">
        <f t="shared" si="165"/>
        <v>4176.92417684133</v>
      </c>
      <c r="H59" s="1">
        <f t="shared" si="165"/>
        <v>2784.61611789422</v>
      </c>
      <c r="I59" s="1">
        <f t="shared" si="165"/>
        <v>0</v>
      </c>
      <c r="J59" s="1">
        <f>[1]标准模型!$I$65/1*$B59/$B$3</f>
        <v>0.3456</v>
      </c>
      <c r="K59" s="1">
        <f>J59*[1]标准模型!$J$63</f>
        <v>0.3456</v>
      </c>
      <c r="L59" s="1">
        <f t="shared" si="21"/>
        <v>17715.9197845339</v>
      </c>
      <c r="M59" s="1">
        <f t="shared" si="1"/>
        <v>5708.01750310429</v>
      </c>
      <c r="N59" s="1">
        <f t="shared" si="2"/>
        <v>3805.34500206953</v>
      </c>
      <c r="O59" s="1">
        <f t="shared" ref="O59:X59" si="166">O$5+(O$6-O$5)*(POWER(O$7,$B59-1)-1)/(POWER(O$7,$B$3-1)-1)</f>
        <v>0.547104832387088</v>
      </c>
      <c r="P59" s="1">
        <f t="shared" si="166"/>
        <v>0.0262394933061034</v>
      </c>
      <c r="Q59" s="1">
        <f t="shared" si="166"/>
        <v>0.300907657812899</v>
      </c>
      <c r="R59" s="1">
        <f t="shared" si="166"/>
        <v>1.01884193295484</v>
      </c>
      <c r="S59" s="1">
        <f t="shared" si="166"/>
        <v>0.0659467653419237</v>
      </c>
      <c r="T59" s="1">
        <f t="shared" si="166"/>
        <v>2.18370884630964</v>
      </c>
      <c r="U59" s="1">
        <f t="shared" si="166"/>
        <v>1</v>
      </c>
      <c r="V59" s="1">
        <f t="shared" si="166"/>
        <v>1.05137244968028</v>
      </c>
      <c r="W59" s="1">
        <f t="shared" si="166"/>
        <v>1.02898758916129</v>
      </c>
      <c r="X59" s="1">
        <f t="shared" si="166"/>
        <v>1.15073546363868</v>
      </c>
      <c r="Y59" s="1">
        <f t="shared" si="23"/>
        <v>0.745678479254528</v>
      </c>
      <c r="Z59" s="1">
        <f t="shared" si="24"/>
        <v>1.19544420028337</v>
      </c>
      <c r="AA59" s="1">
        <f t="shared" si="25"/>
        <v>21178.3935591065</v>
      </c>
      <c r="AB59" s="1">
        <f t="shared" si="4"/>
        <v>5708.01750310429</v>
      </c>
      <c r="AC59" s="1">
        <f t="shared" si="5"/>
        <v>3805.34500206953</v>
      </c>
      <c r="AD59" s="1">
        <f>AC59/(AC59+[1]战斗公式!$M$27)</f>
        <v>0.136856600836505</v>
      </c>
      <c r="AE59" s="1">
        <f t="shared" si="6"/>
        <v>24536.3558125235</v>
      </c>
      <c r="AF59" s="1">
        <f t="shared" si="26"/>
        <v>5.76465280324224</v>
      </c>
      <c r="AG59" s="1">
        <f t="shared" si="7"/>
        <v>3.5957993980255</v>
      </c>
      <c r="AH59" s="1">
        <f t="shared" si="8"/>
        <v>2.22053390547314</v>
      </c>
      <c r="AI59" s="1">
        <f t="shared" si="9"/>
        <v>0.603629568484364</v>
      </c>
      <c r="AJ59" s="1">
        <f t="shared" si="10"/>
        <v>1.10320655671246</v>
      </c>
      <c r="AK59" s="1">
        <f t="shared" si="11"/>
        <v>1.30951858853352</v>
      </c>
      <c r="AL59" s="1">
        <f t="shared" si="12"/>
        <v>0.825433431926833</v>
      </c>
      <c r="AM59" s="27">
        <f t="shared" si="13"/>
        <v>13078</v>
      </c>
      <c r="AN59" s="27">
        <f t="shared" si="27"/>
        <v>3446</v>
      </c>
      <c r="AO59" s="27">
        <f t="shared" si="14"/>
        <v>3805</v>
      </c>
      <c r="AP59" s="1">
        <f t="shared" si="15"/>
        <v>10683</v>
      </c>
      <c r="AQ59" s="1">
        <f t="shared" si="28"/>
        <v>2844</v>
      </c>
      <c r="AR59"/>
      <c r="AS59" s="1">
        <f t="shared" ref="AS59:AY59" si="167">ROUNDUP(AS$10*$AP59,0)</f>
        <v>10683</v>
      </c>
      <c r="AT59" s="1">
        <f t="shared" si="167"/>
        <v>32049</v>
      </c>
      <c r="AU59" s="1">
        <f t="shared" si="167"/>
        <v>19230</v>
      </c>
      <c r="AV59" s="1">
        <f t="shared" si="167"/>
        <v>5342</v>
      </c>
      <c r="AW59" s="1">
        <f t="shared" si="167"/>
        <v>1603</v>
      </c>
      <c r="AX59" s="1">
        <f t="shared" si="167"/>
        <v>42732</v>
      </c>
      <c r="AY59" s="1">
        <f t="shared" si="167"/>
        <v>96147</v>
      </c>
      <c r="AZ59" s="1">
        <f t="shared" si="17"/>
        <v>865664</v>
      </c>
      <c r="BA59" s="1">
        <f t="shared" si="18"/>
        <v>432832</v>
      </c>
      <c r="BC59" s="1">
        <f t="shared" si="19"/>
        <v>48</v>
      </c>
    </row>
    <row r="60" s="1" customFormat="1" spans="2:55">
      <c r="B60" s="4">
        <v>49</v>
      </c>
      <c r="C60" s="1">
        <f t="shared" ref="C60:I60" si="168">C$5+(C$6-C$5)*(POWER(C$7,$B60-1)-1)/(POWER(C$7,$B$3-1)-1)</f>
        <v>3871.85515385961</v>
      </c>
      <c r="D60" s="1">
        <f t="shared" si="168"/>
        <v>1161.55654615788</v>
      </c>
      <c r="E60" s="1">
        <f t="shared" si="168"/>
        <v>774.371030771923</v>
      </c>
      <c r="F60" s="1">
        <f t="shared" si="168"/>
        <v>14213.139172396</v>
      </c>
      <c r="G60" s="1">
        <f t="shared" si="168"/>
        <v>4263.94175171881</v>
      </c>
      <c r="H60" s="1">
        <f t="shared" si="168"/>
        <v>2842.62783447921</v>
      </c>
      <c r="I60" s="1">
        <f t="shared" si="168"/>
        <v>0</v>
      </c>
      <c r="J60" s="1">
        <f>[1]标准模型!$I$65/1*$B60/$B$3</f>
        <v>0.3528</v>
      </c>
      <c r="K60" s="1">
        <f>J60*[1]标准模型!$J$63</f>
        <v>0.3528</v>
      </c>
      <c r="L60" s="1">
        <f t="shared" si="21"/>
        <v>18084.9943262556</v>
      </c>
      <c r="M60" s="1">
        <f t="shared" si="1"/>
        <v>5835.29544736119</v>
      </c>
      <c r="N60" s="1">
        <f t="shared" si="2"/>
        <v>3890.19696490747</v>
      </c>
      <c r="O60" s="1">
        <f t="shared" ref="O60:X60" si="169">O$5+(O$6-O$5)*(POWER(O$7,$B60-1)-1)/(POWER(O$7,$B$3-1)-1)</f>
        <v>0.54810703881002</v>
      </c>
      <c r="P60" s="1">
        <f t="shared" si="169"/>
        <v>0.0268181096715922</v>
      </c>
      <c r="Q60" s="1">
        <f t="shared" si="169"/>
        <v>0.301458871345511</v>
      </c>
      <c r="R60" s="1">
        <f t="shared" si="169"/>
        <v>1.01924281552401</v>
      </c>
      <c r="S60" s="1">
        <f t="shared" si="169"/>
        <v>0.0673498543340283</v>
      </c>
      <c r="T60" s="1">
        <f t="shared" si="169"/>
        <v>2.18761745135908</v>
      </c>
      <c r="U60" s="1">
        <f t="shared" si="169"/>
        <v>1</v>
      </c>
      <c r="V60" s="1">
        <f t="shared" si="169"/>
        <v>1.05246545429195</v>
      </c>
      <c r="W60" s="1">
        <f t="shared" si="169"/>
        <v>1.0296043315754</v>
      </c>
      <c r="X60" s="1">
        <f t="shared" si="169"/>
        <v>1.15394252419206</v>
      </c>
      <c r="Y60" s="1">
        <f t="shared" si="23"/>
        <v>0.751902578559586</v>
      </c>
      <c r="Z60" s="1">
        <f t="shared" si="24"/>
        <v>1.20629233352141</v>
      </c>
      <c r="AA60" s="1">
        <f t="shared" si="25"/>
        <v>21815.7900075403</v>
      </c>
      <c r="AB60" s="1">
        <f t="shared" si="4"/>
        <v>5835.29544736119</v>
      </c>
      <c r="AC60" s="1">
        <f t="shared" si="5"/>
        <v>3890.19696490747</v>
      </c>
      <c r="AD60" s="1">
        <f>AC60/(AC60+[1]战斗公式!$M$27)</f>
        <v>0.139482592030535</v>
      </c>
      <c r="AE60" s="1">
        <f t="shared" si="6"/>
        <v>25351.94501064</v>
      </c>
      <c r="AF60" s="1">
        <f t="shared" si="26"/>
        <v>5.77812403425534</v>
      </c>
      <c r="AG60" s="1">
        <f t="shared" si="7"/>
        <v>3.60160322656697</v>
      </c>
      <c r="AH60" s="1">
        <f t="shared" si="8"/>
        <v>2.24209755541315</v>
      </c>
      <c r="AI60" s="1">
        <f t="shared" si="9"/>
        <v>0.605941908309106</v>
      </c>
      <c r="AJ60" s="1">
        <f t="shared" si="10"/>
        <v>1.0980462288764</v>
      </c>
      <c r="AK60" s="1">
        <f t="shared" si="11"/>
        <v>1.30332754695546</v>
      </c>
      <c r="AL60" s="1">
        <f t="shared" si="12"/>
        <v>0.825936504094412</v>
      </c>
      <c r="AM60" s="27">
        <f t="shared" si="13"/>
        <v>13581</v>
      </c>
      <c r="AN60" s="27">
        <f t="shared" si="27"/>
        <v>3536</v>
      </c>
      <c r="AO60" s="27">
        <f t="shared" si="14"/>
        <v>3890</v>
      </c>
      <c r="AP60" s="1">
        <f t="shared" si="15"/>
        <v>11033</v>
      </c>
      <c r="AQ60" s="1">
        <f t="shared" si="28"/>
        <v>2921</v>
      </c>
      <c r="AR60"/>
      <c r="AS60" s="1">
        <f t="shared" ref="AS60:AY60" si="170">ROUNDUP(AS$10*$AP60,0)</f>
        <v>11033</v>
      </c>
      <c r="AT60" s="1">
        <f t="shared" si="170"/>
        <v>33099</v>
      </c>
      <c r="AU60" s="1">
        <f t="shared" si="170"/>
        <v>19860</v>
      </c>
      <c r="AV60" s="1">
        <f t="shared" si="170"/>
        <v>5517</v>
      </c>
      <c r="AW60" s="1">
        <f t="shared" si="170"/>
        <v>1655</v>
      </c>
      <c r="AX60" s="1">
        <f t="shared" si="170"/>
        <v>44132</v>
      </c>
      <c r="AY60" s="1">
        <f t="shared" si="170"/>
        <v>99297</v>
      </c>
      <c r="AZ60" s="1">
        <f t="shared" si="17"/>
        <v>894754</v>
      </c>
      <c r="BA60" s="1">
        <f t="shared" si="18"/>
        <v>447377</v>
      </c>
      <c r="BC60" s="1">
        <f t="shared" si="19"/>
        <v>49</v>
      </c>
    </row>
    <row r="61" s="1" customFormat="1" spans="2:55">
      <c r="B61" s="4">
        <v>50</v>
      </c>
      <c r="C61" s="1">
        <f t="shared" ref="C61:I61" si="171">C$5+(C$6-C$5)*(POWER(C$7,$B61-1)-1)/(POWER(C$7,$B$3-1)-1)</f>
        <v>3950.87103364725</v>
      </c>
      <c r="D61" s="1">
        <f t="shared" si="171"/>
        <v>1185.26131009418</v>
      </c>
      <c r="E61" s="1">
        <f t="shared" si="171"/>
        <v>790.174206729451</v>
      </c>
      <c r="F61" s="1">
        <f t="shared" si="171"/>
        <v>14503.1974652874</v>
      </c>
      <c r="G61" s="1">
        <f t="shared" si="171"/>
        <v>4350.95923958622</v>
      </c>
      <c r="H61" s="1">
        <f t="shared" si="171"/>
        <v>2900.63949305748</v>
      </c>
      <c r="I61" s="1">
        <f t="shared" si="171"/>
        <v>0</v>
      </c>
      <c r="J61" s="1">
        <f>[1]标准模型!$I$65/1*$B61/$B$3</f>
        <v>0.36</v>
      </c>
      <c r="K61" s="1">
        <f>J61*[1]标准模型!$J$63</f>
        <v>0.36</v>
      </c>
      <c r="L61" s="1">
        <f t="shared" si="21"/>
        <v>18454.0684989347</v>
      </c>
      <c r="M61" s="1">
        <f t="shared" si="1"/>
        <v>5962.9146213143</v>
      </c>
      <c r="N61" s="1">
        <f t="shared" si="2"/>
        <v>3975.27641420953</v>
      </c>
      <c r="O61" s="1">
        <f t="shared" ref="O61:X61" si="172">O$5+(O$6-O$5)*(POWER(O$7,$B61-1)-1)/(POWER(O$7,$B$3-1)-1)</f>
        <v>0.549109244230832</v>
      </c>
      <c r="P61" s="1">
        <f t="shared" si="172"/>
        <v>0.0273975939616292</v>
      </c>
      <c r="Q61" s="1">
        <f t="shared" si="172"/>
        <v>0.302010084326958</v>
      </c>
      <c r="R61" s="1">
        <f t="shared" si="172"/>
        <v>1.01964369769233</v>
      </c>
      <c r="S61" s="1">
        <f t="shared" si="172"/>
        <v>0.0687529419231648</v>
      </c>
      <c r="T61" s="1">
        <f t="shared" si="172"/>
        <v>2.19152605250024</v>
      </c>
      <c r="U61" s="1">
        <f t="shared" si="172"/>
        <v>1</v>
      </c>
      <c r="V61" s="1">
        <f t="shared" si="172"/>
        <v>1.05355845781072</v>
      </c>
      <c r="W61" s="1">
        <f t="shared" si="172"/>
        <v>1.03022107337282</v>
      </c>
      <c r="X61" s="1">
        <f t="shared" si="172"/>
        <v>1.15714958153866</v>
      </c>
      <c r="Y61" s="1">
        <f t="shared" si="23"/>
        <v>0.758173067715438</v>
      </c>
      <c r="Z61" s="1">
        <f t="shared" si="24"/>
        <v>1.21723003375142</v>
      </c>
      <c r="AA61" s="1">
        <f t="shared" si="25"/>
        <v>22462.8464218092</v>
      </c>
      <c r="AB61" s="1">
        <f t="shared" si="4"/>
        <v>5962.9146213143</v>
      </c>
      <c r="AC61" s="1">
        <f t="shared" si="5"/>
        <v>3975.27641420953</v>
      </c>
      <c r="AD61" s="1">
        <f>AC61/(AC61+[1]战斗公式!$M$27)</f>
        <v>0.1420996295211</v>
      </c>
      <c r="AE61" s="1">
        <f t="shared" si="6"/>
        <v>26183.5140708354</v>
      </c>
      <c r="AF61" s="1">
        <f t="shared" si="26"/>
        <v>5.791632391164</v>
      </c>
      <c r="AG61" s="1">
        <f t="shared" si="7"/>
        <v>3.60741977714431</v>
      </c>
      <c r="AH61" s="1">
        <f t="shared" si="8"/>
        <v>2.2634994779786</v>
      </c>
      <c r="AI61" s="1">
        <f t="shared" si="9"/>
        <v>0.608258872813497</v>
      </c>
      <c r="AJ61" s="1">
        <f t="shared" si="10"/>
        <v>1.09314391743214</v>
      </c>
      <c r="AK61" s="1">
        <f t="shared" si="11"/>
        <v>1.29726032620896</v>
      </c>
      <c r="AL61" s="1">
        <f t="shared" si="12"/>
        <v>0.826438067045488</v>
      </c>
      <c r="AM61" s="27">
        <f t="shared" si="13"/>
        <v>14094</v>
      </c>
      <c r="AN61" s="27">
        <f t="shared" si="27"/>
        <v>3627</v>
      </c>
      <c r="AO61" s="27">
        <f t="shared" si="14"/>
        <v>3975</v>
      </c>
      <c r="AP61" s="1">
        <f t="shared" si="15"/>
        <v>11389</v>
      </c>
      <c r="AQ61" s="1">
        <f t="shared" si="28"/>
        <v>2997</v>
      </c>
      <c r="AR61"/>
      <c r="AS61" s="1">
        <f t="shared" ref="AS61:AY61" si="173">ROUNDUP(AS$10*$AP61,0)</f>
        <v>11389</v>
      </c>
      <c r="AT61" s="1">
        <f t="shared" si="173"/>
        <v>34167</v>
      </c>
      <c r="AU61" s="1">
        <f t="shared" si="173"/>
        <v>20501</v>
      </c>
      <c r="AV61" s="1">
        <f t="shared" si="173"/>
        <v>5695</v>
      </c>
      <c r="AW61" s="1">
        <f t="shared" si="173"/>
        <v>1709</v>
      </c>
      <c r="AX61" s="1">
        <f t="shared" si="173"/>
        <v>45556</v>
      </c>
      <c r="AY61" s="1">
        <f t="shared" si="173"/>
        <v>102501</v>
      </c>
      <c r="AZ61" s="1">
        <f t="shared" si="17"/>
        <v>924406</v>
      </c>
      <c r="BA61" s="1">
        <f t="shared" si="18"/>
        <v>462203</v>
      </c>
      <c r="BC61" s="1">
        <f t="shared" si="19"/>
        <v>50</v>
      </c>
    </row>
    <row r="62" s="1" customFormat="1" spans="2:55">
      <c r="B62" s="4">
        <v>51</v>
      </c>
      <c r="C62" s="1">
        <f t="shared" ref="C62:I62" si="174">C$5+(C$6-C$5)*(POWER(C$7,$B62-1)-1)/(POWER(C$7,$B$3-1)-1)</f>
        <v>4029.8868344082</v>
      </c>
      <c r="D62" s="1">
        <f t="shared" si="174"/>
        <v>1208.96605032246</v>
      </c>
      <c r="E62" s="1">
        <f t="shared" si="174"/>
        <v>805.977366881639</v>
      </c>
      <c r="F62" s="1">
        <f t="shared" si="174"/>
        <v>14793.2554680807</v>
      </c>
      <c r="G62" s="1">
        <f t="shared" si="174"/>
        <v>4437.97664042422</v>
      </c>
      <c r="H62" s="1">
        <f t="shared" si="174"/>
        <v>2958.65109361614</v>
      </c>
      <c r="I62" s="1">
        <f t="shared" si="174"/>
        <v>0</v>
      </c>
      <c r="J62" s="1">
        <f>[1]标准模型!$I$65/1*$B62/$B$3</f>
        <v>0.3672</v>
      </c>
      <c r="K62" s="1">
        <f>J62*[1]标准模型!$J$63</f>
        <v>0.3672</v>
      </c>
      <c r="L62" s="1">
        <f t="shared" si="21"/>
        <v>18823.1423024889</v>
      </c>
      <c r="M62" s="1">
        <f t="shared" si="1"/>
        <v>6090.87502442509</v>
      </c>
      <c r="N62" s="1">
        <f t="shared" si="2"/>
        <v>4060.58334961672</v>
      </c>
      <c r="O62" s="1">
        <f t="shared" ref="O62:X62" si="175">O$5+(O$6-O$5)*(POWER(O$7,$B62-1)-1)/(POWER(O$7,$B$3-1)-1)</f>
        <v>0.550111448649301</v>
      </c>
      <c r="P62" s="1">
        <f t="shared" si="175"/>
        <v>0.0279779474781012</v>
      </c>
      <c r="Q62" s="1">
        <f t="shared" si="175"/>
        <v>0.302561296757116</v>
      </c>
      <c r="R62" s="1">
        <f t="shared" si="175"/>
        <v>1.02004457945972</v>
      </c>
      <c r="S62" s="1">
        <f t="shared" si="175"/>
        <v>0.0701560281090215</v>
      </c>
      <c r="T62" s="1">
        <f t="shared" si="175"/>
        <v>2.19543464973227</v>
      </c>
      <c r="U62" s="1">
        <f t="shared" si="175"/>
        <v>1</v>
      </c>
      <c r="V62" s="1">
        <f t="shared" si="175"/>
        <v>1.05465146023633</v>
      </c>
      <c r="W62" s="1">
        <f t="shared" si="175"/>
        <v>1.03083781455342</v>
      </c>
      <c r="X62" s="1">
        <f t="shared" si="175"/>
        <v>1.16035663567776</v>
      </c>
      <c r="Y62" s="1">
        <f t="shared" si="23"/>
        <v>0.764490265366465</v>
      </c>
      <c r="Z62" s="1">
        <f t="shared" si="24"/>
        <v>1.22825798423777</v>
      </c>
      <c r="AA62" s="1">
        <f t="shared" si="25"/>
        <v>23119.6748214757</v>
      </c>
      <c r="AB62" s="1">
        <f t="shared" si="4"/>
        <v>6090.87502442509</v>
      </c>
      <c r="AC62" s="1">
        <f t="shared" si="5"/>
        <v>4060.58334961672</v>
      </c>
      <c r="AD62" s="1">
        <f>AC62/(AC62+[1]战斗公式!$M$27)</f>
        <v>0.144707731091135</v>
      </c>
      <c r="AE62" s="1">
        <f t="shared" si="6"/>
        <v>27031.3150976689</v>
      </c>
      <c r="AF62" s="1">
        <f t="shared" si="26"/>
        <v>5.80517781377671</v>
      </c>
      <c r="AG62" s="1">
        <f t="shared" si="7"/>
        <v>3.61324899516758</v>
      </c>
      <c r="AH62" s="1">
        <f t="shared" si="8"/>
        <v>2.28474088612482</v>
      </c>
      <c r="AI62" s="1">
        <f t="shared" si="9"/>
        <v>0.610580471246897</v>
      </c>
      <c r="AJ62" s="1">
        <f t="shared" si="10"/>
        <v>1.08848672156009</v>
      </c>
      <c r="AK62" s="1">
        <f t="shared" si="11"/>
        <v>1.2913144498774</v>
      </c>
      <c r="AL62" s="1">
        <f t="shared" si="12"/>
        <v>0.826938125307711</v>
      </c>
      <c r="AM62" s="27">
        <f t="shared" si="13"/>
        <v>14619</v>
      </c>
      <c r="AN62" s="27">
        <f t="shared" si="27"/>
        <v>3719</v>
      </c>
      <c r="AO62" s="27">
        <f t="shared" si="14"/>
        <v>4061</v>
      </c>
      <c r="AP62" s="1">
        <f t="shared" si="15"/>
        <v>11750</v>
      </c>
      <c r="AQ62" s="1">
        <f t="shared" si="28"/>
        <v>3075</v>
      </c>
      <c r="AR62"/>
      <c r="AS62" s="1">
        <f t="shared" ref="AS62:AY62" si="176">ROUNDUP(AS$10*$AP62,0)</f>
        <v>11750</v>
      </c>
      <c r="AT62" s="1">
        <f t="shared" si="176"/>
        <v>35250</v>
      </c>
      <c r="AU62" s="1">
        <f t="shared" si="176"/>
        <v>21150</v>
      </c>
      <c r="AV62" s="1">
        <f t="shared" si="176"/>
        <v>5875</v>
      </c>
      <c r="AW62" s="1">
        <f t="shared" si="176"/>
        <v>1763</v>
      </c>
      <c r="AX62" s="1">
        <f t="shared" si="176"/>
        <v>47000</v>
      </c>
      <c r="AY62" s="1">
        <f t="shared" si="176"/>
        <v>105750</v>
      </c>
      <c r="AZ62" s="1">
        <f t="shared" si="17"/>
        <v>954755</v>
      </c>
      <c r="BA62" s="1">
        <f t="shared" si="18"/>
        <v>477378</v>
      </c>
      <c r="BC62" s="1">
        <f t="shared" si="19"/>
        <v>51</v>
      </c>
    </row>
    <row r="63" s="1" customFormat="1" spans="2:55">
      <c r="B63" s="4">
        <v>52</v>
      </c>
      <c r="C63" s="1">
        <f t="shared" ref="C63:I63" si="177">C$5+(C$6-C$5)*(POWER(C$7,$B63-1)-1)/(POWER(C$7,$B$3-1)-1)</f>
        <v>4108.90255616876</v>
      </c>
      <c r="D63" s="1">
        <f t="shared" si="177"/>
        <v>1232.67076685063</v>
      </c>
      <c r="E63" s="1">
        <f t="shared" si="177"/>
        <v>821.780511233752</v>
      </c>
      <c r="F63" s="1">
        <f t="shared" si="177"/>
        <v>15083.3131808727</v>
      </c>
      <c r="G63" s="1">
        <f t="shared" si="177"/>
        <v>4524.9939542618</v>
      </c>
      <c r="H63" s="1">
        <f t="shared" si="177"/>
        <v>3016.66263617453</v>
      </c>
      <c r="I63" s="1">
        <f t="shared" si="177"/>
        <v>0</v>
      </c>
      <c r="J63" s="1">
        <f>[1]标准模型!$I$65/1*$B63/$B$3</f>
        <v>0.3744</v>
      </c>
      <c r="K63" s="1">
        <f>J63*[1]标准模型!$J$63</f>
        <v>0.3744</v>
      </c>
      <c r="L63" s="1">
        <f t="shared" si="21"/>
        <v>19192.2157370415</v>
      </c>
      <c r="M63" s="1">
        <f t="shared" si="1"/>
        <v>6219.17665622131</v>
      </c>
      <c r="N63" s="1">
        <f t="shared" si="2"/>
        <v>4146.1177708142</v>
      </c>
      <c r="O63" s="1">
        <f t="shared" ref="O63:X63" si="178">O$5+(O$6-O$5)*(POWER(O$7,$B63-1)-1)/(POWER(O$7,$B$3-1)-1)</f>
        <v>0.551113652065761</v>
      </c>
      <c r="P63" s="1">
        <f t="shared" si="178"/>
        <v>0.028559171524848</v>
      </c>
      <c r="Q63" s="1">
        <f t="shared" si="178"/>
        <v>0.303112508636169</v>
      </c>
      <c r="R63" s="1">
        <f t="shared" si="178"/>
        <v>1.0204454608263</v>
      </c>
      <c r="S63" s="1">
        <f t="shared" si="178"/>
        <v>0.071559112892066</v>
      </c>
      <c r="T63" s="1">
        <f t="shared" si="178"/>
        <v>2.19934324305647</v>
      </c>
      <c r="U63" s="1">
        <f t="shared" si="178"/>
        <v>1</v>
      </c>
      <c r="V63" s="1">
        <f t="shared" si="178"/>
        <v>1.05574446156916</v>
      </c>
      <c r="W63" s="1">
        <f t="shared" si="178"/>
        <v>1.03145455511739</v>
      </c>
      <c r="X63" s="1">
        <f t="shared" si="178"/>
        <v>1.16356368661044</v>
      </c>
      <c r="Y63" s="1">
        <f t="shared" si="23"/>
        <v>0.770854491951106</v>
      </c>
      <c r="Z63" s="1">
        <f t="shared" si="24"/>
        <v>1.23937687269918</v>
      </c>
      <c r="AA63" s="1">
        <f t="shared" si="25"/>
        <v>23786.3883203424</v>
      </c>
      <c r="AB63" s="1">
        <f t="shared" si="4"/>
        <v>6219.17665622131</v>
      </c>
      <c r="AC63" s="1">
        <f t="shared" si="5"/>
        <v>4146.1177708142</v>
      </c>
      <c r="AD63" s="1">
        <f>AC63/(AC63+[1]战斗公式!$M$27)</f>
        <v>0.147306914743086</v>
      </c>
      <c r="AE63" s="1">
        <f t="shared" si="6"/>
        <v>27895.6036252782</v>
      </c>
      <c r="AF63" s="1">
        <f t="shared" si="26"/>
        <v>5.81876024233891</v>
      </c>
      <c r="AG63" s="1">
        <f t="shared" si="7"/>
        <v>3.61909082636412</v>
      </c>
      <c r="AH63" s="1">
        <f t="shared" si="8"/>
        <v>2.30582298370993</v>
      </c>
      <c r="AI63" s="1">
        <f t="shared" si="9"/>
        <v>0.612906712877164</v>
      </c>
      <c r="AJ63" s="1">
        <f t="shared" si="10"/>
        <v>1.08406238548165</v>
      </c>
      <c r="AK63" s="1">
        <f t="shared" si="11"/>
        <v>1.28548749107246</v>
      </c>
      <c r="AL63" s="1">
        <f t="shared" si="12"/>
        <v>0.827436683395148</v>
      </c>
      <c r="AM63" s="27">
        <f t="shared" si="13"/>
        <v>15155</v>
      </c>
      <c r="AN63" s="27">
        <f t="shared" si="27"/>
        <v>3812</v>
      </c>
      <c r="AO63" s="27">
        <f t="shared" si="14"/>
        <v>4146</v>
      </c>
      <c r="AP63" s="1">
        <f t="shared" si="15"/>
        <v>12117</v>
      </c>
      <c r="AQ63" s="1">
        <f t="shared" si="28"/>
        <v>3154</v>
      </c>
      <c r="AR63"/>
      <c r="AS63" s="1">
        <f t="shared" ref="AS63:AY63" si="179">ROUNDUP(AS$10*$AP63,0)</f>
        <v>12117</v>
      </c>
      <c r="AT63" s="1">
        <f t="shared" si="179"/>
        <v>36351</v>
      </c>
      <c r="AU63" s="1">
        <f t="shared" si="179"/>
        <v>21811</v>
      </c>
      <c r="AV63" s="1">
        <f t="shared" si="179"/>
        <v>6059</v>
      </c>
      <c r="AW63" s="1">
        <f t="shared" si="179"/>
        <v>1818</v>
      </c>
      <c r="AX63" s="1">
        <f t="shared" si="179"/>
        <v>48468</v>
      </c>
      <c r="AY63" s="1">
        <f t="shared" si="179"/>
        <v>109053</v>
      </c>
      <c r="AZ63" s="1">
        <f t="shared" si="17"/>
        <v>985738</v>
      </c>
      <c r="BA63" s="1">
        <f t="shared" si="18"/>
        <v>492869</v>
      </c>
      <c r="BC63" s="1">
        <f t="shared" si="19"/>
        <v>52</v>
      </c>
    </row>
    <row r="64" s="1" customFormat="1" spans="2:55">
      <c r="B64" s="4">
        <v>53</v>
      </c>
      <c r="C64" s="1">
        <f t="shared" ref="C64:I64" si="180">C$5+(C$6-C$5)*(POWER(C$7,$B64-1)-1)/(POWER(C$7,$B$3-1)-1)</f>
        <v>4187.91819890263</v>
      </c>
      <c r="D64" s="1">
        <f t="shared" si="180"/>
        <v>1256.37545967079</v>
      </c>
      <c r="E64" s="1">
        <f t="shared" si="180"/>
        <v>837.583639780525</v>
      </c>
      <c r="F64" s="1">
        <f t="shared" si="180"/>
        <v>15373.3706035666</v>
      </c>
      <c r="G64" s="1">
        <f t="shared" si="180"/>
        <v>4612.01118106998</v>
      </c>
      <c r="H64" s="1">
        <f t="shared" si="180"/>
        <v>3074.67412071332</v>
      </c>
      <c r="I64" s="1">
        <f t="shared" si="180"/>
        <v>0</v>
      </c>
      <c r="J64" s="1">
        <f>[1]标准模型!$I$65/1*$B64/$B$3</f>
        <v>0.3816</v>
      </c>
      <c r="K64" s="1">
        <f>J64*[1]标准模型!$J$63</f>
        <v>0.3816</v>
      </c>
      <c r="L64" s="1">
        <f t="shared" si="21"/>
        <v>19561.2888024692</v>
      </c>
      <c r="M64" s="1">
        <f t="shared" si="1"/>
        <v>6347.81951615114</v>
      </c>
      <c r="N64" s="1">
        <f t="shared" si="2"/>
        <v>4231.87967743409</v>
      </c>
      <c r="O64" s="1">
        <f t="shared" ref="O64:X64" si="181">O$5+(O$6-O$5)*(POWER(O$7,$B64-1)-1)/(POWER(O$7,$B$3-1)-1)</f>
        <v>0.552115854479879</v>
      </c>
      <c r="P64" s="1">
        <f t="shared" si="181"/>
        <v>0.0291412674076649</v>
      </c>
      <c r="Q64" s="1">
        <f t="shared" si="181"/>
        <v>0.303663719963934</v>
      </c>
      <c r="R64" s="1">
        <f t="shared" si="181"/>
        <v>1.02084634179195</v>
      </c>
      <c r="S64" s="1">
        <f t="shared" si="181"/>
        <v>0.0729621962718307</v>
      </c>
      <c r="T64" s="1">
        <f t="shared" si="181"/>
        <v>2.20325183247153</v>
      </c>
      <c r="U64" s="1">
        <f t="shared" si="181"/>
        <v>1</v>
      </c>
      <c r="V64" s="1">
        <f t="shared" si="181"/>
        <v>1.05683746180883</v>
      </c>
      <c r="W64" s="1">
        <f t="shared" si="181"/>
        <v>1.03207129506454</v>
      </c>
      <c r="X64" s="1">
        <f t="shared" si="181"/>
        <v>1.16677073433561</v>
      </c>
      <c r="Y64" s="1">
        <f t="shared" si="23"/>
        <v>0.77726606970173</v>
      </c>
      <c r="Z64" s="1">
        <f t="shared" si="24"/>
        <v>1.25058739131785</v>
      </c>
      <c r="AA64" s="1">
        <f t="shared" si="25"/>
        <v>24463.1011342951</v>
      </c>
      <c r="AB64" s="1">
        <f t="shared" si="4"/>
        <v>6347.81951615114</v>
      </c>
      <c r="AC64" s="1">
        <f t="shared" si="5"/>
        <v>4231.87967743409</v>
      </c>
      <c r="AD64" s="1">
        <f>AC64/(AC64+[1]战斗公式!$M$27)</f>
        <v>0.14989719869119</v>
      </c>
      <c r="AE64" s="1">
        <f t="shared" si="6"/>
        <v>28776.63865668</v>
      </c>
      <c r="AF64" s="1">
        <f t="shared" si="26"/>
        <v>5.8323796175001</v>
      </c>
      <c r="AG64" s="1">
        <f t="shared" si="7"/>
        <v>3.62494521676382</v>
      </c>
      <c r="AH64" s="1">
        <f t="shared" si="8"/>
        <v>2.32674696556316</v>
      </c>
      <c r="AI64" s="1">
        <f t="shared" si="9"/>
        <v>0.615237606990692</v>
      </c>
      <c r="AJ64" s="1">
        <f t="shared" si="10"/>
        <v>1.07985926620712</v>
      </c>
      <c r="AK64" s="1">
        <f t="shared" si="11"/>
        <v>1.27977707144362</v>
      </c>
      <c r="AL64" s="1">
        <f t="shared" si="12"/>
        <v>0.827933745808322</v>
      </c>
      <c r="AM64" s="27">
        <f t="shared" si="13"/>
        <v>15702</v>
      </c>
      <c r="AN64" s="27">
        <f t="shared" si="27"/>
        <v>3905</v>
      </c>
      <c r="AO64" s="27">
        <f t="shared" si="14"/>
        <v>4232</v>
      </c>
      <c r="AP64" s="1">
        <f t="shared" si="15"/>
        <v>12490</v>
      </c>
      <c r="AQ64" s="1">
        <f t="shared" si="28"/>
        <v>3233</v>
      </c>
      <c r="AR64"/>
      <c r="AS64" s="1">
        <f t="shared" ref="AS64:AY64" si="182">ROUNDUP(AS$10*$AP64,0)</f>
        <v>12490</v>
      </c>
      <c r="AT64" s="1">
        <f t="shared" si="182"/>
        <v>37470</v>
      </c>
      <c r="AU64" s="1">
        <f t="shared" si="182"/>
        <v>22482</v>
      </c>
      <c r="AV64" s="1">
        <f t="shared" si="182"/>
        <v>6245</v>
      </c>
      <c r="AW64" s="1">
        <f t="shared" si="182"/>
        <v>1874</v>
      </c>
      <c r="AX64" s="1">
        <f t="shared" si="182"/>
        <v>49960</v>
      </c>
      <c r="AY64" s="1">
        <f t="shared" si="182"/>
        <v>112410</v>
      </c>
      <c r="AZ64" s="1">
        <f t="shared" si="17"/>
        <v>1017357</v>
      </c>
      <c r="BA64" s="1">
        <f t="shared" si="18"/>
        <v>508679</v>
      </c>
      <c r="BC64" s="1">
        <f t="shared" si="19"/>
        <v>53</v>
      </c>
    </row>
    <row r="65" s="1" customFormat="1" spans="2:55">
      <c r="B65" s="4">
        <v>54</v>
      </c>
      <c r="C65" s="1">
        <f t="shared" ref="C65:I65" si="183">C$5+(C$6-C$5)*(POWER(C$7,$B65-1)-1)/(POWER(C$7,$B$3-1)-1)</f>
        <v>4266.93376261857</v>
      </c>
      <c r="D65" s="1">
        <f t="shared" si="183"/>
        <v>1280.08012878557</v>
      </c>
      <c r="E65" s="1">
        <f t="shared" si="183"/>
        <v>853.386752523714</v>
      </c>
      <c r="F65" s="1">
        <f t="shared" si="183"/>
        <v>15663.4277361947</v>
      </c>
      <c r="G65" s="1">
        <f t="shared" si="183"/>
        <v>4699.02832085842</v>
      </c>
      <c r="H65" s="1">
        <f t="shared" si="183"/>
        <v>3132.68554723895</v>
      </c>
      <c r="I65" s="1">
        <f t="shared" si="183"/>
        <v>0</v>
      </c>
      <c r="J65" s="1">
        <f>[1]标准模型!$I$65/1*$B65/$B$3</f>
        <v>0.3888</v>
      </c>
      <c r="K65" s="1">
        <f>J65*[1]标准模型!$J$63</f>
        <v>0.3888</v>
      </c>
      <c r="L65" s="1">
        <f t="shared" si="21"/>
        <v>19930.3614988133</v>
      </c>
      <c r="M65" s="1">
        <f t="shared" si="1"/>
        <v>6476.80360371582</v>
      </c>
      <c r="N65" s="1">
        <f t="shared" si="2"/>
        <v>4317.86906914388</v>
      </c>
      <c r="O65" s="1">
        <f t="shared" ref="O65:X65" si="184">O$5+(O$6-O$5)*(POWER(O$7,$B65-1)-1)/(POWER(O$7,$B$3-1)-1)</f>
        <v>0.553118055891765</v>
      </c>
      <c r="P65" s="1">
        <f t="shared" si="184"/>
        <v>0.029724236434306</v>
      </c>
      <c r="Q65" s="1">
        <f t="shared" si="184"/>
        <v>0.304214930740471</v>
      </c>
      <c r="R65" s="1">
        <f t="shared" si="184"/>
        <v>1.02124722235671</v>
      </c>
      <c r="S65" s="1">
        <f t="shared" si="184"/>
        <v>0.0743652782484716</v>
      </c>
      <c r="T65" s="1">
        <f t="shared" si="184"/>
        <v>2.20716041797789</v>
      </c>
      <c r="U65" s="1">
        <f t="shared" si="184"/>
        <v>1</v>
      </c>
      <c r="V65" s="1">
        <f t="shared" si="184"/>
        <v>1.05793046095546</v>
      </c>
      <c r="W65" s="1">
        <f t="shared" si="184"/>
        <v>1.03268803439493</v>
      </c>
      <c r="X65" s="1">
        <f t="shared" si="184"/>
        <v>1.16997777885365</v>
      </c>
      <c r="Y65" s="1">
        <f t="shared" si="23"/>
        <v>0.783725322657511</v>
      </c>
      <c r="Z65" s="1">
        <f t="shared" si="24"/>
        <v>1.26189023677269</v>
      </c>
      <c r="AA65" s="1">
        <f t="shared" si="25"/>
        <v>25149.9285907028</v>
      </c>
      <c r="AB65" s="1">
        <f t="shared" si="4"/>
        <v>6476.80360371582</v>
      </c>
      <c r="AC65" s="1">
        <f t="shared" si="5"/>
        <v>4317.86906914388</v>
      </c>
      <c r="AD65" s="1">
        <f>AC65/(AC65+[1]战斗公式!$M$27)</f>
        <v>0.152478601359478</v>
      </c>
      <c r="AE65" s="1">
        <f t="shared" si="6"/>
        <v>29674.68270541</v>
      </c>
      <c r="AF65" s="1">
        <f t="shared" si="26"/>
        <v>5.84603588033462</v>
      </c>
      <c r="AG65" s="1">
        <f t="shared" si="7"/>
        <v>3.63081211270831</v>
      </c>
      <c r="AH65" s="1">
        <f t="shared" si="8"/>
        <v>2.34751401755249</v>
      </c>
      <c r="AI65" s="1">
        <f t="shared" si="9"/>
        <v>0.617573162892446</v>
      </c>
      <c r="AJ65" s="1">
        <f t="shared" si="10"/>
        <v>1.07586630289633</v>
      </c>
      <c r="AK65" s="1">
        <f t="shared" si="11"/>
        <v>1.27418086020736</v>
      </c>
      <c r="AL65" s="1">
        <f t="shared" si="12"/>
        <v>0.828429317034257</v>
      </c>
      <c r="AM65" s="27">
        <f t="shared" si="13"/>
        <v>16261</v>
      </c>
      <c r="AN65" s="27">
        <f t="shared" si="27"/>
        <v>4000</v>
      </c>
      <c r="AO65" s="27">
        <f t="shared" si="14"/>
        <v>4318</v>
      </c>
      <c r="AP65" s="1">
        <f t="shared" si="15"/>
        <v>12868</v>
      </c>
      <c r="AQ65" s="1">
        <f t="shared" si="28"/>
        <v>3314</v>
      </c>
      <c r="AR65"/>
      <c r="AS65" s="1">
        <f t="shared" ref="AS65:AY65" si="185">ROUNDUP(AS$10*$AP65,0)</f>
        <v>12868</v>
      </c>
      <c r="AT65" s="1">
        <f t="shared" si="185"/>
        <v>38604</v>
      </c>
      <c r="AU65" s="1">
        <f t="shared" si="185"/>
        <v>23163</v>
      </c>
      <c r="AV65" s="1">
        <f t="shared" si="185"/>
        <v>6434</v>
      </c>
      <c r="AW65" s="1">
        <f t="shared" si="185"/>
        <v>1931</v>
      </c>
      <c r="AX65" s="1">
        <f t="shared" si="185"/>
        <v>51472</v>
      </c>
      <c r="AY65" s="1">
        <f t="shared" si="185"/>
        <v>115812</v>
      </c>
      <c r="AZ65" s="1">
        <f t="shared" si="17"/>
        <v>1049680</v>
      </c>
      <c r="BA65" s="1">
        <f t="shared" si="18"/>
        <v>524840</v>
      </c>
      <c r="BC65" s="1">
        <f t="shared" si="19"/>
        <v>54</v>
      </c>
    </row>
    <row r="66" s="1" customFormat="1" spans="2:55">
      <c r="B66" s="4">
        <v>55</v>
      </c>
      <c r="C66" s="1">
        <f t="shared" ref="C66:I66" si="186">C$5+(C$6-C$5)*(POWER(C$7,$B66-1)-1)/(POWER(C$7,$B$3-1)-1)</f>
        <v>4345.94924732536</v>
      </c>
      <c r="D66" s="1">
        <f t="shared" si="186"/>
        <v>1303.78477419761</v>
      </c>
      <c r="E66" s="1">
        <f t="shared" si="186"/>
        <v>869.189849465072</v>
      </c>
      <c r="F66" s="1">
        <f t="shared" si="186"/>
        <v>15953.4845787893</v>
      </c>
      <c r="G66" s="1">
        <f t="shared" si="186"/>
        <v>4786.04537363679</v>
      </c>
      <c r="H66" s="1">
        <f t="shared" si="186"/>
        <v>3190.69691575786</v>
      </c>
      <c r="I66" s="1">
        <f t="shared" si="186"/>
        <v>0</v>
      </c>
      <c r="J66" s="1">
        <f>[1]标准模型!$I$65/1*$B66/$B$3</f>
        <v>0.396</v>
      </c>
      <c r="K66" s="1">
        <f>J66*[1]标准模型!$J$63</f>
        <v>0.396</v>
      </c>
      <c r="L66" s="1">
        <f t="shared" si="21"/>
        <v>20299.4338261147</v>
      </c>
      <c r="M66" s="1">
        <f t="shared" si="1"/>
        <v>6606.12891841665</v>
      </c>
      <c r="N66" s="1">
        <f t="shared" si="2"/>
        <v>4404.0859456111</v>
      </c>
      <c r="O66" s="1">
        <f t="shared" ref="O66:X66" si="187">O$5+(O$6-O$5)*(POWER(O$7,$B66-1)-1)/(POWER(O$7,$B$3-1)-1)</f>
        <v>0.554120256301532</v>
      </c>
      <c r="P66" s="1">
        <f t="shared" si="187"/>
        <v>0.0303080799144871</v>
      </c>
      <c r="Q66" s="1">
        <f t="shared" si="187"/>
        <v>0.304766140965842</v>
      </c>
      <c r="R66" s="1">
        <f t="shared" si="187"/>
        <v>1.02164810252061</v>
      </c>
      <c r="S66" s="1">
        <f t="shared" si="187"/>
        <v>0.0757683588221443</v>
      </c>
      <c r="T66" s="1">
        <f t="shared" si="187"/>
        <v>2.21106899957597</v>
      </c>
      <c r="U66" s="1">
        <f t="shared" si="187"/>
        <v>1</v>
      </c>
      <c r="V66" s="1">
        <f t="shared" si="187"/>
        <v>1.05902345900919</v>
      </c>
      <c r="W66" s="1">
        <f t="shared" si="187"/>
        <v>1.03330477310863</v>
      </c>
      <c r="X66" s="1">
        <f t="shared" si="187"/>
        <v>1.1731848201649</v>
      </c>
      <c r="Y66" s="1">
        <f t="shared" si="23"/>
        <v>0.79023257666867</v>
      </c>
      <c r="Z66" s="1">
        <f t="shared" si="24"/>
        <v>1.27328611025666</v>
      </c>
      <c r="AA66" s="1">
        <f t="shared" si="25"/>
        <v>25846.987136866</v>
      </c>
      <c r="AB66" s="1">
        <f t="shared" si="4"/>
        <v>6606.12891841665</v>
      </c>
      <c r="AC66" s="1">
        <f t="shared" si="5"/>
        <v>4404.0859456111</v>
      </c>
      <c r="AD66" s="1">
        <f>AC66/(AC66+[1]战斗公式!$M$27)</f>
        <v>0.155051141376074</v>
      </c>
      <c r="AE66" s="1">
        <f t="shared" si="6"/>
        <v>30590.0018362769</v>
      </c>
      <c r="AF66" s="1">
        <f t="shared" si="26"/>
        <v>5.85972897232691</v>
      </c>
      <c r="AG66" s="1">
        <f t="shared" si="7"/>
        <v>3.63669146084422</v>
      </c>
      <c r="AH66" s="1">
        <f t="shared" si="8"/>
        <v>2.3681253166519</v>
      </c>
      <c r="AI66" s="1">
        <f t="shared" si="9"/>
        <v>0.619913389906005</v>
      </c>
      <c r="AJ66" s="1">
        <f t="shared" si="10"/>
        <v>1.07207298775107</v>
      </c>
      <c r="AK66" s="1">
        <f t="shared" si="11"/>
        <v>1.26869657319583</v>
      </c>
      <c r="AL66" s="1">
        <f t="shared" si="12"/>
        <v>0.828923401546514</v>
      </c>
      <c r="AM66" s="27">
        <f t="shared" si="13"/>
        <v>16831</v>
      </c>
      <c r="AN66" s="27">
        <f t="shared" si="27"/>
        <v>4095</v>
      </c>
      <c r="AO66" s="27">
        <f t="shared" si="14"/>
        <v>4404</v>
      </c>
      <c r="AP66" s="1">
        <f t="shared" si="15"/>
        <v>13252</v>
      </c>
      <c r="AQ66" s="1">
        <f t="shared" si="28"/>
        <v>3394</v>
      </c>
      <c r="AR66"/>
      <c r="AS66" s="1">
        <f t="shared" ref="AS66:AY66" si="188">ROUNDUP(AS$10*$AP66,0)</f>
        <v>13252</v>
      </c>
      <c r="AT66" s="1">
        <f t="shared" si="188"/>
        <v>39756</v>
      </c>
      <c r="AU66" s="1">
        <f t="shared" si="188"/>
        <v>23854</v>
      </c>
      <c r="AV66" s="1">
        <f t="shared" si="188"/>
        <v>6626</v>
      </c>
      <c r="AW66" s="1">
        <f t="shared" si="188"/>
        <v>1988</v>
      </c>
      <c r="AX66" s="1">
        <f t="shared" si="188"/>
        <v>53008</v>
      </c>
      <c r="AY66" s="1">
        <f t="shared" si="188"/>
        <v>119268</v>
      </c>
      <c r="AZ66" s="1">
        <f t="shared" si="17"/>
        <v>1082644</v>
      </c>
      <c r="BA66" s="1">
        <f t="shared" si="18"/>
        <v>541322</v>
      </c>
      <c r="BC66" s="1">
        <f t="shared" si="19"/>
        <v>55</v>
      </c>
    </row>
    <row r="67" s="1" customFormat="1" spans="2:55">
      <c r="B67" s="4">
        <v>56</v>
      </c>
      <c r="C67" s="1">
        <f t="shared" ref="C67:I67" si="189">C$5+(C$6-C$5)*(POWER(C$7,$B67-1)-1)/(POWER(C$7,$B$3-1)-1)</f>
        <v>4424.96465301422</v>
      </c>
      <c r="D67" s="1">
        <f t="shared" si="189"/>
        <v>1327.48939590427</v>
      </c>
      <c r="E67" s="1">
        <f t="shared" si="189"/>
        <v>884.992930602845</v>
      </c>
      <c r="F67" s="1">
        <f t="shared" si="189"/>
        <v>16243.541131318</v>
      </c>
      <c r="G67" s="1">
        <f t="shared" si="189"/>
        <v>4873.06233939541</v>
      </c>
      <c r="H67" s="1">
        <f t="shared" si="189"/>
        <v>3248.70822626361</v>
      </c>
      <c r="I67" s="1">
        <f t="shared" si="189"/>
        <v>0</v>
      </c>
      <c r="J67" s="1">
        <f>[1]标准模型!$I$65/1*$B67/$B$3</f>
        <v>0.4032</v>
      </c>
      <c r="K67" s="1">
        <f>J67*[1]标准模型!$J$63</f>
        <v>0.4032</v>
      </c>
      <c r="L67" s="1">
        <f t="shared" si="21"/>
        <v>20668.5057843322</v>
      </c>
      <c r="M67" s="1">
        <f t="shared" si="1"/>
        <v>6735.79545972828</v>
      </c>
      <c r="N67" s="1">
        <f t="shared" si="2"/>
        <v>4490.53030648552</v>
      </c>
      <c r="O67" s="1">
        <f t="shared" ref="O67:X67" si="190">O$5+(O$6-O$5)*(POWER(O$7,$B67-1)-1)/(POWER(O$7,$B$3-1)-1)</f>
        <v>0.555122455709067</v>
      </c>
      <c r="P67" s="1">
        <f t="shared" si="190"/>
        <v>0.0308927991598884</v>
      </c>
      <c r="Q67" s="1">
        <f t="shared" si="190"/>
        <v>0.305317350639987</v>
      </c>
      <c r="R67" s="1">
        <f t="shared" si="190"/>
        <v>1.02204898228363</v>
      </c>
      <c r="S67" s="1">
        <f t="shared" si="190"/>
        <v>0.0771714379926932</v>
      </c>
      <c r="T67" s="1">
        <f t="shared" si="190"/>
        <v>2.21497757726536</v>
      </c>
      <c r="U67" s="1">
        <f t="shared" si="190"/>
        <v>1</v>
      </c>
      <c r="V67" s="1">
        <f t="shared" si="190"/>
        <v>1.06011645596989</v>
      </c>
      <c r="W67" s="1">
        <f t="shared" si="190"/>
        <v>1.03392151120558</v>
      </c>
      <c r="X67" s="1">
        <f t="shared" si="190"/>
        <v>1.17639185826901</v>
      </c>
      <c r="Y67" s="1">
        <f t="shared" si="23"/>
        <v>0.796788159401914</v>
      </c>
      <c r="Z67" s="1">
        <f t="shared" si="24"/>
        <v>1.28477571749634</v>
      </c>
      <c r="AA67" s="1">
        <f t="shared" si="25"/>
        <v>26554.3943486427</v>
      </c>
      <c r="AB67" s="1">
        <f t="shared" si="4"/>
        <v>6735.79545972828</v>
      </c>
      <c r="AC67" s="1">
        <f t="shared" si="5"/>
        <v>4490.53030648552</v>
      </c>
      <c r="AD67" s="1">
        <f>AC67/(AC67+[1]战斗公式!$M$27)</f>
        <v>0.157614837568092</v>
      </c>
      <c r="AE67" s="1">
        <f t="shared" si="6"/>
        <v>31522.8657066822</v>
      </c>
      <c r="AF67" s="1">
        <f t="shared" si="26"/>
        <v>5.87345883536185</v>
      </c>
      <c r="AG67" s="1">
        <f t="shared" si="7"/>
        <v>3.64258320811874</v>
      </c>
      <c r="AH67" s="1">
        <f t="shared" si="8"/>
        <v>2.38858203100806</v>
      </c>
      <c r="AI67" s="1">
        <f t="shared" si="9"/>
        <v>0.62225829737359</v>
      </c>
      <c r="AJ67" s="1">
        <f t="shared" si="10"/>
        <v>1.06846933836308</v>
      </c>
      <c r="AK67" s="1">
        <f t="shared" si="11"/>
        <v>1.26332197192452</v>
      </c>
      <c r="AL67" s="1">
        <f t="shared" si="12"/>
        <v>0.829416003805234</v>
      </c>
      <c r="AM67" s="27">
        <f t="shared" si="13"/>
        <v>17413</v>
      </c>
      <c r="AN67" s="27">
        <f t="shared" si="27"/>
        <v>4191</v>
      </c>
      <c r="AO67" s="27">
        <f t="shared" si="14"/>
        <v>4491</v>
      </c>
      <c r="AP67" s="1">
        <f t="shared" si="15"/>
        <v>13643</v>
      </c>
      <c r="AQ67" s="1">
        <f t="shared" si="28"/>
        <v>3476</v>
      </c>
      <c r="AR67"/>
      <c r="AS67" s="1">
        <f t="shared" ref="AS67:AY67" si="191">ROUNDUP(AS$10*$AP67,0)</f>
        <v>13643</v>
      </c>
      <c r="AT67" s="1">
        <f t="shared" si="191"/>
        <v>40929</v>
      </c>
      <c r="AU67" s="1">
        <f t="shared" si="191"/>
        <v>24558</v>
      </c>
      <c r="AV67" s="1">
        <f t="shared" si="191"/>
        <v>6822</v>
      </c>
      <c r="AW67" s="1">
        <f t="shared" si="191"/>
        <v>2047</v>
      </c>
      <c r="AX67" s="1">
        <f t="shared" si="191"/>
        <v>54572</v>
      </c>
      <c r="AY67" s="1">
        <f t="shared" si="191"/>
        <v>122787</v>
      </c>
      <c r="AZ67" s="1">
        <f t="shared" si="17"/>
        <v>1116315</v>
      </c>
      <c r="BA67" s="1">
        <f t="shared" si="18"/>
        <v>558158</v>
      </c>
      <c r="BC67" s="1">
        <f t="shared" si="19"/>
        <v>56</v>
      </c>
    </row>
    <row r="68" s="1" customFormat="1" spans="2:55">
      <c r="B68" s="4">
        <v>57</v>
      </c>
      <c r="C68" s="1">
        <f t="shared" ref="C68:I68" si="192">C$5+(C$6-C$5)*(POWER(C$7,$B68-1)-1)/(POWER(C$7,$B$3-1)-1)</f>
        <v>4503.97997969394</v>
      </c>
      <c r="D68" s="1">
        <f t="shared" si="192"/>
        <v>1351.19399390818</v>
      </c>
      <c r="E68" s="1">
        <f t="shared" si="192"/>
        <v>900.795995938788</v>
      </c>
      <c r="F68" s="1">
        <f t="shared" si="192"/>
        <v>16533.5973938132</v>
      </c>
      <c r="G68" s="1">
        <f t="shared" si="192"/>
        <v>4960.07921814396</v>
      </c>
      <c r="H68" s="1">
        <f t="shared" si="192"/>
        <v>3306.71947876264</v>
      </c>
      <c r="I68" s="1">
        <f t="shared" si="192"/>
        <v>0</v>
      </c>
      <c r="J68" s="1">
        <f>[1]标准模型!$I$65/1*$B68/$B$3</f>
        <v>0.4104</v>
      </c>
      <c r="K68" s="1">
        <f>J68*[1]标准模型!$J$63</f>
        <v>0.4104</v>
      </c>
      <c r="L68" s="1">
        <f t="shared" si="21"/>
        <v>21037.5773735071</v>
      </c>
      <c r="M68" s="1">
        <f t="shared" si="1"/>
        <v>6865.80322715206</v>
      </c>
      <c r="N68" s="1">
        <f t="shared" si="2"/>
        <v>4577.20215143471</v>
      </c>
      <c r="O68" s="1">
        <f t="shared" ref="O68:X68" si="193">O$5+(O$6-O$5)*(POWER(O$7,$B68-1)-1)/(POWER(O$7,$B$3-1)-1)</f>
        <v>0.556124654114481</v>
      </c>
      <c r="P68" s="1">
        <f t="shared" si="193"/>
        <v>0.0314783954841579</v>
      </c>
      <c r="Q68" s="1">
        <f t="shared" si="193"/>
        <v>0.305868559762965</v>
      </c>
      <c r="R68" s="1">
        <f t="shared" si="193"/>
        <v>1.02244986164579</v>
      </c>
      <c r="S68" s="1">
        <f t="shared" si="193"/>
        <v>0.0785745157602739</v>
      </c>
      <c r="T68" s="1">
        <f t="shared" si="193"/>
        <v>2.21888615104648</v>
      </c>
      <c r="U68" s="1">
        <f t="shared" si="193"/>
        <v>1</v>
      </c>
      <c r="V68" s="1">
        <f t="shared" si="193"/>
        <v>1.06120945183767</v>
      </c>
      <c r="W68" s="1">
        <f t="shared" si="193"/>
        <v>1.03453824868583</v>
      </c>
      <c r="X68" s="1">
        <f t="shared" si="193"/>
        <v>1.17959889316634</v>
      </c>
      <c r="Y68" s="1">
        <f t="shared" si="23"/>
        <v>0.803392400349714</v>
      </c>
      <c r="Z68" s="1">
        <f t="shared" si="24"/>
        <v>1.29635976877863</v>
      </c>
      <c r="AA68" s="1">
        <f t="shared" si="25"/>
        <v>27272.2689395823</v>
      </c>
      <c r="AB68" s="1">
        <f t="shared" si="4"/>
        <v>6865.80322715206</v>
      </c>
      <c r="AC68" s="1">
        <f t="shared" si="5"/>
        <v>4577.20215143471</v>
      </c>
      <c r="AD68" s="1">
        <f>AC68/(AC68+[1]战斗公式!$M$27)</f>
        <v>0.160169708958192</v>
      </c>
      <c r="AE68" s="1">
        <f t="shared" si="6"/>
        <v>32473.5476089474</v>
      </c>
      <c r="AF68" s="1">
        <f t="shared" si="26"/>
        <v>5.88722541173043</v>
      </c>
      <c r="AG68" s="1">
        <f t="shared" si="7"/>
        <v>3.64848730178205</v>
      </c>
      <c r="AH68" s="1">
        <f t="shared" si="8"/>
        <v>2.40888532000655</v>
      </c>
      <c r="AI68" s="1">
        <f t="shared" si="9"/>
        <v>0.62460789465611</v>
      </c>
      <c r="AJ68" s="1">
        <f t="shared" si="10"/>
        <v>1.06504587144448</v>
      </c>
      <c r="AK68" s="1">
        <f t="shared" si="11"/>
        <v>1.25805486267864</v>
      </c>
      <c r="AL68" s="1">
        <f t="shared" si="12"/>
        <v>0.829907128257178</v>
      </c>
      <c r="AM68" s="27">
        <f t="shared" si="13"/>
        <v>18006</v>
      </c>
      <c r="AN68" s="27">
        <f t="shared" si="27"/>
        <v>4288</v>
      </c>
      <c r="AO68" s="27">
        <f t="shared" si="14"/>
        <v>4577</v>
      </c>
      <c r="AP68" s="1">
        <f t="shared" si="15"/>
        <v>14039</v>
      </c>
      <c r="AQ68" s="1">
        <f t="shared" si="28"/>
        <v>3559</v>
      </c>
      <c r="AR68"/>
      <c r="AS68" s="1">
        <f t="shared" ref="AS68:AY68" si="194">ROUNDUP(AS$10*$AP68,0)</f>
        <v>14039</v>
      </c>
      <c r="AT68" s="1">
        <f t="shared" si="194"/>
        <v>42117</v>
      </c>
      <c r="AU68" s="1">
        <f t="shared" si="194"/>
        <v>25271</v>
      </c>
      <c r="AV68" s="1">
        <f t="shared" si="194"/>
        <v>7020</v>
      </c>
      <c r="AW68" s="1">
        <f t="shared" si="194"/>
        <v>2106</v>
      </c>
      <c r="AX68" s="1">
        <f t="shared" si="194"/>
        <v>56156</v>
      </c>
      <c r="AY68" s="1">
        <f t="shared" si="194"/>
        <v>126351</v>
      </c>
      <c r="AZ68" s="1">
        <f t="shared" si="17"/>
        <v>1150633</v>
      </c>
      <c r="BA68" s="1">
        <f t="shared" si="18"/>
        <v>575316</v>
      </c>
      <c r="BC68" s="1">
        <f t="shared" si="19"/>
        <v>57</v>
      </c>
    </row>
    <row r="69" s="1" customFormat="1" spans="2:55">
      <c r="B69" s="4">
        <v>58</v>
      </c>
      <c r="C69" s="1">
        <f t="shared" ref="C69:I69" si="195">C$5+(C$6-C$5)*(POWER(C$7,$B69-1)-1)/(POWER(C$7,$B$3-1)-1)</f>
        <v>4582.99522735573</v>
      </c>
      <c r="D69" s="1">
        <f t="shared" si="195"/>
        <v>1374.89856820672</v>
      </c>
      <c r="E69" s="1">
        <f t="shared" si="195"/>
        <v>916.599045471146</v>
      </c>
      <c r="F69" s="1">
        <f t="shared" si="195"/>
        <v>16823.6533662425</v>
      </c>
      <c r="G69" s="1">
        <f t="shared" si="195"/>
        <v>5047.09600987276</v>
      </c>
      <c r="H69" s="1">
        <f t="shared" si="195"/>
        <v>3364.73067324851</v>
      </c>
      <c r="I69" s="1">
        <f t="shared" si="195"/>
        <v>0</v>
      </c>
      <c r="J69" s="1">
        <f>[1]标准模型!$I$65/1*$B69/$B$3</f>
        <v>0.4176</v>
      </c>
      <c r="K69" s="1">
        <f>J69*[1]标准模型!$J$63</f>
        <v>0.4176</v>
      </c>
      <c r="L69" s="1">
        <f t="shared" si="21"/>
        <v>21406.6485935982</v>
      </c>
      <c r="M69" s="1">
        <f t="shared" si="1"/>
        <v>6996.15222016261</v>
      </c>
      <c r="N69" s="1">
        <f t="shared" si="2"/>
        <v>4664.10148010841</v>
      </c>
      <c r="O69" s="1">
        <f t="shared" ref="O69:X69" si="196">O$5+(O$6-O$5)*(POWER(O$7,$B69-1)-1)/(POWER(O$7,$B$3-1)-1)</f>
        <v>0.557126851517665</v>
      </c>
      <c r="P69" s="1">
        <f t="shared" si="196"/>
        <v>0.0320648702029137</v>
      </c>
      <c r="Q69" s="1">
        <f t="shared" si="196"/>
        <v>0.306419768334716</v>
      </c>
      <c r="R69" s="1">
        <f t="shared" si="196"/>
        <v>1.02285074060707</v>
      </c>
      <c r="S69" s="1">
        <f t="shared" si="196"/>
        <v>0.0799775921247307</v>
      </c>
      <c r="T69" s="1">
        <f t="shared" si="196"/>
        <v>2.22279472091889</v>
      </c>
      <c r="U69" s="1">
        <f t="shared" si="196"/>
        <v>1</v>
      </c>
      <c r="V69" s="1">
        <f t="shared" si="196"/>
        <v>1.06230244661243</v>
      </c>
      <c r="W69" s="1">
        <f t="shared" si="196"/>
        <v>1.03515498554933</v>
      </c>
      <c r="X69" s="1">
        <f t="shared" si="196"/>
        <v>1.18280592485653</v>
      </c>
      <c r="Y69" s="1">
        <f t="shared" si="23"/>
        <v>0.810045630834502</v>
      </c>
      <c r="Z69" s="1">
        <f t="shared" si="24"/>
        <v>1.30803897896811</v>
      </c>
      <c r="AA69" s="1">
        <f t="shared" si="25"/>
        <v>28000.7307694994</v>
      </c>
      <c r="AB69" s="1">
        <f t="shared" si="4"/>
        <v>6996.15222016261</v>
      </c>
      <c r="AC69" s="1">
        <f t="shared" si="5"/>
        <v>4664.10148010841</v>
      </c>
      <c r="AD69" s="1">
        <f>AC69/(AC69+[1]战斗公式!$M$27)</f>
        <v>0.162715774759069</v>
      </c>
      <c r="AE69" s="1">
        <f t="shared" si="6"/>
        <v>33442.3245122552</v>
      </c>
      <c r="AF69" s="1">
        <f t="shared" si="26"/>
        <v>5.901028644115</v>
      </c>
      <c r="AG69" s="1">
        <f t="shared" si="7"/>
        <v>3.65440368938053</v>
      </c>
      <c r="AH69" s="1">
        <f t="shared" si="8"/>
        <v>2.42903633433756</v>
      </c>
      <c r="AI69" s="1">
        <f t="shared" si="9"/>
        <v>0.626962191133195</v>
      </c>
      <c r="AJ69" s="1">
        <f t="shared" si="10"/>
        <v>1.06179357787182</v>
      </c>
      <c r="AK69" s="1">
        <f t="shared" si="11"/>
        <v>1.25289309561768</v>
      </c>
      <c r="AL69" s="1">
        <f t="shared" si="12"/>
        <v>0.830396779335766</v>
      </c>
      <c r="AM69" s="27">
        <f t="shared" si="13"/>
        <v>18612</v>
      </c>
      <c r="AN69" s="27">
        <f t="shared" si="27"/>
        <v>4386</v>
      </c>
      <c r="AO69" s="27">
        <f t="shared" si="14"/>
        <v>4664</v>
      </c>
      <c r="AP69" s="1">
        <f t="shared" si="15"/>
        <v>14441</v>
      </c>
      <c r="AQ69" s="1">
        <f t="shared" si="28"/>
        <v>3642</v>
      </c>
      <c r="AR69"/>
      <c r="AS69" s="1">
        <f t="shared" ref="AS69:AY69" si="197">ROUNDUP(AS$10*$AP69,0)</f>
        <v>14441</v>
      </c>
      <c r="AT69" s="1">
        <f t="shared" si="197"/>
        <v>43323</v>
      </c>
      <c r="AU69" s="1">
        <f t="shared" si="197"/>
        <v>25994</v>
      </c>
      <c r="AV69" s="1">
        <f t="shared" si="197"/>
        <v>7221</v>
      </c>
      <c r="AW69" s="1">
        <f t="shared" si="197"/>
        <v>2167</v>
      </c>
      <c r="AX69" s="1">
        <f t="shared" si="197"/>
        <v>57764</v>
      </c>
      <c r="AY69" s="1">
        <f t="shared" si="197"/>
        <v>129969</v>
      </c>
      <c r="AZ69" s="1">
        <f t="shared" si="17"/>
        <v>1185726</v>
      </c>
      <c r="BA69" s="1">
        <f t="shared" si="18"/>
        <v>592863</v>
      </c>
      <c r="BC69" s="1">
        <f t="shared" si="19"/>
        <v>58</v>
      </c>
    </row>
    <row r="70" s="1" customFormat="1" spans="2:55">
      <c r="B70" s="4">
        <v>59</v>
      </c>
      <c r="C70" s="1">
        <f t="shared" ref="C70:I70" si="198">C$5+(C$6-C$5)*(POWER(C$7,$B70-1)-1)/(POWER(C$7,$B$3-1)-1)</f>
        <v>4662.01039599959</v>
      </c>
      <c r="D70" s="1">
        <f t="shared" si="198"/>
        <v>1398.60311879988</v>
      </c>
      <c r="E70" s="1">
        <f t="shared" si="198"/>
        <v>932.402079199919</v>
      </c>
      <c r="F70" s="1">
        <f t="shared" si="198"/>
        <v>17113.7090486061</v>
      </c>
      <c r="G70" s="1">
        <f t="shared" si="198"/>
        <v>5134.11271458183</v>
      </c>
      <c r="H70" s="1">
        <f t="shared" si="198"/>
        <v>3422.74180972122</v>
      </c>
      <c r="I70" s="1">
        <f t="shared" si="198"/>
        <v>0</v>
      </c>
      <c r="J70" s="1">
        <f>[1]标准模型!$I$65/1*$B70/$B$3</f>
        <v>0.4248</v>
      </c>
      <c r="K70" s="1">
        <f>J70*[1]标准模型!$J$63</f>
        <v>0.4248</v>
      </c>
      <c r="L70" s="1">
        <f t="shared" si="21"/>
        <v>21775.7194446057</v>
      </c>
      <c r="M70" s="1">
        <f t="shared" si="1"/>
        <v>7126.8424382479</v>
      </c>
      <c r="N70" s="1">
        <f t="shared" si="2"/>
        <v>4751.22829216526</v>
      </c>
      <c r="O70" s="1">
        <f t="shared" ref="O70:X70" si="199">O$5+(O$6-O$5)*(POWER(O$7,$B70-1)-1)/(POWER(O$7,$B$3-1)-1)</f>
        <v>0.558129047918617</v>
      </c>
      <c r="P70" s="1">
        <f t="shared" si="199"/>
        <v>0.0326522246337477</v>
      </c>
      <c r="Q70" s="1">
        <f t="shared" si="199"/>
        <v>0.306970976355239</v>
      </c>
      <c r="R70" s="1">
        <f t="shared" si="199"/>
        <v>1.02325161916745</v>
      </c>
      <c r="S70" s="1">
        <f t="shared" si="199"/>
        <v>0.0813806670860637</v>
      </c>
      <c r="T70" s="1">
        <f t="shared" si="199"/>
        <v>2.22670328688261</v>
      </c>
      <c r="U70" s="1">
        <f t="shared" si="199"/>
        <v>1</v>
      </c>
      <c r="V70" s="1">
        <f t="shared" si="199"/>
        <v>1.06339544029415</v>
      </c>
      <c r="W70" s="1">
        <f t="shared" si="199"/>
        <v>1.03577172179607</v>
      </c>
      <c r="X70" s="1">
        <f t="shared" si="199"/>
        <v>1.18601295333957</v>
      </c>
      <c r="Y70" s="1">
        <f t="shared" si="23"/>
        <v>0.816748184017369</v>
      </c>
      <c r="Z70" s="1">
        <f t="shared" si="24"/>
        <v>1.31981406753279</v>
      </c>
      <c r="AA70" s="1">
        <f t="shared" si="25"/>
        <v>28739.9008536379</v>
      </c>
      <c r="AB70" s="1">
        <f t="shared" si="4"/>
        <v>7126.8424382479</v>
      </c>
      <c r="AC70" s="1">
        <f t="shared" si="5"/>
        <v>4751.22829216526</v>
      </c>
      <c r="AD70" s="1">
        <f>AC70/(AC70+[1]战斗公式!$M$27)</f>
        <v>0.165253054369854</v>
      </c>
      <c r="AE70" s="1">
        <f t="shared" si="6"/>
        <v>34429.4771057141</v>
      </c>
      <c r="AF70" s="1">
        <f t="shared" si="26"/>
        <v>5.91486847559287</v>
      </c>
      <c r="AG70" s="1">
        <f t="shared" si="7"/>
        <v>3.66033231875826</v>
      </c>
      <c r="AH70" s="1">
        <f t="shared" si="8"/>
        <v>2.44903621606108</v>
      </c>
      <c r="AI70" s="1">
        <f t="shared" si="9"/>
        <v>0.629321196203235</v>
      </c>
      <c r="AJ70" s="1">
        <f t="shared" si="10"/>
        <v>1.05870389897779</v>
      </c>
      <c r="AK70" s="1">
        <f t="shared" si="11"/>
        <v>1.24783456389794</v>
      </c>
      <c r="AL70" s="1">
        <f t="shared" si="12"/>
        <v>0.830884961461119</v>
      </c>
      <c r="AM70" s="27">
        <f t="shared" si="13"/>
        <v>19229</v>
      </c>
      <c r="AN70" s="27">
        <f t="shared" si="27"/>
        <v>4485</v>
      </c>
      <c r="AO70" s="27">
        <f t="shared" si="14"/>
        <v>4751</v>
      </c>
      <c r="AP70" s="1">
        <f t="shared" si="15"/>
        <v>14849</v>
      </c>
      <c r="AQ70" s="1">
        <f t="shared" si="28"/>
        <v>3727</v>
      </c>
      <c r="AR70"/>
      <c r="AS70" s="1">
        <f t="shared" ref="AS70:AY70" si="200">ROUNDUP(AS$10*$AP70,0)</f>
        <v>14849</v>
      </c>
      <c r="AT70" s="1">
        <f t="shared" si="200"/>
        <v>44547</v>
      </c>
      <c r="AU70" s="1">
        <f t="shared" si="200"/>
        <v>26729</v>
      </c>
      <c r="AV70" s="1">
        <f t="shared" si="200"/>
        <v>7425</v>
      </c>
      <c r="AW70" s="1">
        <f t="shared" si="200"/>
        <v>2228</v>
      </c>
      <c r="AX70" s="1">
        <f t="shared" si="200"/>
        <v>59396</v>
      </c>
      <c r="AY70" s="1">
        <f t="shared" si="200"/>
        <v>133641</v>
      </c>
      <c r="AZ70" s="1">
        <f t="shared" si="17"/>
        <v>1221469</v>
      </c>
      <c r="BA70" s="1">
        <f t="shared" si="18"/>
        <v>610735</v>
      </c>
      <c r="BC70" s="1">
        <f t="shared" si="19"/>
        <v>59</v>
      </c>
    </row>
    <row r="71" s="1" customFormat="1" spans="2:55">
      <c r="B71" s="4">
        <v>60</v>
      </c>
      <c r="C71" s="1">
        <f t="shared" ref="C71:I71" si="201">C$5+(C$6-C$5)*(POWER(C$7,$B71-1)-1)/(POWER(C$7,$B$3-1)-1)</f>
        <v>4741.02548562553</v>
      </c>
      <c r="D71" s="1">
        <f t="shared" si="201"/>
        <v>1422.30764568766</v>
      </c>
      <c r="E71" s="1">
        <f t="shared" si="201"/>
        <v>948.205097125107</v>
      </c>
      <c r="F71" s="1">
        <f t="shared" si="201"/>
        <v>17403.7644409039</v>
      </c>
      <c r="G71" s="1">
        <f t="shared" si="201"/>
        <v>5221.12933227116</v>
      </c>
      <c r="H71" s="1">
        <f t="shared" si="201"/>
        <v>3480.75288818077</v>
      </c>
      <c r="I71" s="1">
        <f t="shared" si="201"/>
        <v>0</v>
      </c>
      <c r="J71" s="1">
        <f>[1]标准模型!$I$65/1*$B71/$B$3</f>
        <v>0.432</v>
      </c>
      <c r="K71" s="1">
        <f>J71*[1]标准模型!$J$63</f>
        <v>0.432</v>
      </c>
      <c r="L71" s="1">
        <f t="shared" si="21"/>
        <v>22144.7899265294</v>
      </c>
      <c r="M71" s="1">
        <f t="shared" si="1"/>
        <v>7257.87388089589</v>
      </c>
      <c r="N71" s="1">
        <f t="shared" si="2"/>
        <v>4838.58258726392</v>
      </c>
      <c r="O71" s="1">
        <f t="shared" ref="O71:X71" si="202">O$5+(O$6-O$5)*(POWER(O$7,$B71-1)-1)/(POWER(O$7,$B$3-1)-1)</f>
        <v>0.559131243317338</v>
      </c>
      <c r="P71" s="1">
        <f t="shared" si="202"/>
        <v>0.033240460096228</v>
      </c>
      <c r="Q71" s="1">
        <f t="shared" si="202"/>
        <v>0.307522183824536</v>
      </c>
      <c r="R71" s="1">
        <f t="shared" si="202"/>
        <v>1.02365249732693</v>
      </c>
      <c r="S71" s="1">
        <f t="shared" si="202"/>
        <v>0.0827837406442727</v>
      </c>
      <c r="T71" s="1">
        <f t="shared" si="202"/>
        <v>2.23061184893762</v>
      </c>
      <c r="U71" s="1">
        <f t="shared" si="202"/>
        <v>1</v>
      </c>
      <c r="V71" s="1">
        <f t="shared" si="202"/>
        <v>1.06448843288284</v>
      </c>
      <c r="W71" s="1">
        <f t="shared" si="202"/>
        <v>1.03638845742605</v>
      </c>
      <c r="X71" s="1">
        <f t="shared" si="202"/>
        <v>1.18921997861548</v>
      </c>
      <c r="Y71" s="1">
        <f t="shared" si="23"/>
        <v>0.823500394904219</v>
      </c>
      <c r="Z71" s="1">
        <f t="shared" si="24"/>
        <v>1.33168575856512</v>
      </c>
      <c r="AA71" s="1">
        <f t="shared" si="25"/>
        <v>29489.9013715756</v>
      </c>
      <c r="AB71" s="1">
        <f t="shared" si="4"/>
        <v>7257.87388089589</v>
      </c>
      <c r="AC71" s="1">
        <f t="shared" si="5"/>
        <v>4838.58258726392</v>
      </c>
      <c r="AD71" s="1">
        <f>AC71/(AC71+[1]战斗公式!$M$27)</f>
        <v>0.167781567371512</v>
      </c>
      <c r="AE71" s="1">
        <f t="shared" si="6"/>
        <v>35435.2898414354</v>
      </c>
      <c r="AF71" s="1">
        <f t="shared" si="26"/>
        <v>5.92874484962903</v>
      </c>
      <c r="AG71" s="1">
        <f t="shared" si="7"/>
        <v>3.66627313805362</v>
      </c>
      <c r="AH71" s="1">
        <f t="shared" si="8"/>
        <v>2.46888609867167</v>
      </c>
      <c r="AI71" s="1">
        <f t="shared" si="9"/>
        <v>0.631684919283415</v>
      </c>
      <c r="AJ71" s="1">
        <f t="shared" si="10"/>
        <v>1.05576870402846</v>
      </c>
      <c r="AK71" s="1">
        <f t="shared" si="11"/>
        <v>1.24287720281259</v>
      </c>
      <c r="AL71" s="1">
        <f t="shared" si="12"/>
        <v>0.831371679040095</v>
      </c>
      <c r="AM71" s="27">
        <f t="shared" si="13"/>
        <v>19859</v>
      </c>
      <c r="AN71" s="27">
        <f t="shared" si="27"/>
        <v>4585</v>
      </c>
      <c r="AO71" s="27">
        <f t="shared" si="14"/>
        <v>4839</v>
      </c>
      <c r="AP71" s="1">
        <f t="shared" si="15"/>
        <v>15263</v>
      </c>
      <c r="AQ71" s="1">
        <f t="shared" si="28"/>
        <v>3812</v>
      </c>
      <c r="AR71"/>
      <c r="AS71" s="1">
        <f t="shared" ref="AS71:AY71" si="203">ROUNDUP(AS$10*$AP71,0)</f>
        <v>15263</v>
      </c>
      <c r="AT71" s="1">
        <f t="shared" si="203"/>
        <v>45789</v>
      </c>
      <c r="AU71" s="1">
        <f t="shared" si="203"/>
        <v>27474</v>
      </c>
      <c r="AV71" s="1">
        <f t="shared" si="203"/>
        <v>7632</v>
      </c>
      <c r="AW71" s="1">
        <f t="shared" si="203"/>
        <v>2290</v>
      </c>
      <c r="AX71" s="1">
        <f t="shared" si="203"/>
        <v>61052</v>
      </c>
      <c r="AY71" s="1">
        <f t="shared" si="203"/>
        <v>137367</v>
      </c>
      <c r="AZ71" s="1">
        <f t="shared" si="17"/>
        <v>1257991</v>
      </c>
      <c r="BA71" s="1">
        <f t="shared" si="18"/>
        <v>628995</v>
      </c>
      <c r="BC71" s="1">
        <f t="shared" si="19"/>
        <v>60</v>
      </c>
    </row>
    <row r="72" s="1" customFormat="1" spans="2:55">
      <c r="B72" s="4">
        <v>61</v>
      </c>
      <c r="C72" s="1">
        <f t="shared" ref="C72:I72" si="204">C$5+(C$6-C$5)*(POWER(C$7,$B72-1)-1)/(POWER(C$7,$B$3-1)-1)</f>
        <v>4820.04049624232</v>
      </c>
      <c r="D72" s="1">
        <f t="shared" si="204"/>
        <v>1446.0121488727</v>
      </c>
      <c r="E72" s="1">
        <f t="shared" si="204"/>
        <v>964.008099248465</v>
      </c>
      <c r="F72" s="1">
        <f t="shared" si="204"/>
        <v>17693.819543168</v>
      </c>
      <c r="G72" s="1">
        <f t="shared" si="204"/>
        <v>5308.14586295041</v>
      </c>
      <c r="H72" s="1">
        <f t="shared" si="204"/>
        <v>3538.7639086336</v>
      </c>
      <c r="I72" s="1">
        <f t="shared" si="204"/>
        <v>0</v>
      </c>
      <c r="J72" s="1">
        <f>[1]标准模型!$I$65/1*$B72/$B$3</f>
        <v>0.4392</v>
      </c>
      <c r="K72" s="1">
        <f>J72*[1]标准模型!$J$63</f>
        <v>0.4392</v>
      </c>
      <c r="L72" s="1">
        <f t="shared" si="21"/>
        <v>22513.8600394103</v>
      </c>
      <c r="M72" s="1">
        <f t="shared" si="1"/>
        <v>7389.246547608</v>
      </c>
      <c r="N72" s="1">
        <f t="shared" si="2"/>
        <v>4926.16436507199</v>
      </c>
      <c r="O72" s="1">
        <f t="shared" ref="O72:X72" si="205">O$5+(O$6-O$5)*(POWER(O$7,$B72-1)-1)/(POWER(O$7,$B$3-1)-1)</f>
        <v>0.560133437713938</v>
      </c>
      <c r="P72" s="1">
        <f t="shared" si="205"/>
        <v>0.0338295779119019</v>
      </c>
      <c r="Q72" s="1">
        <f t="shared" si="205"/>
        <v>0.308073390742666</v>
      </c>
      <c r="R72" s="1">
        <f t="shared" si="205"/>
        <v>1.02405337508558</v>
      </c>
      <c r="S72" s="1">
        <f t="shared" si="205"/>
        <v>0.0841868127995136</v>
      </c>
      <c r="T72" s="1">
        <f t="shared" si="205"/>
        <v>2.23452040708436</v>
      </c>
      <c r="U72" s="1">
        <f t="shared" si="205"/>
        <v>1</v>
      </c>
      <c r="V72" s="1">
        <f t="shared" si="205"/>
        <v>1.06558142437862</v>
      </c>
      <c r="W72" s="1">
        <f t="shared" si="205"/>
        <v>1.03700519243935</v>
      </c>
      <c r="X72" s="1">
        <f t="shared" si="205"/>
        <v>1.1924270006846</v>
      </c>
      <c r="Y72" s="1">
        <f t="shared" si="23"/>
        <v>0.83030260035325</v>
      </c>
      <c r="Z72" s="1">
        <f t="shared" si="24"/>
        <v>1.34365478080563</v>
      </c>
      <c r="AA72" s="1">
        <f t="shared" si="25"/>
        <v>30250.8556763425</v>
      </c>
      <c r="AB72" s="1">
        <f t="shared" si="4"/>
        <v>7389.246547608</v>
      </c>
      <c r="AC72" s="1">
        <f t="shared" si="5"/>
        <v>4926.16436507199</v>
      </c>
      <c r="AD72" s="1">
        <f>AC72/(AC72+[1]战斗公式!$M$27)</f>
        <v>0.170301333522818</v>
      </c>
      <c r="AE72" s="1">
        <f t="shared" si="6"/>
        <v>36460.0509782481</v>
      </c>
      <c r="AF72" s="1">
        <f t="shared" si="26"/>
        <v>5.94265771007473</v>
      </c>
      <c r="AG72" s="1">
        <f t="shared" si="7"/>
        <v>3.67222609569839</v>
      </c>
      <c r="AH72" s="1">
        <f t="shared" si="8"/>
        <v>2.48858710716269</v>
      </c>
      <c r="AI72" s="1">
        <f t="shared" si="9"/>
        <v>0.634053369809755</v>
      </c>
      <c r="AJ72" s="1">
        <f t="shared" si="10"/>
        <v>1.05298026882659</v>
      </c>
      <c r="AK72" s="1">
        <f t="shared" si="11"/>
        <v>1.23801898894895</v>
      </c>
      <c r="AL72" s="1">
        <f t="shared" si="12"/>
        <v>0.831856936466334</v>
      </c>
      <c r="AM72" s="27">
        <f t="shared" si="13"/>
        <v>20500</v>
      </c>
      <c r="AN72" s="27">
        <f t="shared" si="27"/>
        <v>4685</v>
      </c>
      <c r="AO72" s="27">
        <f t="shared" si="14"/>
        <v>4926</v>
      </c>
      <c r="AP72" s="1">
        <f t="shared" si="15"/>
        <v>15683</v>
      </c>
      <c r="AQ72" s="1">
        <f t="shared" si="28"/>
        <v>3897</v>
      </c>
      <c r="AR72"/>
      <c r="AS72" s="1">
        <f t="shared" ref="AS72:AY72" si="206">ROUNDUP(AS$10*$AP72,0)</f>
        <v>15683</v>
      </c>
      <c r="AT72" s="1">
        <f t="shared" si="206"/>
        <v>47049</v>
      </c>
      <c r="AU72" s="1">
        <f t="shared" si="206"/>
        <v>28230</v>
      </c>
      <c r="AV72" s="1">
        <f t="shared" si="206"/>
        <v>7842</v>
      </c>
      <c r="AW72" s="1">
        <f t="shared" si="206"/>
        <v>2353</v>
      </c>
      <c r="AX72" s="1">
        <f t="shared" si="206"/>
        <v>62732</v>
      </c>
      <c r="AY72" s="1">
        <f t="shared" si="206"/>
        <v>141147</v>
      </c>
      <c r="AZ72" s="1">
        <f t="shared" si="17"/>
        <v>1295166</v>
      </c>
      <c r="BA72" s="1">
        <f t="shared" si="18"/>
        <v>647583</v>
      </c>
      <c r="BC72" s="1">
        <f t="shared" si="19"/>
        <v>61</v>
      </c>
    </row>
    <row r="73" s="1" customFormat="1" spans="2:55">
      <c r="B73" s="4">
        <v>62</v>
      </c>
      <c r="C73" s="1">
        <f t="shared" ref="C73:I73" si="207">C$5+(C$6-C$5)*(POWER(C$7,$B73-1)-1)/(POWER(C$7,$B$3-1)-1)</f>
        <v>4899.05542784119</v>
      </c>
      <c r="D73" s="1">
        <f t="shared" si="207"/>
        <v>1469.71662835236</v>
      </c>
      <c r="E73" s="1">
        <f t="shared" si="207"/>
        <v>979.811085568237</v>
      </c>
      <c r="F73" s="1">
        <f t="shared" si="207"/>
        <v>17983.8743553664</v>
      </c>
      <c r="G73" s="1">
        <f t="shared" si="207"/>
        <v>5395.16230660991</v>
      </c>
      <c r="H73" s="1">
        <f t="shared" si="207"/>
        <v>3596.77487107328</v>
      </c>
      <c r="I73" s="1">
        <f t="shared" si="207"/>
        <v>0</v>
      </c>
      <c r="J73" s="1">
        <f>[1]标准模型!$I$65/1*$B73/$B$3</f>
        <v>0.4464</v>
      </c>
      <c r="K73" s="1">
        <f>J73*[1]标准模型!$J$63</f>
        <v>0.4464</v>
      </c>
      <c r="L73" s="1">
        <f t="shared" si="21"/>
        <v>22882.9297832076</v>
      </c>
      <c r="M73" s="1">
        <f t="shared" si="1"/>
        <v>7520.96043785876</v>
      </c>
      <c r="N73" s="1">
        <f t="shared" si="2"/>
        <v>5013.97362523918</v>
      </c>
      <c r="O73" s="1">
        <f t="shared" ref="O73:X73" si="208">O$5+(O$6-O$5)*(POWER(O$7,$B73-1)-1)/(POWER(O$7,$B$3-1)-1)</f>
        <v>0.561135631108308</v>
      </c>
      <c r="P73" s="1">
        <f t="shared" si="208"/>
        <v>0.0344195794042994</v>
      </c>
      <c r="Q73" s="1">
        <f t="shared" si="208"/>
        <v>0.308624597109569</v>
      </c>
      <c r="R73" s="1">
        <f t="shared" si="208"/>
        <v>1.02445425244332</v>
      </c>
      <c r="S73" s="1">
        <f t="shared" si="208"/>
        <v>0.0855898835516306</v>
      </c>
      <c r="T73" s="1">
        <f t="shared" si="208"/>
        <v>2.2384289613224</v>
      </c>
      <c r="U73" s="1">
        <f t="shared" si="208"/>
        <v>1</v>
      </c>
      <c r="V73" s="1">
        <f t="shared" si="208"/>
        <v>1.06667441478137</v>
      </c>
      <c r="W73" s="1">
        <f t="shared" si="208"/>
        <v>1.03762192683588</v>
      </c>
      <c r="X73" s="1">
        <f t="shared" si="208"/>
        <v>1.19563401954658</v>
      </c>
      <c r="Y73" s="1">
        <f t="shared" si="23"/>
        <v>0.837155139079793</v>
      </c>
      <c r="Z73" s="1">
        <f t="shared" si="24"/>
        <v>1.35572186766155</v>
      </c>
      <c r="AA73" s="1">
        <f t="shared" si="25"/>
        <v>31022.8883032583</v>
      </c>
      <c r="AB73" s="1">
        <f t="shared" si="4"/>
        <v>7520.96043785876</v>
      </c>
      <c r="AC73" s="1">
        <f t="shared" si="5"/>
        <v>5013.97362523918</v>
      </c>
      <c r="AD73" s="1">
        <f>AC73/(AC73+[1]战斗公式!$M$27)</f>
        <v>0.172812372755366</v>
      </c>
      <c r="AE73" s="1">
        <f t="shared" si="6"/>
        <v>37504.0526253949</v>
      </c>
      <c r="AF73" s="1">
        <f t="shared" si="26"/>
        <v>5.9566070011556</v>
      </c>
      <c r="AG73" s="1">
        <f t="shared" si="7"/>
        <v>3.67819114041241</v>
      </c>
      <c r="AH73" s="1">
        <f t="shared" si="8"/>
        <v>2.50814035809002</v>
      </c>
      <c r="AI73" s="1">
        <f t="shared" si="9"/>
        <v>0.636426557237147</v>
      </c>
      <c r="AJ73" s="1">
        <f t="shared" si="10"/>
        <v>1.05033125538482</v>
      </c>
      <c r="AK73" s="1">
        <f t="shared" si="11"/>
        <v>1.23325793936258</v>
      </c>
      <c r="AL73" s="1">
        <f t="shared" si="12"/>
        <v>0.832340738120295</v>
      </c>
      <c r="AM73" s="27">
        <f t="shared" si="13"/>
        <v>21154</v>
      </c>
      <c r="AN73" s="27">
        <f t="shared" si="27"/>
        <v>4787</v>
      </c>
      <c r="AO73" s="27">
        <f t="shared" si="14"/>
        <v>5014</v>
      </c>
      <c r="AP73" s="1">
        <f t="shared" si="15"/>
        <v>16110</v>
      </c>
      <c r="AQ73" s="1">
        <f t="shared" si="28"/>
        <v>3984</v>
      </c>
      <c r="AR73"/>
      <c r="AS73" s="1">
        <f t="shared" ref="AS73:AY73" si="209">ROUNDUP(AS$10*$AP73,0)</f>
        <v>16110</v>
      </c>
      <c r="AT73" s="1">
        <f t="shared" si="209"/>
        <v>48330</v>
      </c>
      <c r="AU73" s="1">
        <f t="shared" si="209"/>
        <v>28998</v>
      </c>
      <c r="AV73" s="1">
        <f t="shared" si="209"/>
        <v>8055</v>
      </c>
      <c r="AW73" s="1">
        <f t="shared" si="209"/>
        <v>2417</v>
      </c>
      <c r="AX73" s="1">
        <f t="shared" si="209"/>
        <v>64440</v>
      </c>
      <c r="AY73" s="1">
        <f t="shared" si="209"/>
        <v>144990</v>
      </c>
      <c r="AZ73" s="1">
        <f t="shared" si="17"/>
        <v>1333122</v>
      </c>
      <c r="BA73" s="1">
        <f t="shared" si="18"/>
        <v>666561</v>
      </c>
      <c r="BC73" s="1">
        <f t="shared" si="19"/>
        <v>62</v>
      </c>
    </row>
    <row r="74" s="1" customFormat="1" spans="2:55">
      <c r="B74" s="4">
        <v>63</v>
      </c>
      <c r="C74" s="1">
        <f t="shared" ref="C74:I74" si="210">C$5+(C$6-C$5)*(POWER(C$7,$B74-1)-1)/(POWER(C$7,$B$3-1)-1)</f>
        <v>4978.07028042213</v>
      </c>
      <c r="D74" s="1">
        <f t="shared" si="210"/>
        <v>1493.42108412664</v>
      </c>
      <c r="E74" s="1">
        <f t="shared" si="210"/>
        <v>995.614056084425</v>
      </c>
      <c r="F74" s="1">
        <f t="shared" si="210"/>
        <v>18273.9288774989</v>
      </c>
      <c r="G74" s="1">
        <f t="shared" si="210"/>
        <v>5482.17866324968</v>
      </c>
      <c r="H74" s="1">
        <f t="shared" si="210"/>
        <v>3654.78577549979</v>
      </c>
      <c r="I74" s="1">
        <f t="shared" si="210"/>
        <v>0</v>
      </c>
      <c r="J74" s="1">
        <f>[1]标准模型!$I$65/1*$B74/$B$3</f>
        <v>0.4536</v>
      </c>
      <c r="K74" s="1">
        <f>J74*[1]标准模型!$J$63</f>
        <v>0.4536</v>
      </c>
      <c r="L74" s="1">
        <f t="shared" si="21"/>
        <v>23251.999157921</v>
      </c>
      <c r="M74" s="1">
        <f t="shared" si="1"/>
        <v>7653.01555113616</v>
      </c>
      <c r="N74" s="1">
        <f t="shared" si="2"/>
        <v>5102.01036742411</v>
      </c>
      <c r="O74" s="1">
        <f t="shared" ref="O74:X74" si="211">O$5+(O$6-O$5)*(POWER(O$7,$B74-1)-1)/(POWER(O$7,$B$3-1)-1)</f>
        <v>0.562137823500445</v>
      </c>
      <c r="P74" s="1">
        <f t="shared" si="211"/>
        <v>0.0350104658989355</v>
      </c>
      <c r="Q74" s="1">
        <f t="shared" si="211"/>
        <v>0.309175802925245</v>
      </c>
      <c r="R74" s="1">
        <f t="shared" si="211"/>
        <v>1.02485512940018</v>
      </c>
      <c r="S74" s="1">
        <f t="shared" si="211"/>
        <v>0.0869929529006237</v>
      </c>
      <c r="T74" s="1">
        <f t="shared" si="211"/>
        <v>2.24233751165174</v>
      </c>
      <c r="U74" s="1">
        <f t="shared" si="211"/>
        <v>1</v>
      </c>
      <c r="V74" s="1">
        <f t="shared" si="211"/>
        <v>1.06776740409108</v>
      </c>
      <c r="W74" s="1">
        <f t="shared" si="211"/>
        <v>1.03823866061566</v>
      </c>
      <c r="X74" s="1">
        <f t="shared" si="211"/>
        <v>1.19884103520143</v>
      </c>
      <c r="Y74" s="1">
        <f t="shared" si="23"/>
        <v>0.844058351665141</v>
      </c>
      <c r="Z74" s="1">
        <f t="shared" si="24"/>
        <v>1.36788775723303</v>
      </c>
      <c r="AA74" s="1">
        <f t="shared" si="25"/>
        <v>31806.1249793129</v>
      </c>
      <c r="AB74" s="1">
        <f t="shared" si="4"/>
        <v>7653.01555113616</v>
      </c>
      <c r="AC74" s="1">
        <f t="shared" si="5"/>
        <v>5102.01036742411</v>
      </c>
      <c r="AD74" s="1">
        <f>AC74/(AC74+[1]战斗公式!$M$27)</f>
        <v>0.175314705170167</v>
      </c>
      <c r="AE74" s="1">
        <f t="shared" si="6"/>
        <v>38567.5907873146</v>
      </c>
      <c r="AF74" s="1">
        <f t="shared" si="26"/>
        <v>5.97059266747501</v>
      </c>
      <c r="AG74" s="1">
        <f t="shared" si="7"/>
        <v>3.68416822120473</v>
      </c>
      <c r="AH74" s="1">
        <f t="shared" si="8"/>
        <v>2.5275469596354</v>
      </c>
      <c r="AI74" s="1">
        <f t="shared" si="9"/>
        <v>0.638804491039395</v>
      </c>
      <c r="AJ74" s="1">
        <f t="shared" si="10"/>
        <v>1.04781469261514</v>
      </c>
      <c r="AK74" s="1">
        <f t="shared" si="11"/>
        <v>1.22859211076794</v>
      </c>
      <c r="AL74" s="1">
        <f t="shared" si="12"/>
        <v>0.832823088369294</v>
      </c>
      <c r="AM74" s="27">
        <f t="shared" si="13"/>
        <v>21821</v>
      </c>
      <c r="AN74" s="27">
        <f t="shared" si="27"/>
        <v>4889</v>
      </c>
      <c r="AO74" s="27">
        <f t="shared" si="14"/>
        <v>5102</v>
      </c>
      <c r="AP74" s="1">
        <f t="shared" si="15"/>
        <v>16542</v>
      </c>
      <c r="AQ74" s="1">
        <f t="shared" si="28"/>
        <v>4072</v>
      </c>
      <c r="AR74"/>
      <c r="AS74" s="1">
        <f t="shared" ref="AS74:AY74" si="212">ROUNDUP(AS$10*$AP74,0)</f>
        <v>16542</v>
      </c>
      <c r="AT74" s="1">
        <f t="shared" si="212"/>
        <v>49626</v>
      </c>
      <c r="AU74" s="1">
        <f t="shared" si="212"/>
        <v>29776</v>
      </c>
      <c r="AV74" s="1">
        <f t="shared" si="212"/>
        <v>8271</v>
      </c>
      <c r="AW74" s="1">
        <f t="shared" si="212"/>
        <v>2482</v>
      </c>
      <c r="AX74" s="1">
        <f t="shared" si="212"/>
        <v>66168</v>
      </c>
      <c r="AY74" s="1">
        <f t="shared" si="212"/>
        <v>148878</v>
      </c>
      <c r="AZ74" s="1">
        <f t="shared" si="17"/>
        <v>1371862</v>
      </c>
      <c r="BA74" s="1">
        <f t="shared" si="18"/>
        <v>685931</v>
      </c>
      <c r="BC74" s="1">
        <f t="shared" si="19"/>
        <v>63</v>
      </c>
    </row>
    <row r="75" s="1" customFormat="1" spans="2:55">
      <c r="B75" s="4">
        <v>64</v>
      </c>
      <c r="C75" s="1">
        <f t="shared" ref="C75:I75" si="213">C$5+(C$6-C$5)*(POWER(C$7,$B75-1)-1)/(POWER(C$7,$B$3-1)-1)</f>
        <v>5057.08505399391</v>
      </c>
      <c r="D75" s="1">
        <f t="shared" si="213"/>
        <v>1517.12551619817</v>
      </c>
      <c r="E75" s="1">
        <f t="shared" si="213"/>
        <v>1011.41701079878</v>
      </c>
      <c r="F75" s="1">
        <f t="shared" si="213"/>
        <v>18563.9831095979</v>
      </c>
      <c r="G75" s="1">
        <f t="shared" si="213"/>
        <v>5569.19493287937</v>
      </c>
      <c r="H75" s="1">
        <f t="shared" si="213"/>
        <v>3712.79662191958</v>
      </c>
      <c r="I75" s="1">
        <f t="shared" si="213"/>
        <v>0</v>
      </c>
      <c r="J75" s="1">
        <f>[1]标准模型!$I$65/1*$B75/$B$3</f>
        <v>0.4608</v>
      </c>
      <c r="K75" s="1">
        <f>J75*[1]标准模型!$J$63</f>
        <v>0.4608</v>
      </c>
      <c r="L75" s="1">
        <f t="shared" si="21"/>
        <v>23621.0681635918</v>
      </c>
      <c r="M75" s="1">
        <f t="shared" si="1"/>
        <v>7785.41188694166</v>
      </c>
      <c r="N75" s="1">
        <f t="shared" si="2"/>
        <v>5190.27459129444</v>
      </c>
      <c r="O75" s="1">
        <f t="shared" ref="O75:X75" si="214">O$5+(O$6-O$5)*(POWER(O$7,$B75-1)-1)/(POWER(O$7,$B$3-1)-1)</f>
        <v>0.563140014890463</v>
      </c>
      <c r="P75" s="1">
        <f t="shared" si="214"/>
        <v>0.0356022387233134</v>
      </c>
      <c r="Q75" s="1">
        <f t="shared" si="214"/>
        <v>0.309727008189755</v>
      </c>
      <c r="R75" s="1">
        <f t="shared" si="214"/>
        <v>1.02525600595619</v>
      </c>
      <c r="S75" s="1">
        <f t="shared" si="214"/>
        <v>0.0883960208466487</v>
      </c>
      <c r="T75" s="1">
        <f t="shared" si="214"/>
        <v>2.24624605807281</v>
      </c>
      <c r="U75" s="1">
        <f t="shared" si="214"/>
        <v>1</v>
      </c>
      <c r="V75" s="1">
        <f t="shared" si="214"/>
        <v>1.06886039230789</v>
      </c>
      <c r="W75" s="1">
        <f t="shared" si="214"/>
        <v>1.03885539377875</v>
      </c>
      <c r="X75" s="1">
        <f t="shared" si="214"/>
        <v>1.20204804764948</v>
      </c>
      <c r="Y75" s="1">
        <f t="shared" si="23"/>
        <v>0.851012580563441</v>
      </c>
      <c r="Z75" s="1">
        <f t="shared" si="24"/>
        <v>1.38015319233568</v>
      </c>
      <c r="AA75" s="1">
        <f t="shared" si="25"/>
        <v>32600.6926323599</v>
      </c>
      <c r="AB75" s="1">
        <f t="shared" si="4"/>
        <v>7785.41188694166</v>
      </c>
      <c r="AC75" s="1">
        <f t="shared" si="5"/>
        <v>5190.27459129444</v>
      </c>
      <c r="AD75" s="1">
        <f>AC75/(AC75+[1]战斗公式!$M$27)</f>
        <v>0.177808351033545</v>
      </c>
      <c r="AE75" s="1">
        <f t="shared" si="6"/>
        <v>39650.9654085406</v>
      </c>
      <c r="AF75" s="1">
        <f t="shared" si="26"/>
        <v>5.98461465401012</v>
      </c>
      <c r="AG75" s="1">
        <f t="shared" si="7"/>
        <v>3.69015728737178</v>
      </c>
      <c r="AH75" s="1">
        <f t="shared" si="8"/>
        <v>2.54680801166918</v>
      </c>
      <c r="AI75" s="1">
        <f t="shared" si="9"/>
        <v>0.641187180709247</v>
      </c>
      <c r="AJ75" s="1">
        <f t="shared" si="10"/>
        <v>1.04542395798395</v>
      </c>
      <c r="AK75" s="1">
        <f t="shared" si="11"/>
        <v>1.2240195987452</v>
      </c>
      <c r="AL75" s="1">
        <f t="shared" si="12"/>
        <v>0.833303991567546</v>
      </c>
      <c r="AM75" s="27">
        <f t="shared" si="13"/>
        <v>22500</v>
      </c>
      <c r="AN75" s="27">
        <f t="shared" si="27"/>
        <v>4992</v>
      </c>
      <c r="AO75" s="27">
        <f t="shared" si="14"/>
        <v>5190</v>
      </c>
      <c r="AP75" s="1">
        <f t="shared" si="15"/>
        <v>16981</v>
      </c>
      <c r="AQ75" s="1">
        <f t="shared" si="28"/>
        <v>4160</v>
      </c>
      <c r="AR75"/>
      <c r="AS75" s="1">
        <f t="shared" ref="AS75:AY75" si="215">ROUNDUP(AS$10*$AP75,0)</f>
        <v>16981</v>
      </c>
      <c r="AT75" s="1">
        <f t="shared" si="215"/>
        <v>50943</v>
      </c>
      <c r="AU75" s="1">
        <f t="shared" si="215"/>
        <v>30566</v>
      </c>
      <c r="AV75" s="1">
        <f t="shared" si="215"/>
        <v>8491</v>
      </c>
      <c r="AW75" s="1">
        <f t="shared" si="215"/>
        <v>2548</v>
      </c>
      <c r="AX75" s="1">
        <f t="shared" si="215"/>
        <v>67924</v>
      </c>
      <c r="AY75" s="1">
        <f t="shared" si="215"/>
        <v>152829</v>
      </c>
      <c r="AZ75" s="1">
        <f t="shared" si="17"/>
        <v>1411322</v>
      </c>
      <c r="BA75" s="1">
        <f t="shared" si="18"/>
        <v>705661</v>
      </c>
      <c r="BC75" s="1">
        <f t="shared" si="19"/>
        <v>64</v>
      </c>
    </row>
    <row r="76" s="1" customFormat="1" spans="2:55">
      <c r="B76" s="4">
        <v>65</v>
      </c>
      <c r="C76" s="1">
        <f t="shared" ref="C76:I76" si="216">C$5+(C$6-C$5)*(POWER(C$7,$B76-1)-1)/(POWER(C$7,$B$3-1)-1)</f>
        <v>5136.09974854778</v>
      </c>
      <c r="D76" s="1">
        <f t="shared" si="216"/>
        <v>1540.82992456433</v>
      </c>
      <c r="E76" s="1">
        <f t="shared" si="216"/>
        <v>1027.21994970956</v>
      </c>
      <c r="F76" s="1">
        <f t="shared" si="216"/>
        <v>18854.0370516311</v>
      </c>
      <c r="G76" s="1">
        <f t="shared" si="216"/>
        <v>5656.21111548933</v>
      </c>
      <c r="H76" s="1">
        <f t="shared" si="216"/>
        <v>3770.80741032622</v>
      </c>
      <c r="I76" s="1">
        <f t="shared" si="216"/>
        <v>0</v>
      </c>
      <c r="J76" s="1">
        <f>[1]标准模型!$I$65/1*$B76/$B$3</f>
        <v>0.468</v>
      </c>
      <c r="K76" s="1">
        <f>J76*[1]标准模型!$J$63</f>
        <v>0.468</v>
      </c>
      <c r="L76" s="1">
        <f t="shared" ref="L76:L139" si="217">C76*(1+I76)+F76</f>
        <v>23990.1368001789</v>
      </c>
      <c r="M76" s="1">
        <f t="shared" ref="M76:M139" si="218">D76*(1+J76)+G76</f>
        <v>7918.14944474977</v>
      </c>
      <c r="N76" s="1">
        <f t="shared" ref="N76:N139" si="219">E76*(1+K76)+H76</f>
        <v>5278.76629649985</v>
      </c>
      <c r="O76" s="1">
        <f t="shared" ref="O76:X76" si="220">O$5+(O$6-O$5)*(POWER(O$7,$B76-1)-1)/(POWER(O$7,$B$3-1)-1)</f>
        <v>0.56414220527825</v>
      </c>
      <c r="P76" s="1">
        <f t="shared" si="220"/>
        <v>0.036194899206928</v>
      </c>
      <c r="Q76" s="1">
        <f t="shared" si="220"/>
        <v>0.310278212903037</v>
      </c>
      <c r="R76" s="1">
        <f t="shared" si="220"/>
        <v>1.0256568821113</v>
      </c>
      <c r="S76" s="1">
        <f t="shared" si="220"/>
        <v>0.0897990873895498</v>
      </c>
      <c r="T76" s="1">
        <f t="shared" si="220"/>
        <v>2.25015460058517</v>
      </c>
      <c r="U76" s="1">
        <f t="shared" si="220"/>
        <v>1</v>
      </c>
      <c r="V76" s="1">
        <f t="shared" si="220"/>
        <v>1.06995337943166</v>
      </c>
      <c r="W76" s="1">
        <f t="shared" si="220"/>
        <v>1.03947212632508</v>
      </c>
      <c r="X76" s="1">
        <f t="shared" si="220"/>
        <v>1.2052550568904</v>
      </c>
      <c r="Y76" s="1">
        <f t="shared" si="23"/>
        <v>0.858018170106544</v>
      </c>
      <c r="Z76" s="1">
        <f t="shared" si="24"/>
        <v>1.39251892051946</v>
      </c>
      <c r="AA76" s="1">
        <f t="shared" ref="AA76:AA139" si="221">Z76*L76</f>
        <v>33406.7194000993</v>
      </c>
      <c r="AB76" s="1">
        <f t="shared" ref="AB76:AB139" si="222">M76</f>
        <v>7918.14944474977</v>
      </c>
      <c r="AC76" s="1">
        <f t="shared" ref="AC76:AC139" si="223">N76</f>
        <v>5278.76629649985</v>
      </c>
      <c r="AD76" s="1">
        <f>AC76/(AC76+[1]战斗公式!$M$27)</f>
        <v>0.180293330772305</v>
      </c>
      <c r="AE76" s="1">
        <f t="shared" ref="AE76:AE139" si="224">AA76/(1-AD76)</f>
        <v>40754.4804186773</v>
      </c>
      <c r="AF76" s="1">
        <f t="shared" ref="AF76:AF139" si="225">AE76/AB76/Y76</f>
        <v>5.99867290610014</v>
      </c>
      <c r="AG76" s="1">
        <f t="shared" ref="AG76:AG139" si="226">AE76/AB76/Z76</f>
        <v>3.69615828849187</v>
      </c>
      <c r="AH76" s="1">
        <f t="shared" ref="AH76:AH139" si="227">AH$5+(AH$6-AH$5)*(POWER(AH$7,$B76-1)-1)/(POWER(AH$7,$B$3-1)-1)</f>
        <v>2.56592460581272</v>
      </c>
      <c r="AI76" s="1">
        <f t="shared" ref="AI76:AI139" si="228">$AI$5+($AI$6-$AI$5)*(POWER($AI$7,$B76-1)-1)/(POWER($AI$7,$B$3-1)-1)</f>
        <v>0.643574635758438</v>
      </c>
      <c r="AJ76" s="1">
        <f t="shared" ref="AJ76:AJ139" si="229">$AJ$5+($AJ$6-$AJ$5)*(POWER($AJ$7,$B76-1)-1)/(POWER($AJ$7,$B$3-1)-1)</f>
        <v>1.04315276008431</v>
      </c>
      <c r="AK76" s="1">
        <f t="shared" ref="AK76:AK139" si="230">$AK$5+($AK$6-$AK$5)*(POWER($AK$7,$B76-1)-1)/(POWER($AK$7,$B$3-1)-1)</f>
        <v>1.21953853696291</v>
      </c>
      <c r="AL76" s="1">
        <f t="shared" ref="AL76:AL139" si="231">$AL$5+($AL$6-$AL$5)*(POWER($AL$7,$B76-1)-1)/(POWER($AL$7,$B$3-1)-1)</f>
        <v>0.833783452056203</v>
      </c>
      <c r="AM76" s="27">
        <f t="shared" ref="AM76:AM139" si="232">ROUND(AA76/AG76*AH76,0)</f>
        <v>23191</v>
      </c>
      <c r="AN76" s="27">
        <f t="shared" ref="AN76:AN139" si="233">ROUND(AB76*AI76,0)</f>
        <v>5096</v>
      </c>
      <c r="AO76" s="27">
        <f t="shared" ref="AO76:AO139" si="234">ROUND(AC76,0)</f>
        <v>5279</v>
      </c>
      <c r="AP76" s="1">
        <f t="shared" ref="AP76:AP139" si="235">ROUND(AA76/$AF76*AH76*AK76,0)</f>
        <v>17427</v>
      </c>
      <c r="AQ76" s="1">
        <f t="shared" ref="AQ76:AQ139" si="236">ROUND(AN76*AL76,0)</f>
        <v>4249</v>
      </c>
      <c r="AR76"/>
      <c r="AS76" s="1">
        <f t="shared" ref="AS76:AY76" si="237">ROUNDUP(AS$10*$AP76,0)</f>
        <v>17427</v>
      </c>
      <c r="AT76" s="1">
        <f t="shared" si="237"/>
        <v>52281</v>
      </c>
      <c r="AU76" s="1">
        <f t="shared" si="237"/>
        <v>31369</v>
      </c>
      <c r="AV76" s="1">
        <f t="shared" si="237"/>
        <v>8714</v>
      </c>
      <c r="AW76" s="1">
        <f t="shared" si="237"/>
        <v>2615</v>
      </c>
      <c r="AX76" s="1">
        <f t="shared" si="237"/>
        <v>69708</v>
      </c>
      <c r="AY76" s="1">
        <f t="shared" si="237"/>
        <v>156843</v>
      </c>
      <c r="AZ76" s="1">
        <f t="shared" ref="AZ76:AZ139" si="238">ROUND(AM76*$AZ$10*AJ76,0)</f>
        <v>1451505</v>
      </c>
      <c r="BA76" s="1">
        <f t="shared" ref="BA76:BA139" si="239">ROUND(AM76*$BA$10*AJ76,0)</f>
        <v>725753</v>
      </c>
      <c r="BC76" s="1">
        <f t="shared" ref="BC76:BC139" si="240">B76</f>
        <v>65</v>
      </c>
    </row>
    <row r="77" s="1" customFormat="1" spans="2:55">
      <c r="B77" s="4">
        <v>66</v>
      </c>
      <c r="C77" s="1">
        <f t="shared" ref="C77:I77" si="241">C$5+(C$6-C$5)*(POWER(C$7,$B77-1)-1)/(POWER(C$7,$B$3-1)-1)</f>
        <v>5215.11436408372</v>
      </c>
      <c r="D77" s="1">
        <f t="shared" si="241"/>
        <v>1564.53430922511</v>
      </c>
      <c r="E77" s="1">
        <f t="shared" si="241"/>
        <v>1043.02287281674</v>
      </c>
      <c r="F77" s="1">
        <f t="shared" si="241"/>
        <v>19144.0907035985</v>
      </c>
      <c r="G77" s="1">
        <f t="shared" si="241"/>
        <v>5743.22721107954</v>
      </c>
      <c r="H77" s="1">
        <f t="shared" si="241"/>
        <v>3828.81814071969</v>
      </c>
      <c r="I77" s="1">
        <f t="shared" si="241"/>
        <v>0</v>
      </c>
      <c r="J77" s="1">
        <f>[1]标准模型!$I$65/1*$B77/$B$3</f>
        <v>0.4752</v>
      </c>
      <c r="K77" s="1">
        <f>J77*[1]标准模型!$J$63</f>
        <v>0.4752</v>
      </c>
      <c r="L77" s="1">
        <f t="shared" si="217"/>
        <v>24359.2050676822</v>
      </c>
      <c r="M77" s="1">
        <f t="shared" si="218"/>
        <v>8051.22822404842</v>
      </c>
      <c r="N77" s="1">
        <f t="shared" si="219"/>
        <v>5367.48548269894</v>
      </c>
      <c r="O77" s="1">
        <f t="shared" ref="O77:X77" si="242">O$5+(O$6-O$5)*(POWER(O$7,$B77-1)-1)/(POWER(O$7,$B$3-1)-1)</f>
        <v>0.565144394663805</v>
      </c>
      <c r="P77" s="1">
        <f t="shared" si="242"/>
        <v>0.036788448681268</v>
      </c>
      <c r="Q77" s="1">
        <f t="shared" si="242"/>
        <v>0.310829417065093</v>
      </c>
      <c r="R77" s="1">
        <f t="shared" si="242"/>
        <v>1.02605775786552</v>
      </c>
      <c r="S77" s="1">
        <f t="shared" si="242"/>
        <v>0.091202152529327</v>
      </c>
      <c r="T77" s="1">
        <f t="shared" si="242"/>
        <v>2.25406313918884</v>
      </c>
      <c r="U77" s="1">
        <f t="shared" si="242"/>
        <v>1</v>
      </c>
      <c r="V77" s="1">
        <f t="shared" si="242"/>
        <v>1.07104636546241</v>
      </c>
      <c r="W77" s="1">
        <f t="shared" si="242"/>
        <v>1.04008885825465</v>
      </c>
      <c r="X77" s="1">
        <f t="shared" si="242"/>
        <v>1.20846206292418</v>
      </c>
      <c r="Y77" s="1">
        <f t="shared" ref="Y77:Y140" si="243">(1+S77*(T77-1))*U77*X77*(O77+P77)*R77*W77</f>
        <v>0.865075466512941</v>
      </c>
      <c r="Z77" s="1">
        <f t="shared" ref="Z77:Z140" si="244">(1+S77*(T77-1))*(O77+P77+Q77)*U77*V77*X77*R77*W77</f>
        <v>1.40498569409514</v>
      </c>
      <c r="AA77" s="1">
        <f t="shared" si="221"/>
        <v>34224.3346396234</v>
      </c>
      <c r="AB77" s="1">
        <f t="shared" si="222"/>
        <v>8051.22822404842</v>
      </c>
      <c r="AC77" s="1">
        <f t="shared" si="223"/>
        <v>5367.48548269894</v>
      </c>
      <c r="AD77" s="1">
        <f>AC77/(AC77+[1]战斗公式!$M$27)</f>
        <v>0.182769664970501</v>
      </c>
      <c r="AE77" s="1">
        <f t="shared" si="224"/>
        <v>41878.4437785071</v>
      </c>
      <c r="AF77" s="1">
        <f t="shared" si="225"/>
        <v>6.01276736945002</v>
      </c>
      <c r="AG77" s="1">
        <f t="shared" si="226"/>
        <v>3.70217117442659</v>
      </c>
      <c r="AH77" s="1">
        <f t="shared" si="227"/>
        <v>2.58489782550017</v>
      </c>
      <c r="AI77" s="1">
        <f t="shared" si="228"/>
        <v>0.645966865717728</v>
      </c>
      <c r="AJ77" s="1">
        <f t="shared" si="229"/>
        <v>1.04099512207965</v>
      </c>
      <c r="AK77" s="1">
        <f t="shared" si="230"/>
        <v>1.21514709641626</v>
      </c>
      <c r="AL77" s="1">
        <f t="shared" si="231"/>
        <v>0.834261474163394</v>
      </c>
      <c r="AM77" s="27">
        <f t="shared" si="232"/>
        <v>23896</v>
      </c>
      <c r="AN77" s="27">
        <f t="shared" si="233"/>
        <v>5201</v>
      </c>
      <c r="AO77" s="27">
        <f t="shared" si="234"/>
        <v>5367</v>
      </c>
      <c r="AP77" s="1">
        <f t="shared" si="235"/>
        <v>17879</v>
      </c>
      <c r="AQ77" s="1">
        <f t="shared" si="236"/>
        <v>4339</v>
      </c>
      <c r="AR77"/>
      <c r="AS77" s="1">
        <f t="shared" ref="AS77:AY77" si="245">ROUNDUP(AS$10*$AP77,0)</f>
        <v>17879</v>
      </c>
      <c r="AT77" s="1">
        <f t="shared" si="245"/>
        <v>53637</v>
      </c>
      <c r="AU77" s="1">
        <f t="shared" si="245"/>
        <v>32183</v>
      </c>
      <c r="AV77" s="1">
        <f t="shared" si="245"/>
        <v>8940</v>
      </c>
      <c r="AW77" s="1">
        <f t="shared" si="245"/>
        <v>2682</v>
      </c>
      <c r="AX77" s="1">
        <f t="shared" si="245"/>
        <v>71516</v>
      </c>
      <c r="AY77" s="1">
        <f t="shared" si="245"/>
        <v>160911</v>
      </c>
      <c r="AZ77" s="1">
        <f t="shared" si="238"/>
        <v>1492537</v>
      </c>
      <c r="BA77" s="1">
        <f t="shared" si="239"/>
        <v>746269</v>
      </c>
      <c r="BC77" s="1">
        <f t="shared" si="240"/>
        <v>66</v>
      </c>
    </row>
    <row r="78" s="1" customFormat="1" spans="2:55">
      <c r="B78" s="4">
        <v>67</v>
      </c>
      <c r="C78" s="1">
        <f t="shared" ref="C78:I78" si="246">C$5+(C$6-C$5)*(POWER(C$7,$B78-1)-1)/(POWER(C$7,$B$3-1)-1)</f>
        <v>5294.1289006105</v>
      </c>
      <c r="D78" s="1">
        <f t="shared" si="246"/>
        <v>1588.23867018315</v>
      </c>
      <c r="E78" s="1">
        <f t="shared" si="246"/>
        <v>1058.8257801221</v>
      </c>
      <c r="F78" s="1">
        <f t="shared" si="246"/>
        <v>19434.1440655322</v>
      </c>
      <c r="G78" s="1">
        <f t="shared" si="246"/>
        <v>5830.24321965967</v>
      </c>
      <c r="H78" s="1">
        <f t="shared" si="246"/>
        <v>3886.82881310645</v>
      </c>
      <c r="I78" s="1">
        <f t="shared" si="246"/>
        <v>0</v>
      </c>
      <c r="J78" s="1">
        <f>[1]标准模型!$I$65/1*$B78/$B$3</f>
        <v>0.4824</v>
      </c>
      <c r="K78" s="1">
        <f>J78*[1]标准模型!$J$63</f>
        <v>0.4824</v>
      </c>
      <c r="L78" s="1">
        <f t="shared" si="217"/>
        <v>24728.2729661427</v>
      </c>
      <c r="M78" s="1">
        <f t="shared" si="218"/>
        <v>8184.64822433917</v>
      </c>
      <c r="N78" s="1">
        <f t="shared" si="219"/>
        <v>5456.43214955945</v>
      </c>
      <c r="O78" s="1">
        <f t="shared" ref="O78:X78" si="247">O$5+(O$6-O$5)*(POWER(O$7,$B78-1)-1)/(POWER(O$7,$B$3-1)-1)</f>
        <v>0.56614658304724</v>
      </c>
      <c r="P78" s="1">
        <f t="shared" si="247"/>
        <v>0.0373828884798196</v>
      </c>
      <c r="Q78" s="1">
        <f t="shared" si="247"/>
        <v>0.311380620675982</v>
      </c>
      <c r="R78" s="1">
        <f t="shared" si="247"/>
        <v>1.0264586332189</v>
      </c>
      <c r="S78" s="1">
        <f t="shared" si="247"/>
        <v>0.0926052162661361</v>
      </c>
      <c r="T78" s="1">
        <f t="shared" si="247"/>
        <v>2.25797167388424</v>
      </c>
      <c r="U78" s="1">
        <f t="shared" si="247"/>
        <v>1</v>
      </c>
      <c r="V78" s="1">
        <f t="shared" si="247"/>
        <v>1.07213935040024</v>
      </c>
      <c r="W78" s="1">
        <f t="shared" si="247"/>
        <v>1.04070558956753</v>
      </c>
      <c r="X78" s="1">
        <f t="shared" si="247"/>
        <v>1.21166906575117</v>
      </c>
      <c r="Y78" s="1">
        <f t="shared" si="243"/>
        <v>0.872184817894701</v>
      </c>
      <c r="Z78" s="1">
        <f t="shared" si="244"/>
        <v>1.41755427015711</v>
      </c>
      <c r="AA78" s="1">
        <f t="shared" si="221"/>
        <v>35053.6689367662</v>
      </c>
      <c r="AB78" s="1">
        <f t="shared" si="222"/>
        <v>8184.64822433917</v>
      </c>
      <c r="AC78" s="1">
        <f t="shared" si="223"/>
        <v>5456.43214955945</v>
      </c>
      <c r="AD78" s="1">
        <f>AC78/(AC78+[1]战斗公式!$M$27)</f>
        <v>0.185237374365485</v>
      </c>
      <c r="AE78" s="1">
        <f t="shared" si="224"/>
        <v>43023.1675262072</v>
      </c>
      <c r="AF78" s="1">
        <f t="shared" si="225"/>
        <v>6.02689799012645</v>
      </c>
      <c r="AG78" s="1">
        <f t="shared" si="226"/>
        <v>3.7081958953189</v>
      </c>
      <c r="AH78" s="1">
        <f t="shared" si="227"/>
        <v>2.60372874603997</v>
      </c>
      <c r="AI78" s="1">
        <f t="shared" si="228"/>
        <v>0.648363880136937</v>
      </c>
      <c r="AJ78" s="1">
        <f t="shared" si="229"/>
        <v>1.03894536597523</v>
      </c>
      <c r="AK78" s="1">
        <f t="shared" si="230"/>
        <v>1.21084348468055</v>
      </c>
      <c r="AL78" s="1">
        <f t="shared" si="231"/>
        <v>0.834738062204263</v>
      </c>
      <c r="AM78" s="27">
        <f t="shared" si="232"/>
        <v>24613</v>
      </c>
      <c r="AN78" s="27">
        <f t="shared" si="233"/>
        <v>5307</v>
      </c>
      <c r="AO78" s="27">
        <f t="shared" si="234"/>
        <v>5456</v>
      </c>
      <c r="AP78" s="1">
        <f t="shared" si="235"/>
        <v>18337</v>
      </c>
      <c r="AQ78" s="1">
        <f t="shared" si="236"/>
        <v>4430</v>
      </c>
      <c r="AR78"/>
      <c r="AS78" s="1">
        <f t="shared" ref="AS78:AY78" si="248">ROUNDUP(AS$10*$AP78,0)</f>
        <v>18337</v>
      </c>
      <c r="AT78" s="1">
        <f t="shared" si="248"/>
        <v>55011</v>
      </c>
      <c r="AU78" s="1">
        <f t="shared" si="248"/>
        <v>33007</v>
      </c>
      <c r="AV78" s="1">
        <f t="shared" si="248"/>
        <v>9169</v>
      </c>
      <c r="AW78" s="1">
        <f t="shared" si="248"/>
        <v>2751</v>
      </c>
      <c r="AX78" s="1">
        <f t="shared" si="248"/>
        <v>73348</v>
      </c>
      <c r="AY78" s="1">
        <f t="shared" si="248"/>
        <v>165033</v>
      </c>
      <c r="AZ78" s="1">
        <f t="shared" si="238"/>
        <v>1534294</v>
      </c>
      <c r="BA78" s="1">
        <f t="shared" si="239"/>
        <v>767147</v>
      </c>
      <c r="BC78" s="1">
        <f t="shared" si="240"/>
        <v>67</v>
      </c>
    </row>
    <row r="79" s="1" customFormat="1" spans="2:55">
      <c r="B79" s="4">
        <v>68</v>
      </c>
      <c r="C79" s="1">
        <f t="shared" ref="C79:I79" si="249">C$5+(C$6-C$5)*(POWER(C$7,$B79-1)-1)/(POWER(C$7,$B$3-1)-1)</f>
        <v>5373.14335811937</v>
      </c>
      <c r="D79" s="1">
        <f t="shared" si="249"/>
        <v>1611.94300743581</v>
      </c>
      <c r="E79" s="1">
        <f t="shared" si="249"/>
        <v>1074.62867162387</v>
      </c>
      <c r="F79" s="1">
        <f t="shared" si="249"/>
        <v>19724.1971374002</v>
      </c>
      <c r="G79" s="1">
        <f t="shared" si="249"/>
        <v>5917.25914122006</v>
      </c>
      <c r="H79" s="1">
        <f t="shared" si="249"/>
        <v>3944.83942748004</v>
      </c>
      <c r="I79" s="1">
        <f t="shared" si="249"/>
        <v>0</v>
      </c>
      <c r="J79" s="1">
        <f>[1]标准模型!$I$65/1*$B79/$B$3</f>
        <v>0.4896</v>
      </c>
      <c r="K79" s="1">
        <f>J79*[1]标准模型!$J$63</f>
        <v>0.4896</v>
      </c>
      <c r="L79" s="1">
        <f t="shared" si="217"/>
        <v>25097.3404955196</v>
      </c>
      <c r="M79" s="1">
        <f t="shared" si="218"/>
        <v>8318.40944509644</v>
      </c>
      <c r="N79" s="1">
        <f t="shared" si="219"/>
        <v>5545.60629673096</v>
      </c>
      <c r="O79" s="1">
        <f t="shared" ref="O79:X79" si="250">O$5+(O$6-O$5)*(POWER(O$7,$B79-1)-1)/(POWER(O$7,$B$3-1)-1)</f>
        <v>0.567148770428444</v>
      </c>
      <c r="P79" s="1">
        <f t="shared" si="250"/>
        <v>0.0379782199380689</v>
      </c>
      <c r="Q79" s="1">
        <f t="shared" si="250"/>
        <v>0.311931823735644</v>
      </c>
      <c r="R79" s="1">
        <f t="shared" si="250"/>
        <v>1.02685950817138</v>
      </c>
      <c r="S79" s="1">
        <f t="shared" si="250"/>
        <v>0.0940082785998213</v>
      </c>
      <c r="T79" s="1">
        <f t="shared" si="250"/>
        <v>2.26188020467093</v>
      </c>
      <c r="U79" s="1">
        <f t="shared" si="250"/>
        <v>1</v>
      </c>
      <c r="V79" s="1">
        <f t="shared" si="250"/>
        <v>1.07323233424504</v>
      </c>
      <c r="W79" s="1">
        <f t="shared" si="250"/>
        <v>1.04132232026366</v>
      </c>
      <c r="X79" s="1">
        <f t="shared" si="250"/>
        <v>1.21487606537102</v>
      </c>
      <c r="Y79" s="1">
        <f t="shared" si="243"/>
        <v>0.879346574262341</v>
      </c>
      <c r="Z79" s="1">
        <f t="shared" si="244"/>
        <v>1.43022541060241</v>
      </c>
      <c r="AA79" s="1">
        <f t="shared" si="221"/>
        <v>35894.854115233</v>
      </c>
      <c r="AB79" s="1">
        <f t="shared" si="222"/>
        <v>8318.40944509644</v>
      </c>
      <c r="AC79" s="1">
        <f t="shared" si="223"/>
        <v>5545.60629673096</v>
      </c>
      <c r="AD79" s="1">
        <f>AC79/(AC79+[1]战斗公式!$M$27)</f>
        <v>0.18769647984325</v>
      </c>
      <c r="AE79" s="1">
        <f t="shared" si="224"/>
        <v>44188.9678236361</v>
      </c>
      <c r="AF79" s="1">
        <f t="shared" si="225"/>
        <v>6.0410647145466</v>
      </c>
      <c r="AG79" s="1">
        <f t="shared" si="226"/>
        <v>3.71423240158778</v>
      </c>
      <c r="AH79" s="1">
        <f t="shared" si="227"/>
        <v>2.62241843467573</v>
      </c>
      <c r="AI79" s="1">
        <f t="shared" si="228"/>
        <v>0.650765688584984</v>
      </c>
      <c r="AJ79" s="1">
        <f t="shared" si="229"/>
        <v>1.03699809767603</v>
      </c>
      <c r="AK79" s="1">
        <f t="shared" si="230"/>
        <v>1.20662594517955</v>
      </c>
      <c r="AL79" s="1">
        <f t="shared" si="231"/>
        <v>0.83521322048101</v>
      </c>
      <c r="AM79" s="27">
        <f t="shared" si="232"/>
        <v>25343</v>
      </c>
      <c r="AN79" s="27">
        <f t="shared" si="233"/>
        <v>5413</v>
      </c>
      <c r="AO79" s="27">
        <f t="shared" si="234"/>
        <v>5546</v>
      </c>
      <c r="AP79" s="1">
        <f t="shared" si="235"/>
        <v>18802</v>
      </c>
      <c r="AQ79" s="1">
        <f t="shared" si="236"/>
        <v>4521</v>
      </c>
      <c r="AR79"/>
      <c r="AS79" s="1">
        <f t="shared" ref="AS79:AY79" si="251">ROUNDUP(AS$10*$AP79,0)</f>
        <v>18802</v>
      </c>
      <c r="AT79" s="1">
        <f t="shared" si="251"/>
        <v>56406</v>
      </c>
      <c r="AU79" s="1">
        <f t="shared" si="251"/>
        <v>33844</v>
      </c>
      <c r="AV79" s="1">
        <f t="shared" si="251"/>
        <v>9401</v>
      </c>
      <c r="AW79" s="1">
        <f t="shared" si="251"/>
        <v>2821</v>
      </c>
      <c r="AX79" s="1">
        <f t="shared" si="251"/>
        <v>75208</v>
      </c>
      <c r="AY79" s="1">
        <f t="shared" si="251"/>
        <v>169218</v>
      </c>
      <c r="AZ79" s="1">
        <f t="shared" si="238"/>
        <v>1576839</v>
      </c>
      <c r="BA79" s="1">
        <f t="shared" si="239"/>
        <v>788419</v>
      </c>
      <c r="BC79" s="1">
        <f t="shared" si="240"/>
        <v>68</v>
      </c>
    </row>
    <row r="80" s="1" customFormat="1" spans="2:55">
      <c r="B80" s="4">
        <v>69</v>
      </c>
      <c r="C80" s="1">
        <f t="shared" ref="C80:I80" si="252">C$5+(C$6-C$5)*(POWER(C$7,$B80-1)-1)/(POWER(C$7,$B$3-1)-1)</f>
        <v>5452.1577366103</v>
      </c>
      <c r="D80" s="1">
        <f t="shared" si="252"/>
        <v>1635.64732098309</v>
      </c>
      <c r="E80" s="1">
        <f t="shared" si="252"/>
        <v>1090.43154732206</v>
      </c>
      <c r="F80" s="1">
        <f t="shared" si="252"/>
        <v>20014.2499192024</v>
      </c>
      <c r="G80" s="1">
        <f t="shared" si="252"/>
        <v>6004.27497576071</v>
      </c>
      <c r="H80" s="1">
        <f t="shared" si="252"/>
        <v>4002.84998384048</v>
      </c>
      <c r="I80" s="1">
        <f t="shared" si="252"/>
        <v>0</v>
      </c>
      <c r="J80" s="1">
        <f>[1]标准模型!$I$65/1*$B80/$B$3</f>
        <v>0.4968</v>
      </c>
      <c r="K80" s="1">
        <f>J80*[1]标准模型!$J$63</f>
        <v>0.4968</v>
      </c>
      <c r="L80" s="1">
        <f t="shared" si="217"/>
        <v>25466.4076558127</v>
      </c>
      <c r="M80" s="1">
        <f t="shared" si="218"/>
        <v>8452.5118858082</v>
      </c>
      <c r="N80" s="1">
        <f t="shared" si="219"/>
        <v>5635.00792387214</v>
      </c>
      <c r="O80" s="1">
        <f t="shared" ref="O80:X80" si="253">O$5+(O$6-O$5)*(POWER(O$7,$B80-1)-1)/(POWER(O$7,$B$3-1)-1)</f>
        <v>0.568150956807416</v>
      </c>
      <c r="P80" s="1">
        <f t="shared" si="253"/>
        <v>0.0385744443935056</v>
      </c>
      <c r="Q80" s="1">
        <f t="shared" si="253"/>
        <v>0.312483026244079</v>
      </c>
      <c r="R80" s="1">
        <f t="shared" si="253"/>
        <v>1.02726038272297</v>
      </c>
      <c r="S80" s="1">
        <f t="shared" si="253"/>
        <v>0.0954113395303826</v>
      </c>
      <c r="T80" s="1">
        <f t="shared" si="253"/>
        <v>2.26578873154892</v>
      </c>
      <c r="U80" s="1">
        <f t="shared" si="253"/>
        <v>1</v>
      </c>
      <c r="V80" s="1">
        <f t="shared" si="253"/>
        <v>1.07432531699681</v>
      </c>
      <c r="W80" s="1">
        <f t="shared" si="253"/>
        <v>1.04193905034303</v>
      </c>
      <c r="X80" s="1">
        <f t="shared" si="253"/>
        <v>1.21808306178373</v>
      </c>
      <c r="Y80" s="1">
        <f t="shared" si="243"/>
        <v>0.886561087533853</v>
      </c>
      <c r="Z80" s="1">
        <f t="shared" si="244"/>
        <v>1.44299988215748</v>
      </c>
      <c r="AA80" s="1">
        <f t="shared" si="221"/>
        <v>36748.0232463121</v>
      </c>
      <c r="AB80" s="1">
        <f t="shared" si="222"/>
        <v>8452.5118858082</v>
      </c>
      <c r="AC80" s="1">
        <f t="shared" si="223"/>
        <v>5635.00792387214</v>
      </c>
      <c r="AD80" s="1">
        <f>AC80/(AC80+[1]战斗公式!$M$27)</f>
        <v>0.19014700243535</v>
      </c>
      <c r="AE80" s="1">
        <f t="shared" si="224"/>
        <v>45376.1650037957</v>
      </c>
      <c r="AF80" s="1">
        <f t="shared" si="225"/>
        <v>6.05526748948155</v>
      </c>
      <c r="AG80" s="1">
        <f t="shared" si="226"/>
        <v>3.72028064392959</v>
      </c>
      <c r="AH80" s="1">
        <f t="shared" si="227"/>
        <v>2.64096795064671</v>
      </c>
      <c r="AI80" s="1">
        <f t="shared" si="228"/>
        <v>0.653172300649927</v>
      </c>
      <c r="AJ80" s="1">
        <f t="shared" si="229"/>
        <v>1.03514819279179</v>
      </c>
      <c r="AK80" s="1">
        <f t="shared" si="230"/>
        <v>1.20249275646857</v>
      </c>
      <c r="AL80" s="1">
        <f t="shared" si="231"/>
        <v>0.835686953282927</v>
      </c>
      <c r="AM80" s="27">
        <f t="shared" si="232"/>
        <v>26087</v>
      </c>
      <c r="AN80" s="27">
        <f t="shared" si="233"/>
        <v>5521</v>
      </c>
      <c r="AO80" s="27">
        <f t="shared" si="234"/>
        <v>5635</v>
      </c>
      <c r="AP80" s="1">
        <f t="shared" si="235"/>
        <v>19273</v>
      </c>
      <c r="AQ80" s="1">
        <f t="shared" si="236"/>
        <v>4614</v>
      </c>
      <c r="AR80"/>
      <c r="AS80" s="1">
        <f t="shared" ref="AS80:AY80" si="254">ROUNDUP(AS$10*$AP80,0)</f>
        <v>19273</v>
      </c>
      <c r="AT80" s="1">
        <f t="shared" si="254"/>
        <v>57819</v>
      </c>
      <c r="AU80" s="1">
        <f t="shared" si="254"/>
        <v>34692</v>
      </c>
      <c r="AV80" s="1">
        <f t="shared" si="254"/>
        <v>9637</v>
      </c>
      <c r="AW80" s="1">
        <f t="shared" si="254"/>
        <v>2891</v>
      </c>
      <c r="AX80" s="1">
        <f t="shared" si="254"/>
        <v>77092</v>
      </c>
      <c r="AY80" s="1">
        <f t="shared" si="254"/>
        <v>173457</v>
      </c>
      <c r="AZ80" s="1">
        <f t="shared" si="238"/>
        <v>1620235</v>
      </c>
      <c r="BA80" s="1">
        <f t="shared" si="239"/>
        <v>810117</v>
      </c>
      <c r="BC80" s="1">
        <f t="shared" si="240"/>
        <v>69</v>
      </c>
    </row>
    <row r="81" s="1" customFormat="1" spans="2:55">
      <c r="B81" s="4">
        <v>70</v>
      </c>
      <c r="C81" s="1">
        <f t="shared" ref="C81:I81" si="255">C$5+(C$6-C$5)*(POWER(C$7,$B81-1)-1)/(POWER(C$7,$B$3-1)-1)</f>
        <v>5531.17203609209</v>
      </c>
      <c r="D81" s="1">
        <f t="shared" si="255"/>
        <v>1659.35161082763</v>
      </c>
      <c r="E81" s="1">
        <f t="shared" si="255"/>
        <v>1106.23440721842</v>
      </c>
      <c r="F81" s="1">
        <f t="shared" si="255"/>
        <v>20304.302410971</v>
      </c>
      <c r="G81" s="1">
        <f t="shared" si="255"/>
        <v>6091.29072329129</v>
      </c>
      <c r="H81" s="1">
        <f t="shared" si="255"/>
        <v>4060.86048219419</v>
      </c>
      <c r="I81" s="1">
        <f t="shared" si="255"/>
        <v>0</v>
      </c>
      <c r="J81" s="1">
        <f>[1]标准模型!$I$65/1*$B81/$B$3</f>
        <v>0.504</v>
      </c>
      <c r="K81" s="1">
        <f>J81*[1]标准模型!$J$63</f>
        <v>0.504</v>
      </c>
      <c r="L81" s="1">
        <f t="shared" si="217"/>
        <v>25835.4744470631</v>
      </c>
      <c r="M81" s="1">
        <f t="shared" si="218"/>
        <v>8586.95554597604</v>
      </c>
      <c r="N81" s="1">
        <f t="shared" si="219"/>
        <v>5724.63703065069</v>
      </c>
      <c r="O81" s="1">
        <f t="shared" ref="O81:X81" si="256">O$5+(O$6-O$5)*(POWER(O$7,$B81-1)-1)/(POWER(O$7,$B$3-1)-1)</f>
        <v>0.569153142184268</v>
      </c>
      <c r="P81" s="1">
        <f t="shared" si="256"/>
        <v>0.0391715631856255</v>
      </c>
      <c r="Q81" s="1">
        <f t="shared" si="256"/>
        <v>0.313034228201348</v>
      </c>
      <c r="R81" s="1">
        <f t="shared" si="256"/>
        <v>1.02766125687371</v>
      </c>
      <c r="S81" s="1">
        <f t="shared" si="256"/>
        <v>0.0968143990579758</v>
      </c>
      <c r="T81" s="1">
        <f t="shared" si="256"/>
        <v>2.26969725451865</v>
      </c>
      <c r="U81" s="1">
        <f t="shared" si="256"/>
        <v>1</v>
      </c>
      <c r="V81" s="1">
        <f t="shared" si="256"/>
        <v>1.07541829865566</v>
      </c>
      <c r="W81" s="1">
        <f t="shared" si="256"/>
        <v>1.0425557798057</v>
      </c>
      <c r="X81" s="1">
        <f t="shared" si="256"/>
        <v>1.22129005498966</v>
      </c>
      <c r="Y81" s="1">
        <f t="shared" si="243"/>
        <v>0.893828711541714</v>
      </c>
      <c r="Z81" s="1">
        <f t="shared" si="244"/>
        <v>1.45587845640125</v>
      </c>
      <c r="AA81" s="1">
        <f t="shared" si="221"/>
        <v>37613.3106583842</v>
      </c>
      <c r="AB81" s="1">
        <f t="shared" si="222"/>
        <v>8586.95554597604</v>
      </c>
      <c r="AC81" s="1">
        <f t="shared" si="223"/>
        <v>5724.63703065069</v>
      </c>
      <c r="AD81" s="1">
        <f>AC81/(AC81+[1]战斗公式!$M$27)</f>
        <v>0.192588963315102</v>
      </c>
      <c r="AE81" s="1">
        <f t="shared" si="224"/>
        <v>46585.083618399</v>
      </c>
      <c r="AF81" s="1">
        <f t="shared" si="225"/>
        <v>6.06950626205277</v>
      </c>
      <c r="AG81" s="1">
        <f t="shared" si="226"/>
        <v>3.72634057331624</v>
      </c>
      <c r="AH81" s="1">
        <f t="shared" si="227"/>
        <v>2.65937834524791</v>
      </c>
      <c r="AI81" s="1">
        <f t="shared" si="228"/>
        <v>0.655583725939</v>
      </c>
      <c r="AJ81" s="1">
        <f t="shared" si="229"/>
        <v>1.03339078315176</v>
      </c>
      <c r="AK81" s="1">
        <f t="shared" si="230"/>
        <v>1.19844223153181</v>
      </c>
      <c r="AL81" s="1">
        <f t="shared" si="231"/>
        <v>0.836159264886438</v>
      </c>
      <c r="AM81" s="27">
        <f t="shared" si="232"/>
        <v>26844</v>
      </c>
      <c r="AN81" s="27">
        <f t="shared" si="233"/>
        <v>5629</v>
      </c>
      <c r="AO81" s="27">
        <f t="shared" si="234"/>
        <v>5725</v>
      </c>
      <c r="AP81" s="1">
        <f t="shared" si="235"/>
        <v>19751</v>
      </c>
      <c r="AQ81" s="1">
        <f t="shared" si="236"/>
        <v>4707</v>
      </c>
      <c r="AR81"/>
      <c r="AS81" s="1">
        <f t="shared" ref="AS81:AY81" si="257">ROUNDUP(AS$10*$AP81,0)</f>
        <v>19751</v>
      </c>
      <c r="AT81" s="1">
        <f t="shared" si="257"/>
        <v>59253</v>
      </c>
      <c r="AU81" s="1">
        <f t="shared" si="257"/>
        <v>35552</v>
      </c>
      <c r="AV81" s="1">
        <f t="shared" si="257"/>
        <v>9876</v>
      </c>
      <c r="AW81" s="1">
        <f t="shared" si="257"/>
        <v>2963</v>
      </c>
      <c r="AX81" s="1">
        <f t="shared" si="257"/>
        <v>79004</v>
      </c>
      <c r="AY81" s="1">
        <f t="shared" si="257"/>
        <v>177759</v>
      </c>
      <c r="AZ81" s="1">
        <f t="shared" si="238"/>
        <v>1664421</v>
      </c>
      <c r="BA81" s="1">
        <f t="shared" si="239"/>
        <v>832210</v>
      </c>
      <c r="BC81" s="1">
        <f t="shared" si="240"/>
        <v>70</v>
      </c>
    </row>
    <row r="82" s="1" customFormat="1" spans="2:55">
      <c r="B82" s="4">
        <v>71</v>
      </c>
      <c r="C82" s="1">
        <f t="shared" ref="C82:I82" si="258">C$5+(C$6-C$5)*(POWER(C$7,$B82-1)-1)/(POWER(C$7,$B$3-1)-1)</f>
        <v>5610.18625656472</v>
      </c>
      <c r="D82" s="1">
        <f t="shared" si="258"/>
        <v>1683.05587696942</v>
      </c>
      <c r="E82" s="1">
        <f t="shared" si="258"/>
        <v>1122.03725131294</v>
      </c>
      <c r="F82" s="1">
        <f t="shared" si="258"/>
        <v>20594.354612706</v>
      </c>
      <c r="G82" s="1">
        <f t="shared" si="258"/>
        <v>6178.30638381179</v>
      </c>
      <c r="H82" s="1">
        <f t="shared" si="258"/>
        <v>4118.87092254119</v>
      </c>
      <c r="I82" s="1">
        <f t="shared" si="258"/>
        <v>0</v>
      </c>
      <c r="J82" s="1">
        <f>[1]标准模型!$I$65/1*$B82/$B$3</f>
        <v>0.5112</v>
      </c>
      <c r="K82" s="1">
        <f>J82*[1]标准模型!$J$63</f>
        <v>0.5112</v>
      </c>
      <c r="L82" s="1">
        <f t="shared" si="217"/>
        <v>26204.5408692707</v>
      </c>
      <c r="M82" s="1">
        <f t="shared" si="218"/>
        <v>8721.74042508798</v>
      </c>
      <c r="N82" s="1">
        <f t="shared" si="219"/>
        <v>5814.49361672531</v>
      </c>
      <c r="O82" s="1">
        <f t="shared" ref="O82:X82" si="259">O$5+(O$6-O$5)*(POWER(O$7,$B82-1)-1)/(POWER(O$7,$B$3-1)-1)</f>
        <v>0.570155326559001</v>
      </c>
      <c r="P82" s="1">
        <f t="shared" si="259"/>
        <v>0.0397695776559335</v>
      </c>
      <c r="Q82" s="1">
        <f t="shared" si="259"/>
        <v>0.31358542960745</v>
      </c>
      <c r="R82" s="1">
        <f t="shared" si="259"/>
        <v>1.0280621306236</v>
      </c>
      <c r="S82" s="1">
        <f t="shared" si="259"/>
        <v>0.0982174571826008</v>
      </c>
      <c r="T82" s="1">
        <f t="shared" si="259"/>
        <v>2.2736057735801</v>
      </c>
      <c r="U82" s="1">
        <f t="shared" si="259"/>
        <v>1</v>
      </c>
      <c r="V82" s="1">
        <f t="shared" si="259"/>
        <v>1.07651127922161</v>
      </c>
      <c r="W82" s="1">
        <f t="shared" si="259"/>
        <v>1.04317250865169</v>
      </c>
      <c r="X82" s="1">
        <f t="shared" si="259"/>
        <v>1.2244970449888</v>
      </c>
      <c r="Y82" s="1">
        <f t="shared" si="243"/>
        <v>0.901149802038469</v>
      </c>
      <c r="Z82" s="1">
        <f t="shared" si="244"/>
        <v>1.4688619097856</v>
      </c>
      <c r="AA82" s="1">
        <f t="shared" si="221"/>
        <v>38490.8519462918</v>
      </c>
      <c r="AB82" s="1">
        <f t="shared" si="222"/>
        <v>8721.74042508798</v>
      </c>
      <c r="AC82" s="1">
        <f t="shared" si="223"/>
        <v>5814.49361672531</v>
      </c>
      <c r="AD82" s="1">
        <f>AC82/(AC82+[1]战斗公式!$M$27)</f>
        <v>0.195022383793347</v>
      </c>
      <c r="AE82" s="1">
        <f t="shared" si="224"/>
        <v>47816.0524856265</v>
      </c>
      <c r="AF82" s="1">
        <f t="shared" si="225"/>
        <v>6.08378097972324</v>
      </c>
      <c r="AG82" s="1">
        <f t="shared" si="226"/>
        <v>3.732412140991</v>
      </c>
      <c r="AH82" s="1">
        <f t="shared" si="227"/>
        <v>2.67765066188961</v>
      </c>
      <c r="AI82" s="1">
        <f t="shared" si="228"/>
        <v>0.657999974078652</v>
      </c>
      <c r="AJ82" s="1">
        <f t="shared" si="229"/>
        <v>1.03172124399373</v>
      </c>
      <c r="AK82" s="1">
        <f t="shared" si="230"/>
        <v>1.19447271709378</v>
      </c>
      <c r="AL82" s="1">
        <f t="shared" si="231"/>
        <v>0.836630159555138</v>
      </c>
      <c r="AM82" s="27">
        <f t="shared" si="232"/>
        <v>27614</v>
      </c>
      <c r="AN82" s="27">
        <f t="shared" si="233"/>
        <v>5739</v>
      </c>
      <c r="AO82" s="27">
        <f t="shared" si="234"/>
        <v>5814</v>
      </c>
      <c r="AP82" s="1">
        <f t="shared" si="235"/>
        <v>20236</v>
      </c>
      <c r="AQ82" s="1">
        <f t="shared" si="236"/>
        <v>4801</v>
      </c>
      <c r="AR82"/>
      <c r="AS82" s="1">
        <f t="shared" ref="AS82:AY82" si="260">ROUNDUP(AS$10*$AP82,0)</f>
        <v>20236</v>
      </c>
      <c r="AT82" s="1">
        <f t="shared" si="260"/>
        <v>60708</v>
      </c>
      <c r="AU82" s="1">
        <f t="shared" si="260"/>
        <v>36425</v>
      </c>
      <c r="AV82" s="1">
        <f t="shared" si="260"/>
        <v>10118</v>
      </c>
      <c r="AW82" s="1">
        <f t="shared" si="260"/>
        <v>3036</v>
      </c>
      <c r="AX82" s="1">
        <f t="shared" si="260"/>
        <v>80944</v>
      </c>
      <c r="AY82" s="1">
        <f t="shared" si="260"/>
        <v>182124</v>
      </c>
      <c r="AZ82" s="1">
        <f t="shared" si="238"/>
        <v>1709397</v>
      </c>
      <c r="BA82" s="1">
        <f t="shared" si="239"/>
        <v>854699</v>
      </c>
      <c r="BC82" s="1">
        <f t="shared" si="240"/>
        <v>71</v>
      </c>
    </row>
    <row r="83" s="1" customFormat="1" spans="2:55">
      <c r="B83" s="4">
        <v>72</v>
      </c>
      <c r="C83" s="1">
        <f t="shared" ref="C83:I83" si="261">C$5+(C$6-C$5)*(POWER(C$7,$B83-1)-1)/(POWER(C$7,$B$3-1)-1)</f>
        <v>5689.20039801943</v>
      </c>
      <c r="D83" s="1">
        <f t="shared" si="261"/>
        <v>1706.76011940583</v>
      </c>
      <c r="E83" s="1">
        <f t="shared" si="261"/>
        <v>1137.84007960389</v>
      </c>
      <c r="F83" s="1">
        <f t="shared" si="261"/>
        <v>20884.4065243751</v>
      </c>
      <c r="G83" s="1">
        <f t="shared" si="261"/>
        <v>6265.32195731254</v>
      </c>
      <c r="H83" s="1">
        <f t="shared" si="261"/>
        <v>4176.88130487503</v>
      </c>
      <c r="I83" s="1">
        <f t="shared" si="261"/>
        <v>0</v>
      </c>
      <c r="J83" s="1">
        <f>[1]标准模型!$I$65/1*$B83/$B$3</f>
        <v>0.5184</v>
      </c>
      <c r="K83" s="1">
        <f>J83*[1]标准模型!$J$63</f>
        <v>0.5184</v>
      </c>
      <c r="L83" s="1">
        <f t="shared" si="217"/>
        <v>26573.6069223945</v>
      </c>
      <c r="M83" s="1">
        <f t="shared" si="218"/>
        <v>8856.86652261835</v>
      </c>
      <c r="N83" s="1">
        <f t="shared" si="219"/>
        <v>5904.57768174558</v>
      </c>
      <c r="O83" s="1">
        <f t="shared" ref="O83:X83" si="262">O$5+(O$6-O$5)*(POWER(O$7,$B83-1)-1)/(POWER(O$7,$B$3-1)-1)</f>
        <v>0.571157509931501</v>
      </c>
      <c r="P83" s="1">
        <f t="shared" si="262"/>
        <v>0.0403684891479471</v>
      </c>
      <c r="Q83" s="1">
        <f t="shared" si="262"/>
        <v>0.314136630462326</v>
      </c>
      <c r="R83" s="1">
        <f t="shared" si="262"/>
        <v>1.0284630039726</v>
      </c>
      <c r="S83" s="1">
        <f t="shared" si="262"/>
        <v>0.099620513904102</v>
      </c>
      <c r="T83" s="1">
        <f t="shared" si="262"/>
        <v>2.27751428873286</v>
      </c>
      <c r="U83" s="1">
        <f t="shared" si="262"/>
        <v>1</v>
      </c>
      <c r="V83" s="1">
        <f t="shared" si="262"/>
        <v>1.07760425869453</v>
      </c>
      <c r="W83" s="1">
        <f t="shared" si="262"/>
        <v>1.04378923688092</v>
      </c>
      <c r="X83" s="1">
        <f t="shared" si="262"/>
        <v>1.2277040317808</v>
      </c>
      <c r="Y83" s="1">
        <f t="shared" si="243"/>
        <v>0.908524716703728</v>
      </c>
      <c r="Z83" s="1">
        <f t="shared" si="244"/>
        <v>1.48195102365851</v>
      </c>
      <c r="AA83" s="1">
        <f t="shared" si="221"/>
        <v>39380.7839809415</v>
      </c>
      <c r="AB83" s="1">
        <f t="shared" si="222"/>
        <v>8856.86652261835</v>
      </c>
      <c r="AC83" s="1">
        <f t="shared" si="223"/>
        <v>5904.57768174558</v>
      </c>
      <c r="AD83" s="1">
        <f>AC83/(AC83+[1]战斗公式!$M$27)</f>
        <v>0.197447285314779</v>
      </c>
      <c r="AE83" s="1">
        <f t="shared" si="224"/>
        <v>49069.4047385878</v>
      </c>
      <c r="AF83" s="1">
        <f t="shared" si="225"/>
        <v>6.09809159029386</v>
      </c>
      <c r="AG83" s="1">
        <f t="shared" si="226"/>
        <v>3.73849529846661</v>
      </c>
      <c r="AH83" s="1">
        <f t="shared" si="227"/>
        <v>2.69578593615649</v>
      </c>
      <c r="AI83" s="1">
        <f t="shared" si="228"/>
        <v>0.660421054714582</v>
      </c>
      <c r="AJ83" s="1">
        <f t="shared" si="229"/>
        <v>1.0301351817936</v>
      </c>
      <c r="AK83" s="1">
        <f t="shared" si="230"/>
        <v>1.19058259294452</v>
      </c>
      <c r="AL83" s="1">
        <f t="shared" si="231"/>
        <v>0.837099641539832</v>
      </c>
      <c r="AM83" s="27">
        <f t="shared" si="232"/>
        <v>28397</v>
      </c>
      <c r="AN83" s="27">
        <f t="shared" si="233"/>
        <v>5849</v>
      </c>
      <c r="AO83" s="27">
        <f t="shared" si="234"/>
        <v>5905</v>
      </c>
      <c r="AP83" s="1">
        <f t="shared" si="235"/>
        <v>20727</v>
      </c>
      <c r="AQ83" s="1">
        <f t="shared" si="236"/>
        <v>4896</v>
      </c>
      <c r="AR83"/>
      <c r="AS83" s="1">
        <f t="shared" ref="AS83:AY83" si="263">ROUNDUP(AS$10*$AP83,0)</f>
        <v>20727</v>
      </c>
      <c r="AT83" s="1">
        <f t="shared" si="263"/>
        <v>62181</v>
      </c>
      <c r="AU83" s="1">
        <f t="shared" si="263"/>
        <v>37309</v>
      </c>
      <c r="AV83" s="1">
        <f t="shared" si="263"/>
        <v>10364</v>
      </c>
      <c r="AW83" s="1">
        <f t="shared" si="263"/>
        <v>3110</v>
      </c>
      <c r="AX83" s="1">
        <f t="shared" si="263"/>
        <v>82908</v>
      </c>
      <c r="AY83" s="1">
        <f t="shared" si="263"/>
        <v>186543</v>
      </c>
      <c r="AZ83" s="1">
        <f t="shared" si="238"/>
        <v>1755165</v>
      </c>
      <c r="BA83" s="1">
        <f t="shared" si="239"/>
        <v>877582</v>
      </c>
      <c r="BC83" s="1">
        <f t="shared" si="240"/>
        <v>72</v>
      </c>
    </row>
    <row r="84" s="1" customFormat="1" spans="2:55">
      <c r="B84" s="4">
        <v>73</v>
      </c>
      <c r="C84" s="1">
        <f t="shared" ref="C84:I84" si="264">C$5+(C$6-C$5)*(POWER(C$7,$B84-1)-1)/(POWER(C$7,$B$3-1)-1)</f>
        <v>5768.21446045622</v>
      </c>
      <c r="D84" s="1">
        <f t="shared" si="264"/>
        <v>1730.46433813687</v>
      </c>
      <c r="E84" s="1">
        <f t="shared" si="264"/>
        <v>1153.64289209124</v>
      </c>
      <c r="F84" s="1">
        <f t="shared" si="264"/>
        <v>21174.4581459785</v>
      </c>
      <c r="G84" s="1">
        <f t="shared" si="264"/>
        <v>6352.33744379356</v>
      </c>
      <c r="H84" s="1">
        <f t="shared" si="264"/>
        <v>4234.89162919571</v>
      </c>
      <c r="I84" s="1">
        <f t="shared" si="264"/>
        <v>0</v>
      </c>
      <c r="J84" s="1">
        <f>[1]标准模型!$I$65/1*$B84/$B$3</f>
        <v>0.5256</v>
      </c>
      <c r="K84" s="1">
        <f>J84*[1]标准模型!$J$63</f>
        <v>0.5256</v>
      </c>
      <c r="L84" s="1">
        <f t="shared" si="217"/>
        <v>26942.6726064347</v>
      </c>
      <c r="M84" s="1">
        <f t="shared" si="218"/>
        <v>8992.33383805517</v>
      </c>
      <c r="N84" s="1">
        <f t="shared" si="219"/>
        <v>5994.88922537011</v>
      </c>
      <c r="O84" s="1">
        <f t="shared" ref="O84:X84" si="265">O$5+(O$6-O$5)*(POWER(O$7,$B84-1)-1)/(POWER(O$7,$B$3-1)-1)</f>
        <v>0.572159692301771</v>
      </c>
      <c r="P84" s="1">
        <f t="shared" si="265"/>
        <v>0.0409682990071986</v>
      </c>
      <c r="Q84" s="1">
        <f t="shared" si="265"/>
        <v>0.314687830765974</v>
      </c>
      <c r="R84" s="1">
        <f t="shared" si="265"/>
        <v>1.02886387692071</v>
      </c>
      <c r="S84" s="1">
        <f t="shared" si="265"/>
        <v>0.101023569222479</v>
      </c>
      <c r="T84" s="1">
        <f t="shared" si="265"/>
        <v>2.28142279997691</v>
      </c>
      <c r="U84" s="1">
        <f t="shared" si="265"/>
        <v>1</v>
      </c>
      <c r="V84" s="1">
        <f t="shared" si="265"/>
        <v>1.07869723707441</v>
      </c>
      <c r="W84" s="1">
        <f t="shared" si="265"/>
        <v>1.0444059644934</v>
      </c>
      <c r="X84" s="1">
        <f t="shared" si="265"/>
        <v>1.23091101536567</v>
      </c>
      <c r="Y84" s="1">
        <f t="shared" si="243"/>
        <v>0.915953815152631</v>
      </c>
      <c r="Z84" s="1">
        <f t="shared" si="244"/>
        <v>1.49514658428995</v>
      </c>
      <c r="AA84" s="1">
        <f t="shared" si="221"/>
        <v>40283.2449191533</v>
      </c>
      <c r="AB84" s="1">
        <f t="shared" si="222"/>
        <v>8992.33383805517</v>
      </c>
      <c r="AC84" s="1">
        <f t="shared" si="223"/>
        <v>5994.88922537011</v>
      </c>
      <c r="AD84" s="1">
        <f>AC84/(AC84+[1]战斗公式!$M$27)</f>
        <v>0.199863689454787</v>
      </c>
      <c r="AE84" s="1">
        <f t="shared" si="224"/>
        <v>50345.477874519</v>
      </c>
      <c r="AF84" s="1">
        <f t="shared" si="225"/>
        <v>6.11243804190478</v>
      </c>
      <c r="AG84" s="1">
        <f t="shared" si="226"/>
        <v>3.74458999752563</v>
      </c>
      <c r="AH84" s="1">
        <f t="shared" si="227"/>
        <v>2.71378519586637</v>
      </c>
      <c r="AI84" s="1">
        <f t="shared" si="228"/>
        <v>0.662846977511784</v>
      </c>
      <c r="AJ84" s="1">
        <f t="shared" si="229"/>
        <v>1.02862842270348</v>
      </c>
      <c r="AK84" s="1">
        <f t="shared" si="230"/>
        <v>1.18677027127824</v>
      </c>
      <c r="AL84" s="1">
        <f t="shared" si="231"/>
        <v>0.837567715078573</v>
      </c>
      <c r="AM84" s="27">
        <f t="shared" si="232"/>
        <v>29194</v>
      </c>
      <c r="AN84" s="27">
        <f t="shared" si="233"/>
        <v>5961</v>
      </c>
      <c r="AO84" s="27">
        <f t="shared" si="234"/>
        <v>5995</v>
      </c>
      <c r="AP84" s="1">
        <f t="shared" si="235"/>
        <v>21225</v>
      </c>
      <c r="AQ84" s="1">
        <f t="shared" si="236"/>
        <v>4993</v>
      </c>
      <c r="AR84"/>
      <c r="AS84" s="1">
        <f t="shared" ref="AS84:AY84" si="266">ROUNDUP(AS$10*$AP84,0)</f>
        <v>21225</v>
      </c>
      <c r="AT84" s="1">
        <f t="shared" si="266"/>
        <v>63675</v>
      </c>
      <c r="AU84" s="1">
        <f t="shared" si="266"/>
        <v>38205</v>
      </c>
      <c r="AV84" s="1">
        <f t="shared" si="266"/>
        <v>10613</v>
      </c>
      <c r="AW84" s="1">
        <f t="shared" si="266"/>
        <v>3184</v>
      </c>
      <c r="AX84" s="1">
        <f t="shared" si="266"/>
        <v>84900</v>
      </c>
      <c r="AY84" s="1">
        <f t="shared" si="266"/>
        <v>191025</v>
      </c>
      <c r="AZ84" s="1">
        <f t="shared" si="238"/>
        <v>1801787</v>
      </c>
      <c r="BA84" s="1">
        <f t="shared" si="239"/>
        <v>900893</v>
      </c>
      <c r="BC84" s="1">
        <f t="shared" si="240"/>
        <v>73</v>
      </c>
    </row>
    <row r="85" s="1" customFormat="1" spans="2:55">
      <c r="B85" s="4">
        <v>74</v>
      </c>
      <c r="C85" s="1">
        <f t="shared" ref="C85:I85" si="267">C$5+(C$6-C$5)*(POWER(C$7,$B85-1)-1)/(POWER(C$7,$B$3-1)-1)</f>
        <v>5847.22844388385</v>
      </c>
      <c r="D85" s="1">
        <f t="shared" si="267"/>
        <v>1754.16853316516</v>
      </c>
      <c r="E85" s="1">
        <f t="shared" si="267"/>
        <v>1169.44568877677</v>
      </c>
      <c r="F85" s="1">
        <f t="shared" si="267"/>
        <v>21464.5094775483</v>
      </c>
      <c r="G85" s="1">
        <f t="shared" si="267"/>
        <v>6439.3528432645</v>
      </c>
      <c r="H85" s="1">
        <f t="shared" si="267"/>
        <v>4292.90189550967</v>
      </c>
      <c r="I85" s="1">
        <f t="shared" si="267"/>
        <v>0</v>
      </c>
      <c r="J85" s="1">
        <f>[1]标准模型!$I$65/1*$B85/$B$3</f>
        <v>0.5328</v>
      </c>
      <c r="K85" s="1">
        <f>J85*[1]标准模型!$J$63</f>
        <v>0.5328</v>
      </c>
      <c r="L85" s="1">
        <f t="shared" si="217"/>
        <v>27311.7379214322</v>
      </c>
      <c r="M85" s="1">
        <f t="shared" si="218"/>
        <v>9128.14237090006</v>
      </c>
      <c r="N85" s="1">
        <f t="shared" si="219"/>
        <v>6085.4282472667</v>
      </c>
      <c r="O85" s="1">
        <f t="shared" ref="O85:X85" si="268">O$5+(O$6-O$5)*(POWER(O$7,$B85-1)-1)/(POWER(O$7,$B$3-1)-1)</f>
        <v>0.57316187366992</v>
      </c>
      <c r="P85" s="1">
        <f t="shared" si="268"/>
        <v>0.041569008581239</v>
      </c>
      <c r="Q85" s="1">
        <f t="shared" si="268"/>
        <v>0.315239030518456</v>
      </c>
      <c r="R85" s="1">
        <f t="shared" si="268"/>
        <v>1.02926474946797</v>
      </c>
      <c r="S85" s="1">
        <f t="shared" si="268"/>
        <v>0.102426623137888</v>
      </c>
      <c r="T85" s="1">
        <f t="shared" si="268"/>
        <v>2.28533130731269</v>
      </c>
      <c r="U85" s="1">
        <f t="shared" si="268"/>
        <v>1</v>
      </c>
      <c r="V85" s="1">
        <f t="shared" si="268"/>
        <v>1.07979021436138</v>
      </c>
      <c r="W85" s="1">
        <f t="shared" si="268"/>
        <v>1.04502269148918</v>
      </c>
      <c r="X85" s="1">
        <f t="shared" si="268"/>
        <v>1.23411799574374</v>
      </c>
      <c r="Y85" s="1">
        <f t="shared" si="243"/>
        <v>0.92343745894293</v>
      </c>
      <c r="Z85" s="1">
        <f t="shared" si="244"/>
        <v>1.50844938289526</v>
      </c>
      <c r="AA85" s="1">
        <f t="shared" si="221"/>
        <v>41198.3742133814</v>
      </c>
      <c r="AB85" s="1">
        <f t="shared" si="222"/>
        <v>9128.14237090006</v>
      </c>
      <c r="AC85" s="1">
        <f t="shared" si="223"/>
        <v>6085.4282472667</v>
      </c>
      <c r="AD85" s="1">
        <f>AC85/(AC85+[1]战斗公式!$M$27)</f>
        <v>0.202271617915878</v>
      </c>
      <c r="AE85" s="1">
        <f t="shared" si="224"/>
        <v>51644.613804197</v>
      </c>
      <c r="AF85" s="1">
        <f t="shared" si="225"/>
        <v>6.12682028303185</v>
      </c>
      <c r="AG85" s="1">
        <f t="shared" si="226"/>
        <v>3.75069619021866</v>
      </c>
      <c r="AH85" s="1">
        <f t="shared" si="227"/>
        <v>2.73164946112842</v>
      </c>
      <c r="AI85" s="1">
        <f t="shared" si="228"/>
        <v>0.665277752154581</v>
      </c>
      <c r="AJ85" s="1">
        <f t="shared" si="229"/>
        <v>1.02719700156787</v>
      </c>
      <c r="AK85" s="1">
        <f t="shared" si="230"/>
        <v>1.18303419604529</v>
      </c>
      <c r="AL85" s="1">
        <f t="shared" si="231"/>
        <v>0.838034384396697</v>
      </c>
      <c r="AM85" s="27">
        <f t="shared" si="232"/>
        <v>30005</v>
      </c>
      <c r="AN85" s="27">
        <f t="shared" si="233"/>
        <v>6073</v>
      </c>
      <c r="AO85" s="27">
        <f t="shared" si="234"/>
        <v>6085</v>
      </c>
      <c r="AP85" s="1">
        <f t="shared" si="235"/>
        <v>21730</v>
      </c>
      <c r="AQ85" s="1">
        <f t="shared" si="236"/>
        <v>5089</v>
      </c>
      <c r="AR85"/>
      <c r="AS85" s="1">
        <f t="shared" ref="AS85:AY85" si="269">ROUNDUP(AS$10*$AP85,0)</f>
        <v>21730</v>
      </c>
      <c r="AT85" s="1">
        <f t="shared" si="269"/>
        <v>65190</v>
      </c>
      <c r="AU85" s="1">
        <f t="shared" si="269"/>
        <v>39114</v>
      </c>
      <c r="AV85" s="1">
        <f t="shared" si="269"/>
        <v>10865</v>
      </c>
      <c r="AW85" s="1">
        <f t="shared" si="269"/>
        <v>3260</v>
      </c>
      <c r="AX85" s="1">
        <f t="shared" si="269"/>
        <v>86920</v>
      </c>
      <c r="AY85" s="1">
        <f t="shared" si="269"/>
        <v>195570</v>
      </c>
      <c r="AZ85" s="1">
        <f t="shared" si="238"/>
        <v>1849263</v>
      </c>
      <c r="BA85" s="1">
        <f t="shared" si="239"/>
        <v>924631</v>
      </c>
      <c r="BC85" s="1">
        <f t="shared" si="240"/>
        <v>74</v>
      </c>
    </row>
    <row r="86" s="1" customFormat="1" spans="2:55">
      <c r="B86" s="4">
        <v>75</v>
      </c>
      <c r="C86" s="1">
        <f t="shared" ref="C86:I86" si="270">C$5+(C$6-C$5)*(POWER(C$7,$B86-1)-1)/(POWER(C$7,$B$3-1)-1)</f>
        <v>5926.24234829356</v>
      </c>
      <c r="D86" s="1">
        <f t="shared" si="270"/>
        <v>1777.87270448807</v>
      </c>
      <c r="E86" s="1">
        <f t="shared" si="270"/>
        <v>1185.24846965871</v>
      </c>
      <c r="F86" s="1">
        <f t="shared" si="270"/>
        <v>21754.5605190523</v>
      </c>
      <c r="G86" s="1">
        <f t="shared" si="270"/>
        <v>6526.3681557157</v>
      </c>
      <c r="H86" s="1">
        <f t="shared" si="270"/>
        <v>4350.91210381046</v>
      </c>
      <c r="I86" s="1">
        <f t="shared" si="270"/>
        <v>0</v>
      </c>
      <c r="J86" s="1">
        <f>[1]标准模型!$I$65/1*$B86/$B$3</f>
        <v>0.54</v>
      </c>
      <c r="K86" s="1">
        <f>J86*[1]标准模型!$J$63</f>
        <v>0.54</v>
      </c>
      <c r="L86" s="1">
        <f t="shared" si="217"/>
        <v>27680.8028673459</v>
      </c>
      <c r="M86" s="1">
        <f t="shared" si="218"/>
        <v>9264.29212062733</v>
      </c>
      <c r="N86" s="1">
        <f t="shared" si="219"/>
        <v>6176.19474708487</v>
      </c>
      <c r="O86" s="1">
        <f t="shared" ref="O86:X86" si="271">O$5+(O$6-O$5)*(POWER(O$7,$B86-1)-1)/(POWER(O$7,$B$3-1)-1)</f>
        <v>0.574164054035838</v>
      </c>
      <c r="P86" s="1">
        <f t="shared" si="271"/>
        <v>0.0421706192196405</v>
      </c>
      <c r="Q86" s="1">
        <f t="shared" si="271"/>
        <v>0.315790229719711</v>
      </c>
      <c r="R86" s="1">
        <f t="shared" si="271"/>
        <v>1.02966562161434</v>
      </c>
      <c r="S86" s="1">
        <f t="shared" si="271"/>
        <v>0.103829675650174</v>
      </c>
      <c r="T86" s="1">
        <f t="shared" si="271"/>
        <v>2.28923981073977</v>
      </c>
      <c r="U86" s="1">
        <f t="shared" si="271"/>
        <v>1</v>
      </c>
      <c r="V86" s="1">
        <f t="shared" si="271"/>
        <v>1.08088319055532</v>
      </c>
      <c r="W86" s="1">
        <f t="shared" si="271"/>
        <v>1.04563941786821</v>
      </c>
      <c r="X86" s="1">
        <f t="shared" si="271"/>
        <v>1.23732497291468</v>
      </c>
      <c r="Y86" s="1">
        <f t="shared" si="243"/>
        <v>0.930976011579872</v>
      </c>
      <c r="Z86" s="1">
        <f t="shared" si="244"/>
        <v>1.52186021565452</v>
      </c>
      <c r="AA86" s="1">
        <f t="shared" si="221"/>
        <v>42126.3126211892</v>
      </c>
      <c r="AB86" s="1">
        <f t="shared" si="222"/>
        <v>9264.29212062733</v>
      </c>
      <c r="AC86" s="1">
        <f t="shared" si="223"/>
        <v>6176.19474708487</v>
      </c>
      <c r="AD86" s="1">
        <f>AC86/(AC86+[1]战斗公式!$M$27)</f>
        <v>0.204671092523404</v>
      </c>
      <c r="AE86" s="1">
        <f t="shared" si="224"/>
        <v>52967.1589013994</v>
      </c>
      <c r="AF86" s="1">
        <f t="shared" si="225"/>
        <v>6.14123826247561</v>
      </c>
      <c r="AG86" s="1">
        <f t="shared" si="226"/>
        <v>3.756813828859</v>
      </c>
      <c r="AH86" s="1">
        <f t="shared" si="227"/>
        <v>2.74937974440101</v>
      </c>
      <c r="AI86" s="1">
        <f t="shared" si="228"/>
        <v>0.667713388346663</v>
      </c>
      <c r="AJ86" s="1">
        <f t="shared" si="229"/>
        <v>1.02583715148903</v>
      </c>
      <c r="AK86" s="1">
        <f t="shared" si="230"/>
        <v>1.17937284231699</v>
      </c>
      <c r="AL86" s="1">
        <f t="shared" si="231"/>
        <v>0.838499653706866</v>
      </c>
      <c r="AM86" s="27">
        <f t="shared" si="232"/>
        <v>30830</v>
      </c>
      <c r="AN86" s="27">
        <f t="shared" si="233"/>
        <v>6186</v>
      </c>
      <c r="AO86" s="27">
        <f t="shared" si="234"/>
        <v>6176</v>
      </c>
      <c r="AP86" s="1">
        <f t="shared" si="235"/>
        <v>22242</v>
      </c>
      <c r="AQ86" s="1">
        <f t="shared" si="236"/>
        <v>5187</v>
      </c>
      <c r="AR86"/>
      <c r="AS86" s="1">
        <f t="shared" ref="AS86:AY86" si="272">ROUNDUP(AS$10*$AP86,0)</f>
        <v>22242</v>
      </c>
      <c r="AT86" s="1">
        <f t="shared" si="272"/>
        <v>66726</v>
      </c>
      <c r="AU86" s="1">
        <f t="shared" si="272"/>
        <v>40036</v>
      </c>
      <c r="AV86" s="1">
        <f t="shared" si="272"/>
        <v>11121</v>
      </c>
      <c r="AW86" s="1">
        <f t="shared" si="272"/>
        <v>3337</v>
      </c>
      <c r="AX86" s="1">
        <f t="shared" si="272"/>
        <v>88968</v>
      </c>
      <c r="AY86" s="1">
        <f t="shared" si="272"/>
        <v>200178</v>
      </c>
      <c r="AZ86" s="1">
        <f t="shared" si="238"/>
        <v>1897594</v>
      </c>
      <c r="BA86" s="1">
        <f t="shared" si="239"/>
        <v>948797</v>
      </c>
      <c r="BC86" s="1">
        <f t="shared" si="240"/>
        <v>75</v>
      </c>
    </row>
    <row r="87" s="1" customFormat="1" spans="2:55">
      <c r="B87" s="4">
        <v>76</v>
      </c>
      <c r="C87" s="1">
        <f t="shared" ref="C87:I87" si="273">C$5+(C$6-C$5)*(POWER(C$7,$B87-1)-1)/(POWER(C$7,$B$3-1)-1)</f>
        <v>6005.25617368535</v>
      </c>
      <c r="D87" s="1">
        <f t="shared" si="273"/>
        <v>1801.5768521056</v>
      </c>
      <c r="E87" s="1">
        <f t="shared" si="273"/>
        <v>1201.05123473707</v>
      </c>
      <c r="F87" s="1">
        <f t="shared" si="273"/>
        <v>22044.6112704905</v>
      </c>
      <c r="G87" s="1">
        <f t="shared" si="273"/>
        <v>6613.38338114716</v>
      </c>
      <c r="H87" s="1">
        <f t="shared" si="273"/>
        <v>4408.9222540981</v>
      </c>
      <c r="I87" s="1">
        <f t="shared" si="273"/>
        <v>0</v>
      </c>
      <c r="J87" s="1">
        <f>[1]标准模型!$I$65/1*$B87/$B$3</f>
        <v>0.5472</v>
      </c>
      <c r="K87" s="1">
        <f>J87*[1]标准模型!$J$63</f>
        <v>0.5472</v>
      </c>
      <c r="L87" s="1">
        <f t="shared" si="217"/>
        <v>28049.8674441758</v>
      </c>
      <c r="M87" s="1">
        <f t="shared" si="218"/>
        <v>9400.78308672494</v>
      </c>
      <c r="N87" s="1">
        <f t="shared" si="219"/>
        <v>6267.1887244833</v>
      </c>
      <c r="O87" s="1">
        <f t="shared" ref="O87:X87" si="274">O$5+(O$6-O$5)*(POWER(O$7,$B87-1)-1)/(POWER(O$7,$B$3-1)-1)</f>
        <v>0.575166233399525</v>
      </c>
      <c r="P87" s="1">
        <f t="shared" si="274"/>
        <v>0.0427731322739996</v>
      </c>
      <c r="Q87" s="1">
        <f t="shared" si="274"/>
        <v>0.316341428369739</v>
      </c>
      <c r="R87" s="1">
        <f t="shared" si="274"/>
        <v>1.03006649335981</v>
      </c>
      <c r="S87" s="1">
        <f t="shared" si="274"/>
        <v>0.105232726759335</v>
      </c>
      <c r="T87" s="1">
        <f t="shared" si="274"/>
        <v>2.29314831025815</v>
      </c>
      <c r="U87" s="1">
        <f t="shared" si="274"/>
        <v>1</v>
      </c>
      <c r="V87" s="1">
        <f t="shared" si="274"/>
        <v>1.08197616565623</v>
      </c>
      <c r="W87" s="1">
        <f t="shared" si="274"/>
        <v>1.04625614363048</v>
      </c>
      <c r="X87" s="1">
        <f t="shared" si="274"/>
        <v>1.24053194687848</v>
      </c>
      <c r="Y87" s="1">
        <f t="shared" si="243"/>
        <v>0.938569838525476</v>
      </c>
      <c r="Z87" s="1">
        <f t="shared" si="244"/>
        <v>1.53537988374003</v>
      </c>
      <c r="AA87" s="1">
        <f t="shared" si="221"/>
        <v>43067.202215362</v>
      </c>
      <c r="AB87" s="1">
        <f t="shared" si="222"/>
        <v>9400.78308672494</v>
      </c>
      <c r="AC87" s="1">
        <f t="shared" si="223"/>
        <v>6267.1887244833</v>
      </c>
      <c r="AD87" s="1">
        <f>AC87/(AC87+[1]战斗公式!$M$27)</f>
        <v>0.207062135222811</v>
      </c>
      <c r="AE87" s="1">
        <f t="shared" si="224"/>
        <v>54313.4640536603</v>
      </c>
      <c r="AF87" s="1">
        <f t="shared" si="225"/>
        <v>6.15569192936513</v>
      </c>
      <c r="AG87" s="1">
        <f t="shared" si="226"/>
        <v>3.76294286602433</v>
      </c>
      <c r="AH87" s="1">
        <f t="shared" si="227"/>
        <v>2.76697705054905</v>
      </c>
      <c r="AI87" s="1">
        <f t="shared" si="228"/>
        <v>0.67015389581113</v>
      </c>
      <c r="AJ87" s="1">
        <f t="shared" si="229"/>
        <v>1.02454529391414</v>
      </c>
      <c r="AK87" s="1">
        <f t="shared" si="230"/>
        <v>1.17578471566327</v>
      </c>
      <c r="AL87" s="1">
        <f t="shared" si="231"/>
        <v>0.838963527209105</v>
      </c>
      <c r="AM87" s="27">
        <f t="shared" si="232"/>
        <v>31668</v>
      </c>
      <c r="AN87" s="27">
        <f t="shared" si="233"/>
        <v>6300</v>
      </c>
      <c r="AO87" s="27">
        <f t="shared" si="234"/>
        <v>6267</v>
      </c>
      <c r="AP87" s="1">
        <f t="shared" si="235"/>
        <v>22762</v>
      </c>
      <c r="AQ87" s="1">
        <f t="shared" si="236"/>
        <v>5285</v>
      </c>
      <c r="AR87"/>
      <c r="AS87" s="1">
        <f t="shared" ref="AS87:AY87" si="275">ROUNDUP(AS$10*$AP87,0)</f>
        <v>22762</v>
      </c>
      <c r="AT87" s="1">
        <f t="shared" si="275"/>
        <v>68286</v>
      </c>
      <c r="AU87" s="1">
        <f t="shared" si="275"/>
        <v>40972</v>
      </c>
      <c r="AV87" s="1">
        <f t="shared" si="275"/>
        <v>11381</v>
      </c>
      <c r="AW87" s="1">
        <f t="shared" si="275"/>
        <v>3415</v>
      </c>
      <c r="AX87" s="1">
        <f t="shared" si="275"/>
        <v>91048</v>
      </c>
      <c r="AY87" s="1">
        <f t="shared" si="275"/>
        <v>204858</v>
      </c>
      <c r="AZ87" s="1">
        <f t="shared" si="238"/>
        <v>1946718</v>
      </c>
      <c r="BA87" s="1">
        <f t="shared" si="239"/>
        <v>973359</v>
      </c>
      <c r="BC87" s="1">
        <f t="shared" si="240"/>
        <v>76</v>
      </c>
    </row>
    <row r="88" s="1" customFormat="1" spans="2:55">
      <c r="B88" s="4">
        <v>77</v>
      </c>
      <c r="C88" s="1">
        <f t="shared" ref="C88:I88" si="276">C$5+(C$6-C$5)*(POWER(C$7,$B88-1)-1)/(POWER(C$7,$B$3-1)-1)</f>
        <v>6084.26992006798</v>
      </c>
      <c r="D88" s="1">
        <f t="shared" si="276"/>
        <v>1825.28097602039</v>
      </c>
      <c r="E88" s="1">
        <f t="shared" si="276"/>
        <v>1216.8539840136</v>
      </c>
      <c r="F88" s="1">
        <f t="shared" si="276"/>
        <v>22334.6617318951</v>
      </c>
      <c r="G88" s="1">
        <f t="shared" si="276"/>
        <v>6700.39851956854</v>
      </c>
      <c r="H88" s="1">
        <f t="shared" si="276"/>
        <v>4466.93234637902</v>
      </c>
      <c r="I88" s="1">
        <f t="shared" si="276"/>
        <v>0</v>
      </c>
      <c r="J88" s="1">
        <f>[1]标准模型!$I$65/1*$B88/$B$3</f>
        <v>0.5544</v>
      </c>
      <c r="K88" s="1">
        <f>J88*[1]标准模型!$J$63</f>
        <v>0.5544</v>
      </c>
      <c r="L88" s="1">
        <f t="shared" si="217"/>
        <v>28418.9316519631</v>
      </c>
      <c r="M88" s="1">
        <f t="shared" si="218"/>
        <v>9537.61526869463</v>
      </c>
      <c r="N88" s="1">
        <f t="shared" si="219"/>
        <v>6358.41017912976</v>
      </c>
      <c r="O88" s="1">
        <f t="shared" ref="O88:X88" si="277">O$5+(O$6-O$5)*(POWER(O$7,$B88-1)-1)/(POWER(O$7,$B$3-1)-1)</f>
        <v>0.576168411761092</v>
      </c>
      <c r="P88" s="1">
        <f t="shared" si="277"/>
        <v>0.0433765490979401</v>
      </c>
      <c r="Q88" s="1">
        <f t="shared" si="277"/>
        <v>0.3168926264686</v>
      </c>
      <c r="R88" s="1">
        <f t="shared" si="277"/>
        <v>1.03046736470444</v>
      </c>
      <c r="S88" s="1">
        <f t="shared" si="277"/>
        <v>0.106635776465528</v>
      </c>
      <c r="T88" s="1">
        <f t="shared" si="277"/>
        <v>2.29705680586826</v>
      </c>
      <c r="U88" s="1">
        <f t="shared" si="277"/>
        <v>1</v>
      </c>
      <c r="V88" s="1">
        <f t="shared" si="277"/>
        <v>1.08306913966423</v>
      </c>
      <c r="W88" s="1">
        <f t="shared" si="277"/>
        <v>1.04687286877606</v>
      </c>
      <c r="X88" s="1">
        <f t="shared" si="277"/>
        <v>1.24373891763549</v>
      </c>
      <c r="Y88" s="1">
        <f t="shared" si="243"/>
        <v>0.946219307205673</v>
      </c>
      <c r="Z88" s="1">
        <f t="shared" si="244"/>
        <v>1.54900919334004</v>
      </c>
      <c r="AA88" s="1">
        <f t="shared" si="221"/>
        <v>44021.1863937931</v>
      </c>
      <c r="AB88" s="1">
        <f t="shared" si="222"/>
        <v>9537.61526869463</v>
      </c>
      <c r="AC88" s="1">
        <f t="shared" si="223"/>
        <v>6358.41017912976</v>
      </c>
      <c r="AD88" s="1">
        <f>AC88/(AC88+[1]战斗公式!$M$27)</f>
        <v>0.209444768076193</v>
      </c>
      <c r="AE88" s="1">
        <f t="shared" si="224"/>
        <v>55683.8847131124</v>
      </c>
      <c r="AF88" s="1">
        <f t="shared" si="225"/>
        <v>6.17018123315498</v>
      </c>
      <c r="AG88" s="1">
        <f t="shared" si="226"/>
        <v>3.76908325455478</v>
      </c>
      <c r="AH88" s="1">
        <f t="shared" si="227"/>
        <v>2.78444237690099</v>
      </c>
      <c r="AI88" s="1">
        <f t="shared" si="228"/>
        <v>0.672599284290525</v>
      </c>
      <c r="AJ88" s="1">
        <f t="shared" si="229"/>
        <v>1.02331802921799</v>
      </c>
      <c r="AK88" s="1">
        <f t="shared" si="230"/>
        <v>1.17226835154261</v>
      </c>
      <c r="AL88" s="1">
        <f t="shared" si="231"/>
        <v>0.839426009090838</v>
      </c>
      <c r="AM88" s="27">
        <f t="shared" si="232"/>
        <v>32521</v>
      </c>
      <c r="AN88" s="27">
        <f t="shared" si="233"/>
        <v>6415</v>
      </c>
      <c r="AO88" s="27">
        <f t="shared" si="234"/>
        <v>6358</v>
      </c>
      <c r="AP88" s="1">
        <f t="shared" si="235"/>
        <v>23288</v>
      </c>
      <c r="AQ88" s="1">
        <f t="shared" si="236"/>
        <v>5385</v>
      </c>
      <c r="AR88"/>
      <c r="AS88" s="1">
        <f t="shared" ref="AS88:AY88" si="278">ROUNDUP(AS$10*$AP88,0)</f>
        <v>23288</v>
      </c>
      <c r="AT88" s="1">
        <f t="shared" si="278"/>
        <v>69864</v>
      </c>
      <c r="AU88" s="1">
        <f t="shared" si="278"/>
        <v>41919</v>
      </c>
      <c r="AV88" s="1">
        <f t="shared" si="278"/>
        <v>11644</v>
      </c>
      <c r="AW88" s="1">
        <f t="shared" si="278"/>
        <v>3494</v>
      </c>
      <c r="AX88" s="1">
        <f t="shared" si="278"/>
        <v>93152</v>
      </c>
      <c r="AY88" s="1">
        <f t="shared" si="278"/>
        <v>209592</v>
      </c>
      <c r="AZ88" s="1">
        <f t="shared" si="238"/>
        <v>1996760</v>
      </c>
      <c r="BA88" s="1">
        <f t="shared" si="239"/>
        <v>998380</v>
      </c>
      <c r="BC88" s="1">
        <f t="shared" si="240"/>
        <v>77</v>
      </c>
    </row>
    <row r="89" s="1" customFormat="1" spans="2:55">
      <c r="B89" s="4">
        <v>78</v>
      </c>
      <c r="C89" s="1">
        <f t="shared" ref="C89:I89" si="279">C$5+(C$6-C$5)*(POWER(C$7,$B89-1)-1)/(POWER(C$7,$B$3-1)-1)</f>
        <v>6163.28358744146</v>
      </c>
      <c r="D89" s="1">
        <f t="shared" si="279"/>
        <v>1848.98507623244</v>
      </c>
      <c r="E89" s="1">
        <f t="shared" si="279"/>
        <v>1232.65671748829</v>
      </c>
      <c r="F89" s="1">
        <f t="shared" si="279"/>
        <v>22624.7119032661</v>
      </c>
      <c r="G89" s="1">
        <f t="shared" si="279"/>
        <v>6787.41357097984</v>
      </c>
      <c r="H89" s="1">
        <f t="shared" si="279"/>
        <v>4524.94238065323</v>
      </c>
      <c r="I89" s="1">
        <f t="shared" si="279"/>
        <v>0</v>
      </c>
      <c r="J89" s="1">
        <f>[1]标准模型!$I$65/1*$B89/$B$3</f>
        <v>0.5616</v>
      </c>
      <c r="K89" s="1">
        <f>J89*[1]标准模型!$J$63</f>
        <v>0.5616</v>
      </c>
      <c r="L89" s="1">
        <f t="shared" si="217"/>
        <v>28787.9954907076</v>
      </c>
      <c r="M89" s="1">
        <f t="shared" si="218"/>
        <v>9674.78866602442</v>
      </c>
      <c r="N89" s="1">
        <f t="shared" si="219"/>
        <v>6449.85911068294</v>
      </c>
      <c r="O89" s="1">
        <f t="shared" ref="O89:X89" si="280">O$5+(O$6-O$5)*(POWER(O$7,$B89-1)-1)/(POWER(O$7,$B$3-1)-1)</f>
        <v>0.577170589120538</v>
      </c>
      <c r="P89" s="1">
        <f t="shared" si="280"/>
        <v>0.0439808710471167</v>
      </c>
      <c r="Q89" s="1">
        <f t="shared" si="280"/>
        <v>0.317443824016296</v>
      </c>
      <c r="R89" s="1">
        <f t="shared" si="280"/>
        <v>1.03086823564822</v>
      </c>
      <c r="S89" s="1">
        <f t="shared" si="280"/>
        <v>0.108038824768753</v>
      </c>
      <c r="T89" s="1">
        <f t="shared" si="280"/>
        <v>2.3009652975701</v>
      </c>
      <c r="U89" s="1">
        <f t="shared" si="280"/>
        <v>1</v>
      </c>
      <c r="V89" s="1">
        <f t="shared" si="280"/>
        <v>1.08416211257932</v>
      </c>
      <c r="W89" s="1">
        <f t="shared" si="280"/>
        <v>1.04748959330495</v>
      </c>
      <c r="X89" s="1">
        <f t="shared" si="280"/>
        <v>1.24694588518572</v>
      </c>
      <c r="Y89" s="1">
        <f t="shared" si="243"/>
        <v>0.95392478701595</v>
      </c>
      <c r="Z89" s="1">
        <f t="shared" si="244"/>
        <v>1.56274895567953</v>
      </c>
      <c r="AA89" s="1">
        <f t="shared" si="221"/>
        <v>44988.4098892103</v>
      </c>
      <c r="AB89" s="1">
        <f t="shared" si="222"/>
        <v>9674.78866602442</v>
      </c>
      <c r="AC89" s="1">
        <f t="shared" si="223"/>
        <v>6449.85911068294</v>
      </c>
      <c r="AD89" s="1">
        <f>AC89/(AC89+[1]战斗公式!$M$27)</f>
        <v>0.211819013258426</v>
      </c>
      <c r="AE89" s="1">
        <f t="shared" si="224"/>
        <v>57078.7809475045</v>
      </c>
      <c r="AF89" s="1">
        <f t="shared" si="225"/>
        <v>6.18470612361638</v>
      </c>
      <c r="AG89" s="1">
        <f t="shared" si="226"/>
        <v>3.77523494754895</v>
      </c>
      <c r="AH89" s="1">
        <f t="shared" si="227"/>
        <v>2.80177671330528</v>
      </c>
      <c r="AI89" s="1">
        <f t="shared" si="228"/>
        <v>0.67504956354688</v>
      </c>
      <c r="AJ89" s="1">
        <f t="shared" si="229"/>
        <v>1.02215212775665</v>
      </c>
      <c r="AK89" s="1">
        <f t="shared" si="230"/>
        <v>1.16882231470437</v>
      </c>
      <c r="AL89" s="1">
        <f t="shared" si="231"/>
        <v>0.839887103526925</v>
      </c>
      <c r="AM89" s="27">
        <f t="shared" si="232"/>
        <v>33388</v>
      </c>
      <c r="AN89" s="27">
        <f t="shared" si="233"/>
        <v>6531</v>
      </c>
      <c r="AO89" s="27">
        <f t="shared" si="234"/>
        <v>6450</v>
      </c>
      <c r="AP89" s="1">
        <f t="shared" si="235"/>
        <v>23821</v>
      </c>
      <c r="AQ89" s="1">
        <f t="shared" si="236"/>
        <v>5485</v>
      </c>
      <c r="AR89"/>
      <c r="AS89" s="1">
        <f t="shared" ref="AS89:AY89" si="281">ROUNDUP(AS$10*$AP89,0)</f>
        <v>23821</v>
      </c>
      <c r="AT89" s="1">
        <f t="shared" si="281"/>
        <v>71463</v>
      </c>
      <c r="AU89" s="1">
        <f t="shared" si="281"/>
        <v>42878</v>
      </c>
      <c r="AV89" s="1">
        <f t="shared" si="281"/>
        <v>11911</v>
      </c>
      <c r="AW89" s="1">
        <f t="shared" si="281"/>
        <v>3574</v>
      </c>
      <c r="AX89" s="1">
        <f t="shared" si="281"/>
        <v>95284</v>
      </c>
      <c r="AY89" s="1">
        <f t="shared" si="281"/>
        <v>214389</v>
      </c>
      <c r="AZ89" s="1">
        <f t="shared" si="238"/>
        <v>2047657</v>
      </c>
      <c r="BA89" s="1">
        <f t="shared" si="239"/>
        <v>1023828</v>
      </c>
      <c r="BC89" s="1">
        <f t="shared" si="240"/>
        <v>78</v>
      </c>
    </row>
    <row r="90" s="1" customFormat="1" spans="2:55">
      <c r="B90" s="4">
        <v>79</v>
      </c>
      <c r="C90" s="1">
        <f t="shared" ref="C90:I90" si="282">C$5+(C$6-C$5)*(POWER(C$7,$B90-1)-1)/(POWER(C$7,$B$3-1)-1)</f>
        <v>6242.29717579702</v>
      </c>
      <c r="D90" s="1">
        <f t="shared" si="282"/>
        <v>1872.68915273911</v>
      </c>
      <c r="E90" s="1">
        <f t="shared" si="282"/>
        <v>1248.4594351594</v>
      </c>
      <c r="F90" s="1">
        <f t="shared" si="282"/>
        <v>22914.7617845713</v>
      </c>
      <c r="G90" s="1">
        <f t="shared" si="282"/>
        <v>6874.4285353714</v>
      </c>
      <c r="H90" s="1">
        <f t="shared" si="282"/>
        <v>4582.95235691427</v>
      </c>
      <c r="I90" s="1">
        <f t="shared" si="282"/>
        <v>0</v>
      </c>
      <c r="J90" s="1">
        <f>[1]标准模型!$I$65/1*$B90/$B$3</f>
        <v>0.5688</v>
      </c>
      <c r="K90" s="1">
        <f>J90*[1]标准模型!$J$63</f>
        <v>0.5688</v>
      </c>
      <c r="L90" s="1">
        <f t="shared" si="217"/>
        <v>29157.0589603683</v>
      </c>
      <c r="M90" s="1">
        <f t="shared" si="218"/>
        <v>9812.30327818852</v>
      </c>
      <c r="N90" s="1">
        <f t="shared" si="219"/>
        <v>6541.53551879234</v>
      </c>
      <c r="O90" s="1">
        <f t="shared" ref="O90:X90" si="283">O$5+(O$6-O$5)*(POWER(O$7,$B90-1)-1)/(POWER(O$7,$B$3-1)-1)</f>
        <v>0.578172765477753</v>
      </c>
      <c r="P90" s="1">
        <f t="shared" si="283"/>
        <v>0.0445860994792169</v>
      </c>
      <c r="Q90" s="1">
        <f t="shared" si="283"/>
        <v>0.317995021012764</v>
      </c>
      <c r="R90" s="1">
        <f t="shared" si="283"/>
        <v>1.0312691061911</v>
      </c>
      <c r="S90" s="1">
        <f t="shared" si="283"/>
        <v>0.109441871668854</v>
      </c>
      <c r="T90" s="1">
        <f t="shared" si="283"/>
        <v>2.30487378536324</v>
      </c>
      <c r="U90" s="1">
        <f t="shared" si="283"/>
        <v>1</v>
      </c>
      <c r="V90" s="1">
        <f t="shared" si="283"/>
        <v>1.08525508440138</v>
      </c>
      <c r="W90" s="1">
        <f t="shared" si="283"/>
        <v>1.04810631721708</v>
      </c>
      <c r="X90" s="1">
        <f t="shared" si="283"/>
        <v>1.25015284952881</v>
      </c>
      <c r="Y90" s="1">
        <f t="shared" si="243"/>
        <v>0.961686649328482</v>
      </c>
      <c r="Z90" s="1">
        <f t="shared" si="244"/>
        <v>1.57659998704392</v>
      </c>
      <c r="AA90" s="1">
        <f t="shared" si="221"/>
        <v>45969.0187791555</v>
      </c>
      <c r="AB90" s="1">
        <f t="shared" si="222"/>
        <v>9812.30327818852</v>
      </c>
      <c r="AC90" s="1">
        <f t="shared" si="223"/>
        <v>6541.53551879234</v>
      </c>
      <c r="AD90" s="1">
        <f>AC90/(AC90+[1]战斗公式!$M$27)</f>
        <v>0.214184893053832</v>
      </c>
      <c r="AE90" s="1">
        <f t="shared" si="224"/>
        <v>58498.5174919837</v>
      </c>
      <c r="AF90" s="1">
        <f t="shared" si="225"/>
        <v>6.19926655083394</v>
      </c>
      <c r="AG90" s="1">
        <f t="shared" si="226"/>
        <v>3.78139789836212</v>
      </c>
      <c r="AH90" s="1">
        <f t="shared" si="227"/>
        <v>2.81898104218655</v>
      </c>
      <c r="AI90" s="1">
        <f t="shared" si="228"/>
        <v>0.677504743361746</v>
      </c>
      <c r="AJ90" s="1">
        <f t="shared" si="229"/>
        <v>1.02104452136838</v>
      </c>
      <c r="AK90" s="1">
        <f t="shared" si="230"/>
        <v>1.1654451986029</v>
      </c>
      <c r="AL90" s="1">
        <f t="shared" si="231"/>
        <v>0.840346814679704</v>
      </c>
      <c r="AM90" s="27">
        <f t="shared" si="232"/>
        <v>34269</v>
      </c>
      <c r="AN90" s="27">
        <f t="shared" si="233"/>
        <v>6648</v>
      </c>
      <c r="AO90" s="27">
        <f t="shared" si="234"/>
        <v>6542</v>
      </c>
      <c r="AP90" s="1">
        <f t="shared" si="235"/>
        <v>24362</v>
      </c>
      <c r="AQ90" s="1">
        <f t="shared" si="236"/>
        <v>5587</v>
      </c>
      <c r="AR90"/>
      <c r="AS90" s="1">
        <f t="shared" ref="AS90:AY90" si="284">ROUNDUP(AS$10*$AP90,0)</f>
        <v>24362</v>
      </c>
      <c r="AT90" s="1">
        <f t="shared" si="284"/>
        <v>73086</v>
      </c>
      <c r="AU90" s="1">
        <f t="shared" si="284"/>
        <v>43852</v>
      </c>
      <c r="AV90" s="1">
        <f t="shared" si="284"/>
        <v>12181</v>
      </c>
      <c r="AW90" s="1">
        <f t="shared" si="284"/>
        <v>3655</v>
      </c>
      <c r="AX90" s="1">
        <f t="shared" si="284"/>
        <v>97448</v>
      </c>
      <c r="AY90" s="1">
        <f t="shared" si="284"/>
        <v>219258</v>
      </c>
      <c r="AZ90" s="1">
        <f t="shared" si="238"/>
        <v>2099410</v>
      </c>
      <c r="BA90" s="1">
        <f t="shared" si="239"/>
        <v>1049705</v>
      </c>
      <c r="BC90" s="1">
        <f t="shared" si="240"/>
        <v>79</v>
      </c>
    </row>
    <row r="91" s="1" customFormat="1" spans="2:55">
      <c r="B91" s="4">
        <v>80</v>
      </c>
      <c r="C91" s="1">
        <f t="shared" ref="C91:I91" si="285">C$5+(C$6-C$5)*(POWER(C$7,$B91-1)-1)/(POWER(C$7,$B$3-1)-1)</f>
        <v>6321.31068513465</v>
      </c>
      <c r="D91" s="1">
        <f t="shared" si="285"/>
        <v>1896.3932055404</v>
      </c>
      <c r="E91" s="1">
        <f t="shared" si="285"/>
        <v>1264.26213702693</v>
      </c>
      <c r="F91" s="1">
        <f t="shared" si="285"/>
        <v>23204.8113758107</v>
      </c>
      <c r="G91" s="1">
        <f t="shared" si="285"/>
        <v>6961.44341274322</v>
      </c>
      <c r="H91" s="1">
        <f t="shared" si="285"/>
        <v>4640.96227516215</v>
      </c>
      <c r="I91" s="1">
        <f t="shared" si="285"/>
        <v>0</v>
      </c>
      <c r="J91" s="1">
        <f>[1]标准模型!$I$65/1*$B91/$B$3</f>
        <v>0.576</v>
      </c>
      <c r="K91" s="1">
        <f>J91*[1]标准模型!$J$63</f>
        <v>0.576</v>
      </c>
      <c r="L91" s="1">
        <f t="shared" si="217"/>
        <v>29526.1220609454</v>
      </c>
      <c r="M91" s="1">
        <f t="shared" si="218"/>
        <v>9950.15910467489</v>
      </c>
      <c r="N91" s="1">
        <f t="shared" si="219"/>
        <v>6633.43940311659</v>
      </c>
      <c r="O91" s="1">
        <f t="shared" ref="O91:X91" si="286">O$5+(O$6-O$5)*(POWER(O$7,$B91-1)-1)/(POWER(O$7,$B$3-1)-1)</f>
        <v>0.579174940832737</v>
      </c>
      <c r="P91" s="1">
        <f t="shared" si="286"/>
        <v>0.0451922357539654</v>
      </c>
      <c r="Q91" s="1">
        <f t="shared" si="286"/>
        <v>0.318546217458005</v>
      </c>
      <c r="R91" s="1">
        <f t="shared" si="286"/>
        <v>1.03166997633309</v>
      </c>
      <c r="S91" s="1">
        <f t="shared" si="286"/>
        <v>0.110844917165832</v>
      </c>
      <c r="T91" s="1">
        <f t="shared" si="286"/>
        <v>2.30878226924767</v>
      </c>
      <c r="U91" s="1">
        <f t="shared" si="286"/>
        <v>1</v>
      </c>
      <c r="V91" s="1">
        <f t="shared" si="286"/>
        <v>1.0863480551304</v>
      </c>
      <c r="W91" s="1">
        <f t="shared" si="286"/>
        <v>1.04872304051245</v>
      </c>
      <c r="X91" s="1">
        <f t="shared" si="286"/>
        <v>1.25335981066476</v>
      </c>
      <c r="Y91" s="1">
        <f t="shared" si="243"/>
        <v>0.969505267500803</v>
      </c>
      <c r="Z91" s="1">
        <f t="shared" si="244"/>
        <v>1.59056310880574</v>
      </c>
      <c r="AA91" s="1">
        <f t="shared" si="221"/>
        <v>46963.160496235</v>
      </c>
      <c r="AB91" s="1">
        <f t="shared" si="222"/>
        <v>9950.15910467489</v>
      </c>
      <c r="AC91" s="1">
        <f t="shared" si="223"/>
        <v>6633.43940311659</v>
      </c>
      <c r="AD91" s="1">
        <f>AC91/(AC91+[1]战斗公式!$M$27)</f>
        <v>0.216542429853362</v>
      </c>
      <c r="AE91" s="1">
        <f t="shared" si="224"/>
        <v>59943.4638016772</v>
      </c>
      <c r="AF91" s="1">
        <f t="shared" si="225"/>
        <v>6.21386246520768</v>
      </c>
      <c r="AG91" s="1">
        <f t="shared" si="226"/>
        <v>3.78757206060671</v>
      </c>
      <c r="AH91" s="1">
        <f t="shared" si="227"/>
        <v>2.8360563386012</v>
      </c>
      <c r="AI91" s="1">
        <f t="shared" si="228"/>
        <v>0.679964833536243</v>
      </c>
      <c r="AJ91" s="1">
        <f t="shared" si="229"/>
        <v>1.01999229529952</v>
      </c>
      <c r="AK91" s="1">
        <f t="shared" si="230"/>
        <v>1.16213562482345</v>
      </c>
      <c r="AL91" s="1">
        <f t="shared" si="231"/>
        <v>0.840805146699024</v>
      </c>
      <c r="AM91" s="27">
        <f t="shared" si="232"/>
        <v>35165</v>
      </c>
      <c r="AN91" s="27">
        <f t="shared" si="233"/>
        <v>6766</v>
      </c>
      <c r="AO91" s="27">
        <f t="shared" si="234"/>
        <v>6633</v>
      </c>
      <c r="AP91" s="1">
        <f t="shared" si="235"/>
        <v>24910</v>
      </c>
      <c r="AQ91" s="1">
        <f t="shared" si="236"/>
        <v>5689</v>
      </c>
      <c r="AR91"/>
      <c r="AS91" s="1">
        <f t="shared" ref="AS91:AY91" si="287">ROUNDUP(AS$10*$AP91,0)</f>
        <v>24910</v>
      </c>
      <c r="AT91" s="1">
        <f t="shared" si="287"/>
        <v>74730</v>
      </c>
      <c r="AU91" s="1">
        <f t="shared" si="287"/>
        <v>44838</v>
      </c>
      <c r="AV91" s="1">
        <f t="shared" si="287"/>
        <v>12455</v>
      </c>
      <c r="AW91" s="1">
        <f t="shared" si="287"/>
        <v>3737</v>
      </c>
      <c r="AX91" s="1">
        <f t="shared" si="287"/>
        <v>99640</v>
      </c>
      <c r="AY91" s="1">
        <f t="shared" si="287"/>
        <v>224190</v>
      </c>
      <c r="AZ91" s="1">
        <f t="shared" si="238"/>
        <v>2152082</v>
      </c>
      <c r="BA91" s="1">
        <f t="shared" si="239"/>
        <v>1076041</v>
      </c>
      <c r="BC91" s="1">
        <f t="shared" si="240"/>
        <v>80</v>
      </c>
    </row>
    <row r="92" s="1" customFormat="1" spans="2:55">
      <c r="B92" s="4">
        <v>81</v>
      </c>
      <c r="C92" s="1">
        <f t="shared" ref="C92:I92" si="288">C$5+(C$6-C$5)*(POWER(C$7,$B92-1)-1)/(POWER(C$7,$B$3-1)-1)</f>
        <v>6400.32411546313</v>
      </c>
      <c r="D92" s="1">
        <f t="shared" si="288"/>
        <v>1920.09723463894</v>
      </c>
      <c r="E92" s="1">
        <f t="shared" si="288"/>
        <v>1280.06482309263</v>
      </c>
      <c r="F92" s="1">
        <f t="shared" si="288"/>
        <v>23494.8606770166</v>
      </c>
      <c r="G92" s="1">
        <f t="shared" si="288"/>
        <v>7048.45820310497</v>
      </c>
      <c r="H92" s="1">
        <f t="shared" si="288"/>
        <v>4698.97213540331</v>
      </c>
      <c r="I92" s="1">
        <f t="shared" si="288"/>
        <v>0</v>
      </c>
      <c r="J92" s="1">
        <f>[1]标准模型!$I$65/1*$B92/$B$3</f>
        <v>0.5832</v>
      </c>
      <c r="K92" s="1">
        <f>J92*[1]标准模型!$J$63</f>
        <v>0.5832</v>
      </c>
      <c r="L92" s="1">
        <f t="shared" si="217"/>
        <v>29895.1847924797</v>
      </c>
      <c r="M92" s="1">
        <f t="shared" si="218"/>
        <v>10088.3561449853</v>
      </c>
      <c r="N92" s="1">
        <f t="shared" si="219"/>
        <v>6725.57076332356</v>
      </c>
      <c r="O92" s="1">
        <f t="shared" ref="O92:X92" si="289">O$5+(O$6-O$5)*(POWER(O$7,$B92-1)-1)/(POWER(O$7,$B$3-1)-1)</f>
        <v>0.580177115185601</v>
      </c>
      <c r="P92" s="1">
        <f t="shared" si="289"/>
        <v>0.045799281233126</v>
      </c>
      <c r="Q92" s="1">
        <f t="shared" si="289"/>
        <v>0.31909741335208</v>
      </c>
      <c r="R92" s="1">
        <f t="shared" si="289"/>
        <v>1.03207084607424</v>
      </c>
      <c r="S92" s="1">
        <f t="shared" si="289"/>
        <v>0.112247961259841</v>
      </c>
      <c r="T92" s="1">
        <f t="shared" si="289"/>
        <v>2.31269074922384</v>
      </c>
      <c r="U92" s="1">
        <f t="shared" si="289"/>
        <v>1</v>
      </c>
      <c r="V92" s="1">
        <f t="shared" si="289"/>
        <v>1.08744102476652</v>
      </c>
      <c r="W92" s="1">
        <f t="shared" si="289"/>
        <v>1.04933976319114</v>
      </c>
      <c r="X92" s="1">
        <f t="shared" si="289"/>
        <v>1.25656676859392</v>
      </c>
      <c r="Y92" s="1">
        <f t="shared" si="243"/>
        <v>0.977381016883026</v>
      </c>
      <c r="Z92" s="1">
        <f t="shared" si="244"/>
        <v>1.60463914744851</v>
      </c>
      <c r="AA92" s="1">
        <f t="shared" si="221"/>
        <v>47970.9838382203</v>
      </c>
      <c r="AB92" s="1">
        <f t="shared" si="222"/>
        <v>10088.3561449853</v>
      </c>
      <c r="AC92" s="1">
        <f t="shared" si="223"/>
        <v>6725.57076332356</v>
      </c>
      <c r="AD92" s="1">
        <f>AC92/(AC92+[1]战斗公式!$M$27)</f>
        <v>0.218891646151346</v>
      </c>
      <c r="AE92" s="1">
        <f t="shared" si="224"/>
        <v>61413.9941044787</v>
      </c>
      <c r="AF92" s="1">
        <f t="shared" si="225"/>
        <v>6.22849381744944</v>
      </c>
      <c r="AG92" s="1">
        <f t="shared" si="226"/>
        <v>3.79375738815054</v>
      </c>
      <c r="AH92" s="1">
        <f t="shared" si="227"/>
        <v>2.85300357029274</v>
      </c>
      <c r="AI92" s="1">
        <f t="shared" si="228"/>
        <v>0.682429843891089</v>
      </c>
      <c r="AJ92" s="1">
        <f t="shared" si="229"/>
        <v>1.01899268053411</v>
      </c>
      <c r="AK92" s="1">
        <f t="shared" si="230"/>
        <v>1.15889224251959</v>
      </c>
      <c r="AL92" s="1">
        <f t="shared" si="231"/>
        <v>0.841262103722287</v>
      </c>
      <c r="AM92" s="27">
        <f t="shared" si="232"/>
        <v>36075</v>
      </c>
      <c r="AN92" s="27">
        <f t="shared" si="233"/>
        <v>6885</v>
      </c>
      <c r="AO92" s="27">
        <f t="shared" si="234"/>
        <v>6726</v>
      </c>
      <c r="AP92" s="1">
        <f t="shared" si="235"/>
        <v>25465</v>
      </c>
      <c r="AQ92" s="1">
        <f t="shared" si="236"/>
        <v>5792</v>
      </c>
      <c r="AR92"/>
      <c r="AS92" s="1">
        <f t="shared" ref="AS92:AY92" si="290">ROUNDUP(AS$10*$AP92,0)</f>
        <v>25465</v>
      </c>
      <c r="AT92" s="1">
        <f t="shared" si="290"/>
        <v>76395</v>
      </c>
      <c r="AU92" s="1">
        <f t="shared" si="290"/>
        <v>45837</v>
      </c>
      <c r="AV92" s="1">
        <f t="shared" si="290"/>
        <v>12733</v>
      </c>
      <c r="AW92" s="1">
        <f t="shared" si="290"/>
        <v>3820</v>
      </c>
      <c r="AX92" s="1">
        <f t="shared" si="290"/>
        <v>101860</v>
      </c>
      <c r="AY92" s="1">
        <f t="shared" si="290"/>
        <v>229185</v>
      </c>
      <c r="AZ92" s="1">
        <f t="shared" si="238"/>
        <v>2205610</v>
      </c>
      <c r="BA92" s="1">
        <f t="shared" si="239"/>
        <v>1102805</v>
      </c>
      <c r="BC92" s="1">
        <f t="shared" si="240"/>
        <v>81</v>
      </c>
    </row>
    <row r="93" s="1" customFormat="1" spans="2:55">
      <c r="B93" s="4">
        <v>82</v>
      </c>
      <c r="C93" s="1">
        <f t="shared" ref="C93:I93" si="291">C$5+(C$6-C$5)*(POWER(C$7,$B93-1)-1)/(POWER(C$7,$B$3-1)-1)</f>
        <v>6479.33746678246</v>
      </c>
      <c r="D93" s="1">
        <f t="shared" si="291"/>
        <v>1943.80124003474</v>
      </c>
      <c r="E93" s="1">
        <f t="shared" si="291"/>
        <v>1295.86749335649</v>
      </c>
      <c r="F93" s="1">
        <f t="shared" si="291"/>
        <v>23784.9096881888</v>
      </c>
      <c r="G93" s="1">
        <f t="shared" si="291"/>
        <v>7135.47290645663</v>
      </c>
      <c r="H93" s="1">
        <f t="shared" si="291"/>
        <v>4756.98193763776</v>
      </c>
      <c r="I93" s="1">
        <f t="shared" si="291"/>
        <v>0</v>
      </c>
      <c r="J93" s="1">
        <f>[1]标准模型!$I$65/1*$B93/$B$3</f>
        <v>0.5904</v>
      </c>
      <c r="K93" s="1">
        <f>J93*[1]标准模型!$J$63</f>
        <v>0.5904</v>
      </c>
      <c r="L93" s="1">
        <f t="shared" si="217"/>
        <v>30264.2471549713</v>
      </c>
      <c r="M93" s="1">
        <f t="shared" si="218"/>
        <v>10226.8943986079</v>
      </c>
      <c r="N93" s="1">
        <f t="shared" si="219"/>
        <v>6817.92959907192</v>
      </c>
      <c r="O93" s="1">
        <f t="shared" ref="O93:X93" si="292">O$5+(O$6-O$5)*(POWER(O$7,$B93-1)-1)/(POWER(O$7,$B$3-1)-1)</f>
        <v>0.581179288536344</v>
      </c>
      <c r="P93" s="1">
        <f t="shared" si="292"/>
        <v>0.0464072372805053</v>
      </c>
      <c r="Q93" s="1">
        <f t="shared" si="292"/>
        <v>0.319648608694989</v>
      </c>
      <c r="R93" s="1">
        <f t="shared" si="292"/>
        <v>1.03247171541454</v>
      </c>
      <c r="S93" s="1">
        <f t="shared" si="292"/>
        <v>0.113651003950882</v>
      </c>
      <c r="T93" s="1">
        <f t="shared" si="292"/>
        <v>2.31659922529174</v>
      </c>
      <c r="U93" s="1">
        <f t="shared" si="292"/>
        <v>1</v>
      </c>
      <c r="V93" s="1">
        <f t="shared" si="292"/>
        <v>1.08853399330972</v>
      </c>
      <c r="W93" s="1">
        <f t="shared" si="292"/>
        <v>1.04995648525313</v>
      </c>
      <c r="X93" s="1">
        <f t="shared" si="292"/>
        <v>1.2597737233163</v>
      </c>
      <c r="Y93" s="1">
        <f t="shared" si="243"/>
        <v>0.985314274823527</v>
      </c>
      <c r="Z93" s="1">
        <f t="shared" si="244"/>
        <v>1.61882893458791</v>
      </c>
      <c r="AA93" s="1">
        <f t="shared" si="221"/>
        <v>48992.6389779873</v>
      </c>
      <c r="AB93" s="1">
        <f t="shared" si="222"/>
        <v>10226.8943986079</v>
      </c>
      <c r="AC93" s="1">
        <f t="shared" si="223"/>
        <v>6817.92959907192</v>
      </c>
      <c r="AD93" s="1">
        <f>AC93/(AC93+[1]战斗公式!$M$27)</f>
        <v>0.221232564541819</v>
      </c>
      <c r="AE93" s="1">
        <f t="shared" si="224"/>
        <v>62910.487454015</v>
      </c>
      <c r="AF93" s="1">
        <f t="shared" si="225"/>
        <v>6.24316055857479</v>
      </c>
      <c r="AG93" s="1">
        <f t="shared" si="226"/>
        <v>3.79995383511284</v>
      </c>
      <c r="AH93" s="1">
        <f t="shared" si="227"/>
        <v>2.8698236977466</v>
      </c>
      <c r="AI93" s="1">
        <f t="shared" si="228"/>
        <v>0.684899784266644</v>
      </c>
      <c r="AJ93" s="1">
        <f t="shared" si="229"/>
        <v>1.01804304650696</v>
      </c>
      <c r="AK93" s="1">
        <f t="shared" si="230"/>
        <v>1.15571372786181</v>
      </c>
      <c r="AL93" s="1">
        <f t="shared" si="231"/>
        <v>0.84171768987448</v>
      </c>
      <c r="AM93" s="27">
        <f t="shared" si="232"/>
        <v>37001</v>
      </c>
      <c r="AN93" s="27">
        <f t="shared" si="233"/>
        <v>7004</v>
      </c>
      <c r="AO93" s="27">
        <f t="shared" si="234"/>
        <v>6818</v>
      </c>
      <c r="AP93" s="1">
        <f t="shared" si="235"/>
        <v>26027</v>
      </c>
      <c r="AQ93" s="1">
        <f t="shared" si="236"/>
        <v>5895</v>
      </c>
      <c r="AR93"/>
      <c r="AS93" s="1">
        <f t="shared" ref="AS93:AY93" si="293">ROUNDUP(AS$10*$AP93,0)</f>
        <v>26027</v>
      </c>
      <c r="AT93" s="1">
        <f t="shared" si="293"/>
        <v>78081</v>
      </c>
      <c r="AU93" s="1">
        <f t="shared" si="293"/>
        <v>46849</v>
      </c>
      <c r="AV93" s="1">
        <f t="shared" si="293"/>
        <v>13014</v>
      </c>
      <c r="AW93" s="1">
        <f t="shared" si="293"/>
        <v>3905</v>
      </c>
      <c r="AX93" s="1">
        <f t="shared" si="293"/>
        <v>104108</v>
      </c>
      <c r="AY93" s="1">
        <f t="shared" si="293"/>
        <v>234243</v>
      </c>
      <c r="AZ93" s="1">
        <f t="shared" si="238"/>
        <v>2260117</v>
      </c>
      <c r="BA93" s="1">
        <f t="shared" si="239"/>
        <v>1130058</v>
      </c>
      <c r="BC93" s="1">
        <f t="shared" si="240"/>
        <v>82</v>
      </c>
    </row>
    <row r="94" s="1" customFormat="1" spans="2:55">
      <c r="B94" s="4">
        <v>83</v>
      </c>
      <c r="C94" s="1">
        <f t="shared" ref="C94:I94" si="294">C$5+(C$6-C$5)*(POWER(C$7,$B94-1)-1)/(POWER(C$7,$B$3-1)-1)</f>
        <v>6558.35073908387</v>
      </c>
      <c r="D94" s="1">
        <f t="shared" si="294"/>
        <v>1967.50522172516</v>
      </c>
      <c r="E94" s="1">
        <f t="shared" si="294"/>
        <v>1311.67014781677</v>
      </c>
      <c r="F94" s="1">
        <f t="shared" si="294"/>
        <v>24074.9584092952</v>
      </c>
      <c r="G94" s="1">
        <f t="shared" si="294"/>
        <v>7222.48752278856</v>
      </c>
      <c r="H94" s="1">
        <f t="shared" si="294"/>
        <v>4814.99168185904</v>
      </c>
      <c r="I94" s="1">
        <f t="shared" si="294"/>
        <v>0</v>
      </c>
      <c r="J94" s="1">
        <f>[1]标准模型!$I$65/1*$B94/$B$3</f>
        <v>0.5976</v>
      </c>
      <c r="K94" s="1">
        <f>J94*[1]标准模型!$J$63</f>
        <v>0.5976</v>
      </c>
      <c r="L94" s="1">
        <f t="shared" si="217"/>
        <v>30633.3091483791</v>
      </c>
      <c r="M94" s="1">
        <f t="shared" si="218"/>
        <v>10365.7738650167</v>
      </c>
      <c r="N94" s="1">
        <f t="shared" si="219"/>
        <v>6910.51591001111</v>
      </c>
      <c r="O94" s="1">
        <f t="shared" ref="O94:X94" si="295">O$5+(O$6-O$5)*(POWER(O$7,$B94-1)-1)/(POWER(O$7,$B$3-1)-1)</f>
        <v>0.582181460884857</v>
      </c>
      <c r="P94" s="1">
        <f t="shared" si="295"/>
        <v>0.0470161052619557</v>
      </c>
      <c r="Q94" s="1">
        <f t="shared" si="295"/>
        <v>0.320199803486671</v>
      </c>
      <c r="R94" s="1">
        <f t="shared" si="295"/>
        <v>1.03287258435394</v>
      </c>
      <c r="S94" s="1">
        <f t="shared" si="295"/>
        <v>0.115054045238799</v>
      </c>
      <c r="T94" s="1">
        <f t="shared" si="295"/>
        <v>2.32050769745094</v>
      </c>
      <c r="U94" s="1">
        <f t="shared" si="295"/>
        <v>1</v>
      </c>
      <c r="V94" s="1">
        <f t="shared" si="295"/>
        <v>1.08962696075989</v>
      </c>
      <c r="W94" s="1">
        <f t="shared" si="295"/>
        <v>1.05057320669837</v>
      </c>
      <c r="X94" s="1">
        <f t="shared" si="295"/>
        <v>1.26298067483154</v>
      </c>
      <c r="Y94" s="1">
        <f t="shared" si="243"/>
        <v>0.993305420676146</v>
      </c>
      <c r="Z94" s="1">
        <f t="shared" si="244"/>
        <v>1.63313330699571</v>
      </c>
      <c r="AA94" s="1">
        <f t="shared" si="221"/>
        <v>50028.2774737142</v>
      </c>
      <c r="AB94" s="1">
        <f t="shared" si="222"/>
        <v>10365.7738650167</v>
      </c>
      <c r="AC94" s="1">
        <f t="shared" si="223"/>
        <v>6910.51591001111</v>
      </c>
      <c r="AD94" s="1">
        <f>AC94/(AC94+[1]战斗公式!$M$27)</f>
        <v>0.223565207715377</v>
      </c>
      <c r="AE94" s="1">
        <f t="shared" si="224"/>
        <v>64433.3277834039</v>
      </c>
      <c r="AF94" s="1">
        <f t="shared" si="225"/>
        <v>6.25786263989957</v>
      </c>
      <c r="AG94" s="1">
        <f t="shared" si="226"/>
        <v>3.80616135586249</v>
      </c>
      <c r="AH94" s="1">
        <f t="shared" si="227"/>
        <v>2.88651767424455</v>
      </c>
      <c r="AI94" s="1">
        <f t="shared" si="228"/>
        <v>0.68737466452295</v>
      </c>
      <c r="AJ94" s="1">
        <f t="shared" si="229"/>
        <v>1.01714089418117</v>
      </c>
      <c r="AK94" s="1">
        <f t="shared" si="230"/>
        <v>1.15259878349719</v>
      </c>
      <c r="AL94" s="1">
        <f t="shared" si="231"/>
        <v>0.842171909268216</v>
      </c>
      <c r="AM94" s="27">
        <f t="shared" si="232"/>
        <v>37940</v>
      </c>
      <c r="AN94" s="27">
        <f t="shared" si="233"/>
        <v>7125</v>
      </c>
      <c r="AO94" s="27">
        <f t="shared" si="234"/>
        <v>6911</v>
      </c>
      <c r="AP94" s="1">
        <f t="shared" si="235"/>
        <v>26598</v>
      </c>
      <c r="AQ94" s="1">
        <f t="shared" si="236"/>
        <v>6000</v>
      </c>
      <c r="AR94"/>
      <c r="AS94" s="1">
        <f t="shared" ref="AS94:AY94" si="296">ROUNDUP(AS$10*$AP94,0)</f>
        <v>26598</v>
      </c>
      <c r="AT94" s="1">
        <f t="shared" si="296"/>
        <v>79794</v>
      </c>
      <c r="AU94" s="1">
        <f t="shared" si="296"/>
        <v>47877</v>
      </c>
      <c r="AV94" s="1">
        <f t="shared" si="296"/>
        <v>13299</v>
      </c>
      <c r="AW94" s="1">
        <f t="shared" si="296"/>
        <v>3990</v>
      </c>
      <c r="AX94" s="1">
        <f t="shared" si="296"/>
        <v>106392</v>
      </c>
      <c r="AY94" s="1">
        <f t="shared" si="296"/>
        <v>239382</v>
      </c>
      <c r="AZ94" s="1">
        <f t="shared" si="238"/>
        <v>2315420</v>
      </c>
      <c r="BA94" s="1">
        <f t="shared" si="239"/>
        <v>1157710</v>
      </c>
      <c r="BC94" s="1">
        <f t="shared" si="240"/>
        <v>83</v>
      </c>
    </row>
    <row r="95" s="1" customFormat="1" spans="2:55">
      <c r="B95" s="4">
        <v>84</v>
      </c>
      <c r="C95" s="1">
        <f t="shared" ref="C95:I95" si="297">C$5+(C$6-C$5)*(POWER(C$7,$B95-1)-1)/(POWER(C$7,$B$3-1)-1)</f>
        <v>6637.36393237612</v>
      </c>
      <c r="D95" s="1">
        <f t="shared" si="297"/>
        <v>1991.20917971284</v>
      </c>
      <c r="E95" s="1">
        <f t="shared" si="297"/>
        <v>1327.47278647522</v>
      </c>
      <c r="F95" s="1">
        <f t="shared" si="297"/>
        <v>24365.006840368</v>
      </c>
      <c r="G95" s="1">
        <f t="shared" si="297"/>
        <v>7309.50205211041</v>
      </c>
      <c r="H95" s="1">
        <f t="shared" si="297"/>
        <v>4873.00136807361</v>
      </c>
      <c r="I95" s="1">
        <f t="shared" si="297"/>
        <v>0</v>
      </c>
      <c r="J95" s="1">
        <f>[1]标准模型!$I$65/1*$B95/$B$3</f>
        <v>0.6048</v>
      </c>
      <c r="K95" s="1">
        <f>J95*[1]标准模型!$J$63</f>
        <v>0.6048</v>
      </c>
      <c r="L95" s="1">
        <f t="shared" si="217"/>
        <v>31002.3707727441</v>
      </c>
      <c r="M95" s="1">
        <f t="shared" si="218"/>
        <v>10504.9945437136</v>
      </c>
      <c r="N95" s="1">
        <f t="shared" si="219"/>
        <v>7003.32969580904</v>
      </c>
      <c r="O95" s="1">
        <f t="shared" ref="O95:X95" si="298">O$5+(O$6-O$5)*(POWER(O$7,$B95-1)-1)/(POWER(O$7,$B$3-1)-1)</f>
        <v>0.583183632231249</v>
      </c>
      <c r="P95" s="1">
        <f t="shared" si="298"/>
        <v>0.0476258865453782</v>
      </c>
      <c r="Q95" s="1">
        <f t="shared" si="298"/>
        <v>0.320750997727187</v>
      </c>
      <c r="R95" s="1">
        <f t="shared" si="298"/>
        <v>1.0332734528925</v>
      </c>
      <c r="S95" s="1">
        <f t="shared" si="298"/>
        <v>0.116457085123748</v>
      </c>
      <c r="T95" s="1">
        <f t="shared" si="298"/>
        <v>2.32441616570187</v>
      </c>
      <c r="U95" s="1">
        <f t="shared" si="298"/>
        <v>1</v>
      </c>
      <c r="V95" s="1">
        <f t="shared" si="298"/>
        <v>1.09071992711716</v>
      </c>
      <c r="W95" s="1">
        <f t="shared" si="298"/>
        <v>1.05118992752692</v>
      </c>
      <c r="X95" s="1">
        <f t="shared" si="298"/>
        <v>1.26618762314</v>
      </c>
      <c r="Y95" s="1">
        <f t="shared" si="243"/>
        <v>1.00135483580978</v>
      </c>
      <c r="Z95" s="1">
        <f t="shared" si="244"/>
        <v>1.64755310662838</v>
      </c>
      <c r="AA95" s="1">
        <f t="shared" si="221"/>
        <v>51078.0522794795</v>
      </c>
      <c r="AB95" s="1">
        <f t="shared" si="222"/>
        <v>10504.9945437136</v>
      </c>
      <c r="AC95" s="1">
        <f t="shared" si="223"/>
        <v>7003.32969580904</v>
      </c>
      <c r="AD95" s="1">
        <f>AC95/(AC95+[1]战斗公式!$M$27)</f>
        <v>0.225889598456766</v>
      </c>
      <c r="AE95" s="1">
        <f t="shared" si="224"/>
        <v>65982.9039600197</v>
      </c>
      <c r="AF95" s="1">
        <f t="shared" si="225"/>
        <v>6.27260001304482</v>
      </c>
      <c r="AG95" s="1">
        <f t="shared" si="226"/>
        <v>3.81237990501976</v>
      </c>
      <c r="AH95" s="1">
        <f t="shared" si="227"/>
        <v>2.90308644591877</v>
      </c>
      <c r="AI95" s="1">
        <f t="shared" si="228"/>
        <v>0.68985449453977</v>
      </c>
      <c r="AJ95" s="1">
        <f t="shared" si="229"/>
        <v>1.01628384947167</v>
      </c>
      <c r="AK95" s="1">
        <f t="shared" si="230"/>
        <v>1.14954613801986</v>
      </c>
      <c r="AL95" s="1">
        <f t="shared" si="231"/>
        <v>0.842624766003771</v>
      </c>
      <c r="AM95" s="27">
        <f t="shared" si="232"/>
        <v>38895</v>
      </c>
      <c r="AN95" s="27">
        <f t="shared" si="233"/>
        <v>7247</v>
      </c>
      <c r="AO95" s="27">
        <f t="shared" si="234"/>
        <v>7003</v>
      </c>
      <c r="AP95" s="1">
        <f t="shared" si="235"/>
        <v>27175</v>
      </c>
      <c r="AQ95" s="1">
        <f t="shared" si="236"/>
        <v>6107</v>
      </c>
      <c r="AR95"/>
      <c r="AS95" s="1">
        <f t="shared" ref="AS95:AY95" si="299">ROUNDUP(AS$10*$AP95,0)</f>
        <v>27175</v>
      </c>
      <c r="AT95" s="1">
        <f t="shared" si="299"/>
        <v>81525</v>
      </c>
      <c r="AU95" s="1">
        <f t="shared" si="299"/>
        <v>48915</v>
      </c>
      <c r="AV95" s="1">
        <f t="shared" si="299"/>
        <v>13588</v>
      </c>
      <c r="AW95" s="1">
        <f t="shared" si="299"/>
        <v>4077</v>
      </c>
      <c r="AX95" s="1">
        <f t="shared" si="299"/>
        <v>108700</v>
      </c>
      <c r="AY95" s="1">
        <f t="shared" si="299"/>
        <v>244575</v>
      </c>
      <c r="AZ95" s="1">
        <f t="shared" si="238"/>
        <v>2371702</v>
      </c>
      <c r="BA95" s="1">
        <f t="shared" si="239"/>
        <v>1185851</v>
      </c>
      <c r="BC95" s="1">
        <f t="shared" si="240"/>
        <v>84</v>
      </c>
    </row>
    <row r="96" s="1" customFormat="1" spans="2:55">
      <c r="B96" s="4">
        <v>85</v>
      </c>
      <c r="C96" s="1">
        <f t="shared" ref="C96:I96" si="300">C$5+(C$6-C$5)*(POWER(C$7,$B96-1)-1)/(POWER(C$7,$B$3-1)-1)</f>
        <v>6716.37704665045</v>
      </c>
      <c r="D96" s="1">
        <f t="shared" si="300"/>
        <v>2014.91311399513</v>
      </c>
      <c r="E96" s="1">
        <f t="shared" si="300"/>
        <v>1343.27540933009</v>
      </c>
      <c r="F96" s="1">
        <f t="shared" si="300"/>
        <v>24655.0549813751</v>
      </c>
      <c r="G96" s="1">
        <f t="shared" si="300"/>
        <v>7396.51649441252</v>
      </c>
      <c r="H96" s="1">
        <f t="shared" si="300"/>
        <v>4931.01099627501</v>
      </c>
      <c r="I96" s="1">
        <f t="shared" si="300"/>
        <v>0</v>
      </c>
      <c r="J96" s="1">
        <f>[1]标准模型!$I$65/1*$B96/$B$3</f>
        <v>0.612</v>
      </c>
      <c r="K96" s="1">
        <f>J96*[1]标准模型!$J$63</f>
        <v>0.612</v>
      </c>
      <c r="L96" s="1">
        <f t="shared" si="217"/>
        <v>31371.4320280255</v>
      </c>
      <c r="M96" s="1">
        <f t="shared" si="218"/>
        <v>10644.5564341727</v>
      </c>
      <c r="N96" s="1">
        <f t="shared" si="219"/>
        <v>7096.37095611512</v>
      </c>
      <c r="O96" s="1">
        <f t="shared" ref="O96:X96" si="301">O$5+(O$6-O$5)*(POWER(O$7,$B96-1)-1)/(POWER(O$7,$B$3-1)-1)</f>
        <v>0.58418580257541</v>
      </c>
      <c r="P96" s="1">
        <f t="shared" si="301"/>
        <v>0.0482365825007258</v>
      </c>
      <c r="Q96" s="1">
        <f t="shared" si="301"/>
        <v>0.321302191416475</v>
      </c>
      <c r="R96" s="1">
        <f t="shared" si="301"/>
        <v>1.03367432103016</v>
      </c>
      <c r="S96" s="1">
        <f t="shared" si="301"/>
        <v>0.117860123605573</v>
      </c>
      <c r="T96" s="1">
        <f t="shared" si="301"/>
        <v>2.3283246300441</v>
      </c>
      <c r="U96" s="1">
        <f t="shared" si="301"/>
        <v>1</v>
      </c>
      <c r="V96" s="1">
        <f t="shared" si="301"/>
        <v>1.09181289238139</v>
      </c>
      <c r="W96" s="1">
        <f t="shared" si="301"/>
        <v>1.05180664773871</v>
      </c>
      <c r="X96" s="1">
        <f t="shared" si="301"/>
        <v>1.26939456824131</v>
      </c>
      <c r="Y96" s="1">
        <f t="shared" si="243"/>
        <v>1.00946290361251</v>
      </c>
      <c r="Z96" s="1">
        <f t="shared" si="244"/>
        <v>1.66208918064536</v>
      </c>
      <c r="AA96" s="1">
        <f t="shared" si="221"/>
        <v>52142.1177551326</v>
      </c>
      <c r="AB96" s="1">
        <f t="shared" si="222"/>
        <v>10644.5564341727</v>
      </c>
      <c r="AC96" s="1">
        <f t="shared" si="223"/>
        <v>7096.37095611512</v>
      </c>
      <c r="AD96" s="1">
        <f>AC96/(AC96+[1]战斗公式!$M$27)</f>
        <v>0.228205759640889</v>
      </c>
      <c r="AE96" s="1">
        <f t="shared" si="224"/>
        <v>67559.6098396267</v>
      </c>
      <c r="AF96" s="1">
        <f t="shared" si="225"/>
        <v>6.28737262992309</v>
      </c>
      <c r="AG96" s="1">
        <f t="shared" si="226"/>
        <v>3.81860943745005</v>
      </c>
      <c r="AH96" s="1">
        <f t="shared" si="227"/>
        <v>2.91953095180543</v>
      </c>
      <c r="AI96" s="1">
        <f t="shared" si="228"/>
        <v>0.692339284216622</v>
      </c>
      <c r="AJ96" s="1">
        <f t="shared" si="229"/>
        <v>1.01546965699765</v>
      </c>
      <c r="AK96" s="1">
        <f t="shared" si="230"/>
        <v>1.14655454545207</v>
      </c>
      <c r="AL96" s="1">
        <f t="shared" si="231"/>
        <v>0.843076264169119</v>
      </c>
      <c r="AM96" s="27">
        <f t="shared" si="232"/>
        <v>39865</v>
      </c>
      <c r="AN96" s="27">
        <f t="shared" si="233"/>
        <v>7370</v>
      </c>
      <c r="AO96" s="27">
        <f t="shared" si="234"/>
        <v>7096</v>
      </c>
      <c r="AP96" s="1">
        <f t="shared" si="235"/>
        <v>27760</v>
      </c>
      <c r="AQ96" s="1">
        <f t="shared" si="236"/>
        <v>6213</v>
      </c>
      <c r="AR96"/>
      <c r="AS96" s="1">
        <f t="shared" ref="AS96:AY96" si="302">ROUNDUP(AS$10*$AP96,0)</f>
        <v>27760</v>
      </c>
      <c r="AT96" s="1">
        <f t="shared" si="302"/>
        <v>83280</v>
      </c>
      <c r="AU96" s="1">
        <f t="shared" si="302"/>
        <v>49968</v>
      </c>
      <c r="AV96" s="1">
        <f t="shared" si="302"/>
        <v>13880</v>
      </c>
      <c r="AW96" s="1">
        <f t="shared" si="302"/>
        <v>4164</v>
      </c>
      <c r="AX96" s="1">
        <f t="shared" si="302"/>
        <v>111040</v>
      </c>
      <c r="AY96" s="1">
        <f t="shared" si="302"/>
        <v>249840</v>
      </c>
      <c r="AZ96" s="1">
        <f t="shared" si="238"/>
        <v>2428902</v>
      </c>
      <c r="BA96" s="1">
        <f t="shared" si="239"/>
        <v>1214451</v>
      </c>
      <c r="BC96" s="1">
        <f t="shared" si="240"/>
        <v>85</v>
      </c>
    </row>
    <row r="97" s="1" customFormat="1" spans="2:55">
      <c r="B97" s="4">
        <v>86</v>
      </c>
      <c r="C97" s="1">
        <f t="shared" ref="C97:I97" si="303">C$5+(C$6-C$5)*(POWER(C$7,$B97-1)-1)/(POWER(C$7,$B$3-1)-1)</f>
        <v>6795.39008190685</v>
      </c>
      <c r="D97" s="1">
        <f t="shared" si="303"/>
        <v>2038.61702457205</v>
      </c>
      <c r="E97" s="1">
        <f t="shared" si="303"/>
        <v>1359.07801638137</v>
      </c>
      <c r="F97" s="1">
        <f t="shared" si="303"/>
        <v>24945.1028323163</v>
      </c>
      <c r="G97" s="1">
        <f t="shared" si="303"/>
        <v>7483.53084969489</v>
      </c>
      <c r="H97" s="1">
        <f t="shared" si="303"/>
        <v>4989.02056646326</v>
      </c>
      <c r="I97" s="1">
        <f t="shared" si="303"/>
        <v>0</v>
      </c>
      <c r="J97" s="1">
        <f>[1]标准模型!$I$65/1*$B97/$B$3</f>
        <v>0.6192</v>
      </c>
      <c r="K97" s="1">
        <f>J97*[1]标准模型!$J$63</f>
        <v>0.6192</v>
      </c>
      <c r="L97" s="1">
        <f t="shared" si="217"/>
        <v>31740.4929142231</v>
      </c>
      <c r="M97" s="1">
        <f t="shared" si="218"/>
        <v>10784.459535882</v>
      </c>
      <c r="N97" s="1">
        <f t="shared" si="219"/>
        <v>7189.63969058797</v>
      </c>
      <c r="O97" s="1">
        <f t="shared" ref="O97:X97" si="304">O$5+(O$6-O$5)*(POWER(O$7,$B97-1)-1)/(POWER(O$7,$B$3-1)-1)</f>
        <v>0.585187971917339</v>
      </c>
      <c r="P97" s="1">
        <f t="shared" si="304"/>
        <v>0.0488481945000066</v>
      </c>
      <c r="Q97" s="1">
        <f t="shared" si="304"/>
        <v>0.321853384554537</v>
      </c>
      <c r="R97" s="1">
        <f t="shared" si="304"/>
        <v>1.03407518876694</v>
      </c>
      <c r="S97" s="1">
        <f t="shared" si="304"/>
        <v>0.119263160684275</v>
      </c>
      <c r="T97" s="1">
        <f t="shared" si="304"/>
        <v>2.33223309047762</v>
      </c>
      <c r="U97" s="1">
        <f t="shared" si="304"/>
        <v>1</v>
      </c>
      <c r="V97" s="1">
        <f t="shared" si="304"/>
        <v>1.09290585655259</v>
      </c>
      <c r="W97" s="1">
        <f t="shared" si="304"/>
        <v>1.05242336733375</v>
      </c>
      <c r="X97" s="1">
        <f t="shared" si="304"/>
        <v>1.27260151013549</v>
      </c>
      <c r="Y97" s="1">
        <f t="shared" si="243"/>
        <v>1.01763000950126</v>
      </c>
      <c r="Z97" s="1">
        <f t="shared" si="244"/>
        <v>1.67674238143784</v>
      </c>
      <c r="AA97" s="1">
        <f t="shared" si="221"/>
        <v>53220.6296770054</v>
      </c>
      <c r="AB97" s="1">
        <f t="shared" si="222"/>
        <v>10784.459535882</v>
      </c>
      <c r="AC97" s="1">
        <f t="shared" si="223"/>
        <v>7189.63969058797</v>
      </c>
      <c r="AD97" s="1">
        <f>AC97/(AC97+[1]战斗公式!$M$27)</f>
        <v>0.230513714230485</v>
      </c>
      <c r="AE97" s="1">
        <f t="shared" si="224"/>
        <v>69163.8443221672</v>
      </c>
      <c r="AF97" s="1">
        <f t="shared" si="225"/>
        <v>6.30218044274327</v>
      </c>
      <c r="AG97" s="1">
        <f t="shared" si="226"/>
        <v>3.82484990826556</v>
      </c>
      <c r="AH97" s="1">
        <f t="shared" si="227"/>
        <v>2.93585212389795</v>
      </c>
      <c r="AI97" s="1">
        <f t="shared" si="228"/>
        <v>0.694829043472829</v>
      </c>
      <c r="AJ97" s="1">
        <f t="shared" si="229"/>
        <v>1.01469617414733</v>
      </c>
      <c r="AK97" s="1">
        <f t="shared" si="230"/>
        <v>1.14362278473564</v>
      </c>
      <c r="AL97" s="1">
        <f t="shared" si="231"/>
        <v>0.843526407839972</v>
      </c>
      <c r="AM97" s="27">
        <f t="shared" si="232"/>
        <v>40851</v>
      </c>
      <c r="AN97" s="27">
        <f t="shared" si="233"/>
        <v>7493</v>
      </c>
      <c r="AO97" s="27">
        <f t="shared" si="234"/>
        <v>7190</v>
      </c>
      <c r="AP97" s="1">
        <f t="shared" si="235"/>
        <v>28353</v>
      </c>
      <c r="AQ97" s="1">
        <f t="shared" si="236"/>
        <v>6321</v>
      </c>
      <c r="AR97"/>
      <c r="AS97" s="1">
        <f t="shared" ref="AS97:AY97" si="305">ROUNDUP(AS$10*$AP97,0)</f>
        <v>28353</v>
      </c>
      <c r="AT97" s="1">
        <f t="shared" si="305"/>
        <v>85059</v>
      </c>
      <c r="AU97" s="1">
        <f t="shared" si="305"/>
        <v>51036</v>
      </c>
      <c r="AV97" s="1">
        <f t="shared" si="305"/>
        <v>14177</v>
      </c>
      <c r="AW97" s="1">
        <f t="shared" si="305"/>
        <v>4253</v>
      </c>
      <c r="AX97" s="1">
        <f t="shared" si="305"/>
        <v>113412</v>
      </c>
      <c r="AY97" s="1">
        <f t="shared" si="305"/>
        <v>255177</v>
      </c>
      <c r="AZ97" s="1">
        <f t="shared" si="238"/>
        <v>2487081</v>
      </c>
      <c r="BA97" s="1">
        <f t="shared" si="239"/>
        <v>1243541</v>
      </c>
      <c r="BC97" s="1">
        <f t="shared" si="240"/>
        <v>86</v>
      </c>
    </row>
    <row r="98" s="1" customFormat="1" spans="2:55">
      <c r="B98" s="4">
        <v>87</v>
      </c>
      <c r="C98" s="1">
        <f t="shared" ref="C98:I98" si="306">C$5+(C$6-C$5)*(POWER(C$7,$B98-1)-1)/(POWER(C$7,$B$3-1)-1)</f>
        <v>6874.4030381541</v>
      </c>
      <c r="D98" s="1">
        <f t="shared" si="306"/>
        <v>2062.32091144623</v>
      </c>
      <c r="E98" s="1">
        <f t="shared" si="306"/>
        <v>1374.88060763082</v>
      </c>
      <c r="F98" s="1">
        <f t="shared" si="306"/>
        <v>25235.1503932239</v>
      </c>
      <c r="G98" s="1">
        <f t="shared" si="306"/>
        <v>7570.54511796717</v>
      </c>
      <c r="H98" s="1">
        <f t="shared" si="306"/>
        <v>5047.03007864478</v>
      </c>
      <c r="I98" s="1">
        <f t="shared" si="306"/>
        <v>0</v>
      </c>
      <c r="J98" s="1">
        <f>[1]标准模型!$I$65/1*$B98/$B$3</f>
        <v>0.6264</v>
      </c>
      <c r="K98" s="1">
        <f>J98*[1]标准模型!$J$63</f>
        <v>0.6264</v>
      </c>
      <c r="L98" s="1">
        <f t="shared" si="217"/>
        <v>32109.553431378</v>
      </c>
      <c r="M98" s="1">
        <f t="shared" si="218"/>
        <v>10924.7038483433</v>
      </c>
      <c r="N98" s="1">
        <f t="shared" si="219"/>
        <v>7283.13589889555</v>
      </c>
      <c r="O98" s="1">
        <f t="shared" ref="O98:X98" si="307">O$5+(O$6-O$5)*(POWER(O$7,$B98-1)-1)/(POWER(O$7,$B$3-1)-1)</f>
        <v>0.586190140257149</v>
      </c>
      <c r="P98" s="1">
        <f t="shared" si="307"/>
        <v>0.0494607239172862</v>
      </c>
      <c r="Q98" s="1">
        <f t="shared" si="307"/>
        <v>0.322404577141432</v>
      </c>
      <c r="R98" s="1">
        <f t="shared" si="307"/>
        <v>1.03447605610286</v>
      </c>
      <c r="S98" s="1">
        <f t="shared" si="307"/>
        <v>0.120666196360008</v>
      </c>
      <c r="T98" s="1">
        <f t="shared" si="307"/>
        <v>2.33614154700288</v>
      </c>
      <c r="U98" s="1">
        <f t="shared" si="307"/>
        <v>1</v>
      </c>
      <c r="V98" s="1">
        <f t="shared" si="307"/>
        <v>1.09399881963087</v>
      </c>
      <c r="W98" s="1">
        <f t="shared" si="307"/>
        <v>1.05304008631209</v>
      </c>
      <c r="X98" s="1">
        <f t="shared" si="307"/>
        <v>1.27580844882288</v>
      </c>
      <c r="Y98" s="1">
        <f t="shared" si="243"/>
        <v>1.02585654092913</v>
      </c>
      <c r="Z98" s="1">
        <f t="shared" si="244"/>
        <v>1.69151356665312</v>
      </c>
      <c r="AA98" s="1">
        <f t="shared" si="221"/>
        <v>54313.7452483491</v>
      </c>
      <c r="AB98" s="1">
        <f t="shared" si="222"/>
        <v>10924.7038483433</v>
      </c>
      <c r="AC98" s="1">
        <f t="shared" si="223"/>
        <v>7283.13589889555</v>
      </c>
      <c r="AD98" s="1">
        <f>AC98/(AC98+[1]战斗公式!$M$27)</f>
        <v>0.232813485273152</v>
      </c>
      <c r="AE98" s="1">
        <f t="shared" si="224"/>
        <v>70796.0114075874</v>
      </c>
      <c r="AF98" s="1">
        <f t="shared" si="225"/>
        <v>6.31702340400736</v>
      </c>
      <c r="AG98" s="1">
        <f t="shared" si="226"/>
        <v>3.83110127282371</v>
      </c>
      <c r="AH98" s="1">
        <f t="shared" si="227"/>
        <v>2.95205088719976</v>
      </c>
      <c r="AI98" s="1">
        <f t="shared" si="228"/>
        <v>0.697323782247548</v>
      </c>
      <c r="AJ98" s="1">
        <f t="shared" si="229"/>
        <v>1.01396136543952</v>
      </c>
      <c r="AK98" s="1">
        <f t="shared" si="230"/>
        <v>1.14074965923354</v>
      </c>
      <c r="AL98" s="1">
        <f t="shared" si="231"/>
        <v>0.843975201079811</v>
      </c>
      <c r="AM98" s="27">
        <f t="shared" si="232"/>
        <v>41851</v>
      </c>
      <c r="AN98" s="27">
        <f t="shared" si="233"/>
        <v>7618</v>
      </c>
      <c r="AO98" s="27">
        <f t="shared" si="234"/>
        <v>7283</v>
      </c>
      <c r="AP98" s="1">
        <f t="shared" si="235"/>
        <v>28954</v>
      </c>
      <c r="AQ98" s="1">
        <f t="shared" si="236"/>
        <v>6429</v>
      </c>
      <c r="AR98"/>
      <c r="AS98" s="1">
        <f t="shared" ref="AS98:AY98" si="308">ROUNDUP(AS$10*$AP98,0)</f>
        <v>28954</v>
      </c>
      <c r="AT98" s="1">
        <f t="shared" si="308"/>
        <v>86862</v>
      </c>
      <c r="AU98" s="1">
        <f t="shared" si="308"/>
        <v>52118</v>
      </c>
      <c r="AV98" s="1">
        <f t="shared" si="308"/>
        <v>14477</v>
      </c>
      <c r="AW98" s="1">
        <f t="shared" si="308"/>
        <v>4344</v>
      </c>
      <c r="AX98" s="1">
        <f t="shared" si="308"/>
        <v>115816</v>
      </c>
      <c r="AY98" s="1">
        <f t="shared" si="308"/>
        <v>260586</v>
      </c>
      <c r="AZ98" s="1">
        <f t="shared" si="238"/>
        <v>2546118</v>
      </c>
      <c r="BA98" s="1">
        <f t="shared" si="239"/>
        <v>1273059</v>
      </c>
      <c r="BC98" s="1">
        <f t="shared" si="240"/>
        <v>87</v>
      </c>
    </row>
    <row r="99" s="1" customFormat="1" spans="2:55">
      <c r="B99" s="4">
        <v>88</v>
      </c>
      <c r="C99" s="1">
        <f t="shared" ref="C99:I99" si="309">C$5+(C$6-C$5)*(POWER(C$7,$B99-1)-1)/(POWER(C$7,$B$3-1)-1)</f>
        <v>6953.4159153922</v>
      </c>
      <c r="D99" s="1">
        <f t="shared" si="309"/>
        <v>2086.02477461766</v>
      </c>
      <c r="E99" s="1">
        <f t="shared" si="309"/>
        <v>1390.68318307844</v>
      </c>
      <c r="F99" s="1">
        <f t="shared" si="309"/>
        <v>25525.197664098</v>
      </c>
      <c r="G99" s="1">
        <f t="shared" si="309"/>
        <v>7657.55929922939</v>
      </c>
      <c r="H99" s="1">
        <f t="shared" si="309"/>
        <v>5105.03953281959</v>
      </c>
      <c r="I99" s="1">
        <f t="shared" si="309"/>
        <v>0</v>
      </c>
      <c r="J99" s="1">
        <f>[1]标准模型!$I$65/1*$B99/$B$3</f>
        <v>0.6336</v>
      </c>
      <c r="K99" s="1">
        <f>J99*[1]标准模型!$J$63</f>
        <v>0.6336</v>
      </c>
      <c r="L99" s="1">
        <f t="shared" si="217"/>
        <v>32478.6135794902</v>
      </c>
      <c r="M99" s="1">
        <f t="shared" si="218"/>
        <v>11065.2893710448</v>
      </c>
      <c r="N99" s="1">
        <f t="shared" si="219"/>
        <v>7376.85958069653</v>
      </c>
      <c r="O99" s="1">
        <f t="shared" ref="O99:X99" si="310">O$5+(O$6-O$5)*(POWER(O$7,$B99-1)-1)/(POWER(O$7,$B$3-1)-1)</f>
        <v>0.587192307594838</v>
      </c>
      <c r="P99" s="1">
        <f t="shared" si="310"/>
        <v>0.0500741721286918</v>
      </c>
      <c r="Q99" s="1">
        <f t="shared" si="310"/>
        <v>0.322955769177161</v>
      </c>
      <c r="R99" s="1">
        <f t="shared" si="310"/>
        <v>1.03487692303794</v>
      </c>
      <c r="S99" s="1">
        <f t="shared" si="310"/>
        <v>0.122069230632773</v>
      </c>
      <c r="T99" s="1">
        <f t="shared" si="310"/>
        <v>2.34004999961987</v>
      </c>
      <c r="U99" s="1">
        <f t="shared" si="310"/>
        <v>1</v>
      </c>
      <c r="V99" s="1">
        <f t="shared" si="310"/>
        <v>1.09509178161625</v>
      </c>
      <c r="W99" s="1">
        <f t="shared" si="310"/>
        <v>1.05365680467375</v>
      </c>
      <c r="X99" s="1">
        <f t="shared" si="310"/>
        <v>1.27901538430348</v>
      </c>
      <c r="Y99" s="1">
        <f t="shared" si="243"/>
        <v>1.03414288739111</v>
      </c>
      <c r="Z99" s="1">
        <f t="shared" si="244"/>
        <v>1.70640359921615</v>
      </c>
      <c r="AA99" s="1">
        <f t="shared" si="221"/>
        <v>55421.6231095926</v>
      </c>
      <c r="AB99" s="1">
        <f t="shared" si="222"/>
        <v>11065.2893710448</v>
      </c>
      <c r="AC99" s="1">
        <f t="shared" si="223"/>
        <v>7376.85958069653</v>
      </c>
      <c r="AD99" s="1">
        <f>AC99/(AC99+[1]战斗公式!$M$27)</f>
        <v>0.235105095897961</v>
      </c>
      <c r="AE99" s="1">
        <f t="shared" si="224"/>
        <v>72456.5202518322</v>
      </c>
      <c r="AF99" s="1">
        <f t="shared" si="225"/>
        <v>6.3319014665027</v>
      </c>
      <c r="AG99" s="1">
        <f t="shared" si="226"/>
        <v>3.8373634867232</v>
      </c>
      <c r="AH99" s="1">
        <f t="shared" si="227"/>
        <v>2.96812815977682</v>
      </c>
      <c r="AI99" s="1">
        <f t="shared" si="228"/>
        <v>0.699823510499816</v>
      </c>
      <c r="AJ99" s="1">
        <f t="shared" si="229"/>
        <v>1.0132632971671</v>
      </c>
      <c r="AK99" s="1">
        <f t="shared" si="230"/>
        <v>1.13793399624148</v>
      </c>
      <c r="AL99" s="1">
        <f t="shared" si="231"/>
        <v>0.844422647939932</v>
      </c>
      <c r="AM99" s="27">
        <f t="shared" si="232"/>
        <v>42868</v>
      </c>
      <c r="AN99" s="27">
        <f t="shared" si="233"/>
        <v>7744</v>
      </c>
      <c r="AO99" s="27">
        <f t="shared" si="234"/>
        <v>7377</v>
      </c>
      <c r="AP99" s="1">
        <f t="shared" si="235"/>
        <v>29563</v>
      </c>
      <c r="AQ99" s="1">
        <f t="shared" si="236"/>
        <v>6539</v>
      </c>
      <c r="AR99"/>
      <c r="AS99" s="1">
        <f t="shared" ref="AS99:AY99" si="311">ROUNDUP(AS$10*$AP99,0)</f>
        <v>29563</v>
      </c>
      <c r="AT99" s="1">
        <f t="shared" si="311"/>
        <v>88689</v>
      </c>
      <c r="AU99" s="1">
        <f t="shared" si="311"/>
        <v>53214</v>
      </c>
      <c r="AV99" s="1">
        <f t="shared" si="311"/>
        <v>14782</v>
      </c>
      <c r="AW99" s="1">
        <f t="shared" si="311"/>
        <v>4435</v>
      </c>
      <c r="AX99" s="1">
        <f t="shared" si="311"/>
        <v>118252</v>
      </c>
      <c r="AY99" s="1">
        <f t="shared" si="311"/>
        <v>266067</v>
      </c>
      <c r="AZ99" s="1">
        <f t="shared" si="238"/>
        <v>2606194</v>
      </c>
      <c r="BA99" s="1">
        <f t="shared" si="239"/>
        <v>1303097</v>
      </c>
      <c r="BC99" s="1">
        <f t="shared" si="240"/>
        <v>88</v>
      </c>
    </row>
    <row r="100" s="1" customFormat="1" spans="2:55">
      <c r="B100" s="4">
        <v>89</v>
      </c>
      <c r="C100" s="1">
        <f t="shared" ref="C100:I100" si="312">C$5+(C$6-C$5)*(POWER(C$7,$B100-1)-1)/(POWER(C$7,$B$3-1)-1)</f>
        <v>7032.42871362115</v>
      </c>
      <c r="D100" s="1">
        <f t="shared" si="312"/>
        <v>2109.72861408634</v>
      </c>
      <c r="E100" s="1">
        <f t="shared" si="312"/>
        <v>1406.48574272423</v>
      </c>
      <c r="F100" s="1">
        <f t="shared" si="312"/>
        <v>25815.2446449384</v>
      </c>
      <c r="G100" s="1">
        <f t="shared" si="312"/>
        <v>7744.57339348152</v>
      </c>
      <c r="H100" s="1">
        <f t="shared" si="312"/>
        <v>5163.04892898768</v>
      </c>
      <c r="I100" s="1">
        <f t="shared" si="312"/>
        <v>0</v>
      </c>
      <c r="J100" s="1">
        <f>[1]标准模型!$I$65/1*$B100/$B$3</f>
        <v>0.6408</v>
      </c>
      <c r="K100" s="1">
        <f>J100*[1]标准模型!$J$63</f>
        <v>0.6408</v>
      </c>
      <c r="L100" s="1">
        <f t="shared" si="217"/>
        <v>32847.6733585596</v>
      </c>
      <c r="M100" s="1">
        <f t="shared" si="218"/>
        <v>11206.2161034744</v>
      </c>
      <c r="N100" s="1">
        <f t="shared" si="219"/>
        <v>7470.8107356496</v>
      </c>
      <c r="O100" s="1">
        <f t="shared" ref="O100:X100" si="313">O$5+(O$6-O$5)*(POWER(O$7,$B100-1)-1)/(POWER(O$7,$B$3-1)-1)</f>
        <v>0.588194473930407</v>
      </c>
      <c r="P100" s="1">
        <f t="shared" si="313"/>
        <v>0.0506885405124144</v>
      </c>
      <c r="Q100" s="1">
        <f t="shared" si="313"/>
        <v>0.323506960661724</v>
      </c>
      <c r="R100" s="1">
        <f t="shared" si="313"/>
        <v>1.03527778957216</v>
      </c>
      <c r="S100" s="1">
        <f t="shared" si="313"/>
        <v>0.12347226350257</v>
      </c>
      <c r="T100" s="1">
        <f t="shared" si="313"/>
        <v>2.34395844832859</v>
      </c>
      <c r="U100" s="1">
        <f t="shared" si="313"/>
        <v>1</v>
      </c>
      <c r="V100" s="1">
        <f t="shared" si="313"/>
        <v>1.09618474250872</v>
      </c>
      <c r="W100" s="1">
        <f t="shared" si="313"/>
        <v>1.05427352241871</v>
      </c>
      <c r="X100" s="1">
        <f t="shared" si="313"/>
        <v>1.2822223165773</v>
      </c>
      <c r="Y100" s="1">
        <f t="shared" si="243"/>
        <v>1.04248944043223</v>
      </c>
      <c r="Z100" s="1">
        <f t="shared" si="244"/>
        <v>1.72141334735548</v>
      </c>
      <c r="AA100" s="1">
        <f t="shared" si="221"/>
        <v>56544.4233489974</v>
      </c>
      <c r="AB100" s="1">
        <f t="shared" si="222"/>
        <v>11206.2161034744</v>
      </c>
      <c r="AC100" s="1">
        <f t="shared" si="223"/>
        <v>7470.8107356496</v>
      </c>
      <c r="AD100" s="1">
        <f>AC100/(AC100+[1]战斗公式!$M$27)</f>
        <v>0.237388569312795</v>
      </c>
      <c r="AE100" s="1">
        <f t="shared" si="224"/>
        <v>74145.7852238643</v>
      </c>
      <c r="AF100" s="1">
        <f t="shared" si="225"/>
        <v>6.34681458330117</v>
      </c>
      <c r="AG100" s="1">
        <f t="shared" si="226"/>
        <v>3.8436365058034</v>
      </c>
      <c r="AH100" s="1">
        <f t="shared" si="227"/>
        <v>2.98408485280954</v>
      </c>
      <c r="AI100" s="1">
        <f t="shared" si="228"/>
        <v>0.702328238208589</v>
      </c>
      <c r="AJ100" s="1">
        <f t="shared" si="229"/>
        <v>1.01260013230831</v>
      </c>
      <c r="AK100" s="1">
        <f t="shared" si="230"/>
        <v>1.13517464650926</v>
      </c>
      <c r="AL100" s="1">
        <f t="shared" si="231"/>
        <v>0.844868752459472</v>
      </c>
      <c r="AM100" s="27">
        <f t="shared" si="232"/>
        <v>43899</v>
      </c>
      <c r="AN100" s="27">
        <f t="shared" si="233"/>
        <v>7870</v>
      </c>
      <c r="AO100" s="27">
        <f t="shared" si="234"/>
        <v>7471</v>
      </c>
      <c r="AP100" s="1">
        <f t="shared" si="235"/>
        <v>30179</v>
      </c>
      <c r="AQ100" s="1">
        <f t="shared" si="236"/>
        <v>6649</v>
      </c>
      <c r="AR100"/>
      <c r="AS100" s="1">
        <f t="shared" ref="AS100:AY100" si="314">ROUNDUP(AS$10*$AP100,0)</f>
        <v>30179</v>
      </c>
      <c r="AT100" s="1">
        <f t="shared" si="314"/>
        <v>90537</v>
      </c>
      <c r="AU100" s="1">
        <f t="shared" si="314"/>
        <v>54323</v>
      </c>
      <c r="AV100" s="1">
        <f t="shared" si="314"/>
        <v>15090</v>
      </c>
      <c r="AW100" s="1">
        <f t="shared" si="314"/>
        <v>4527</v>
      </c>
      <c r="AX100" s="1">
        <f t="shared" si="314"/>
        <v>120716</v>
      </c>
      <c r="AY100" s="1">
        <f t="shared" si="314"/>
        <v>271611</v>
      </c>
      <c r="AZ100" s="1">
        <f t="shared" si="238"/>
        <v>2667128</v>
      </c>
      <c r="BA100" s="1">
        <f t="shared" si="239"/>
        <v>1333564</v>
      </c>
      <c r="BC100" s="1">
        <f t="shared" si="240"/>
        <v>89</v>
      </c>
    </row>
    <row r="101" s="1" customFormat="1" spans="2:55">
      <c r="B101" s="4">
        <v>90</v>
      </c>
      <c r="C101" s="1">
        <f t="shared" ref="C101:I101" si="315">C$5+(C$6-C$5)*(POWER(C$7,$B101-1)-1)/(POWER(C$7,$B$3-1)-1)</f>
        <v>7111.44143283217</v>
      </c>
      <c r="D101" s="1">
        <f t="shared" si="315"/>
        <v>2133.43242984965</v>
      </c>
      <c r="E101" s="1">
        <f t="shared" si="315"/>
        <v>1422.28828656643</v>
      </c>
      <c r="F101" s="1">
        <f t="shared" si="315"/>
        <v>26105.291335713</v>
      </c>
      <c r="G101" s="1">
        <f t="shared" si="315"/>
        <v>7831.58740071391</v>
      </c>
      <c r="H101" s="1">
        <f t="shared" si="315"/>
        <v>5221.05826714261</v>
      </c>
      <c r="I101" s="1">
        <f t="shared" si="315"/>
        <v>0</v>
      </c>
      <c r="J101" s="1">
        <f>[1]标准模型!$I$65/1*$B101/$B$3</f>
        <v>0.648</v>
      </c>
      <c r="K101" s="1">
        <f>J101*[1]标准模型!$J$63</f>
        <v>0.648</v>
      </c>
      <c r="L101" s="1">
        <f t="shared" si="217"/>
        <v>33216.7327685452</v>
      </c>
      <c r="M101" s="1">
        <f t="shared" si="218"/>
        <v>11347.4840451061</v>
      </c>
      <c r="N101" s="1">
        <f t="shared" si="219"/>
        <v>7564.98936340409</v>
      </c>
      <c r="O101" s="1">
        <f t="shared" ref="O101:X101" si="316">O$5+(O$6-O$5)*(POWER(O$7,$B101-1)-1)/(POWER(O$7,$B$3-1)-1)</f>
        <v>0.589196639263745</v>
      </c>
      <c r="P101" s="1">
        <f t="shared" si="316"/>
        <v>0.0513038304487126</v>
      </c>
      <c r="Q101" s="1">
        <f t="shared" si="316"/>
        <v>0.32405815159506</v>
      </c>
      <c r="R101" s="1">
        <f t="shared" si="316"/>
        <v>1.0356786557055</v>
      </c>
      <c r="S101" s="1">
        <f t="shared" si="316"/>
        <v>0.124875294969243</v>
      </c>
      <c r="T101" s="1">
        <f t="shared" si="316"/>
        <v>2.3478668931286</v>
      </c>
      <c r="U101" s="1">
        <f t="shared" si="316"/>
        <v>1</v>
      </c>
      <c r="V101" s="1">
        <f t="shared" si="316"/>
        <v>1.09727770230815</v>
      </c>
      <c r="W101" s="1">
        <f t="shared" si="316"/>
        <v>1.05489023954692</v>
      </c>
      <c r="X101" s="1">
        <f t="shared" si="316"/>
        <v>1.28542924564398</v>
      </c>
      <c r="Y101" s="1">
        <f t="shared" si="243"/>
        <v>1.05089659365411</v>
      </c>
      <c r="Z101" s="1">
        <f t="shared" si="244"/>
        <v>1.73654368462637</v>
      </c>
      <c r="AA101" s="1">
        <f t="shared" si="221"/>
        <v>57682.3075131389</v>
      </c>
      <c r="AB101" s="1">
        <f t="shared" si="222"/>
        <v>11347.4840451061</v>
      </c>
      <c r="AC101" s="1">
        <f t="shared" si="223"/>
        <v>7564.98936340409</v>
      </c>
      <c r="AD101" s="1">
        <f>AC101/(AC101+[1]战斗公式!$M$27)</f>
        <v>0.239663928801282</v>
      </c>
      <c r="AE101" s="1">
        <f t="shared" si="224"/>
        <v>75864.225962868</v>
      </c>
      <c r="AF101" s="1">
        <f t="shared" si="225"/>
        <v>6.36176270775391</v>
      </c>
      <c r="AG101" s="1">
        <f t="shared" si="226"/>
        <v>3.84992028614171</v>
      </c>
      <c r="AH101" s="1">
        <f t="shared" si="227"/>
        <v>2.99992187064452</v>
      </c>
      <c r="AI101" s="1">
        <f t="shared" si="228"/>
        <v>0.704837975372779</v>
      </c>
      <c r="AJ101" s="1">
        <f t="shared" si="229"/>
        <v>1.01197012569245</v>
      </c>
      <c r="AK101" s="1">
        <f t="shared" si="230"/>
        <v>1.13247048377169</v>
      </c>
      <c r="AL101" s="1">
        <f t="shared" si="231"/>
        <v>0.845313518665453</v>
      </c>
      <c r="AM101" s="27">
        <f t="shared" si="232"/>
        <v>44947</v>
      </c>
      <c r="AN101" s="27">
        <f t="shared" si="233"/>
        <v>7998</v>
      </c>
      <c r="AO101" s="27">
        <f t="shared" si="234"/>
        <v>7565</v>
      </c>
      <c r="AP101" s="1">
        <f t="shared" si="235"/>
        <v>30804</v>
      </c>
      <c r="AQ101" s="1">
        <f t="shared" si="236"/>
        <v>6761</v>
      </c>
      <c r="AR101"/>
      <c r="AS101" s="1">
        <f t="shared" ref="AS101:AY101" si="317">ROUNDUP(AS$10*$AP101,0)</f>
        <v>30804</v>
      </c>
      <c r="AT101" s="1">
        <f t="shared" si="317"/>
        <v>92412</v>
      </c>
      <c r="AU101" s="1">
        <f t="shared" si="317"/>
        <v>55448</v>
      </c>
      <c r="AV101" s="1">
        <f t="shared" si="317"/>
        <v>15402</v>
      </c>
      <c r="AW101" s="1">
        <f t="shared" si="317"/>
        <v>4621</v>
      </c>
      <c r="AX101" s="1">
        <f t="shared" si="317"/>
        <v>123216</v>
      </c>
      <c r="AY101" s="1">
        <f t="shared" si="317"/>
        <v>277236</v>
      </c>
      <c r="AZ101" s="1">
        <f t="shared" si="238"/>
        <v>2729101</v>
      </c>
      <c r="BA101" s="1">
        <f t="shared" si="239"/>
        <v>1364551</v>
      </c>
      <c r="BC101" s="1">
        <f t="shared" si="240"/>
        <v>90</v>
      </c>
    </row>
    <row r="102" s="1" customFormat="1" spans="2:55">
      <c r="B102" s="4">
        <v>91</v>
      </c>
      <c r="C102" s="1">
        <f t="shared" ref="C102:I102" si="318">C$5+(C$6-C$5)*(POWER(C$7,$B102-1)-1)/(POWER(C$7,$B$3-1)-1)</f>
        <v>7190.45407302527</v>
      </c>
      <c r="D102" s="1">
        <f t="shared" si="318"/>
        <v>2157.13622190758</v>
      </c>
      <c r="E102" s="1">
        <f t="shared" si="318"/>
        <v>1438.09081460505</v>
      </c>
      <c r="F102" s="1">
        <f t="shared" si="318"/>
        <v>26395.3377364219</v>
      </c>
      <c r="G102" s="1">
        <f t="shared" si="318"/>
        <v>7918.60132092657</v>
      </c>
      <c r="H102" s="1">
        <f t="shared" si="318"/>
        <v>5279.06754728438</v>
      </c>
      <c r="I102" s="1">
        <f t="shared" si="318"/>
        <v>0</v>
      </c>
      <c r="J102" s="1">
        <f>[1]标准模型!$I$65/1*$B102/$B$3</f>
        <v>0.6552</v>
      </c>
      <c r="K102" s="1">
        <f>J102*[1]标准模型!$J$63</f>
        <v>0.6552</v>
      </c>
      <c r="L102" s="1">
        <f t="shared" si="217"/>
        <v>33585.7918094472</v>
      </c>
      <c r="M102" s="1">
        <f t="shared" si="218"/>
        <v>11489.093195428</v>
      </c>
      <c r="N102" s="1">
        <f t="shared" si="219"/>
        <v>7659.39546361866</v>
      </c>
      <c r="O102" s="1">
        <f t="shared" ref="O102:X102" si="319">O$5+(O$6-O$5)*(POWER(O$7,$B102-1)-1)/(POWER(O$7,$B$3-1)-1)</f>
        <v>0.590198803594851</v>
      </c>
      <c r="P102" s="1">
        <f t="shared" si="319"/>
        <v>0.0519200433199153</v>
      </c>
      <c r="Q102" s="1">
        <f t="shared" si="319"/>
        <v>0.324609341977168</v>
      </c>
      <c r="R102" s="1">
        <f t="shared" si="319"/>
        <v>1.03607952143794</v>
      </c>
      <c r="S102" s="1">
        <f t="shared" si="319"/>
        <v>0.126278325032792</v>
      </c>
      <c r="T102" s="1">
        <f t="shared" si="319"/>
        <v>2.35177533401992</v>
      </c>
      <c r="U102" s="1">
        <f t="shared" si="319"/>
        <v>1</v>
      </c>
      <c r="V102" s="1">
        <f t="shared" si="319"/>
        <v>1.09837066101456</v>
      </c>
      <c r="W102" s="1">
        <f t="shared" si="319"/>
        <v>1.05550695605837</v>
      </c>
      <c r="X102" s="1">
        <f t="shared" si="319"/>
        <v>1.28863617150352</v>
      </c>
      <c r="Y102" s="1">
        <f t="shared" si="243"/>
        <v>1.05936474272397</v>
      </c>
      <c r="Z102" s="1">
        <f t="shared" si="244"/>
        <v>1.7517954899386</v>
      </c>
      <c r="AA102" s="1">
        <f t="shared" si="221"/>
        <v>58835.4386178063</v>
      </c>
      <c r="AB102" s="1">
        <f t="shared" si="222"/>
        <v>11489.093195428</v>
      </c>
      <c r="AC102" s="1">
        <f t="shared" si="223"/>
        <v>7659.39546361866</v>
      </c>
      <c r="AD102" s="1">
        <f>AC102/(AC102+[1]战斗公式!$M$27)</f>
        <v>0.24193119772045</v>
      </c>
      <c r="AE102" s="1">
        <f t="shared" si="224"/>
        <v>77612.2674365246</v>
      </c>
      <c r="AF102" s="1">
        <f t="shared" si="225"/>
        <v>6.37674579349372</v>
      </c>
      <c r="AG102" s="1">
        <f t="shared" si="226"/>
        <v>3.85621478405416</v>
      </c>
      <c r="AH102" s="1">
        <f t="shared" si="227"/>
        <v>3.01564011084574</v>
      </c>
      <c r="AI102" s="1">
        <f t="shared" si="228"/>
        <v>0.707352732011298</v>
      </c>
      <c r="AJ102" s="1">
        <f t="shared" si="229"/>
        <v>1.01137161940739</v>
      </c>
      <c r="AK102" s="1">
        <f t="shared" si="230"/>
        <v>1.12982040428887</v>
      </c>
      <c r="AL102" s="1">
        <f t="shared" si="231"/>
        <v>0.845756950572816</v>
      </c>
      <c r="AM102" s="27">
        <f t="shared" si="232"/>
        <v>46011</v>
      </c>
      <c r="AN102" s="27">
        <f t="shared" si="233"/>
        <v>8127</v>
      </c>
      <c r="AO102" s="27">
        <f t="shared" si="234"/>
        <v>7659</v>
      </c>
      <c r="AP102" s="1">
        <f t="shared" si="235"/>
        <v>31436</v>
      </c>
      <c r="AQ102" s="1">
        <f t="shared" si="236"/>
        <v>6873</v>
      </c>
      <c r="AR102"/>
      <c r="AS102" s="1">
        <f t="shared" ref="AS102:AY102" si="320">ROUNDUP(AS$10*$AP102,0)</f>
        <v>31436</v>
      </c>
      <c r="AT102" s="1">
        <f t="shared" si="320"/>
        <v>94308</v>
      </c>
      <c r="AU102" s="1">
        <f t="shared" si="320"/>
        <v>56585</v>
      </c>
      <c r="AV102" s="1">
        <f t="shared" si="320"/>
        <v>15718</v>
      </c>
      <c r="AW102" s="1">
        <f t="shared" si="320"/>
        <v>4716</v>
      </c>
      <c r="AX102" s="1">
        <f t="shared" si="320"/>
        <v>125744</v>
      </c>
      <c r="AY102" s="1">
        <f t="shared" si="320"/>
        <v>282924</v>
      </c>
      <c r="AZ102" s="1">
        <f t="shared" si="238"/>
        <v>2792053</v>
      </c>
      <c r="BA102" s="1">
        <f t="shared" si="239"/>
        <v>1396027</v>
      </c>
      <c r="BC102" s="1">
        <f t="shared" si="240"/>
        <v>91</v>
      </c>
    </row>
    <row r="103" s="1" customFormat="1" spans="2:55">
      <c r="B103" s="4">
        <v>92</v>
      </c>
      <c r="C103" s="1">
        <f t="shared" ref="C103:I103" si="321">C$5+(C$6-C$5)*(POWER(C$7,$B103-1)-1)/(POWER(C$7,$B$3-1)-1)</f>
        <v>7269.46663420922</v>
      </c>
      <c r="D103" s="1">
        <f t="shared" si="321"/>
        <v>2180.83999026277</v>
      </c>
      <c r="E103" s="1">
        <f t="shared" si="321"/>
        <v>1453.89332684184</v>
      </c>
      <c r="F103" s="1">
        <f t="shared" si="321"/>
        <v>26685.3838470971</v>
      </c>
      <c r="G103" s="1">
        <f t="shared" si="321"/>
        <v>8005.61515412914</v>
      </c>
      <c r="H103" s="1">
        <f t="shared" si="321"/>
        <v>5337.07676941943</v>
      </c>
      <c r="I103" s="1">
        <f t="shared" si="321"/>
        <v>0</v>
      </c>
      <c r="J103" s="1">
        <f>[1]标准模型!$I$65/1*$B103/$B$3</f>
        <v>0.6624</v>
      </c>
      <c r="K103" s="1">
        <f>J103*[1]标准模型!$J$63</f>
        <v>0.6624</v>
      </c>
      <c r="L103" s="1">
        <f t="shared" si="217"/>
        <v>33954.8504813063</v>
      </c>
      <c r="M103" s="1">
        <f t="shared" si="218"/>
        <v>11631.043553942</v>
      </c>
      <c r="N103" s="1">
        <f t="shared" si="219"/>
        <v>7754.0290359613</v>
      </c>
      <c r="O103" s="1">
        <f t="shared" ref="O103:X103" si="322">O$5+(O$6-O$5)*(POWER(O$7,$B103-1)-1)/(POWER(O$7,$B$3-1)-1)</f>
        <v>0.591200966923838</v>
      </c>
      <c r="P103" s="1">
        <f t="shared" si="322"/>
        <v>0.0525371805104248</v>
      </c>
      <c r="Q103" s="1">
        <f t="shared" si="322"/>
        <v>0.325160531808111</v>
      </c>
      <c r="R103" s="1">
        <f t="shared" si="322"/>
        <v>1.03648038676954</v>
      </c>
      <c r="S103" s="1">
        <f t="shared" si="322"/>
        <v>0.127681353693373</v>
      </c>
      <c r="T103" s="1">
        <f t="shared" si="322"/>
        <v>2.35568377100297</v>
      </c>
      <c r="U103" s="1">
        <f t="shared" si="322"/>
        <v>1</v>
      </c>
      <c r="V103" s="1">
        <f t="shared" si="322"/>
        <v>1.09946361862805</v>
      </c>
      <c r="W103" s="1">
        <f t="shared" si="322"/>
        <v>1.05612367195313</v>
      </c>
      <c r="X103" s="1">
        <f t="shared" si="322"/>
        <v>1.29184309415628</v>
      </c>
      <c r="Y103" s="1">
        <f t="shared" si="243"/>
        <v>1.06789428538207</v>
      </c>
      <c r="Z103" s="1">
        <f t="shared" si="244"/>
        <v>1.76716964758129</v>
      </c>
      <c r="AA103" s="1">
        <f t="shared" si="221"/>
        <v>60003.9811587255</v>
      </c>
      <c r="AB103" s="1">
        <f t="shared" si="222"/>
        <v>11631.043553942</v>
      </c>
      <c r="AC103" s="1">
        <f t="shared" si="223"/>
        <v>7754.0290359613</v>
      </c>
      <c r="AD103" s="1">
        <f>AC103/(AC103+[1]战斗公式!$M$27)</f>
        <v>0.244190399497963</v>
      </c>
      <c r="AE103" s="1">
        <f t="shared" si="224"/>
        <v>79390.3399994769</v>
      </c>
      <c r="AF103" s="1">
        <f t="shared" si="225"/>
        <v>6.39176379443202</v>
      </c>
      <c r="AG103" s="1">
        <f t="shared" si="226"/>
        <v>3.86251995609379</v>
      </c>
      <c r="AH103" s="1">
        <f t="shared" si="227"/>
        <v>3.03124046424545</v>
      </c>
      <c r="AI103" s="1">
        <f t="shared" si="228"/>
        <v>0.709872518163093</v>
      </c>
      <c r="AJ103" s="1">
        <f t="shared" si="229"/>
        <v>1.01080303843658</v>
      </c>
      <c r="AK103" s="1">
        <f t="shared" si="230"/>
        <v>1.1272233263957</v>
      </c>
      <c r="AL103" s="1">
        <f t="shared" si="231"/>
        <v>0.846199052184457</v>
      </c>
      <c r="AM103" s="27">
        <f t="shared" si="232"/>
        <v>47090</v>
      </c>
      <c r="AN103" s="27">
        <f t="shared" si="233"/>
        <v>8257</v>
      </c>
      <c r="AO103" s="27">
        <f t="shared" si="234"/>
        <v>7754</v>
      </c>
      <c r="AP103" s="1">
        <f t="shared" si="235"/>
        <v>32077</v>
      </c>
      <c r="AQ103" s="1">
        <f t="shared" si="236"/>
        <v>6987</v>
      </c>
      <c r="AR103"/>
      <c r="AS103" s="1">
        <f t="shared" ref="AS103:AY103" si="323">ROUNDUP(AS$10*$AP103,0)</f>
        <v>32077</v>
      </c>
      <c r="AT103" s="1">
        <f t="shared" si="323"/>
        <v>96231</v>
      </c>
      <c r="AU103" s="1">
        <f t="shared" si="323"/>
        <v>57739</v>
      </c>
      <c r="AV103" s="1">
        <f t="shared" si="323"/>
        <v>16039</v>
      </c>
      <c r="AW103" s="1">
        <f t="shared" si="323"/>
        <v>4812</v>
      </c>
      <c r="AX103" s="1">
        <f t="shared" si="323"/>
        <v>128308</v>
      </c>
      <c r="AY103" s="1">
        <f t="shared" si="323"/>
        <v>288693</v>
      </c>
      <c r="AZ103" s="1">
        <f t="shared" si="238"/>
        <v>2855923</v>
      </c>
      <c r="BA103" s="1">
        <f t="shared" si="239"/>
        <v>1427961</v>
      </c>
      <c r="BC103" s="1">
        <f t="shared" si="240"/>
        <v>92</v>
      </c>
    </row>
    <row r="104" s="1" customFormat="1" spans="2:55">
      <c r="B104" s="4">
        <v>93</v>
      </c>
      <c r="C104" s="1">
        <f t="shared" ref="C104:I104" si="324">C$5+(C$6-C$5)*(POWER(C$7,$B104-1)-1)/(POWER(C$7,$B$3-1)-1)</f>
        <v>7348.47911638402</v>
      </c>
      <c r="D104" s="1">
        <f t="shared" si="324"/>
        <v>2204.5437349152</v>
      </c>
      <c r="E104" s="1">
        <f t="shared" si="324"/>
        <v>1469.6958232768</v>
      </c>
      <c r="F104" s="1">
        <f t="shared" si="324"/>
        <v>26975.4296677388</v>
      </c>
      <c r="G104" s="1">
        <f t="shared" si="324"/>
        <v>8092.62890032164</v>
      </c>
      <c r="H104" s="1">
        <f t="shared" si="324"/>
        <v>5395.08593354776</v>
      </c>
      <c r="I104" s="1">
        <f t="shared" si="324"/>
        <v>0</v>
      </c>
      <c r="J104" s="1">
        <f>[1]标准模型!$I$65/1*$B104/$B$3</f>
        <v>0.6696</v>
      </c>
      <c r="K104" s="1">
        <f>J104*[1]标准模型!$J$63</f>
        <v>0.6696</v>
      </c>
      <c r="L104" s="1">
        <f t="shared" si="217"/>
        <v>34323.9087841228</v>
      </c>
      <c r="M104" s="1">
        <f t="shared" si="218"/>
        <v>11773.3351201361</v>
      </c>
      <c r="N104" s="1">
        <f t="shared" si="219"/>
        <v>7848.8900800907</v>
      </c>
      <c r="O104" s="1">
        <f t="shared" ref="O104:X104" si="325">O$5+(O$6-O$5)*(POWER(O$7,$B104-1)-1)/(POWER(O$7,$B$3-1)-1)</f>
        <v>0.592203129250704</v>
      </c>
      <c r="P104" s="1">
        <f t="shared" si="325"/>
        <v>0.05315524340672</v>
      </c>
      <c r="Q104" s="1">
        <f t="shared" si="325"/>
        <v>0.325711721087887</v>
      </c>
      <c r="R104" s="1">
        <f t="shared" si="325"/>
        <v>1.03688125170028</v>
      </c>
      <c r="S104" s="1">
        <f t="shared" si="325"/>
        <v>0.129084380950986</v>
      </c>
      <c r="T104" s="1">
        <f t="shared" si="325"/>
        <v>2.35959220407775</v>
      </c>
      <c r="U104" s="1">
        <f t="shared" si="325"/>
        <v>1</v>
      </c>
      <c r="V104" s="1">
        <f t="shared" si="325"/>
        <v>1.10055657514863</v>
      </c>
      <c r="W104" s="1">
        <f t="shared" si="325"/>
        <v>1.0567403872312</v>
      </c>
      <c r="X104" s="1">
        <f t="shared" si="325"/>
        <v>1.29505001360225</v>
      </c>
      <c r="Y104" s="1">
        <f t="shared" si="243"/>
        <v>1.07648562144748</v>
      </c>
      <c r="Z104" s="1">
        <f t="shared" si="244"/>
        <v>1.78266704724464</v>
      </c>
      <c r="AA104" s="1">
        <f t="shared" si="221"/>
        <v>61188.1011220866</v>
      </c>
      <c r="AB104" s="1">
        <f t="shared" si="222"/>
        <v>11773.3351201361</v>
      </c>
      <c r="AC104" s="1">
        <f t="shared" si="223"/>
        <v>7848.8900800907</v>
      </c>
      <c r="AD104" s="1">
        <f>AC104/(AC104+[1]战斗公式!$M$27)</f>
        <v>0.246441557628948</v>
      </c>
      <c r="AE104" s="1">
        <f t="shared" si="224"/>
        <v>81198.8794519504</v>
      </c>
      <c r="AF104" s="1">
        <f t="shared" si="225"/>
        <v>6.40681666475097</v>
      </c>
      <c r="AG104" s="1">
        <f t="shared" si="226"/>
        <v>3.86883575904685</v>
      </c>
      <c r="AH104" s="1">
        <f t="shared" si="227"/>
        <v>3.04672381499466</v>
      </c>
      <c r="AI104" s="1">
        <f t="shared" si="228"/>
        <v>0.712397343887193</v>
      </c>
      <c r="AJ104" s="1">
        <f t="shared" si="229"/>
        <v>1.01026288651431</v>
      </c>
      <c r="AK104" s="1">
        <f t="shared" si="230"/>
        <v>1.1246781900604</v>
      </c>
      <c r="AL104" s="1">
        <f t="shared" si="231"/>
        <v>0.846639827491264</v>
      </c>
      <c r="AM104" s="27">
        <f t="shared" si="232"/>
        <v>48186</v>
      </c>
      <c r="AN104" s="27">
        <f t="shared" si="233"/>
        <v>8387</v>
      </c>
      <c r="AO104" s="27">
        <f t="shared" si="234"/>
        <v>7849</v>
      </c>
      <c r="AP104" s="1">
        <f t="shared" si="235"/>
        <v>32725</v>
      </c>
      <c r="AQ104" s="1">
        <f t="shared" si="236"/>
        <v>7101</v>
      </c>
      <c r="AR104"/>
      <c r="AS104" s="1">
        <f t="shared" ref="AS104:AY104" si="326">ROUNDUP(AS$10*$AP104,0)</f>
        <v>32725</v>
      </c>
      <c r="AT104" s="1">
        <f t="shared" si="326"/>
        <v>98175</v>
      </c>
      <c r="AU104" s="1">
        <f t="shared" si="326"/>
        <v>58905</v>
      </c>
      <c r="AV104" s="1">
        <f t="shared" si="326"/>
        <v>16363</v>
      </c>
      <c r="AW104" s="1">
        <f t="shared" si="326"/>
        <v>4909</v>
      </c>
      <c r="AX104" s="1">
        <f t="shared" si="326"/>
        <v>130900</v>
      </c>
      <c r="AY104" s="1">
        <f t="shared" si="326"/>
        <v>294525</v>
      </c>
      <c r="AZ104" s="1">
        <f t="shared" si="238"/>
        <v>2920832</v>
      </c>
      <c r="BA104" s="1">
        <f t="shared" si="239"/>
        <v>1460416</v>
      </c>
      <c r="BC104" s="1">
        <f t="shared" si="240"/>
        <v>93</v>
      </c>
    </row>
    <row r="105" s="1" customFormat="1" spans="2:55">
      <c r="B105" s="4">
        <v>94</v>
      </c>
      <c r="C105" s="1">
        <f t="shared" ref="C105:I105" si="327">C$5+(C$6-C$5)*(POWER(C$7,$B105-1)-1)/(POWER(C$7,$B$3-1)-1)</f>
        <v>7427.49151954089</v>
      </c>
      <c r="D105" s="1">
        <f t="shared" si="327"/>
        <v>2228.24745586227</v>
      </c>
      <c r="E105" s="1">
        <f t="shared" si="327"/>
        <v>1485.49830390818</v>
      </c>
      <c r="F105" s="1">
        <f t="shared" si="327"/>
        <v>27265.4751983147</v>
      </c>
      <c r="G105" s="1">
        <f t="shared" si="327"/>
        <v>8179.6425594944</v>
      </c>
      <c r="H105" s="1">
        <f t="shared" si="327"/>
        <v>5453.09503966293</v>
      </c>
      <c r="I105" s="1">
        <f t="shared" si="327"/>
        <v>0</v>
      </c>
      <c r="J105" s="1">
        <f>[1]标准模型!$I$65/1*$B105/$B$3</f>
        <v>0.6768</v>
      </c>
      <c r="K105" s="1">
        <f>J105*[1]标准模型!$J$63</f>
        <v>0.6768</v>
      </c>
      <c r="L105" s="1">
        <f t="shared" si="217"/>
        <v>34692.9667178556</v>
      </c>
      <c r="M105" s="1">
        <f t="shared" si="218"/>
        <v>11915.9678934843</v>
      </c>
      <c r="N105" s="1">
        <f t="shared" si="219"/>
        <v>7943.97859565617</v>
      </c>
      <c r="O105" s="1">
        <f t="shared" ref="O105:X105" si="328">O$5+(O$6-O$5)*(POWER(O$7,$B105-1)-1)/(POWER(O$7,$B$3-1)-1)</f>
        <v>0.593205290575339</v>
      </c>
      <c r="P105" s="1">
        <f t="shared" si="328"/>
        <v>0.0537742333973597</v>
      </c>
      <c r="Q105" s="1">
        <f t="shared" si="328"/>
        <v>0.326262909816437</v>
      </c>
      <c r="R105" s="1">
        <f t="shared" si="328"/>
        <v>1.03728211623014</v>
      </c>
      <c r="S105" s="1">
        <f t="shared" si="328"/>
        <v>0.130487406805475</v>
      </c>
      <c r="T105" s="1">
        <f t="shared" si="328"/>
        <v>2.36350063324382</v>
      </c>
      <c r="U105" s="1">
        <f t="shared" si="328"/>
        <v>1</v>
      </c>
      <c r="V105" s="1">
        <f t="shared" si="328"/>
        <v>1.10164953057618</v>
      </c>
      <c r="W105" s="1">
        <f t="shared" si="328"/>
        <v>1.05735710189252</v>
      </c>
      <c r="X105" s="1">
        <f t="shared" si="328"/>
        <v>1.29825692984109</v>
      </c>
      <c r="Y105" s="1">
        <f t="shared" si="243"/>
        <v>1.0851391528255</v>
      </c>
      <c r="Z105" s="1">
        <f t="shared" si="244"/>
        <v>1.79828858404486</v>
      </c>
      <c r="AA105" s="1">
        <f t="shared" si="221"/>
        <v>62387.965995368</v>
      </c>
      <c r="AB105" s="1">
        <f t="shared" si="222"/>
        <v>11915.9678934843</v>
      </c>
      <c r="AC105" s="1">
        <f t="shared" si="223"/>
        <v>7943.97859565617</v>
      </c>
      <c r="AD105" s="1">
        <f>AC105/(AC105+[1]战斗公式!$M$27)</f>
        <v>0.248684695673331</v>
      </c>
      <c r="AE105" s="1">
        <f t="shared" si="224"/>
        <v>83038.3270992733</v>
      </c>
      <c r="AF105" s="1">
        <f t="shared" si="225"/>
        <v>6.42190435890068</v>
      </c>
      <c r="AG105" s="1">
        <f t="shared" si="226"/>
        <v>3.87516214993112</v>
      </c>
      <c r="AH105" s="1">
        <f t="shared" si="227"/>
        <v>3.06209104061326</v>
      </c>
      <c r="AI105" s="1">
        <f t="shared" si="228"/>
        <v>0.71492721926274</v>
      </c>
      <c r="AJ105" s="1">
        <f t="shared" si="229"/>
        <v>1.00974974218815</v>
      </c>
      <c r="AK105" s="1">
        <f t="shared" si="230"/>
        <v>1.1221839564518</v>
      </c>
      <c r="AL105" s="1">
        <f t="shared" si="231"/>
        <v>0.84707928047215</v>
      </c>
      <c r="AM105" s="27">
        <f t="shared" si="232"/>
        <v>49298</v>
      </c>
      <c r="AN105" s="27">
        <f t="shared" si="233"/>
        <v>8519</v>
      </c>
      <c r="AO105" s="27">
        <f t="shared" si="234"/>
        <v>7944</v>
      </c>
      <c r="AP105" s="1">
        <f t="shared" si="235"/>
        <v>33383</v>
      </c>
      <c r="AQ105" s="1">
        <f t="shared" si="236"/>
        <v>7216</v>
      </c>
      <c r="AR105"/>
      <c r="AS105" s="1">
        <f t="shared" ref="AS105:AY105" si="329">ROUNDUP(AS$10*$AP105,0)</f>
        <v>33383</v>
      </c>
      <c r="AT105" s="1">
        <f t="shared" si="329"/>
        <v>100149</v>
      </c>
      <c r="AU105" s="1">
        <f t="shared" si="329"/>
        <v>60090</v>
      </c>
      <c r="AV105" s="1">
        <f t="shared" si="329"/>
        <v>16692</v>
      </c>
      <c r="AW105" s="1">
        <f t="shared" si="329"/>
        <v>5008</v>
      </c>
      <c r="AX105" s="1">
        <f t="shared" si="329"/>
        <v>133532</v>
      </c>
      <c r="AY105" s="1">
        <f t="shared" si="329"/>
        <v>300447</v>
      </c>
      <c r="AZ105" s="1">
        <f t="shared" si="238"/>
        <v>2986719</v>
      </c>
      <c r="BA105" s="1">
        <f t="shared" si="239"/>
        <v>1493359</v>
      </c>
      <c r="BC105" s="1">
        <f t="shared" si="240"/>
        <v>94</v>
      </c>
    </row>
    <row r="106" s="1" customFormat="1" spans="2:55">
      <c r="B106" s="4">
        <v>95</v>
      </c>
      <c r="C106" s="1">
        <f t="shared" ref="C106:I106" si="330">C$5+(C$6-C$5)*(POWER(C$7,$B106-1)-1)/(POWER(C$7,$B$3-1)-1)</f>
        <v>7506.50384368861</v>
      </c>
      <c r="D106" s="1">
        <f t="shared" si="330"/>
        <v>2251.95115310658</v>
      </c>
      <c r="E106" s="1">
        <f t="shared" si="330"/>
        <v>1501.30076873772</v>
      </c>
      <c r="F106" s="1">
        <f t="shared" si="330"/>
        <v>27555.5204388569</v>
      </c>
      <c r="G106" s="1">
        <f t="shared" si="330"/>
        <v>8266.65613165708</v>
      </c>
      <c r="H106" s="1">
        <f t="shared" si="330"/>
        <v>5511.10408777138</v>
      </c>
      <c r="I106" s="1">
        <f t="shared" si="330"/>
        <v>0</v>
      </c>
      <c r="J106" s="1">
        <f>[1]标准模型!$I$65/1*$B106/$B$3</f>
        <v>0.684</v>
      </c>
      <c r="K106" s="1">
        <f>J106*[1]标准模型!$J$63</f>
        <v>0.684</v>
      </c>
      <c r="L106" s="1">
        <f t="shared" si="217"/>
        <v>35062.0242825455</v>
      </c>
      <c r="M106" s="1">
        <f t="shared" si="218"/>
        <v>12058.9418734886</v>
      </c>
      <c r="N106" s="1">
        <f t="shared" si="219"/>
        <v>8039.2945823257</v>
      </c>
      <c r="O106" s="1">
        <f t="shared" ref="O106:X106" si="331">O$5+(O$6-O$5)*(POWER(O$7,$B106-1)-1)/(POWER(O$7,$B$3-1)-1)</f>
        <v>0.594207450897854</v>
      </c>
      <c r="P106" s="1">
        <f t="shared" si="331"/>
        <v>0.0543941518729854</v>
      </c>
      <c r="Q106" s="1">
        <f t="shared" si="331"/>
        <v>0.32681409799382</v>
      </c>
      <c r="R106" s="1">
        <f t="shared" si="331"/>
        <v>1.03768298035914</v>
      </c>
      <c r="S106" s="1">
        <f t="shared" si="331"/>
        <v>0.131890431256996</v>
      </c>
      <c r="T106" s="1">
        <f t="shared" si="331"/>
        <v>2.36740905850163</v>
      </c>
      <c r="U106" s="1">
        <f t="shared" si="331"/>
        <v>1</v>
      </c>
      <c r="V106" s="1">
        <f t="shared" si="331"/>
        <v>1.10274248491082</v>
      </c>
      <c r="W106" s="1">
        <f t="shared" si="331"/>
        <v>1.05797381593714</v>
      </c>
      <c r="X106" s="1">
        <f t="shared" si="331"/>
        <v>1.30146384287313</v>
      </c>
      <c r="Y106" s="1">
        <f t="shared" si="243"/>
        <v>1.09385528351767</v>
      </c>
      <c r="Z106" s="1">
        <f t="shared" si="244"/>
        <v>1.81403515855399</v>
      </c>
      <c r="AA106" s="1">
        <f t="shared" si="221"/>
        <v>63603.7447786113</v>
      </c>
      <c r="AB106" s="1">
        <f t="shared" si="222"/>
        <v>12058.9418734886</v>
      </c>
      <c r="AC106" s="1">
        <f t="shared" si="223"/>
        <v>8039.2945823257</v>
      </c>
      <c r="AD106" s="1">
        <f>AC106/(AC106+[1]战斗公式!$M$27)</f>
        <v>0.250919837253862</v>
      </c>
      <c r="AE106" s="1">
        <f t="shared" si="224"/>
        <v>84909.1298125411</v>
      </c>
      <c r="AF106" s="1">
        <f t="shared" si="225"/>
        <v>6.43702683160423</v>
      </c>
      <c r="AG106" s="1">
        <f t="shared" si="226"/>
        <v>3.88149908599786</v>
      </c>
      <c r="AH106" s="1">
        <f t="shared" si="227"/>
        <v>3.07734301203971</v>
      </c>
      <c r="AI106" s="1">
        <f t="shared" si="228"/>
        <v>0.717462154389039</v>
      </c>
      <c r="AJ106" s="1">
        <f t="shared" si="229"/>
        <v>1.00926225507831</v>
      </c>
      <c r="AK106" s="1">
        <f t="shared" si="230"/>
        <v>1.11973960751538</v>
      </c>
      <c r="AL106" s="1">
        <f t="shared" si="231"/>
        <v>0.847517415094093</v>
      </c>
      <c r="AM106" s="27">
        <f t="shared" si="232"/>
        <v>50427</v>
      </c>
      <c r="AN106" s="27">
        <f t="shared" si="233"/>
        <v>8652</v>
      </c>
      <c r="AO106" s="27">
        <f t="shared" si="234"/>
        <v>8039</v>
      </c>
      <c r="AP106" s="1">
        <f t="shared" si="235"/>
        <v>34048</v>
      </c>
      <c r="AQ106" s="1">
        <f t="shared" si="236"/>
        <v>7333</v>
      </c>
      <c r="AR106"/>
      <c r="AS106" s="1">
        <f t="shared" ref="AS106:AY106" si="332">ROUNDUP(AS$10*$AP106,0)</f>
        <v>34048</v>
      </c>
      <c r="AT106" s="1">
        <f t="shared" si="332"/>
        <v>102144</v>
      </c>
      <c r="AU106" s="1">
        <f t="shared" si="332"/>
        <v>61287</v>
      </c>
      <c r="AV106" s="1">
        <f t="shared" si="332"/>
        <v>17024</v>
      </c>
      <c r="AW106" s="1">
        <f t="shared" si="332"/>
        <v>5108</v>
      </c>
      <c r="AX106" s="1">
        <f t="shared" si="332"/>
        <v>136192</v>
      </c>
      <c r="AY106" s="1">
        <f t="shared" si="332"/>
        <v>306432</v>
      </c>
      <c r="AZ106" s="1">
        <f t="shared" si="238"/>
        <v>3053644</v>
      </c>
      <c r="BA106" s="1">
        <f t="shared" si="239"/>
        <v>1526822</v>
      </c>
      <c r="BC106" s="1">
        <f t="shared" si="240"/>
        <v>95</v>
      </c>
    </row>
    <row r="107" s="1" customFormat="1" spans="2:55">
      <c r="B107" s="4">
        <v>96</v>
      </c>
      <c r="C107" s="1">
        <f t="shared" ref="C107:I107" si="333">C$5+(C$6-C$5)*(POWER(C$7,$B107-1)-1)/(POWER(C$7,$B$3-1)-1)</f>
        <v>7585.51608882718</v>
      </c>
      <c r="D107" s="1">
        <f t="shared" si="333"/>
        <v>2275.65482664815</v>
      </c>
      <c r="E107" s="1">
        <f t="shared" si="333"/>
        <v>1517.10321776544</v>
      </c>
      <c r="F107" s="1">
        <f t="shared" si="333"/>
        <v>27845.5653893656</v>
      </c>
      <c r="G107" s="1">
        <f t="shared" si="333"/>
        <v>8353.66961680968</v>
      </c>
      <c r="H107" s="1">
        <f t="shared" si="333"/>
        <v>5569.11307787312</v>
      </c>
      <c r="I107" s="1">
        <f t="shared" si="333"/>
        <v>0</v>
      </c>
      <c r="J107" s="1">
        <f>[1]标准模型!$I$65/1*$B107/$B$3</f>
        <v>0.6912</v>
      </c>
      <c r="K107" s="1">
        <f>J107*[1]标准模型!$J$63</f>
        <v>0.6912</v>
      </c>
      <c r="L107" s="1">
        <f t="shared" si="217"/>
        <v>35431.0814781928</v>
      </c>
      <c r="M107" s="1">
        <f t="shared" si="218"/>
        <v>12202.257059637</v>
      </c>
      <c r="N107" s="1">
        <f t="shared" si="219"/>
        <v>8134.83803975803</v>
      </c>
      <c r="O107" s="1">
        <f t="shared" ref="O107:X107" si="334">O$5+(O$6-O$5)*(POWER(O$7,$B107-1)-1)/(POWER(O$7,$B$3-1)-1)</f>
        <v>0.595209610218249</v>
      </c>
      <c r="P107" s="1">
        <f t="shared" si="334"/>
        <v>0.0550150002263245</v>
      </c>
      <c r="Q107" s="1">
        <f t="shared" si="334"/>
        <v>0.327365285620037</v>
      </c>
      <c r="R107" s="1">
        <f t="shared" si="334"/>
        <v>1.0380838440873</v>
      </c>
      <c r="S107" s="1">
        <f t="shared" si="334"/>
        <v>0.133293454305548</v>
      </c>
      <c r="T107" s="1">
        <f t="shared" si="334"/>
        <v>2.37131747985117</v>
      </c>
      <c r="U107" s="1">
        <f t="shared" si="334"/>
        <v>1</v>
      </c>
      <c r="V107" s="1">
        <f t="shared" si="334"/>
        <v>1.10383543815255</v>
      </c>
      <c r="W107" s="1">
        <f t="shared" si="334"/>
        <v>1.05859052936508</v>
      </c>
      <c r="X107" s="1">
        <f t="shared" si="334"/>
        <v>1.3046707526984</v>
      </c>
      <c r="Y107" s="1">
        <f t="shared" si="243"/>
        <v>1.10263441962673</v>
      </c>
      <c r="Z107" s="1">
        <f t="shared" si="244"/>
        <v>1.82990767682027</v>
      </c>
      <c r="AA107" s="1">
        <f t="shared" si="221"/>
        <v>64835.6079949894</v>
      </c>
      <c r="AB107" s="1">
        <f t="shared" si="222"/>
        <v>12202.257059637</v>
      </c>
      <c r="AC107" s="1">
        <f t="shared" si="223"/>
        <v>8134.83803975803</v>
      </c>
      <c r="AD107" s="1">
        <f>AC107/(AC107+[1]战斗公式!$M$27)</f>
        <v>0.253147006052852</v>
      </c>
      <c r="AE107" s="1">
        <f t="shared" si="224"/>
        <v>86811.740088676</v>
      </c>
      <c r="AF107" s="1">
        <f t="shared" si="225"/>
        <v>6.4521840378473</v>
      </c>
      <c r="AG107" s="1">
        <f t="shared" si="226"/>
        <v>3.88784652472682</v>
      </c>
      <c r="AH107" s="1">
        <f t="shared" si="227"/>
        <v>3.09248059368046</v>
      </c>
      <c r="AI107" s="1">
        <f t="shared" si="228"/>
        <v>0.72000215938559</v>
      </c>
      <c r="AJ107" s="1">
        <f t="shared" si="229"/>
        <v>1.00879914232395</v>
      </c>
      <c r="AK107" s="1">
        <f t="shared" si="230"/>
        <v>1.11734414555768</v>
      </c>
      <c r="AL107" s="1">
        <f t="shared" si="231"/>
        <v>0.84795423531217</v>
      </c>
      <c r="AM107" s="27">
        <f t="shared" si="232"/>
        <v>51572</v>
      </c>
      <c r="AN107" s="27">
        <f t="shared" si="233"/>
        <v>8786</v>
      </c>
      <c r="AO107" s="27">
        <f t="shared" si="234"/>
        <v>8135</v>
      </c>
      <c r="AP107" s="1">
        <f t="shared" si="235"/>
        <v>34722</v>
      </c>
      <c r="AQ107" s="1">
        <f t="shared" si="236"/>
        <v>7450</v>
      </c>
      <c r="AR107"/>
      <c r="AS107" s="1">
        <f t="shared" ref="AS107:AY107" si="335">ROUNDUP(AS$10*$AP107,0)</f>
        <v>34722</v>
      </c>
      <c r="AT107" s="1">
        <f t="shared" si="335"/>
        <v>104166</v>
      </c>
      <c r="AU107" s="1">
        <f t="shared" si="335"/>
        <v>62500</v>
      </c>
      <c r="AV107" s="1">
        <f t="shared" si="335"/>
        <v>17361</v>
      </c>
      <c r="AW107" s="1">
        <f t="shared" si="335"/>
        <v>5209</v>
      </c>
      <c r="AX107" s="1">
        <f t="shared" si="335"/>
        <v>138888</v>
      </c>
      <c r="AY107" s="1">
        <f t="shared" si="335"/>
        <v>312498</v>
      </c>
      <c r="AZ107" s="1">
        <f t="shared" si="238"/>
        <v>3121547</v>
      </c>
      <c r="BA107" s="1">
        <f t="shared" si="239"/>
        <v>1560774</v>
      </c>
      <c r="BC107" s="1">
        <f t="shared" si="240"/>
        <v>96</v>
      </c>
    </row>
    <row r="108" s="1" customFormat="1" spans="2:55">
      <c r="B108" s="4">
        <v>97</v>
      </c>
      <c r="C108" s="1">
        <f t="shared" ref="C108:I108" si="336">C$5+(C$6-C$5)*(POWER(C$7,$B108-1)-1)/(POWER(C$7,$B$3-1)-1)</f>
        <v>7664.52825494782</v>
      </c>
      <c r="D108" s="1">
        <f t="shared" si="336"/>
        <v>2299.35847648435</v>
      </c>
      <c r="E108" s="1">
        <f t="shared" si="336"/>
        <v>1532.90565098956</v>
      </c>
      <c r="F108" s="1">
        <f t="shared" si="336"/>
        <v>28135.6100498085</v>
      </c>
      <c r="G108" s="1">
        <f t="shared" si="336"/>
        <v>8440.68301494254</v>
      </c>
      <c r="H108" s="1">
        <f t="shared" si="336"/>
        <v>5627.12200996169</v>
      </c>
      <c r="I108" s="1">
        <f t="shared" si="336"/>
        <v>0</v>
      </c>
      <c r="J108" s="1">
        <f>[1]标准模型!$I$65/1*$B108/$B$3</f>
        <v>0.6984</v>
      </c>
      <c r="K108" s="1">
        <f>J108*[1]标准模型!$J$63</f>
        <v>0.6984</v>
      </c>
      <c r="L108" s="1">
        <f t="shared" si="217"/>
        <v>35800.1383047563</v>
      </c>
      <c r="M108" s="1">
        <f t="shared" si="218"/>
        <v>12345.9134514036</v>
      </c>
      <c r="N108" s="1">
        <f t="shared" si="219"/>
        <v>8230.60896760236</v>
      </c>
      <c r="O108" s="1">
        <f t="shared" ref="O108:X108" si="337">O$5+(O$6-O$5)*(POWER(O$7,$B108-1)-1)/(POWER(O$7,$B$3-1)-1)</f>
        <v>0.596211768536412</v>
      </c>
      <c r="P108" s="1">
        <f t="shared" si="337"/>
        <v>0.0556367798521936</v>
      </c>
      <c r="Q108" s="1">
        <f t="shared" si="337"/>
        <v>0.327916472695027</v>
      </c>
      <c r="R108" s="1">
        <f t="shared" si="337"/>
        <v>1.03848470741456</v>
      </c>
      <c r="S108" s="1">
        <f t="shared" si="337"/>
        <v>0.134696475950977</v>
      </c>
      <c r="T108" s="1">
        <f t="shared" si="337"/>
        <v>2.37522589729201</v>
      </c>
      <c r="U108" s="1">
        <f t="shared" si="337"/>
        <v>1</v>
      </c>
      <c r="V108" s="1">
        <f t="shared" si="337"/>
        <v>1.10492839030125</v>
      </c>
      <c r="W108" s="1">
        <f t="shared" si="337"/>
        <v>1.05920724217625</v>
      </c>
      <c r="X108" s="1">
        <f t="shared" si="337"/>
        <v>1.30787765931652</v>
      </c>
      <c r="Y108" s="1">
        <f t="shared" si="243"/>
        <v>1.1114769693641</v>
      </c>
      <c r="Z108" s="1">
        <f t="shared" si="244"/>
        <v>1.84590705039326</v>
      </c>
      <c r="AA108" s="1">
        <f t="shared" si="221"/>
        <v>66083.7277018035</v>
      </c>
      <c r="AB108" s="1">
        <f t="shared" si="222"/>
        <v>12345.9134514036</v>
      </c>
      <c r="AC108" s="1">
        <f t="shared" si="223"/>
        <v>8230.60896760236</v>
      </c>
      <c r="AD108" s="1">
        <f>AC108/(AC108+[1]战斗公式!$M$27)</f>
        <v>0.255366225809622</v>
      </c>
      <c r="AE108" s="1">
        <f t="shared" si="224"/>
        <v>88746.6161115975</v>
      </c>
      <c r="AF108" s="1">
        <f t="shared" si="225"/>
        <v>6.46737593287526</v>
      </c>
      <c r="AG108" s="1">
        <f t="shared" si="226"/>
        <v>3.89420442382464</v>
      </c>
      <c r="AH108" s="1">
        <f t="shared" si="227"/>
        <v>3.10750464345891</v>
      </c>
      <c r="AI108" s="1">
        <f t="shared" si="228"/>
        <v>0.722547244392135</v>
      </c>
      <c r="AJ108" s="1">
        <f t="shared" si="229"/>
        <v>1.00835918520731</v>
      </c>
      <c r="AK108" s="1">
        <f t="shared" si="230"/>
        <v>1.11499659283914</v>
      </c>
      <c r="AL108" s="1">
        <f t="shared" si="231"/>
        <v>0.848389745069593</v>
      </c>
      <c r="AM108" s="27">
        <f t="shared" si="232"/>
        <v>52734</v>
      </c>
      <c r="AN108" s="27">
        <f t="shared" si="233"/>
        <v>8921</v>
      </c>
      <c r="AO108" s="27">
        <f t="shared" si="234"/>
        <v>8231</v>
      </c>
      <c r="AP108" s="1">
        <f t="shared" si="235"/>
        <v>35404</v>
      </c>
      <c r="AQ108" s="1">
        <f t="shared" si="236"/>
        <v>7568</v>
      </c>
      <c r="AR108"/>
      <c r="AS108" s="1">
        <f t="shared" ref="AS108:AY108" si="338">ROUNDUP(AS$10*$AP108,0)</f>
        <v>35404</v>
      </c>
      <c r="AT108" s="1">
        <f t="shared" si="338"/>
        <v>106212</v>
      </c>
      <c r="AU108" s="1">
        <f t="shared" si="338"/>
        <v>63728</v>
      </c>
      <c r="AV108" s="1">
        <f t="shared" si="338"/>
        <v>17702</v>
      </c>
      <c r="AW108" s="1">
        <f t="shared" si="338"/>
        <v>5311</v>
      </c>
      <c r="AX108" s="1">
        <f t="shared" si="338"/>
        <v>141616</v>
      </c>
      <c r="AY108" s="1">
        <f t="shared" si="338"/>
        <v>318636</v>
      </c>
      <c r="AZ108" s="1">
        <f t="shared" si="238"/>
        <v>3190489</v>
      </c>
      <c r="BA108" s="1">
        <f t="shared" si="239"/>
        <v>1595244</v>
      </c>
      <c r="BC108" s="1">
        <f t="shared" si="240"/>
        <v>97</v>
      </c>
    </row>
    <row r="109" s="1" customFormat="1" spans="2:55">
      <c r="B109" s="4">
        <v>98</v>
      </c>
      <c r="C109" s="1">
        <f t="shared" ref="C109:I109" si="339">C$5+(C$6-C$5)*(POWER(C$7,$B109-1)-1)/(POWER(C$7,$B$3-1)-1)</f>
        <v>7743.54034205931</v>
      </c>
      <c r="D109" s="1">
        <f t="shared" si="339"/>
        <v>2323.06210261779</v>
      </c>
      <c r="E109" s="1">
        <f t="shared" si="339"/>
        <v>1548.70806841186</v>
      </c>
      <c r="F109" s="1">
        <f t="shared" si="339"/>
        <v>28425.6544202177</v>
      </c>
      <c r="G109" s="1">
        <f t="shared" si="339"/>
        <v>8527.69632606532</v>
      </c>
      <c r="H109" s="1">
        <f t="shared" si="339"/>
        <v>5685.13088404355</v>
      </c>
      <c r="I109" s="1">
        <f t="shared" si="339"/>
        <v>0</v>
      </c>
      <c r="J109" s="1">
        <f>[1]标准模型!$I$65/1*$B109/$B$3</f>
        <v>0.7056</v>
      </c>
      <c r="K109" s="1">
        <f>J109*[1]标准模型!$J$63</f>
        <v>0.7056</v>
      </c>
      <c r="L109" s="1">
        <f t="shared" si="217"/>
        <v>36169.194762277</v>
      </c>
      <c r="M109" s="1">
        <f t="shared" si="218"/>
        <v>12489.9110482902</v>
      </c>
      <c r="N109" s="1">
        <f t="shared" si="219"/>
        <v>8326.60736552682</v>
      </c>
      <c r="O109" s="1">
        <f t="shared" ref="O109:X109" si="340">O$5+(O$6-O$5)*(POWER(O$7,$B109-1)-1)/(POWER(O$7,$B$3-1)-1)</f>
        <v>0.597213925852456</v>
      </c>
      <c r="P109" s="1">
        <f t="shared" si="340"/>
        <v>0.0562594921475015</v>
      </c>
      <c r="Q109" s="1">
        <f t="shared" si="340"/>
        <v>0.328467659218851</v>
      </c>
      <c r="R109" s="1">
        <f t="shared" si="340"/>
        <v>1.03888557034098</v>
      </c>
      <c r="S109" s="1">
        <f t="shared" si="340"/>
        <v>0.136099496193438</v>
      </c>
      <c r="T109" s="1">
        <f t="shared" si="340"/>
        <v>2.37913431082458</v>
      </c>
      <c r="U109" s="1">
        <f t="shared" si="340"/>
        <v>1</v>
      </c>
      <c r="V109" s="1">
        <f t="shared" si="340"/>
        <v>1.10602134135704</v>
      </c>
      <c r="W109" s="1">
        <f t="shared" si="340"/>
        <v>1.05982395437074</v>
      </c>
      <c r="X109" s="1">
        <f t="shared" si="340"/>
        <v>1.31108456272786</v>
      </c>
      <c r="Y109" s="1">
        <f t="shared" si="243"/>
        <v>1.12038334305999</v>
      </c>
      <c r="Z109" s="1">
        <f t="shared" si="244"/>
        <v>1.86203419635409</v>
      </c>
      <c r="AA109" s="1">
        <f t="shared" si="221"/>
        <v>67348.277501951</v>
      </c>
      <c r="AB109" s="1">
        <f t="shared" si="222"/>
        <v>12489.9110482902</v>
      </c>
      <c r="AC109" s="1">
        <f t="shared" si="223"/>
        <v>8326.60736552682</v>
      </c>
      <c r="AD109" s="1">
        <f>AC109/(AC109+[1]战斗公式!$M$27)</f>
        <v>0.257577520318644</v>
      </c>
      <c r="AE109" s="1">
        <f t="shared" si="224"/>
        <v>90714.2218145881</v>
      </c>
      <c r="AF109" s="1">
        <f t="shared" si="225"/>
        <v>6.48260247219867</v>
      </c>
      <c r="AG109" s="1">
        <f t="shared" si="226"/>
        <v>3.9005727412268</v>
      </c>
      <c r="AH109" s="1">
        <f t="shared" si="227"/>
        <v>3.12241601286402</v>
      </c>
      <c r="AI109" s="1">
        <f t="shared" si="228"/>
        <v>0.725097419568692</v>
      </c>
      <c r="AJ109" s="1">
        <f t="shared" si="229"/>
        <v>1.00794122594651</v>
      </c>
      <c r="AK109" s="1">
        <f t="shared" si="230"/>
        <v>1.11269599117497</v>
      </c>
      <c r="AL109" s="1">
        <f t="shared" si="231"/>
        <v>0.848823948297744</v>
      </c>
      <c r="AM109" s="27">
        <f t="shared" si="232"/>
        <v>53912</v>
      </c>
      <c r="AN109" s="27">
        <f t="shared" si="233"/>
        <v>9056</v>
      </c>
      <c r="AO109" s="27">
        <f t="shared" si="234"/>
        <v>8327</v>
      </c>
      <c r="AP109" s="1">
        <f t="shared" si="235"/>
        <v>36095</v>
      </c>
      <c r="AQ109" s="1">
        <f t="shared" si="236"/>
        <v>7687</v>
      </c>
      <c r="AR109"/>
      <c r="AS109" s="1">
        <f t="shared" ref="AS109:AY109" si="341">ROUNDUP(AS$10*$AP109,0)</f>
        <v>36095</v>
      </c>
      <c r="AT109" s="1">
        <f t="shared" si="341"/>
        <v>108285</v>
      </c>
      <c r="AU109" s="1">
        <f t="shared" si="341"/>
        <v>64971</v>
      </c>
      <c r="AV109" s="1">
        <f t="shared" si="341"/>
        <v>18048</v>
      </c>
      <c r="AW109" s="1">
        <f t="shared" si="341"/>
        <v>5415</v>
      </c>
      <c r="AX109" s="1">
        <f t="shared" si="341"/>
        <v>144380</v>
      </c>
      <c r="AY109" s="1">
        <f t="shared" si="341"/>
        <v>324855</v>
      </c>
      <c r="AZ109" s="1">
        <f t="shared" si="238"/>
        <v>3260408</v>
      </c>
      <c r="BA109" s="1">
        <f t="shared" si="239"/>
        <v>1630204</v>
      </c>
      <c r="BC109" s="1">
        <f t="shared" si="240"/>
        <v>98</v>
      </c>
    </row>
    <row r="110" s="1" customFormat="1" spans="2:55">
      <c r="B110" s="4">
        <v>99</v>
      </c>
      <c r="C110" s="1">
        <f t="shared" ref="C110:I110" si="342">C$5+(C$6-C$5)*(POWER(C$7,$B110-1)-1)/(POWER(C$7,$B$3-1)-1)</f>
        <v>7822.55235016165</v>
      </c>
      <c r="D110" s="1">
        <f t="shared" si="342"/>
        <v>2346.7657050485</v>
      </c>
      <c r="E110" s="1">
        <f t="shared" si="342"/>
        <v>1564.51047003233</v>
      </c>
      <c r="F110" s="1">
        <f t="shared" si="342"/>
        <v>28715.6985005934</v>
      </c>
      <c r="G110" s="1">
        <f t="shared" si="342"/>
        <v>8614.70955017802</v>
      </c>
      <c r="H110" s="1">
        <f t="shared" si="342"/>
        <v>5743.13970011868</v>
      </c>
      <c r="I110" s="1">
        <f t="shared" si="342"/>
        <v>0</v>
      </c>
      <c r="J110" s="1">
        <f>[1]标准模型!$I$65/1*$B110/$B$3</f>
        <v>0.7128</v>
      </c>
      <c r="K110" s="1">
        <f>J110*[1]标准模型!$J$63</f>
        <v>0.7128</v>
      </c>
      <c r="L110" s="1">
        <f t="shared" si="217"/>
        <v>36538.2508507551</v>
      </c>
      <c r="M110" s="1">
        <f t="shared" si="218"/>
        <v>12634.2498497851</v>
      </c>
      <c r="N110" s="1">
        <f t="shared" si="219"/>
        <v>8422.83323319005</v>
      </c>
      <c r="O110" s="1">
        <f t="shared" ref="O110:X110" si="343">O$5+(O$6-O$5)*(POWER(O$7,$B110-1)-1)/(POWER(O$7,$B$3-1)-1)</f>
        <v>0.598216082166379</v>
      </c>
      <c r="P110" s="1">
        <f t="shared" si="343"/>
        <v>0.0568831385112524</v>
      </c>
      <c r="Q110" s="1">
        <f t="shared" si="343"/>
        <v>0.329018845191508</v>
      </c>
      <c r="R110" s="1">
        <f t="shared" si="343"/>
        <v>1.03928643286655</v>
      </c>
      <c r="S110" s="1">
        <f t="shared" si="343"/>
        <v>0.137502515032931</v>
      </c>
      <c r="T110" s="1">
        <f t="shared" si="343"/>
        <v>2.38304272044888</v>
      </c>
      <c r="U110" s="1">
        <f t="shared" si="343"/>
        <v>1</v>
      </c>
      <c r="V110" s="1">
        <f t="shared" si="343"/>
        <v>1.10711429131991</v>
      </c>
      <c r="W110" s="1">
        <f t="shared" si="343"/>
        <v>1.06044066594854</v>
      </c>
      <c r="X110" s="1">
        <f t="shared" si="343"/>
        <v>1.31429146293241</v>
      </c>
      <c r="Y110" s="1">
        <f t="shared" si="243"/>
        <v>1.12935395316839</v>
      </c>
      <c r="Z110" s="1">
        <f t="shared" si="244"/>
        <v>1.87829003733592</v>
      </c>
      <c r="AA110" s="1">
        <f t="shared" si="221"/>
        <v>68629.4325546539</v>
      </c>
      <c r="AB110" s="1">
        <f t="shared" si="222"/>
        <v>12634.2498497851</v>
      </c>
      <c r="AC110" s="1">
        <f t="shared" si="223"/>
        <v>8422.83323319005</v>
      </c>
      <c r="AD110" s="1">
        <f>AC110/(AC110+[1]战斗公式!$M$27)</f>
        <v>0.259780913426403</v>
      </c>
      <c r="AE110" s="1">
        <f t="shared" si="224"/>
        <v>92715.0269420003</v>
      </c>
      <c r="AF110" s="1">
        <f t="shared" si="225"/>
        <v>6.49786361158261</v>
      </c>
      <c r="AG110" s="1">
        <f t="shared" si="226"/>
        <v>3.90695143509268</v>
      </c>
      <c r="AH110" s="1">
        <f t="shared" si="227"/>
        <v>3.1372155469986</v>
      </c>
      <c r="AI110" s="1">
        <f t="shared" si="228"/>
        <v>0.727652695095603</v>
      </c>
      <c r="AJ110" s="1">
        <f t="shared" si="229"/>
        <v>1.00754416464874</v>
      </c>
      <c r="AK110" s="1">
        <f t="shared" si="230"/>
        <v>1.11044140154408</v>
      </c>
      <c r="AL110" s="1">
        <f t="shared" si="231"/>
        <v>0.849256848916211</v>
      </c>
      <c r="AM110" s="27">
        <f t="shared" si="232"/>
        <v>55108</v>
      </c>
      <c r="AN110" s="27">
        <f t="shared" si="233"/>
        <v>9193</v>
      </c>
      <c r="AO110" s="27">
        <f t="shared" si="234"/>
        <v>8423</v>
      </c>
      <c r="AP110" s="1">
        <f t="shared" si="235"/>
        <v>36794</v>
      </c>
      <c r="AQ110" s="1">
        <f t="shared" si="236"/>
        <v>7807</v>
      </c>
      <c r="AR110"/>
      <c r="AS110" s="1">
        <f t="shared" ref="AS110:AY110" si="344">ROUNDUP(AS$10*$AP110,0)</f>
        <v>36794</v>
      </c>
      <c r="AT110" s="1">
        <f t="shared" si="344"/>
        <v>110382</v>
      </c>
      <c r="AU110" s="1">
        <f t="shared" si="344"/>
        <v>66230</v>
      </c>
      <c r="AV110" s="1">
        <f t="shared" si="344"/>
        <v>18397</v>
      </c>
      <c r="AW110" s="1">
        <f t="shared" si="344"/>
        <v>5520</v>
      </c>
      <c r="AX110" s="1">
        <f t="shared" si="344"/>
        <v>147176</v>
      </c>
      <c r="AY110" s="1">
        <f t="shared" si="344"/>
        <v>331146</v>
      </c>
      <c r="AZ110" s="1">
        <f t="shared" si="238"/>
        <v>3331425</v>
      </c>
      <c r="BA110" s="1">
        <f t="shared" si="239"/>
        <v>1665712</v>
      </c>
      <c r="BC110" s="1">
        <f t="shared" si="240"/>
        <v>99</v>
      </c>
    </row>
    <row r="111" s="1" customFormat="1" spans="2:55">
      <c r="B111" s="4">
        <v>100</v>
      </c>
      <c r="C111" s="1">
        <f t="shared" ref="C111:I111" si="345">C$5+(C$6-C$5)*(POWER(C$7,$B111-1)-1)/(POWER(C$7,$B$3-1)-1)</f>
        <v>7901.56427924607</v>
      </c>
      <c r="D111" s="1">
        <f t="shared" si="345"/>
        <v>2370.46928377382</v>
      </c>
      <c r="E111" s="1">
        <f t="shared" si="345"/>
        <v>1580.31285584921</v>
      </c>
      <c r="F111" s="1">
        <f t="shared" si="345"/>
        <v>29005.7422909033</v>
      </c>
      <c r="G111" s="1">
        <f t="shared" si="345"/>
        <v>8701.72268727099</v>
      </c>
      <c r="H111" s="1">
        <f t="shared" si="345"/>
        <v>5801.14845818066</v>
      </c>
      <c r="I111" s="1">
        <f t="shared" si="345"/>
        <v>0</v>
      </c>
      <c r="J111" s="1">
        <f>[1]标准模型!$I$65/1*$B111/$B$3</f>
        <v>0.72</v>
      </c>
      <c r="K111" s="1">
        <f>J111*[1]标准模型!$J$63</f>
        <v>0.72</v>
      </c>
      <c r="L111" s="1">
        <f t="shared" si="217"/>
        <v>36907.3065701494</v>
      </c>
      <c r="M111" s="1">
        <f t="shared" si="218"/>
        <v>12778.929855362</v>
      </c>
      <c r="N111" s="1">
        <f t="shared" si="219"/>
        <v>8519.2865702413</v>
      </c>
      <c r="O111" s="1">
        <f t="shared" ref="O111:X111" si="346">O$5+(O$6-O$5)*(POWER(O$7,$B111-1)-1)/(POWER(O$7,$B$3-1)-1)</f>
        <v>0.599218237478071</v>
      </c>
      <c r="P111" s="1">
        <f t="shared" si="346"/>
        <v>0.0575077203445489</v>
      </c>
      <c r="Q111" s="1">
        <f t="shared" si="346"/>
        <v>0.329570030612939</v>
      </c>
      <c r="R111" s="1">
        <f t="shared" si="346"/>
        <v>1.03968729499123</v>
      </c>
      <c r="S111" s="1">
        <f t="shared" si="346"/>
        <v>0.138905532469299</v>
      </c>
      <c r="T111" s="1">
        <f t="shared" si="346"/>
        <v>2.38695112616448</v>
      </c>
      <c r="U111" s="1">
        <f t="shared" si="346"/>
        <v>1</v>
      </c>
      <c r="V111" s="1">
        <f t="shared" si="346"/>
        <v>1.10820724018976</v>
      </c>
      <c r="W111" s="1">
        <f t="shared" si="346"/>
        <v>1.06105737690958</v>
      </c>
      <c r="X111" s="1">
        <f t="shared" si="346"/>
        <v>1.31749835992983</v>
      </c>
      <c r="Y111" s="1">
        <f t="shared" si="243"/>
        <v>1.13838921427459</v>
      </c>
      <c r="Z111" s="1">
        <f t="shared" si="244"/>
        <v>1.89467550154933</v>
      </c>
      <c r="AA111" s="1">
        <f t="shared" si="221"/>
        <v>69927.3695866326</v>
      </c>
      <c r="AB111" s="1">
        <f t="shared" si="222"/>
        <v>12778.929855362</v>
      </c>
      <c r="AC111" s="1">
        <f t="shared" si="223"/>
        <v>8519.2865702413</v>
      </c>
      <c r="AD111" s="1">
        <f>AC111/(AC111+[1]战斗公式!$M$27)</f>
        <v>0.261976429028962</v>
      </c>
      <c r="AE111" s="1">
        <f t="shared" si="224"/>
        <v>94749.5071121201</v>
      </c>
      <c r="AF111" s="1">
        <f t="shared" si="225"/>
        <v>6.51315930704414</v>
      </c>
      <c r="AG111" s="1">
        <f t="shared" si="226"/>
        <v>3.91334046380404</v>
      </c>
      <c r="AH111" s="1">
        <f t="shared" si="227"/>
        <v>3.15190408462716</v>
      </c>
      <c r="AI111" s="1">
        <f t="shared" si="228"/>
        <v>0.730213081173567</v>
      </c>
      <c r="AJ111" s="1">
        <f t="shared" si="229"/>
        <v>1.00716695641586</v>
      </c>
      <c r="AK111" s="1">
        <f t="shared" si="230"/>
        <v>1.10823190370581</v>
      </c>
      <c r="AL111" s="1">
        <f t="shared" si="231"/>
        <v>0.849688450832822</v>
      </c>
      <c r="AM111" s="27">
        <f t="shared" si="232"/>
        <v>56321</v>
      </c>
      <c r="AN111" s="27">
        <f t="shared" si="233"/>
        <v>9331</v>
      </c>
      <c r="AO111" s="27">
        <f t="shared" si="234"/>
        <v>8519</v>
      </c>
      <c r="AP111" s="1">
        <f t="shared" si="235"/>
        <v>37502</v>
      </c>
      <c r="AQ111" s="1">
        <f t="shared" si="236"/>
        <v>7928</v>
      </c>
      <c r="AR111"/>
      <c r="AS111" s="1">
        <f t="shared" ref="AS111:AY111" si="347">ROUNDUP(AS$10*$AP111,0)</f>
        <v>37502</v>
      </c>
      <c r="AT111" s="1">
        <f t="shared" si="347"/>
        <v>112506</v>
      </c>
      <c r="AU111" s="1">
        <f t="shared" si="347"/>
        <v>67504</v>
      </c>
      <c r="AV111" s="1">
        <f t="shared" si="347"/>
        <v>18751</v>
      </c>
      <c r="AW111" s="1">
        <f t="shared" si="347"/>
        <v>5626</v>
      </c>
      <c r="AX111" s="1">
        <f t="shared" si="347"/>
        <v>150008</v>
      </c>
      <c r="AY111" s="1">
        <f t="shared" si="347"/>
        <v>337518</v>
      </c>
      <c r="AZ111" s="1">
        <f t="shared" si="238"/>
        <v>3403479</v>
      </c>
      <c r="BA111" s="1">
        <f t="shared" si="239"/>
        <v>1701740</v>
      </c>
      <c r="BC111" s="1">
        <f t="shared" si="240"/>
        <v>100</v>
      </c>
    </row>
    <row r="112" s="1" customFormat="1" spans="2:55">
      <c r="B112" s="4">
        <v>101</v>
      </c>
      <c r="C112" s="1">
        <f t="shared" ref="C112:I112" si="348">C$5+(C$6-C$5)*(POWER(C$7,$B112-1)-1)/(POWER(C$7,$B$3-1)-1)</f>
        <v>7980.57612932133</v>
      </c>
      <c r="D112" s="1">
        <f t="shared" si="348"/>
        <v>2394.1728387964</v>
      </c>
      <c r="E112" s="1">
        <f t="shared" si="348"/>
        <v>1596.11522586427</v>
      </c>
      <c r="F112" s="1">
        <f t="shared" si="348"/>
        <v>29295.7857911796</v>
      </c>
      <c r="G112" s="1">
        <f t="shared" si="348"/>
        <v>8788.73573735387</v>
      </c>
      <c r="H112" s="1">
        <f t="shared" si="348"/>
        <v>5859.15715823592</v>
      </c>
      <c r="I112" s="1">
        <f t="shared" si="348"/>
        <v>0</v>
      </c>
      <c r="J112" s="1">
        <f>[1]标准模型!$I$65/1*$B112/$B$3</f>
        <v>0.7272</v>
      </c>
      <c r="K112" s="1">
        <f>J112*[1]标准模型!$J$63</f>
        <v>0.7272</v>
      </c>
      <c r="L112" s="1">
        <f t="shared" si="217"/>
        <v>37276.3619205009</v>
      </c>
      <c r="M112" s="1">
        <f t="shared" si="218"/>
        <v>12923.951064523</v>
      </c>
      <c r="N112" s="1">
        <f t="shared" si="219"/>
        <v>8615.96737634869</v>
      </c>
      <c r="O112" s="1">
        <f t="shared" ref="O112:X112" si="349">O$5+(O$6-O$5)*(POWER(O$7,$B112-1)-1)/(POWER(O$7,$B$3-1)-1)</f>
        <v>0.600220391787643</v>
      </c>
      <c r="P112" s="1">
        <f t="shared" si="349"/>
        <v>0.0581332390505953</v>
      </c>
      <c r="Q112" s="1">
        <f t="shared" si="349"/>
        <v>0.330121215483204</v>
      </c>
      <c r="R112" s="1">
        <f t="shared" si="349"/>
        <v>1.04008815671506</v>
      </c>
      <c r="S112" s="1">
        <f t="shared" si="349"/>
        <v>0.1403085485027</v>
      </c>
      <c r="T112" s="1">
        <f t="shared" si="349"/>
        <v>2.39085952797181</v>
      </c>
      <c r="U112" s="1">
        <f t="shared" si="349"/>
        <v>1</v>
      </c>
      <c r="V112" s="1">
        <f t="shared" si="349"/>
        <v>1.10930018796669</v>
      </c>
      <c r="W112" s="1">
        <f t="shared" si="349"/>
        <v>1.06167408725393</v>
      </c>
      <c r="X112" s="1">
        <f t="shared" si="349"/>
        <v>1.32070525372046</v>
      </c>
      <c r="Y112" s="1">
        <f t="shared" si="243"/>
        <v>1.14748954310545</v>
      </c>
      <c r="Z112" s="1">
        <f t="shared" si="244"/>
        <v>1.91119152281294</v>
      </c>
      <c r="AA112" s="1">
        <f t="shared" si="221"/>
        <v>71242.2669037685</v>
      </c>
      <c r="AB112" s="1">
        <f t="shared" si="222"/>
        <v>12923.951064523</v>
      </c>
      <c r="AC112" s="1">
        <f t="shared" si="223"/>
        <v>8615.96737634869</v>
      </c>
      <c r="AD112" s="1">
        <f>AC112/(AC112+[1]战斗公式!$M$27)</f>
        <v>0.264164091070207</v>
      </c>
      <c r="AE112" s="1">
        <f t="shared" si="224"/>
        <v>96818.1438812683</v>
      </c>
      <c r="AF112" s="1">
        <f t="shared" si="225"/>
        <v>6.52848951485762</v>
      </c>
      <c r="AG112" s="1">
        <f t="shared" si="226"/>
        <v>3.91973978596697</v>
      </c>
      <c r="AH112" s="1">
        <f t="shared" si="227"/>
        <v>3.16648245822351</v>
      </c>
      <c r="AI112" s="1">
        <f t="shared" si="228"/>
        <v>0.732778588023687</v>
      </c>
      <c r="AJ112" s="1">
        <f t="shared" si="229"/>
        <v>1.00680860859463</v>
      </c>
      <c r="AK112" s="1">
        <f t="shared" si="230"/>
        <v>1.10606659582431</v>
      </c>
      <c r="AL112" s="1">
        <f t="shared" si="231"/>
        <v>0.850118757943683</v>
      </c>
      <c r="AM112" s="27">
        <f t="shared" si="232"/>
        <v>57552</v>
      </c>
      <c r="AN112" s="27">
        <f t="shared" si="233"/>
        <v>9470</v>
      </c>
      <c r="AO112" s="27">
        <f t="shared" si="234"/>
        <v>8616</v>
      </c>
      <c r="AP112" s="1">
        <f t="shared" si="235"/>
        <v>38219</v>
      </c>
      <c r="AQ112" s="1">
        <f t="shared" si="236"/>
        <v>8051</v>
      </c>
      <c r="AR112"/>
      <c r="AS112" s="1">
        <f t="shared" ref="AS112:AY112" si="350">ROUNDUP(AS$10*$AP112,0)</f>
        <v>38219</v>
      </c>
      <c r="AT112" s="1">
        <f t="shared" si="350"/>
        <v>114657</v>
      </c>
      <c r="AU112" s="1">
        <f t="shared" si="350"/>
        <v>68795</v>
      </c>
      <c r="AV112" s="1">
        <f t="shared" si="350"/>
        <v>19110</v>
      </c>
      <c r="AW112" s="1">
        <f t="shared" si="350"/>
        <v>5733</v>
      </c>
      <c r="AX112" s="1">
        <f t="shared" si="350"/>
        <v>152876</v>
      </c>
      <c r="AY112" s="1">
        <f t="shared" si="350"/>
        <v>343971</v>
      </c>
      <c r="AZ112" s="1">
        <f t="shared" si="238"/>
        <v>3476631</v>
      </c>
      <c r="BA112" s="1">
        <f t="shared" si="239"/>
        <v>1738315</v>
      </c>
      <c r="BC112" s="1">
        <f t="shared" si="240"/>
        <v>101</v>
      </c>
    </row>
    <row r="113" s="1" customFormat="1" spans="2:55">
      <c r="B113" s="4">
        <v>102</v>
      </c>
      <c r="C113" s="1">
        <f t="shared" ref="C113:I113" si="351">C$5+(C$6-C$5)*(POWER(C$7,$B113-1)-1)/(POWER(C$7,$B$3-1)-1)</f>
        <v>8059.58790038745</v>
      </c>
      <c r="D113" s="1">
        <f t="shared" si="351"/>
        <v>2417.87637011623</v>
      </c>
      <c r="E113" s="1">
        <f t="shared" si="351"/>
        <v>1611.91758007749</v>
      </c>
      <c r="F113" s="1">
        <f t="shared" si="351"/>
        <v>29585.8290014223</v>
      </c>
      <c r="G113" s="1">
        <f t="shared" si="351"/>
        <v>8875.74870042668</v>
      </c>
      <c r="H113" s="1">
        <f t="shared" si="351"/>
        <v>5917.16580028445</v>
      </c>
      <c r="I113" s="1">
        <f t="shared" si="351"/>
        <v>0</v>
      </c>
      <c r="J113" s="1">
        <f>[1]标准模型!$I$65/1*$B113/$B$3</f>
        <v>0.7344</v>
      </c>
      <c r="K113" s="1">
        <f>J113*[1]标准模型!$J$63</f>
        <v>0.7344</v>
      </c>
      <c r="L113" s="1">
        <f t="shared" si="217"/>
        <v>37645.4169018097</v>
      </c>
      <c r="M113" s="1">
        <f t="shared" si="218"/>
        <v>13069.3134767563</v>
      </c>
      <c r="N113" s="1">
        <f t="shared" si="219"/>
        <v>8712.87565117085</v>
      </c>
      <c r="O113" s="1">
        <f t="shared" ref="O113:X113" si="352">O$5+(O$6-O$5)*(POWER(O$7,$B113-1)-1)/(POWER(O$7,$B$3-1)-1)</f>
        <v>0.601222545095095</v>
      </c>
      <c r="P113" s="1">
        <f t="shared" si="352"/>
        <v>0.0587596960347008</v>
      </c>
      <c r="Q113" s="1">
        <f t="shared" si="352"/>
        <v>0.330672399802302</v>
      </c>
      <c r="R113" s="1">
        <f t="shared" si="352"/>
        <v>1.04048901803804</v>
      </c>
      <c r="S113" s="1">
        <f t="shared" si="352"/>
        <v>0.141711563133132</v>
      </c>
      <c r="T113" s="1">
        <f t="shared" si="352"/>
        <v>2.39476792587087</v>
      </c>
      <c r="U113" s="1">
        <f t="shared" si="352"/>
        <v>1</v>
      </c>
      <c r="V113" s="1">
        <f t="shared" si="352"/>
        <v>1.11039313465072</v>
      </c>
      <c r="W113" s="1">
        <f t="shared" si="352"/>
        <v>1.0622907969816</v>
      </c>
      <c r="X113" s="1">
        <f t="shared" si="352"/>
        <v>1.3239121443043</v>
      </c>
      <c r="Y113" s="1">
        <f t="shared" si="243"/>
        <v>1.15665535853433</v>
      </c>
      <c r="Z113" s="1">
        <f t="shared" si="244"/>
        <v>1.92783904057405</v>
      </c>
      <c r="AA113" s="1">
        <f t="shared" si="221"/>
        <v>72574.304401995</v>
      </c>
      <c r="AB113" s="1">
        <f t="shared" si="222"/>
        <v>13069.3134767563</v>
      </c>
      <c r="AC113" s="1">
        <f t="shared" si="223"/>
        <v>8712.87565117085</v>
      </c>
      <c r="AD113" s="1">
        <f>AC113/(AC113+[1]战斗公式!$M$27)</f>
        <v>0.266343923538834</v>
      </c>
      <c r="AE113" s="1">
        <f t="shared" si="224"/>
        <v>98921.4248071952</v>
      </c>
      <c r="AF113" s="1">
        <f t="shared" si="225"/>
        <v>6.54385419154455</v>
      </c>
      <c r="AG113" s="1">
        <f t="shared" si="226"/>
        <v>3.92614936040694</v>
      </c>
      <c r="AH113" s="1">
        <f t="shared" si="227"/>
        <v>3.18095149401788</v>
      </c>
      <c r="AI113" s="1">
        <f t="shared" si="228"/>
        <v>0.735349225887508</v>
      </c>
      <c r="AJ113" s="1">
        <f t="shared" si="229"/>
        <v>1.00646817816446</v>
      </c>
      <c r="AK113" s="1">
        <f t="shared" si="230"/>
        <v>1.10394459410043</v>
      </c>
      <c r="AL113" s="1">
        <f t="shared" si="231"/>
        <v>0.850547774133212</v>
      </c>
      <c r="AM113" s="27">
        <f t="shared" si="232"/>
        <v>58799</v>
      </c>
      <c r="AN113" s="27">
        <f t="shared" si="233"/>
        <v>9611</v>
      </c>
      <c r="AO113" s="27">
        <f t="shared" si="234"/>
        <v>8713</v>
      </c>
      <c r="AP113" s="1">
        <f t="shared" si="235"/>
        <v>38945</v>
      </c>
      <c r="AQ113" s="1">
        <f t="shared" si="236"/>
        <v>8175</v>
      </c>
      <c r="AR113"/>
      <c r="AS113" s="1">
        <f t="shared" ref="AS113:AY113" si="353">ROUNDUP(AS$10*$AP113,0)</f>
        <v>38945</v>
      </c>
      <c r="AT113" s="1">
        <f t="shared" si="353"/>
        <v>116835</v>
      </c>
      <c r="AU113" s="1">
        <f t="shared" si="353"/>
        <v>70101</v>
      </c>
      <c r="AV113" s="1">
        <f t="shared" si="353"/>
        <v>19473</v>
      </c>
      <c r="AW113" s="1">
        <f t="shared" si="353"/>
        <v>5842</v>
      </c>
      <c r="AX113" s="1">
        <f t="shared" si="353"/>
        <v>155780</v>
      </c>
      <c r="AY113" s="1">
        <f t="shared" si="353"/>
        <v>350505</v>
      </c>
      <c r="AZ113" s="1">
        <f t="shared" si="238"/>
        <v>3550759</v>
      </c>
      <c r="BA113" s="1">
        <f t="shared" si="239"/>
        <v>1775380</v>
      </c>
      <c r="BC113" s="1">
        <f t="shared" si="240"/>
        <v>102</v>
      </c>
    </row>
    <row r="114" s="1" customFormat="1" spans="2:55">
      <c r="B114" s="4">
        <v>103</v>
      </c>
      <c r="C114" s="1">
        <f t="shared" ref="C114:I114" si="354">C$5+(C$6-C$5)*(POWER(C$7,$B114-1)-1)/(POWER(C$7,$B$3-1)-1)</f>
        <v>8138.59959243563</v>
      </c>
      <c r="D114" s="1">
        <f t="shared" si="354"/>
        <v>2441.57987773069</v>
      </c>
      <c r="E114" s="1">
        <f t="shared" si="354"/>
        <v>1627.71991848713</v>
      </c>
      <c r="F114" s="1">
        <f t="shared" si="354"/>
        <v>29875.8719215992</v>
      </c>
      <c r="G114" s="1">
        <f t="shared" si="354"/>
        <v>8962.76157647975</v>
      </c>
      <c r="H114" s="1">
        <f t="shared" si="354"/>
        <v>5975.17438431983</v>
      </c>
      <c r="I114" s="1">
        <f t="shared" si="354"/>
        <v>0</v>
      </c>
      <c r="J114" s="1">
        <f>[1]标准模型!$I$65/1*$B114/$B$3</f>
        <v>0.7416</v>
      </c>
      <c r="K114" s="1">
        <f>J114*[1]标准模型!$J$63</f>
        <v>0.7416</v>
      </c>
      <c r="L114" s="1">
        <f t="shared" si="217"/>
        <v>38014.4715140348</v>
      </c>
      <c r="M114" s="1">
        <f t="shared" si="218"/>
        <v>13215.0170915355</v>
      </c>
      <c r="N114" s="1">
        <f t="shared" si="219"/>
        <v>8810.01139435702</v>
      </c>
      <c r="O114" s="1">
        <f t="shared" ref="O114:X114" si="355">O$5+(O$6-O$5)*(POWER(O$7,$B114-1)-1)/(POWER(O$7,$B$3-1)-1)</f>
        <v>0.602224697400315</v>
      </c>
      <c r="P114" s="1">
        <f t="shared" si="355"/>
        <v>0.0593870927042825</v>
      </c>
      <c r="Q114" s="1">
        <f t="shared" si="355"/>
        <v>0.331223583570173</v>
      </c>
      <c r="R114" s="1">
        <f t="shared" si="355"/>
        <v>1.04088987896013</v>
      </c>
      <c r="S114" s="1">
        <f t="shared" si="355"/>
        <v>0.143114576360441</v>
      </c>
      <c r="T114" s="1">
        <f t="shared" si="355"/>
        <v>2.39867631986123</v>
      </c>
      <c r="U114" s="1">
        <f t="shared" si="355"/>
        <v>1</v>
      </c>
      <c r="V114" s="1">
        <f t="shared" si="355"/>
        <v>1.11148608024171</v>
      </c>
      <c r="W114" s="1">
        <f t="shared" si="355"/>
        <v>1.0629075060925</v>
      </c>
      <c r="X114" s="1">
        <f t="shared" si="355"/>
        <v>1.32711903168101</v>
      </c>
      <c r="Y114" s="1">
        <f t="shared" si="243"/>
        <v>1.16588708158872</v>
      </c>
      <c r="Z114" s="1">
        <f t="shared" si="244"/>
        <v>1.9446189999342</v>
      </c>
      <c r="AA114" s="1">
        <f t="shared" si="221"/>
        <v>73923.6635786496</v>
      </c>
      <c r="AB114" s="1">
        <f t="shared" si="222"/>
        <v>13215.0170915355</v>
      </c>
      <c r="AC114" s="1">
        <f t="shared" si="223"/>
        <v>8810.01139435702</v>
      </c>
      <c r="AD114" s="1">
        <f>AC114/(AC114+[1]战斗公式!$M$27)</f>
        <v>0.268515950466029</v>
      </c>
      <c r="AE114" s="1">
        <f t="shared" si="224"/>
        <v>101059.843513671</v>
      </c>
      <c r="AF114" s="1">
        <f t="shared" si="225"/>
        <v>6.55925329387076</v>
      </c>
      <c r="AG114" s="1">
        <f t="shared" si="226"/>
        <v>3.93256914616742</v>
      </c>
      <c r="AH114" s="1">
        <f t="shared" si="227"/>
        <v>3.1953120120438</v>
      </c>
      <c r="AI114" s="1">
        <f t="shared" si="228"/>
        <v>0.737925005027056</v>
      </c>
      <c r="AJ114" s="1">
        <f t="shared" si="229"/>
        <v>1.0061447692558</v>
      </c>
      <c r="AK114" s="1">
        <f t="shared" si="230"/>
        <v>1.10186503241104</v>
      </c>
      <c r="AL114" s="1">
        <f t="shared" si="231"/>
        <v>0.850975503274172</v>
      </c>
      <c r="AM114" s="27">
        <f t="shared" si="232"/>
        <v>60065</v>
      </c>
      <c r="AN114" s="27">
        <f t="shared" si="233"/>
        <v>9752</v>
      </c>
      <c r="AO114" s="27">
        <f t="shared" si="234"/>
        <v>8810</v>
      </c>
      <c r="AP114" s="1">
        <f t="shared" si="235"/>
        <v>39680</v>
      </c>
      <c r="AQ114" s="1">
        <f t="shared" si="236"/>
        <v>8299</v>
      </c>
      <c r="AR114"/>
      <c r="AS114" s="1">
        <f t="shared" ref="AS114:AY114" si="356">ROUNDUP(AS$10*$AP114,0)</f>
        <v>39680</v>
      </c>
      <c r="AT114" s="1">
        <f t="shared" si="356"/>
        <v>119040</v>
      </c>
      <c r="AU114" s="1">
        <f t="shared" si="356"/>
        <v>71424</v>
      </c>
      <c r="AV114" s="1">
        <f t="shared" si="356"/>
        <v>19840</v>
      </c>
      <c r="AW114" s="1">
        <f t="shared" si="356"/>
        <v>5952</v>
      </c>
      <c r="AX114" s="1">
        <f t="shared" si="356"/>
        <v>158720</v>
      </c>
      <c r="AY114" s="1">
        <f t="shared" si="356"/>
        <v>357120</v>
      </c>
      <c r="AZ114" s="1">
        <f t="shared" si="238"/>
        <v>3626045</v>
      </c>
      <c r="BA114" s="1">
        <f t="shared" si="239"/>
        <v>1813023</v>
      </c>
      <c r="BC114" s="1">
        <f t="shared" si="240"/>
        <v>103</v>
      </c>
    </row>
    <row r="115" s="1" customFormat="1" spans="2:55">
      <c r="B115" s="4">
        <v>104</v>
      </c>
      <c r="C115" s="1">
        <f t="shared" ref="C115:I115" si="357">C$5+(C$6-C$5)*(POWER(C$7,$B115-1)-1)/(POWER(C$7,$B$3-1)-1)</f>
        <v>8217.61120547467</v>
      </c>
      <c r="D115" s="1">
        <f t="shared" si="357"/>
        <v>2465.2833616424</v>
      </c>
      <c r="E115" s="1">
        <f t="shared" si="357"/>
        <v>1643.52224109493</v>
      </c>
      <c r="F115" s="1">
        <f t="shared" si="357"/>
        <v>30165.9145517425</v>
      </c>
      <c r="G115" s="1">
        <f t="shared" si="357"/>
        <v>9049.77436552274</v>
      </c>
      <c r="H115" s="1">
        <f t="shared" si="357"/>
        <v>6033.18291034849</v>
      </c>
      <c r="I115" s="1">
        <f t="shared" si="357"/>
        <v>0</v>
      </c>
      <c r="J115" s="1">
        <f>[1]标准模型!$I$65/1*$B115/$B$3</f>
        <v>0.7488</v>
      </c>
      <c r="K115" s="1">
        <f>J115*[1]标准模型!$J$63</f>
        <v>0.7488</v>
      </c>
      <c r="L115" s="1">
        <f t="shared" si="217"/>
        <v>38383.5257572172</v>
      </c>
      <c r="M115" s="1">
        <f t="shared" si="218"/>
        <v>13361.061908363</v>
      </c>
      <c r="N115" s="1">
        <f t="shared" si="219"/>
        <v>8907.3746055753</v>
      </c>
      <c r="O115" s="1">
        <f t="shared" ref="O115:X115" si="358">O$5+(O$6-O$5)*(POWER(O$7,$B115-1)-1)/(POWER(O$7,$B$3-1)-1)</f>
        <v>0.603226848703415</v>
      </c>
      <c r="P115" s="1">
        <f t="shared" si="358"/>
        <v>0.0600154304688685</v>
      </c>
      <c r="Q115" s="1">
        <f t="shared" si="358"/>
        <v>0.331774766786878</v>
      </c>
      <c r="R115" s="1">
        <f t="shared" si="358"/>
        <v>1.04129073948137</v>
      </c>
      <c r="S115" s="1">
        <f t="shared" si="358"/>
        <v>0.144517588184781</v>
      </c>
      <c r="T115" s="1">
        <f t="shared" si="358"/>
        <v>2.40258470994332</v>
      </c>
      <c r="U115" s="1">
        <f t="shared" si="358"/>
        <v>1</v>
      </c>
      <c r="V115" s="1">
        <f t="shared" si="358"/>
        <v>1.11257902473979</v>
      </c>
      <c r="W115" s="1">
        <f t="shared" si="358"/>
        <v>1.06352421458672</v>
      </c>
      <c r="X115" s="1">
        <f t="shared" si="358"/>
        <v>1.33032591585093</v>
      </c>
      <c r="Y115" s="1">
        <f t="shared" si="243"/>
        <v>1.1751851354606</v>
      </c>
      <c r="Z115" s="1">
        <f t="shared" si="244"/>
        <v>1.96153235168025</v>
      </c>
      <c r="AA115" s="1">
        <f t="shared" si="221"/>
        <v>75290.5275443336</v>
      </c>
      <c r="AB115" s="1">
        <f t="shared" si="222"/>
        <v>13361.061908363</v>
      </c>
      <c r="AC115" s="1">
        <f t="shared" si="223"/>
        <v>8907.3746055753</v>
      </c>
      <c r="AD115" s="1">
        <f>AC115/(AC115+[1]战斗公式!$M$27)</f>
        <v>0.270680195923809</v>
      </c>
      <c r="AE115" s="1">
        <f t="shared" si="224"/>
        <v>103233.899756365</v>
      </c>
      <c r="AF115" s="1">
        <f t="shared" si="225"/>
        <v>6.57468677885204</v>
      </c>
      <c r="AG115" s="1">
        <f t="shared" si="226"/>
        <v>3.93899910251174</v>
      </c>
      <c r="AH115" s="1">
        <f t="shared" si="227"/>
        <v>3.20956482618453</v>
      </c>
      <c r="AI115" s="1">
        <f t="shared" si="228"/>
        <v>0.740505935724884</v>
      </c>
      <c r="AJ115" s="1">
        <f t="shared" si="229"/>
        <v>1.00583753079257</v>
      </c>
      <c r="AK115" s="1">
        <f t="shared" si="230"/>
        <v>1.09982706195543</v>
      </c>
      <c r="AL115" s="1">
        <f t="shared" si="231"/>
        <v>0.851401949227709</v>
      </c>
      <c r="AM115" s="27">
        <f t="shared" si="232"/>
        <v>61348</v>
      </c>
      <c r="AN115" s="27">
        <f t="shared" si="233"/>
        <v>9894</v>
      </c>
      <c r="AO115" s="27">
        <f t="shared" si="234"/>
        <v>8907</v>
      </c>
      <c r="AP115" s="1">
        <f t="shared" si="235"/>
        <v>40424</v>
      </c>
      <c r="AQ115" s="1">
        <f t="shared" si="236"/>
        <v>8424</v>
      </c>
      <c r="AR115"/>
      <c r="AS115" s="1">
        <f t="shared" ref="AS115:AY115" si="359">ROUNDUP(AS$10*$AP115,0)</f>
        <v>40424</v>
      </c>
      <c r="AT115" s="1">
        <f t="shared" si="359"/>
        <v>121272</v>
      </c>
      <c r="AU115" s="1">
        <f t="shared" si="359"/>
        <v>72764</v>
      </c>
      <c r="AV115" s="1">
        <f t="shared" si="359"/>
        <v>20212</v>
      </c>
      <c r="AW115" s="1">
        <f t="shared" si="359"/>
        <v>6064</v>
      </c>
      <c r="AX115" s="1">
        <f t="shared" si="359"/>
        <v>161696</v>
      </c>
      <c r="AY115" s="1">
        <f t="shared" si="359"/>
        <v>363816</v>
      </c>
      <c r="AZ115" s="1">
        <f t="shared" si="238"/>
        <v>3702367</v>
      </c>
      <c r="BA115" s="1">
        <f t="shared" si="239"/>
        <v>1851184</v>
      </c>
      <c r="BC115" s="1">
        <f t="shared" si="240"/>
        <v>104</v>
      </c>
    </row>
    <row r="116" s="1" customFormat="1" spans="2:55">
      <c r="B116" s="4">
        <v>105</v>
      </c>
      <c r="C116" s="1">
        <f t="shared" ref="C116:I116" si="360">C$5+(C$6-C$5)*(POWER(C$7,$B116-1)-1)/(POWER(C$7,$B$3-1)-1)</f>
        <v>8296.62273950456</v>
      </c>
      <c r="D116" s="1">
        <f t="shared" si="360"/>
        <v>2488.98682185137</v>
      </c>
      <c r="E116" s="1">
        <f t="shared" si="360"/>
        <v>1659.32454790091</v>
      </c>
      <c r="F116" s="1">
        <f t="shared" si="360"/>
        <v>30455.9568918522</v>
      </c>
      <c r="G116" s="1">
        <f t="shared" si="360"/>
        <v>9136.78706755565</v>
      </c>
      <c r="H116" s="1">
        <f t="shared" si="360"/>
        <v>6091.19137837043</v>
      </c>
      <c r="I116" s="1">
        <f t="shared" si="360"/>
        <v>0</v>
      </c>
      <c r="J116" s="1">
        <f>[1]标准模型!$I$65/1*$B116/$B$3</f>
        <v>0.756</v>
      </c>
      <c r="K116" s="1">
        <f>J116*[1]标准模型!$J$63</f>
        <v>0.756</v>
      </c>
      <c r="L116" s="1">
        <f t="shared" si="217"/>
        <v>38752.5796313568</v>
      </c>
      <c r="M116" s="1">
        <f t="shared" si="218"/>
        <v>13507.4479267267</v>
      </c>
      <c r="N116" s="1">
        <f t="shared" si="219"/>
        <v>9004.96528448443</v>
      </c>
      <c r="O116" s="1">
        <f t="shared" ref="O116:X116" si="361">O$5+(O$6-O$5)*(POWER(O$7,$B116-1)-1)/(POWER(O$7,$B$3-1)-1)</f>
        <v>0.604228999004396</v>
      </c>
      <c r="P116" s="1">
        <f t="shared" si="361"/>
        <v>0.0606447107401014</v>
      </c>
      <c r="Q116" s="1">
        <f t="shared" si="361"/>
        <v>0.332325949452418</v>
      </c>
      <c r="R116" s="1">
        <f t="shared" si="361"/>
        <v>1.04169159960176</v>
      </c>
      <c r="S116" s="1">
        <f t="shared" si="361"/>
        <v>0.145920598606154</v>
      </c>
      <c r="T116" s="1">
        <f t="shared" si="361"/>
        <v>2.40649309611714</v>
      </c>
      <c r="U116" s="1">
        <f t="shared" si="361"/>
        <v>1</v>
      </c>
      <c r="V116" s="1">
        <f t="shared" si="361"/>
        <v>1.11367196814496</v>
      </c>
      <c r="W116" s="1">
        <f t="shared" si="361"/>
        <v>1.06414092246424</v>
      </c>
      <c r="X116" s="1">
        <f t="shared" si="361"/>
        <v>1.33353279681407</v>
      </c>
      <c r="Y116" s="1">
        <f t="shared" si="243"/>
        <v>1.18454994551141</v>
      </c>
      <c r="Z116" s="1">
        <f t="shared" si="244"/>
        <v>1.97858005230508</v>
      </c>
      <c r="AA116" s="1">
        <f t="shared" si="221"/>
        <v>76675.0810339666</v>
      </c>
      <c r="AB116" s="1">
        <f t="shared" si="222"/>
        <v>13507.4479267267</v>
      </c>
      <c r="AC116" s="1">
        <f t="shared" si="223"/>
        <v>9004.96528448443</v>
      </c>
      <c r="AD116" s="1">
        <f>AC116/(AC116+[1]战斗公式!$M$27)</f>
        <v>0.272836684022135</v>
      </c>
      <c r="AE116" s="1">
        <f t="shared" si="224"/>
        <v>105444.099487962</v>
      </c>
      <c r="AF116" s="1">
        <f t="shared" si="225"/>
        <v>6.59015460374387</v>
      </c>
      <c r="AG116" s="1">
        <f t="shared" si="226"/>
        <v>3.94543918891834</v>
      </c>
      <c r="AH116" s="1">
        <f t="shared" si="227"/>
        <v>3.22371074421919</v>
      </c>
      <c r="AI116" s="1">
        <f t="shared" si="228"/>
        <v>0.743092028284106</v>
      </c>
      <c r="AJ116" s="1">
        <f t="shared" si="229"/>
        <v>1.0055456542525</v>
      </c>
      <c r="AK116" s="1">
        <f t="shared" si="230"/>
        <v>1.09782985090893</v>
      </c>
      <c r="AL116" s="1">
        <f t="shared" si="231"/>
        <v>0.851827115843385</v>
      </c>
      <c r="AM116" s="27">
        <f t="shared" si="232"/>
        <v>62649</v>
      </c>
      <c r="AN116" s="27">
        <f t="shared" si="233"/>
        <v>10037</v>
      </c>
      <c r="AO116" s="27">
        <f t="shared" si="234"/>
        <v>9005</v>
      </c>
      <c r="AP116" s="1">
        <f t="shared" si="235"/>
        <v>41177</v>
      </c>
      <c r="AQ116" s="1">
        <f t="shared" si="236"/>
        <v>8550</v>
      </c>
      <c r="AR116"/>
      <c r="AS116" s="1">
        <f t="shared" ref="AS116:AY116" si="362">ROUNDUP(AS$10*$AP116,0)</f>
        <v>41177</v>
      </c>
      <c r="AT116" s="1">
        <f t="shared" si="362"/>
        <v>123531</v>
      </c>
      <c r="AU116" s="1">
        <f t="shared" si="362"/>
        <v>74119</v>
      </c>
      <c r="AV116" s="1">
        <f t="shared" si="362"/>
        <v>20589</v>
      </c>
      <c r="AW116" s="1">
        <f t="shared" si="362"/>
        <v>6177</v>
      </c>
      <c r="AX116" s="1">
        <f t="shared" si="362"/>
        <v>164708</v>
      </c>
      <c r="AY116" s="1">
        <f t="shared" si="362"/>
        <v>370593</v>
      </c>
      <c r="AZ116" s="1">
        <f t="shared" si="238"/>
        <v>3779786</v>
      </c>
      <c r="BA116" s="1">
        <f t="shared" si="239"/>
        <v>1889893</v>
      </c>
      <c r="BC116" s="1">
        <f t="shared" si="240"/>
        <v>105</v>
      </c>
    </row>
    <row r="117" s="1" customFormat="1" spans="2:55">
      <c r="B117" s="4">
        <v>106</v>
      </c>
      <c r="C117" s="1">
        <f t="shared" ref="C117:I117" si="363">C$5+(C$6-C$5)*(POWER(C$7,$B117-1)-1)/(POWER(C$7,$B$3-1)-1)</f>
        <v>8375.63419452529</v>
      </c>
      <c r="D117" s="1">
        <f t="shared" si="363"/>
        <v>2512.69025835759</v>
      </c>
      <c r="E117" s="1">
        <f t="shared" si="363"/>
        <v>1675.12683890506</v>
      </c>
      <c r="F117" s="1">
        <f t="shared" si="363"/>
        <v>30745.9989419283</v>
      </c>
      <c r="G117" s="1">
        <f t="shared" si="363"/>
        <v>9223.79968257848</v>
      </c>
      <c r="H117" s="1">
        <f t="shared" si="363"/>
        <v>6149.19978838565</v>
      </c>
      <c r="I117" s="1">
        <f t="shared" si="363"/>
        <v>0</v>
      </c>
      <c r="J117" s="1">
        <f>[1]标准模型!$I$65/1*$B117/$B$3</f>
        <v>0.7632</v>
      </c>
      <c r="K117" s="1">
        <f>J117*[1]标准模型!$J$63</f>
        <v>0.7632</v>
      </c>
      <c r="L117" s="1">
        <f t="shared" si="217"/>
        <v>39121.6331364536</v>
      </c>
      <c r="M117" s="1">
        <f t="shared" si="218"/>
        <v>13654.1751461146</v>
      </c>
      <c r="N117" s="1">
        <f t="shared" si="219"/>
        <v>9102.78343074305</v>
      </c>
      <c r="O117" s="1">
        <f t="shared" ref="O117:X117" si="364">O$5+(O$6-O$5)*(POWER(O$7,$B117-1)-1)/(POWER(O$7,$B$3-1)-1)</f>
        <v>0.605231148303256</v>
      </c>
      <c r="P117" s="1">
        <f t="shared" si="364"/>
        <v>0.0612749349317412</v>
      </c>
      <c r="Q117" s="1">
        <f t="shared" si="364"/>
        <v>0.332877131566791</v>
      </c>
      <c r="R117" s="1">
        <f t="shared" si="364"/>
        <v>1.0420924593213</v>
      </c>
      <c r="S117" s="1">
        <f t="shared" si="364"/>
        <v>0.147323607624558</v>
      </c>
      <c r="T117" s="1">
        <f t="shared" si="364"/>
        <v>2.4104014783827</v>
      </c>
      <c r="U117" s="1">
        <f t="shared" si="364"/>
        <v>1</v>
      </c>
      <c r="V117" s="1">
        <f t="shared" si="364"/>
        <v>1.11476491045723</v>
      </c>
      <c r="W117" s="1">
        <f t="shared" si="364"/>
        <v>1.06475762972508</v>
      </c>
      <c r="X117" s="1">
        <f t="shared" si="364"/>
        <v>1.33673967457042</v>
      </c>
      <c r="Y117" s="1">
        <f t="shared" si="243"/>
        <v>1.19398193928065</v>
      </c>
      <c r="Z117" s="1">
        <f t="shared" si="244"/>
        <v>1.99576306403527</v>
      </c>
      <c r="AA117" s="1">
        <f t="shared" si="221"/>
        <v>78077.5104184724</v>
      </c>
      <c r="AB117" s="1">
        <f t="shared" si="222"/>
        <v>13654.1751461146</v>
      </c>
      <c r="AC117" s="1">
        <f t="shared" si="223"/>
        <v>9102.78343074305</v>
      </c>
      <c r="AD117" s="1">
        <f>AC117/(AC117+[1]战斗公式!$M$27)</f>
        <v>0.274985438906904</v>
      </c>
      <c r="AE117" s="1">
        <f t="shared" si="224"/>
        <v>107690.954924762</v>
      </c>
      <c r="AF117" s="1">
        <f t="shared" si="225"/>
        <v>6.60565672604145</v>
      </c>
      <c r="AG117" s="1">
        <f t="shared" si="226"/>
        <v>3.95188936508039</v>
      </c>
      <c r="AH117" s="1">
        <f t="shared" si="227"/>
        <v>3.2377505678686</v>
      </c>
      <c r="AI117" s="1">
        <f t="shared" si="228"/>
        <v>0.745683293028448</v>
      </c>
      <c r="AJ117" s="1">
        <f t="shared" si="229"/>
        <v>1.00526837153943</v>
      </c>
      <c r="AK117" s="1">
        <f t="shared" si="230"/>
        <v>1.09587258408336</v>
      </c>
      <c r="AL117" s="1">
        <f t="shared" si="231"/>
        <v>0.852251006959215</v>
      </c>
      <c r="AM117" s="27">
        <f t="shared" si="232"/>
        <v>63968</v>
      </c>
      <c r="AN117" s="27">
        <f t="shared" si="233"/>
        <v>10182</v>
      </c>
      <c r="AO117" s="27">
        <f t="shared" si="234"/>
        <v>9103</v>
      </c>
      <c r="AP117" s="1">
        <f t="shared" si="235"/>
        <v>41939</v>
      </c>
      <c r="AQ117" s="1">
        <f t="shared" si="236"/>
        <v>8678</v>
      </c>
      <c r="AR117"/>
      <c r="AS117" s="1">
        <f t="shared" ref="AS117:AY117" si="365">ROUNDUP(AS$10*$AP117,0)</f>
        <v>41939</v>
      </c>
      <c r="AT117" s="1">
        <f t="shared" si="365"/>
        <v>125817</v>
      </c>
      <c r="AU117" s="1">
        <f t="shared" si="365"/>
        <v>75491</v>
      </c>
      <c r="AV117" s="1">
        <f t="shared" si="365"/>
        <v>20970</v>
      </c>
      <c r="AW117" s="1">
        <f t="shared" si="365"/>
        <v>6291</v>
      </c>
      <c r="AX117" s="1">
        <f t="shared" si="365"/>
        <v>167756</v>
      </c>
      <c r="AY117" s="1">
        <f t="shared" si="365"/>
        <v>377451</v>
      </c>
      <c r="AZ117" s="1">
        <f t="shared" si="238"/>
        <v>3858300</v>
      </c>
      <c r="BA117" s="1">
        <f t="shared" si="239"/>
        <v>1929150</v>
      </c>
      <c r="BC117" s="1">
        <f t="shared" si="240"/>
        <v>106</v>
      </c>
    </row>
    <row r="118" s="1" customFormat="1" spans="2:55">
      <c r="B118" s="4">
        <v>107</v>
      </c>
      <c r="C118" s="1">
        <f t="shared" ref="C118:I118" si="366">C$5+(C$6-C$5)*(POWER(C$7,$B118-1)-1)/(POWER(C$7,$B$3-1)-1)</f>
        <v>8454.6455705281</v>
      </c>
      <c r="D118" s="1">
        <f t="shared" si="366"/>
        <v>2536.39367115843</v>
      </c>
      <c r="E118" s="1">
        <f t="shared" si="366"/>
        <v>1690.92911410562</v>
      </c>
      <c r="F118" s="1">
        <f t="shared" si="366"/>
        <v>31036.0407019386</v>
      </c>
      <c r="G118" s="1">
        <f t="shared" si="366"/>
        <v>9310.81221058157</v>
      </c>
      <c r="H118" s="1">
        <f t="shared" si="366"/>
        <v>6207.20814038772</v>
      </c>
      <c r="I118" s="1">
        <f t="shared" si="366"/>
        <v>0</v>
      </c>
      <c r="J118" s="1">
        <f>[1]标准模型!$I$65/1*$B118/$B$3</f>
        <v>0.7704</v>
      </c>
      <c r="K118" s="1">
        <f>J118*[1]标准模型!$J$63</f>
        <v>0.7704</v>
      </c>
      <c r="L118" s="1">
        <f t="shared" si="217"/>
        <v>39490.6862724667</v>
      </c>
      <c r="M118" s="1">
        <f t="shared" si="218"/>
        <v>13801.2435660005</v>
      </c>
      <c r="N118" s="1">
        <f t="shared" si="219"/>
        <v>9200.82904400031</v>
      </c>
      <c r="O118" s="1">
        <f t="shared" ref="O118:X118" si="367">O$5+(O$6-O$5)*(POWER(O$7,$B118-1)-1)/(POWER(O$7,$B$3-1)-1)</f>
        <v>0.606233296599885</v>
      </c>
      <c r="P118" s="1">
        <f t="shared" si="367"/>
        <v>0.0619061044596684</v>
      </c>
      <c r="Q118" s="1">
        <f t="shared" si="367"/>
        <v>0.333428313129937</v>
      </c>
      <c r="R118" s="1">
        <f t="shared" si="367"/>
        <v>1.04249331863995</v>
      </c>
      <c r="S118" s="1">
        <f t="shared" si="367"/>
        <v>0.148726615239838</v>
      </c>
      <c r="T118" s="1">
        <f t="shared" si="367"/>
        <v>2.41430985673955</v>
      </c>
      <c r="U118" s="1">
        <f t="shared" si="367"/>
        <v>1</v>
      </c>
      <c r="V118" s="1">
        <f t="shared" si="367"/>
        <v>1.11585785167646</v>
      </c>
      <c r="W118" s="1">
        <f t="shared" si="367"/>
        <v>1.06537433636916</v>
      </c>
      <c r="X118" s="1">
        <f t="shared" si="367"/>
        <v>1.33994654911963</v>
      </c>
      <c r="Y118" s="1">
        <f t="shared" si="243"/>
        <v>1.20348154649263</v>
      </c>
      <c r="Z118" s="1">
        <f t="shared" si="244"/>
        <v>2.0130823548554</v>
      </c>
      <c r="AA118" s="1">
        <f t="shared" si="221"/>
        <v>79498.0037162331</v>
      </c>
      <c r="AB118" s="1">
        <f t="shared" si="222"/>
        <v>13801.2435660005</v>
      </c>
      <c r="AC118" s="1">
        <f t="shared" si="223"/>
        <v>9200.82904400031</v>
      </c>
      <c r="AD118" s="1">
        <f>AC118/(AC118+[1]战斗公式!$M$27)</f>
        <v>0.277126484757554</v>
      </c>
      <c r="AE118" s="1">
        <f t="shared" si="224"/>
        <v>109974.984613415</v>
      </c>
      <c r="AF118" s="1">
        <f t="shared" si="225"/>
        <v>6.621193103475</v>
      </c>
      <c r="AG118" s="1">
        <f t="shared" si="226"/>
        <v>3.95834959090325</v>
      </c>
      <c r="AH118" s="1">
        <f t="shared" si="227"/>
        <v>3.25168509284064</v>
      </c>
      <c r="AI118" s="1">
        <f t="shared" si="228"/>
        <v>0.748279740302278</v>
      </c>
      <c r="AJ118" s="1">
        <f t="shared" si="229"/>
        <v>1.00500495296202</v>
      </c>
      <c r="AK118" s="1">
        <f t="shared" si="230"/>
        <v>1.09395446259431</v>
      </c>
      <c r="AL118" s="1">
        <f t="shared" si="231"/>
        <v>0.852673626401697</v>
      </c>
      <c r="AM118" s="27">
        <f t="shared" si="232"/>
        <v>65306</v>
      </c>
      <c r="AN118" s="27">
        <f t="shared" si="233"/>
        <v>10327</v>
      </c>
      <c r="AO118" s="27">
        <f t="shared" si="234"/>
        <v>9201</v>
      </c>
      <c r="AP118" s="1">
        <f t="shared" si="235"/>
        <v>42710</v>
      </c>
      <c r="AQ118" s="1">
        <f t="shared" si="236"/>
        <v>8806</v>
      </c>
      <c r="AR118"/>
      <c r="AS118" s="1">
        <f t="shared" ref="AS118:AY118" si="368">ROUNDUP(AS$10*$AP118,0)</f>
        <v>42710</v>
      </c>
      <c r="AT118" s="1">
        <f t="shared" si="368"/>
        <v>128130</v>
      </c>
      <c r="AU118" s="1">
        <f t="shared" si="368"/>
        <v>76878</v>
      </c>
      <c r="AV118" s="1">
        <f t="shared" si="368"/>
        <v>21355</v>
      </c>
      <c r="AW118" s="1">
        <f t="shared" si="368"/>
        <v>6407</v>
      </c>
      <c r="AX118" s="1">
        <f t="shared" si="368"/>
        <v>170840</v>
      </c>
      <c r="AY118" s="1">
        <f t="shared" si="368"/>
        <v>384390</v>
      </c>
      <c r="AZ118" s="1">
        <f t="shared" si="238"/>
        <v>3937971</v>
      </c>
      <c r="BA118" s="1">
        <f t="shared" si="239"/>
        <v>1968986</v>
      </c>
      <c r="BC118" s="1">
        <f t="shared" si="240"/>
        <v>107</v>
      </c>
    </row>
    <row r="119" s="1" customFormat="1" spans="2:55">
      <c r="B119" s="4">
        <v>108</v>
      </c>
      <c r="C119" s="1">
        <f t="shared" ref="C119:I119" si="369">C$5+(C$6-C$5)*(POWER(C$7,$B119-1)-1)/(POWER(C$7,$B$3-1)-1)</f>
        <v>8533.65686752175</v>
      </c>
      <c r="D119" s="1">
        <f t="shared" si="369"/>
        <v>2560.09706025653</v>
      </c>
      <c r="E119" s="1">
        <f t="shared" si="369"/>
        <v>1706.73137350435</v>
      </c>
      <c r="F119" s="1">
        <f t="shared" si="369"/>
        <v>31326.0821719153</v>
      </c>
      <c r="G119" s="1">
        <f t="shared" si="369"/>
        <v>9397.82465157459</v>
      </c>
      <c r="H119" s="1">
        <f t="shared" si="369"/>
        <v>6265.21643438306</v>
      </c>
      <c r="I119" s="1">
        <f t="shared" si="369"/>
        <v>0</v>
      </c>
      <c r="J119" s="1">
        <f>[1]标准模型!$I$65/1*$B119/$B$3</f>
        <v>0.7776</v>
      </c>
      <c r="K119" s="1">
        <f>J119*[1]标准模型!$J$63</f>
        <v>0.7776</v>
      </c>
      <c r="L119" s="1">
        <f t="shared" si="217"/>
        <v>39859.7390394371</v>
      </c>
      <c r="M119" s="1">
        <f t="shared" si="218"/>
        <v>13948.6531858866</v>
      </c>
      <c r="N119" s="1">
        <f t="shared" si="219"/>
        <v>9299.10212392439</v>
      </c>
      <c r="O119" s="1">
        <f t="shared" ref="O119:X119" si="370">O$5+(O$6-O$5)*(POWER(O$7,$B119-1)-1)/(POWER(O$7,$B$3-1)-1)</f>
        <v>0.607235443894393</v>
      </c>
      <c r="P119" s="1">
        <f t="shared" si="370"/>
        <v>0.0625382207418875</v>
      </c>
      <c r="Q119" s="1">
        <f t="shared" si="370"/>
        <v>0.333979494141916</v>
      </c>
      <c r="R119" s="1">
        <f t="shared" si="370"/>
        <v>1.04289417755776</v>
      </c>
      <c r="S119" s="1">
        <f t="shared" si="370"/>
        <v>0.150129621452151</v>
      </c>
      <c r="T119" s="1">
        <f t="shared" si="370"/>
        <v>2.41821823118813</v>
      </c>
      <c r="U119" s="1">
        <f t="shared" si="370"/>
        <v>1</v>
      </c>
      <c r="V119" s="1">
        <f t="shared" si="370"/>
        <v>1.11695079180277</v>
      </c>
      <c r="W119" s="1">
        <f t="shared" si="370"/>
        <v>1.06599104239655</v>
      </c>
      <c r="X119" s="1">
        <f t="shared" si="370"/>
        <v>1.34315342046206</v>
      </c>
      <c r="Y119" s="1">
        <f t="shared" si="243"/>
        <v>1.21304919906705</v>
      </c>
      <c r="Z119" s="1">
        <f t="shared" si="244"/>
        <v>2.03053889853953</v>
      </c>
      <c r="AA119" s="1">
        <f t="shared" si="221"/>
        <v>80936.7506052116</v>
      </c>
      <c r="AB119" s="1">
        <f t="shared" si="222"/>
        <v>13948.6531858866</v>
      </c>
      <c r="AC119" s="1">
        <f t="shared" si="223"/>
        <v>9299.10212392439</v>
      </c>
      <c r="AD119" s="1">
        <f>AC119/(AC119+[1]战斗公式!$M$27)</f>
        <v>0.27925984578555</v>
      </c>
      <c r="AE119" s="1">
        <f t="shared" si="224"/>
        <v>112296.713499231</v>
      </c>
      <c r="AF119" s="1">
        <f t="shared" si="225"/>
        <v>6.63676369401502</v>
      </c>
      <c r="AG119" s="1">
        <f t="shared" si="226"/>
        <v>3.9648198265065</v>
      </c>
      <c r="AH119" s="1">
        <f t="shared" si="227"/>
        <v>3.26551510887539</v>
      </c>
      <c r="AI119" s="1">
        <f t="shared" si="228"/>
        <v>0.750881380470656</v>
      </c>
      <c r="AJ119" s="1">
        <f t="shared" si="229"/>
        <v>1.00475470531348</v>
      </c>
      <c r="AK119" s="1">
        <f t="shared" si="230"/>
        <v>1.09207470353503</v>
      </c>
      <c r="AL119" s="1">
        <f t="shared" si="231"/>
        <v>0.853094977985852</v>
      </c>
      <c r="AM119" s="27">
        <f t="shared" si="232"/>
        <v>66661</v>
      </c>
      <c r="AN119" s="27">
        <f t="shared" si="233"/>
        <v>10474</v>
      </c>
      <c r="AO119" s="27">
        <f t="shared" si="234"/>
        <v>9299</v>
      </c>
      <c r="AP119" s="1">
        <f t="shared" si="235"/>
        <v>43490</v>
      </c>
      <c r="AQ119" s="1">
        <f t="shared" si="236"/>
        <v>8935</v>
      </c>
      <c r="AR119"/>
      <c r="AS119" s="1">
        <f t="shared" ref="AS119:AY119" si="371">ROUNDUP(AS$10*$AP119,0)</f>
        <v>43490</v>
      </c>
      <c r="AT119" s="1">
        <f t="shared" si="371"/>
        <v>130470</v>
      </c>
      <c r="AU119" s="1">
        <f t="shared" si="371"/>
        <v>78282</v>
      </c>
      <c r="AV119" s="1">
        <f t="shared" si="371"/>
        <v>21745</v>
      </c>
      <c r="AW119" s="1">
        <f t="shared" si="371"/>
        <v>6524</v>
      </c>
      <c r="AX119" s="1">
        <f t="shared" si="371"/>
        <v>173960</v>
      </c>
      <c r="AY119" s="1">
        <f t="shared" si="371"/>
        <v>391410</v>
      </c>
      <c r="AZ119" s="1">
        <f t="shared" si="238"/>
        <v>4018677</v>
      </c>
      <c r="BA119" s="1">
        <f t="shared" si="239"/>
        <v>2009339</v>
      </c>
      <c r="BC119" s="1">
        <f t="shared" si="240"/>
        <v>108</v>
      </c>
    </row>
    <row r="120" s="1" customFormat="1" spans="2:55">
      <c r="B120" s="4">
        <v>109</v>
      </c>
      <c r="C120" s="1">
        <f t="shared" ref="C120:I120" si="372">C$5+(C$6-C$5)*(POWER(C$7,$B120-1)-1)/(POWER(C$7,$B$3-1)-1)</f>
        <v>8612.66808550626</v>
      </c>
      <c r="D120" s="1">
        <f t="shared" si="372"/>
        <v>2583.80042565188</v>
      </c>
      <c r="E120" s="1">
        <f t="shared" si="372"/>
        <v>1722.53361710125</v>
      </c>
      <c r="F120" s="1">
        <f t="shared" si="372"/>
        <v>31616.1233518584</v>
      </c>
      <c r="G120" s="1">
        <f t="shared" si="372"/>
        <v>9484.83700555753</v>
      </c>
      <c r="H120" s="1">
        <f t="shared" si="372"/>
        <v>6323.22467037168</v>
      </c>
      <c r="I120" s="1">
        <f t="shared" si="372"/>
        <v>0</v>
      </c>
      <c r="J120" s="1">
        <f>[1]标准模型!$I$65/1*$B120/$B$3</f>
        <v>0.7848</v>
      </c>
      <c r="K120" s="1">
        <f>J120*[1]标准模型!$J$63</f>
        <v>0.7848</v>
      </c>
      <c r="L120" s="1">
        <f t="shared" si="217"/>
        <v>40228.7914373647</v>
      </c>
      <c r="M120" s="1">
        <f t="shared" si="218"/>
        <v>14096.404005261</v>
      </c>
      <c r="N120" s="1">
        <f t="shared" si="219"/>
        <v>9397.60267017399</v>
      </c>
      <c r="O120" s="1">
        <f t="shared" ref="O120:X120" si="373">O$5+(O$6-O$5)*(POWER(O$7,$B120-1)-1)/(POWER(O$7,$B$3-1)-1)</f>
        <v>0.608237590186782</v>
      </c>
      <c r="P120" s="1">
        <f t="shared" si="373"/>
        <v>0.06317128519853</v>
      </c>
      <c r="Q120" s="1">
        <f t="shared" si="373"/>
        <v>0.33453067460273</v>
      </c>
      <c r="R120" s="1">
        <f t="shared" si="373"/>
        <v>1.04329503607471</v>
      </c>
      <c r="S120" s="1">
        <f t="shared" si="373"/>
        <v>0.151532626261495</v>
      </c>
      <c r="T120" s="1">
        <f t="shared" si="373"/>
        <v>2.42212660172845</v>
      </c>
      <c r="U120" s="1">
        <f t="shared" si="373"/>
        <v>1</v>
      </c>
      <c r="V120" s="1">
        <f t="shared" si="373"/>
        <v>1.11804373083618</v>
      </c>
      <c r="W120" s="1">
        <f t="shared" si="373"/>
        <v>1.06660774780725</v>
      </c>
      <c r="X120" s="1">
        <f t="shared" si="373"/>
        <v>1.3463602885977</v>
      </c>
      <c r="Y120" s="1">
        <f t="shared" si="243"/>
        <v>1.22268533112392</v>
      </c>
      <c r="Z120" s="1">
        <f t="shared" si="244"/>
        <v>2.04813367467212</v>
      </c>
      <c r="AA120" s="1">
        <f t="shared" si="221"/>
        <v>82393.942434228</v>
      </c>
      <c r="AB120" s="1">
        <f t="shared" si="222"/>
        <v>14096.404005261</v>
      </c>
      <c r="AC120" s="1">
        <f t="shared" si="223"/>
        <v>9397.60267017399</v>
      </c>
      <c r="AD120" s="1">
        <f>AC120/(AC120+[1]战斗公式!$M$27)</f>
        <v>0.281385546231634</v>
      </c>
      <c r="AE120" s="1">
        <f t="shared" si="224"/>
        <v>114656.672993647</v>
      </c>
      <c r="AF120" s="1">
        <f t="shared" si="225"/>
        <v>6.65236845586241</v>
      </c>
      <c r="AG120" s="1">
        <f t="shared" si="226"/>
        <v>3.97130003221912</v>
      </c>
      <c r="AH120" s="1">
        <f t="shared" si="227"/>
        <v>3.27924139978988</v>
      </c>
      <c r="AI120" s="1">
        <f t="shared" si="228"/>
        <v>0.75348822391937</v>
      </c>
      <c r="AJ120" s="1">
        <f t="shared" si="229"/>
        <v>1.00451697004736</v>
      </c>
      <c r="AK120" s="1">
        <f t="shared" si="230"/>
        <v>1.09023253965694</v>
      </c>
      <c r="AL120" s="1">
        <f t="shared" si="231"/>
        <v>0.853515065515254</v>
      </c>
      <c r="AM120" s="27">
        <f t="shared" si="232"/>
        <v>68036</v>
      </c>
      <c r="AN120" s="27">
        <f t="shared" si="233"/>
        <v>10621</v>
      </c>
      <c r="AO120" s="27">
        <f t="shared" si="234"/>
        <v>9398</v>
      </c>
      <c r="AP120" s="1">
        <f t="shared" si="235"/>
        <v>44280</v>
      </c>
      <c r="AQ120" s="1">
        <f t="shared" si="236"/>
        <v>9065</v>
      </c>
      <c r="AR120"/>
      <c r="AS120" s="1">
        <f t="shared" ref="AS120:AY120" si="374">ROUNDUP(AS$10*$AP120,0)</f>
        <v>44280</v>
      </c>
      <c r="AT120" s="1">
        <f t="shared" si="374"/>
        <v>132840</v>
      </c>
      <c r="AU120" s="1">
        <f t="shared" si="374"/>
        <v>79704</v>
      </c>
      <c r="AV120" s="1">
        <f t="shared" si="374"/>
        <v>22140</v>
      </c>
      <c r="AW120" s="1">
        <f t="shared" si="374"/>
        <v>6642</v>
      </c>
      <c r="AX120" s="1">
        <f t="shared" si="374"/>
        <v>177120</v>
      </c>
      <c r="AY120" s="1">
        <f t="shared" si="374"/>
        <v>398520</v>
      </c>
      <c r="AZ120" s="1">
        <f t="shared" si="238"/>
        <v>4100599</v>
      </c>
      <c r="BA120" s="1">
        <f t="shared" si="239"/>
        <v>2050299</v>
      </c>
      <c r="BC120" s="1">
        <f t="shared" si="240"/>
        <v>109</v>
      </c>
    </row>
    <row r="121" s="1" customFormat="1" spans="2:55">
      <c r="B121" s="4">
        <v>110</v>
      </c>
      <c r="C121" s="1">
        <f t="shared" ref="C121:I121" si="375">C$5+(C$6-C$5)*(POWER(C$7,$B121-1)-1)/(POWER(C$7,$B$3-1)-1)</f>
        <v>8691.67922447284</v>
      </c>
      <c r="D121" s="1">
        <f t="shared" si="375"/>
        <v>2607.50376734185</v>
      </c>
      <c r="E121" s="1">
        <f t="shared" si="375"/>
        <v>1738.33584489457</v>
      </c>
      <c r="F121" s="1">
        <f t="shared" si="375"/>
        <v>31906.1642417357</v>
      </c>
      <c r="G121" s="1">
        <f t="shared" si="375"/>
        <v>9571.84927252072</v>
      </c>
      <c r="H121" s="1">
        <f t="shared" si="375"/>
        <v>6381.23284834715</v>
      </c>
      <c r="I121" s="1">
        <f t="shared" si="375"/>
        <v>0</v>
      </c>
      <c r="J121" s="1">
        <f>[1]标准模型!$I$65/1*$B121/$B$3</f>
        <v>0.792</v>
      </c>
      <c r="K121" s="1">
        <f>J121*[1]标准模型!$J$63</f>
        <v>0.792</v>
      </c>
      <c r="L121" s="1">
        <f t="shared" si="217"/>
        <v>40597.8434662085</v>
      </c>
      <c r="M121" s="1">
        <f t="shared" si="218"/>
        <v>14244.4960235973</v>
      </c>
      <c r="N121" s="1">
        <f t="shared" si="219"/>
        <v>9496.33068239822</v>
      </c>
      <c r="O121" s="1">
        <f t="shared" ref="O121:X121" si="376">O$5+(O$6-O$5)*(POWER(O$7,$B121-1)-1)/(POWER(O$7,$B$3-1)-1)</f>
        <v>0.609239735476939</v>
      </c>
      <c r="P121" s="1">
        <f t="shared" si="376"/>
        <v>0.0638052992518574</v>
      </c>
      <c r="Q121" s="1">
        <f t="shared" si="376"/>
        <v>0.335081854512317</v>
      </c>
      <c r="R121" s="1">
        <f t="shared" si="376"/>
        <v>1.04369589419078</v>
      </c>
      <c r="S121" s="1">
        <f t="shared" si="376"/>
        <v>0.152935629667715</v>
      </c>
      <c r="T121" s="1">
        <f t="shared" si="376"/>
        <v>2.42603496836006</v>
      </c>
      <c r="U121" s="1">
        <f t="shared" si="376"/>
        <v>1</v>
      </c>
      <c r="V121" s="1">
        <f t="shared" si="376"/>
        <v>1.11913666877656</v>
      </c>
      <c r="W121" s="1">
        <f t="shared" si="376"/>
        <v>1.06722445260119</v>
      </c>
      <c r="X121" s="1">
        <f t="shared" si="376"/>
        <v>1.34956715352621</v>
      </c>
      <c r="Y121" s="1">
        <f t="shared" si="243"/>
        <v>1.23239037899135</v>
      </c>
      <c r="Z121" s="1">
        <f t="shared" si="244"/>
        <v>2.0658676686743</v>
      </c>
      <c r="AA121" s="1">
        <f t="shared" si="221"/>
        <v>83869.7722347404</v>
      </c>
      <c r="AB121" s="1">
        <f t="shared" si="222"/>
        <v>14244.4960235973</v>
      </c>
      <c r="AC121" s="1">
        <f t="shared" si="223"/>
        <v>9496.33068239822</v>
      </c>
      <c r="AD121" s="1">
        <f>AC121/(AC121+[1]战斗公式!$M$27)</f>
        <v>0.283503610363758</v>
      </c>
      <c r="AE121" s="1">
        <f t="shared" si="224"/>
        <v>117055.401043012</v>
      </c>
      <c r="AF121" s="1">
        <f t="shared" si="225"/>
        <v>6.6680073474459</v>
      </c>
      <c r="AG121" s="1">
        <f t="shared" si="226"/>
        <v>3.97779016857809</v>
      </c>
      <c r="AH121" s="1">
        <f t="shared" si="227"/>
        <v>3.2928647435225</v>
      </c>
      <c r="AI121" s="1">
        <f t="shared" si="228"/>
        <v>0.756100281054982</v>
      </c>
      <c r="AJ121" s="1">
        <f t="shared" si="229"/>
        <v>1.00429112154456</v>
      </c>
      <c r="AK121" s="1">
        <f t="shared" si="230"/>
        <v>1.08842721905642</v>
      </c>
      <c r="AL121" s="1">
        <f t="shared" si="231"/>
        <v>0.853933892782068</v>
      </c>
      <c r="AM121" s="27">
        <f t="shared" si="232"/>
        <v>69428</v>
      </c>
      <c r="AN121" s="27">
        <f t="shared" si="233"/>
        <v>10770</v>
      </c>
      <c r="AO121" s="27">
        <f t="shared" si="234"/>
        <v>9496</v>
      </c>
      <c r="AP121" s="1">
        <f t="shared" si="235"/>
        <v>45080</v>
      </c>
      <c r="AQ121" s="1">
        <f t="shared" si="236"/>
        <v>9197</v>
      </c>
      <c r="AR121"/>
      <c r="AS121" s="1">
        <f t="shared" ref="AS121:AY121" si="377">ROUNDUP(AS$10*$AP121,0)</f>
        <v>45080</v>
      </c>
      <c r="AT121" s="1">
        <f t="shared" si="377"/>
        <v>135240</v>
      </c>
      <c r="AU121" s="1">
        <f t="shared" si="377"/>
        <v>81144</v>
      </c>
      <c r="AV121" s="1">
        <f t="shared" si="377"/>
        <v>22540</v>
      </c>
      <c r="AW121" s="1">
        <f t="shared" si="377"/>
        <v>6762</v>
      </c>
      <c r="AX121" s="1">
        <f t="shared" si="377"/>
        <v>180320</v>
      </c>
      <c r="AY121" s="1">
        <f t="shared" si="377"/>
        <v>405720</v>
      </c>
      <c r="AZ121" s="1">
        <f t="shared" si="238"/>
        <v>4183555</v>
      </c>
      <c r="BA121" s="1">
        <f t="shared" si="239"/>
        <v>2091778</v>
      </c>
      <c r="BC121" s="1">
        <f t="shared" si="240"/>
        <v>110</v>
      </c>
    </row>
    <row r="122" s="1" customFormat="1" spans="2:55">
      <c r="B122" s="4">
        <v>111</v>
      </c>
      <c r="C122" s="1">
        <f t="shared" ref="C122:I122" si="378">C$5+(C$6-C$5)*(POWER(C$7,$B122-1)-1)/(POWER(C$7,$B$3-1)-1)</f>
        <v>8770.69028443027</v>
      </c>
      <c r="D122" s="1">
        <f t="shared" si="378"/>
        <v>2631.20708532908</v>
      </c>
      <c r="E122" s="1">
        <f t="shared" si="378"/>
        <v>1754.13805688605</v>
      </c>
      <c r="F122" s="1">
        <f t="shared" si="378"/>
        <v>32196.2048415795</v>
      </c>
      <c r="G122" s="1">
        <f t="shared" si="378"/>
        <v>9658.86145247384</v>
      </c>
      <c r="H122" s="1">
        <f t="shared" si="378"/>
        <v>6439.24096831589</v>
      </c>
      <c r="I122" s="1">
        <f t="shared" si="378"/>
        <v>0</v>
      </c>
      <c r="J122" s="1">
        <f>[1]标准模型!$I$65/1*$B122/$B$3</f>
        <v>0.7992</v>
      </c>
      <c r="K122" s="1">
        <f>J122*[1]标准模型!$J$63</f>
        <v>0.7992</v>
      </c>
      <c r="L122" s="1">
        <f t="shared" si="217"/>
        <v>40966.8951260098</v>
      </c>
      <c r="M122" s="1">
        <f t="shared" si="218"/>
        <v>14392.9292403979</v>
      </c>
      <c r="N122" s="1">
        <f t="shared" si="219"/>
        <v>9595.28616026527</v>
      </c>
      <c r="O122" s="1">
        <f t="shared" ref="O122:X122" si="379">O$5+(O$6-O$5)*(POWER(O$7,$B122-1)-1)/(POWER(O$7,$B$3-1)-1)</f>
        <v>0.610241879764976</v>
      </c>
      <c r="P122" s="1">
        <f t="shared" si="379"/>
        <v>0.0644402643262648</v>
      </c>
      <c r="Q122" s="1">
        <f t="shared" si="379"/>
        <v>0.335633033870737</v>
      </c>
      <c r="R122" s="1">
        <f t="shared" si="379"/>
        <v>1.04409675190599</v>
      </c>
      <c r="S122" s="1">
        <f t="shared" si="379"/>
        <v>0.154338631670967</v>
      </c>
      <c r="T122" s="1">
        <f t="shared" si="379"/>
        <v>2.42994333108341</v>
      </c>
      <c r="U122" s="1">
        <f t="shared" si="379"/>
        <v>1</v>
      </c>
      <c r="V122" s="1">
        <f t="shared" si="379"/>
        <v>1.12022960562403</v>
      </c>
      <c r="W122" s="1">
        <f t="shared" si="379"/>
        <v>1.06784115677845</v>
      </c>
      <c r="X122" s="1">
        <f t="shared" si="379"/>
        <v>1.35277401524792</v>
      </c>
      <c r="Y122" s="1">
        <f t="shared" si="243"/>
        <v>1.24216478121617</v>
      </c>
      <c r="Z122" s="1">
        <f t="shared" si="244"/>
        <v>2.08374187183574</v>
      </c>
      <c r="AA122" s="1">
        <f t="shared" si="221"/>
        <v>85364.43473317</v>
      </c>
      <c r="AB122" s="1">
        <f t="shared" si="222"/>
        <v>14392.9292403979</v>
      </c>
      <c r="AC122" s="1">
        <f t="shared" si="223"/>
        <v>9595.28616026527</v>
      </c>
      <c r="AD122" s="1">
        <f>AC122/(AC122+[1]战斗公式!$M$27)</f>
        <v>0.285614062475648</v>
      </c>
      <c r="AE122" s="1">
        <f t="shared" si="224"/>
        <v>119493.442198756</v>
      </c>
      <c r="AF122" s="1">
        <f t="shared" si="225"/>
        <v>6.68368032742792</v>
      </c>
      <c r="AG122" s="1">
        <f t="shared" si="226"/>
        <v>3.98429019633041</v>
      </c>
      <c r="AH122" s="1">
        <f t="shared" si="227"/>
        <v>3.30638591217714</v>
      </c>
      <c r="AI122" s="1">
        <f t="shared" si="228"/>
        <v>0.758717562304865</v>
      </c>
      <c r="AJ122" s="1">
        <f t="shared" si="229"/>
        <v>1.00407656546689</v>
      </c>
      <c r="AK122" s="1">
        <f t="shared" si="230"/>
        <v>1.0866580048679</v>
      </c>
      <c r="AL122" s="1">
        <f t="shared" si="231"/>
        <v>0.854351463567081</v>
      </c>
      <c r="AM122" s="27">
        <f t="shared" si="232"/>
        <v>70840</v>
      </c>
      <c r="AN122" s="27">
        <f t="shared" si="233"/>
        <v>10920</v>
      </c>
      <c r="AO122" s="27">
        <f t="shared" si="234"/>
        <v>9595</v>
      </c>
      <c r="AP122" s="1">
        <f t="shared" si="235"/>
        <v>45889</v>
      </c>
      <c r="AQ122" s="1">
        <f t="shared" si="236"/>
        <v>9330</v>
      </c>
      <c r="AR122"/>
      <c r="AS122" s="1">
        <f t="shared" ref="AS122:AY122" si="380">ROUNDUP(AS$10*$AP122,0)</f>
        <v>45889</v>
      </c>
      <c r="AT122" s="1">
        <f t="shared" si="380"/>
        <v>137667</v>
      </c>
      <c r="AU122" s="1">
        <f t="shared" si="380"/>
        <v>82601</v>
      </c>
      <c r="AV122" s="1">
        <f t="shared" si="380"/>
        <v>22945</v>
      </c>
      <c r="AW122" s="1">
        <f t="shared" si="380"/>
        <v>6884</v>
      </c>
      <c r="AX122" s="1">
        <f t="shared" si="380"/>
        <v>183556</v>
      </c>
      <c r="AY122" s="1">
        <f t="shared" si="380"/>
        <v>413001</v>
      </c>
      <c r="AZ122" s="1">
        <f t="shared" si="238"/>
        <v>4267727</v>
      </c>
      <c r="BA122" s="1">
        <f t="shared" si="239"/>
        <v>2133864</v>
      </c>
      <c r="BC122" s="1">
        <f t="shared" si="240"/>
        <v>111</v>
      </c>
    </row>
    <row r="123" s="1" customFormat="1" spans="2:55">
      <c r="B123" s="4">
        <v>112</v>
      </c>
      <c r="C123" s="1">
        <f t="shared" ref="C123:I123" si="381">C$5+(C$6-C$5)*(POWER(C$7,$B123-1)-1)/(POWER(C$7,$B$3-1)-1)</f>
        <v>8849.70126537854</v>
      </c>
      <c r="D123" s="1">
        <f t="shared" si="381"/>
        <v>2654.91037961356</v>
      </c>
      <c r="E123" s="1">
        <f t="shared" si="381"/>
        <v>1769.94025307571</v>
      </c>
      <c r="F123" s="1">
        <f t="shared" si="381"/>
        <v>32486.2451513896</v>
      </c>
      <c r="G123" s="1">
        <f t="shared" si="381"/>
        <v>9745.87354541688</v>
      </c>
      <c r="H123" s="1">
        <f t="shared" si="381"/>
        <v>6497.24903027792</v>
      </c>
      <c r="I123" s="1">
        <f t="shared" si="381"/>
        <v>0</v>
      </c>
      <c r="J123" s="1">
        <f>[1]标准模型!$I$65/1*$B123/$B$3</f>
        <v>0.8064</v>
      </c>
      <c r="K123" s="1">
        <f>J123*[1]标准模型!$J$63</f>
        <v>0.8064</v>
      </c>
      <c r="L123" s="1">
        <f t="shared" si="217"/>
        <v>41335.9464167681</v>
      </c>
      <c r="M123" s="1">
        <f t="shared" si="218"/>
        <v>14541.7036551508</v>
      </c>
      <c r="N123" s="1">
        <f t="shared" si="219"/>
        <v>9694.46910343388</v>
      </c>
      <c r="O123" s="1">
        <f t="shared" ref="O123:X123" si="382">O$5+(O$6-O$5)*(POWER(O$7,$B123-1)-1)/(POWER(O$7,$B$3-1)-1)</f>
        <v>0.611244023050894</v>
      </c>
      <c r="P123" s="1">
        <f t="shared" si="382"/>
        <v>0.0650761818482838</v>
      </c>
      <c r="Q123" s="1">
        <f t="shared" si="382"/>
        <v>0.336184212677991</v>
      </c>
      <c r="R123" s="1">
        <f t="shared" si="382"/>
        <v>1.04449760922036</v>
      </c>
      <c r="S123" s="1">
        <f t="shared" si="382"/>
        <v>0.155741632271251</v>
      </c>
      <c r="T123" s="1">
        <f t="shared" si="382"/>
        <v>2.43385168989848</v>
      </c>
      <c r="U123" s="1">
        <f t="shared" si="382"/>
        <v>1</v>
      </c>
      <c r="V123" s="1">
        <f t="shared" si="382"/>
        <v>1.12132254137858</v>
      </c>
      <c r="W123" s="1">
        <f t="shared" si="382"/>
        <v>1.06845786033901</v>
      </c>
      <c r="X123" s="1">
        <f t="shared" si="382"/>
        <v>1.35598087376286</v>
      </c>
      <c r="Y123" s="1">
        <f t="shared" si="243"/>
        <v>1.25200897856896</v>
      </c>
      <c r="Z123" s="1">
        <f t="shared" si="244"/>
        <v>2.10175728133573</v>
      </c>
      <c r="AA123" s="1">
        <f t="shared" si="221"/>
        <v>86878.126362346</v>
      </c>
      <c r="AB123" s="1">
        <f t="shared" si="222"/>
        <v>14541.7036551508</v>
      </c>
      <c r="AC123" s="1">
        <f t="shared" si="223"/>
        <v>9694.46910343388</v>
      </c>
      <c r="AD123" s="1">
        <f>AC123/(AC123+[1]战斗公式!$M$27)</f>
        <v>0.287716926884178</v>
      </c>
      <c r="AE123" s="1">
        <f t="shared" si="224"/>
        <v>121971.347686679</v>
      </c>
      <c r="AF123" s="1">
        <f t="shared" si="225"/>
        <v>6.69938735469423</v>
      </c>
      <c r="AG123" s="1">
        <f t="shared" si="226"/>
        <v>3.99080007642838</v>
      </c>
      <c r="AH123" s="1">
        <f t="shared" si="227"/>
        <v>3.31980567206686</v>
      </c>
      <c r="AI123" s="1">
        <f t="shared" si="228"/>
        <v>0.761340078117248</v>
      </c>
      <c r="AJ123" s="1">
        <f t="shared" si="229"/>
        <v>1.0038727371931</v>
      </c>
      <c r="AK123" s="1">
        <f t="shared" si="230"/>
        <v>1.08492417496315</v>
      </c>
      <c r="AL123" s="1">
        <f t="shared" si="231"/>
        <v>0.85476778163974</v>
      </c>
      <c r="AM123" s="27">
        <f t="shared" si="232"/>
        <v>72271</v>
      </c>
      <c r="AN123" s="27">
        <f t="shared" si="233"/>
        <v>11071</v>
      </c>
      <c r="AO123" s="27">
        <f t="shared" si="234"/>
        <v>9694</v>
      </c>
      <c r="AP123" s="1">
        <f t="shared" si="235"/>
        <v>46708</v>
      </c>
      <c r="AQ123" s="1">
        <f t="shared" si="236"/>
        <v>9463</v>
      </c>
      <c r="AR123"/>
      <c r="AS123" s="1">
        <f t="shared" ref="AS123:AY123" si="383">ROUNDUP(AS$10*$AP123,0)</f>
        <v>46708</v>
      </c>
      <c r="AT123" s="1">
        <f t="shared" si="383"/>
        <v>140124</v>
      </c>
      <c r="AU123" s="1">
        <f t="shared" si="383"/>
        <v>84075</v>
      </c>
      <c r="AV123" s="1">
        <f t="shared" si="383"/>
        <v>23354</v>
      </c>
      <c r="AW123" s="1">
        <f t="shared" si="383"/>
        <v>7007</v>
      </c>
      <c r="AX123" s="1">
        <f t="shared" si="383"/>
        <v>186832</v>
      </c>
      <c r="AY123" s="1">
        <f t="shared" si="383"/>
        <v>420372</v>
      </c>
      <c r="AZ123" s="1">
        <f t="shared" si="238"/>
        <v>4353053</v>
      </c>
      <c r="BA123" s="1">
        <f t="shared" si="239"/>
        <v>2176527</v>
      </c>
      <c r="BC123" s="1">
        <f t="shared" si="240"/>
        <v>112</v>
      </c>
    </row>
    <row r="124" s="1" customFormat="1" spans="2:55">
      <c r="B124" s="4">
        <v>113</v>
      </c>
      <c r="C124" s="1">
        <f t="shared" ref="C124:I124" si="384">C$5+(C$6-C$5)*(POWER(C$7,$B124-1)-1)/(POWER(C$7,$B$3-1)-1)</f>
        <v>8928.71216731767</v>
      </c>
      <c r="D124" s="1">
        <f t="shared" si="384"/>
        <v>2678.6136501953</v>
      </c>
      <c r="E124" s="1">
        <f t="shared" si="384"/>
        <v>1785.74243346353</v>
      </c>
      <c r="F124" s="1">
        <f t="shared" si="384"/>
        <v>32776.2851711661</v>
      </c>
      <c r="G124" s="1">
        <f t="shared" si="384"/>
        <v>9832.88555134984</v>
      </c>
      <c r="H124" s="1">
        <f t="shared" si="384"/>
        <v>6555.25703423323</v>
      </c>
      <c r="I124" s="1">
        <f t="shared" si="384"/>
        <v>0</v>
      </c>
      <c r="J124" s="1">
        <f>[1]标准模型!$I$65/1*$B124/$B$3</f>
        <v>0.8136</v>
      </c>
      <c r="K124" s="1">
        <f>J124*[1]标准模型!$J$63</f>
        <v>0.8136</v>
      </c>
      <c r="L124" s="1">
        <f t="shared" si="217"/>
        <v>41704.9973384838</v>
      </c>
      <c r="M124" s="1">
        <f t="shared" si="218"/>
        <v>14690.819267344</v>
      </c>
      <c r="N124" s="1">
        <f t="shared" si="219"/>
        <v>9793.87951156269</v>
      </c>
      <c r="O124" s="1">
        <f t="shared" ref="O124:X124" si="385">O$5+(O$6-O$5)*(POWER(O$7,$B124-1)-1)/(POWER(O$7,$B$3-1)-1)</f>
        <v>0.612246165334691</v>
      </c>
      <c r="P124" s="1">
        <f t="shared" si="385"/>
        <v>0.0657130532465859</v>
      </c>
      <c r="Q124" s="1">
        <f t="shared" si="385"/>
        <v>0.33673539093408</v>
      </c>
      <c r="R124" s="1">
        <f t="shared" si="385"/>
        <v>1.04489846613388</v>
      </c>
      <c r="S124" s="1">
        <f t="shared" si="385"/>
        <v>0.157144631468567</v>
      </c>
      <c r="T124" s="1">
        <f t="shared" si="385"/>
        <v>2.43776004480529</v>
      </c>
      <c r="U124" s="1">
        <f t="shared" si="385"/>
        <v>1</v>
      </c>
      <c r="V124" s="1">
        <f t="shared" si="385"/>
        <v>1.12241547604023</v>
      </c>
      <c r="W124" s="1">
        <f t="shared" si="385"/>
        <v>1.06907456328289</v>
      </c>
      <c r="X124" s="1">
        <f t="shared" si="385"/>
        <v>1.35918772907101</v>
      </c>
      <c r="Y124" s="1">
        <f t="shared" si="243"/>
        <v>1.26192341405275</v>
      </c>
      <c r="Z124" s="1">
        <f t="shared" si="244"/>
        <v>2.11991490027155</v>
      </c>
      <c r="AA124" s="1">
        <f t="shared" si="221"/>
        <v>88411.0452736371</v>
      </c>
      <c r="AB124" s="1">
        <f t="shared" si="222"/>
        <v>14690.819267344</v>
      </c>
      <c r="AC124" s="1">
        <f t="shared" si="223"/>
        <v>9793.87951156269</v>
      </c>
      <c r="AD124" s="1">
        <f>AC124/(AC124+[1]战斗公式!$M$27)</f>
        <v>0.289812227927595</v>
      </c>
      <c r="AE124" s="1">
        <f t="shared" si="224"/>
        <v>124489.675477859</v>
      </c>
      <c r="AF124" s="1">
        <f t="shared" si="225"/>
        <v>6.71512838835476</v>
      </c>
      <c r="AG124" s="1">
        <f t="shared" si="226"/>
        <v>3.99731977002931</v>
      </c>
      <c r="AH124" s="1">
        <f t="shared" si="227"/>
        <v>3.33312478375741</v>
      </c>
      <c r="AI124" s="1">
        <f t="shared" si="228"/>
        <v>0.763967838961256</v>
      </c>
      <c r="AJ124" s="1">
        <f t="shared" si="229"/>
        <v>1.00367910033301</v>
      </c>
      <c r="AK124" s="1">
        <f t="shared" si="230"/>
        <v>1.0832250216565</v>
      </c>
      <c r="AL124" s="1">
        <f t="shared" si="231"/>
        <v>0.85518285075818</v>
      </c>
      <c r="AM124" s="27">
        <f t="shared" si="232"/>
        <v>73721</v>
      </c>
      <c r="AN124" s="27">
        <f t="shared" si="233"/>
        <v>11223</v>
      </c>
      <c r="AO124" s="27">
        <f t="shared" si="234"/>
        <v>9794</v>
      </c>
      <c r="AP124" s="1">
        <f t="shared" si="235"/>
        <v>47536</v>
      </c>
      <c r="AQ124" s="1">
        <f t="shared" si="236"/>
        <v>9598</v>
      </c>
      <c r="AR124"/>
      <c r="AS124" s="1">
        <f t="shared" ref="AS124:AY124" si="386">ROUNDUP(AS$10*$AP124,0)</f>
        <v>47536</v>
      </c>
      <c r="AT124" s="1">
        <f t="shared" si="386"/>
        <v>142608</v>
      </c>
      <c r="AU124" s="1">
        <f t="shared" si="386"/>
        <v>85565</v>
      </c>
      <c r="AV124" s="1">
        <f t="shared" si="386"/>
        <v>23768</v>
      </c>
      <c r="AW124" s="1">
        <f t="shared" si="386"/>
        <v>7131</v>
      </c>
      <c r="AX124" s="1">
        <f t="shared" si="386"/>
        <v>190144</v>
      </c>
      <c r="AY124" s="1">
        <f t="shared" si="386"/>
        <v>427824</v>
      </c>
      <c r="AZ124" s="1">
        <f t="shared" si="238"/>
        <v>4439534</v>
      </c>
      <c r="BA124" s="1">
        <f t="shared" si="239"/>
        <v>2219767</v>
      </c>
      <c r="BC124" s="1">
        <f t="shared" si="240"/>
        <v>113</v>
      </c>
    </row>
    <row r="125" s="1" customFormat="1" spans="2:55">
      <c r="B125" s="4">
        <v>114</v>
      </c>
      <c r="C125" s="1">
        <f t="shared" ref="C125:I125" si="387">C$5+(C$6-C$5)*(POWER(C$7,$B125-1)-1)/(POWER(C$7,$B$3-1)-1)</f>
        <v>9007.72299024764</v>
      </c>
      <c r="D125" s="1">
        <f t="shared" si="387"/>
        <v>2702.31689707429</v>
      </c>
      <c r="E125" s="1">
        <f t="shared" si="387"/>
        <v>1801.54459804953</v>
      </c>
      <c r="F125" s="1">
        <f t="shared" si="387"/>
        <v>33066.3249009091</v>
      </c>
      <c r="G125" s="1">
        <f t="shared" si="387"/>
        <v>9919.89747027272</v>
      </c>
      <c r="H125" s="1">
        <f t="shared" si="387"/>
        <v>6613.26498018182</v>
      </c>
      <c r="I125" s="1">
        <f t="shared" si="387"/>
        <v>0</v>
      </c>
      <c r="J125" s="1">
        <f>[1]标准模型!$I$65/1*$B125/$B$3</f>
        <v>0.8208</v>
      </c>
      <c r="K125" s="1">
        <f>J125*[1]标准模型!$J$63</f>
        <v>0.8208</v>
      </c>
      <c r="L125" s="1">
        <f t="shared" si="217"/>
        <v>42074.0478911567</v>
      </c>
      <c r="M125" s="1">
        <f t="shared" si="218"/>
        <v>14840.2760764656</v>
      </c>
      <c r="N125" s="1">
        <f t="shared" si="219"/>
        <v>9893.5173843104</v>
      </c>
      <c r="O125" s="1">
        <f t="shared" ref="O125:X125" si="388">O$5+(O$6-O$5)*(POWER(O$7,$B125-1)-1)/(POWER(O$7,$B$3-1)-1)</f>
        <v>0.613248306616367</v>
      </c>
      <c r="P125" s="1">
        <f t="shared" si="388"/>
        <v>0.0663508799519853</v>
      </c>
      <c r="Q125" s="1">
        <f t="shared" si="388"/>
        <v>0.337286568639002</v>
      </c>
      <c r="R125" s="1">
        <f t="shared" si="388"/>
        <v>1.04529932264655</v>
      </c>
      <c r="S125" s="1">
        <f t="shared" si="388"/>
        <v>0.158547629262914</v>
      </c>
      <c r="T125" s="1">
        <f t="shared" si="388"/>
        <v>2.44166839580383</v>
      </c>
      <c r="U125" s="1">
        <f t="shared" si="388"/>
        <v>1</v>
      </c>
      <c r="V125" s="1">
        <f t="shared" si="388"/>
        <v>1.12350840960896</v>
      </c>
      <c r="W125" s="1">
        <f t="shared" si="388"/>
        <v>1.06969126561007</v>
      </c>
      <c r="X125" s="1">
        <f t="shared" si="388"/>
        <v>1.36239458117238</v>
      </c>
      <c r="Y125" s="1">
        <f t="shared" si="243"/>
        <v>1.27190853291098</v>
      </c>
      <c r="Z125" s="1">
        <f t="shared" si="244"/>
        <v>2.13821573768516</v>
      </c>
      <c r="AA125" s="1">
        <f t="shared" si="221"/>
        <v>89963.3913489905</v>
      </c>
      <c r="AB125" s="1">
        <f t="shared" si="222"/>
        <v>14840.2760764656</v>
      </c>
      <c r="AC125" s="1">
        <f t="shared" si="223"/>
        <v>9893.5173843104</v>
      </c>
      <c r="AD125" s="1">
        <f>AC125/(AC125+[1]战斗公式!$M$27)</f>
        <v>0.291899989963573</v>
      </c>
      <c r="AE125" s="1">
        <f t="shared" si="224"/>
        <v>127048.990359939</v>
      </c>
      <c r="AF125" s="1">
        <f t="shared" si="225"/>
        <v>6.73090338774097</v>
      </c>
      <c r="AG125" s="1">
        <f t="shared" si="226"/>
        <v>4.00384923849426</v>
      </c>
      <c r="AH125" s="1">
        <f t="shared" si="227"/>
        <v>3.34634400211028</v>
      </c>
      <c r="AI125" s="1">
        <f t="shared" si="228"/>
        <v>0.766600855326951</v>
      </c>
      <c r="AJ125" s="1">
        <f t="shared" si="229"/>
        <v>1.00349514531592</v>
      </c>
      <c r="AK125" s="1">
        <f t="shared" si="230"/>
        <v>1.08155985141598</v>
      </c>
      <c r="AL125" s="1">
        <f t="shared" si="231"/>
        <v>0.855596674669265</v>
      </c>
      <c r="AM125" s="27">
        <f t="shared" si="232"/>
        <v>75190</v>
      </c>
      <c r="AN125" s="27">
        <f t="shared" si="233"/>
        <v>11377</v>
      </c>
      <c r="AO125" s="27">
        <f t="shared" si="234"/>
        <v>9894</v>
      </c>
      <c r="AP125" s="1">
        <f t="shared" si="235"/>
        <v>48374</v>
      </c>
      <c r="AQ125" s="1">
        <f t="shared" si="236"/>
        <v>9734</v>
      </c>
      <c r="AR125"/>
      <c r="AS125" s="1">
        <f t="shared" ref="AS125:AY125" si="389">ROUNDUP(AS$10*$AP125,0)</f>
        <v>48374</v>
      </c>
      <c r="AT125" s="1">
        <f t="shared" si="389"/>
        <v>145122</v>
      </c>
      <c r="AU125" s="1">
        <f t="shared" si="389"/>
        <v>87074</v>
      </c>
      <c r="AV125" s="1">
        <f t="shared" si="389"/>
        <v>24187</v>
      </c>
      <c r="AW125" s="1">
        <f t="shared" si="389"/>
        <v>7257</v>
      </c>
      <c r="AX125" s="1">
        <f t="shared" si="389"/>
        <v>193496</v>
      </c>
      <c r="AY125" s="1">
        <f t="shared" si="389"/>
        <v>435366</v>
      </c>
      <c r="AZ125" s="1">
        <f t="shared" si="238"/>
        <v>4527168</v>
      </c>
      <c r="BA125" s="1">
        <f t="shared" si="239"/>
        <v>2263584</v>
      </c>
      <c r="BC125" s="1">
        <f t="shared" si="240"/>
        <v>114</v>
      </c>
    </row>
    <row r="126" s="1" customFormat="1" spans="2:55">
      <c r="B126" s="4">
        <v>115</v>
      </c>
      <c r="C126" s="1">
        <f t="shared" ref="C126:I126" si="390">C$5+(C$6-C$5)*(POWER(C$7,$B126-1)-1)/(POWER(C$7,$B$3-1)-1)</f>
        <v>9086.7337341597</v>
      </c>
      <c r="D126" s="1">
        <f t="shared" si="390"/>
        <v>2726.02012024791</v>
      </c>
      <c r="E126" s="1">
        <f t="shared" si="390"/>
        <v>1817.34674683194</v>
      </c>
      <c r="F126" s="1">
        <f t="shared" si="390"/>
        <v>33356.3643405862</v>
      </c>
      <c r="G126" s="1">
        <f t="shared" si="390"/>
        <v>10006.9093021759</v>
      </c>
      <c r="H126" s="1">
        <f t="shared" si="390"/>
        <v>6671.27286811724</v>
      </c>
      <c r="I126" s="1">
        <f t="shared" si="390"/>
        <v>0</v>
      </c>
      <c r="J126" s="1">
        <f>[1]标准模型!$I$65/1*$B126/$B$3</f>
        <v>0.828</v>
      </c>
      <c r="K126" s="1">
        <f>J126*[1]标准模型!$J$63</f>
        <v>0.828</v>
      </c>
      <c r="L126" s="1">
        <f t="shared" si="217"/>
        <v>42443.0980747459</v>
      </c>
      <c r="M126" s="1">
        <f t="shared" si="218"/>
        <v>14990.0740819891</v>
      </c>
      <c r="N126" s="1">
        <f t="shared" si="219"/>
        <v>9993.38272132603</v>
      </c>
      <c r="O126" s="1">
        <f t="shared" ref="O126:X126" si="391">O$5+(O$6-O$5)*(POWER(O$7,$B126-1)-1)/(POWER(O$7,$B$3-1)-1)</f>
        <v>0.614250446895813</v>
      </c>
      <c r="P126" s="1">
        <f t="shared" si="391"/>
        <v>0.066989663397443</v>
      </c>
      <c r="Q126" s="1">
        <f t="shared" si="391"/>
        <v>0.337837745792697</v>
      </c>
      <c r="R126" s="1">
        <f t="shared" si="391"/>
        <v>1.04570017875833</v>
      </c>
      <c r="S126" s="1">
        <f t="shared" si="391"/>
        <v>0.159950625654138</v>
      </c>
      <c r="T126" s="1">
        <f t="shared" si="391"/>
        <v>2.44557674289367</v>
      </c>
      <c r="U126" s="1">
        <f t="shared" si="391"/>
        <v>1</v>
      </c>
      <c r="V126" s="1">
        <f t="shared" si="391"/>
        <v>1.12460134208466</v>
      </c>
      <c r="W126" s="1">
        <f t="shared" si="391"/>
        <v>1.0703079673205</v>
      </c>
      <c r="X126" s="1">
        <f t="shared" si="391"/>
        <v>1.3656014300666</v>
      </c>
      <c r="Y126" s="1">
        <f t="shared" si="243"/>
        <v>1.28196478263431</v>
      </c>
      <c r="Z126" s="1">
        <f t="shared" si="244"/>
        <v>2.15666080858806</v>
      </c>
      <c r="AA126" s="1">
        <f t="shared" si="221"/>
        <v>91535.3662128638</v>
      </c>
      <c r="AB126" s="1">
        <f t="shared" si="222"/>
        <v>14990.0740819891</v>
      </c>
      <c r="AC126" s="1">
        <f t="shared" si="223"/>
        <v>9993.38272132603</v>
      </c>
      <c r="AD126" s="1">
        <f>AC126/(AC126+[1]战斗公式!$M$27)</f>
        <v>0.293980237367098</v>
      </c>
      <c r="AE126" s="1">
        <f t="shared" si="224"/>
        <v>129649.864008776</v>
      </c>
      <c r="AF126" s="1">
        <f t="shared" si="225"/>
        <v>6.74671231240137</v>
      </c>
      <c r="AG126" s="1">
        <f t="shared" si="226"/>
        <v>4.01038844338543</v>
      </c>
      <c r="AH126" s="1">
        <f t="shared" si="227"/>
        <v>3.35946407632551</v>
      </c>
      <c r="AI126" s="1">
        <f t="shared" si="228"/>
        <v>0.769239137725379</v>
      </c>
      <c r="AJ126" s="1">
        <f t="shared" si="229"/>
        <v>1.00332038804968</v>
      </c>
      <c r="AK126" s="1">
        <f t="shared" si="230"/>
        <v>1.07992798458028</v>
      </c>
      <c r="AL126" s="1">
        <f t="shared" si="231"/>
        <v>0.856009257108617</v>
      </c>
      <c r="AM126" s="27">
        <f t="shared" si="232"/>
        <v>76678</v>
      </c>
      <c r="AN126" s="27">
        <f t="shared" si="233"/>
        <v>11531</v>
      </c>
      <c r="AO126" s="27">
        <f t="shared" si="234"/>
        <v>9993</v>
      </c>
      <c r="AP126" s="1">
        <f t="shared" si="235"/>
        <v>49222</v>
      </c>
      <c r="AQ126" s="1">
        <f t="shared" si="236"/>
        <v>9871</v>
      </c>
      <c r="AR126"/>
      <c r="AS126" s="1">
        <f t="shared" ref="AS126:AY126" si="392">ROUNDUP(AS$10*$AP126,0)</f>
        <v>49222</v>
      </c>
      <c r="AT126" s="1">
        <f t="shared" si="392"/>
        <v>147666</v>
      </c>
      <c r="AU126" s="1">
        <f t="shared" si="392"/>
        <v>88600</v>
      </c>
      <c r="AV126" s="1">
        <f t="shared" si="392"/>
        <v>24611</v>
      </c>
      <c r="AW126" s="1">
        <f t="shared" si="392"/>
        <v>7384</v>
      </c>
      <c r="AX126" s="1">
        <f t="shared" si="392"/>
        <v>196888</v>
      </c>
      <c r="AY126" s="1">
        <f t="shared" si="392"/>
        <v>442998</v>
      </c>
      <c r="AZ126" s="1">
        <f t="shared" si="238"/>
        <v>4615956</v>
      </c>
      <c r="BA126" s="1">
        <f t="shared" si="239"/>
        <v>2307978</v>
      </c>
      <c r="BC126" s="1">
        <f t="shared" si="240"/>
        <v>115</v>
      </c>
    </row>
    <row r="127" s="1" customFormat="1" spans="2:55">
      <c r="B127" s="4">
        <v>116</v>
      </c>
      <c r="C127" s="1">
        <f t="shared" ref="C127:I127" si="393">C$5+(C$6-C$5)*(POWER(C$7,$B127-1)-1)/(POWER(C$7,$B$3-1)-1)</f>
        <v>9165.74439907137</v>
      </c>
      <c r="D127" s="1">
        <f t="shared" si="393"/>
        <v>2749.72331972141</v>
      </c>
      <c r="E127" s="1">
        <f t="shared" si="393"/>
        <v>1833.14887981427</v>
      </c>
      <c r="F127" s="1">
        <f t="shared" si="393"/>
        <v>33646.403490262</v>
      </c>
      <c r="G127" s="1">
        <f t="shared" si="393"/>
        <v>10093.9210470786</v>
      </c>
      <c r="H127" s="1">
        <f t="shared" si="393"/>
        <v>6729.28069805239</v>
      </c>
      <c r="I127" s="1">
        <f t="shared" si="393"/>
        <v>0</v>
      </c>
      <c r="J127" s="1">
        <f>[1]标准模型!$I$65/1*$B127/$B$3</f>
        <v>0.8352</v>
      </c>
      <c r="K127" s="1">
        <f>J127*[1]标准模型!$J$63</f>
        <v>0.8352</v>
      </c>
      <c r="L127" s="1">
        <f t="shared" si="217"/>
        <v>42812.1478893334</v>
      </c>
      <c r="M127" s="1">
        <f t="shared" si="218"/>
        <v>15140.2132834313</v>
      </c>
      <c r="N127" s="1">
        <f t="shared" si="219"/>
        <v>10093.4755222875</v>
      </c>
      <c r="O127" s="1">
        <f t="shared" ref="O127:X127" si="394">O$5+(O$6-O$5)*(POWER(O$7,$B127-1)-1)/(POWER(O$7,$B$3-1)-1)</f>
        <v>0.61525258617325</v>
      </c>
      <c r="P127" s="1">
        <f t="shared" si="394"/>
        <v>0.0676294050180687</v>
      </c>
      <c r="Q127" s="1">
        <f t="shared" si="394"/>
        <v>0.338388922395287</v>
      </c>
      <c r="R127" s="1">
        <f t="shared" si="394"/>
        <v>1.0461010344693</v>
      </c>
      <c r="S127" s="1">
        <f t="shared" si="394"/>
        <v>0.16135362064255</v>
      </c>
      <c r="T127" s="1">
        <f t="shared" si="394"/>
        <v>2.44948508607567</v>
      </c>
      <c r="U127" s="1">
        <f t="shared" si="394"/>
        <v>1</v>
      </c>
      <c r="V127" s="1">
        <f t="shared" si="394"/>
        <v>1.12569427346758</v>
      </c>
      <c r="W127" s="1">
        <f t="shared" si="394"/>
        <v>1.07092466841431</v>
      </c>
      <c r="X127" s="1">
        <f t="shared" si="394"/>
        <v>1.3688082757544</v>
      </c>
      <c r="Y127" s="1">
        <f t="shared" si="243"/>
        <v>1.29209261297255</v>
      </c>
      <c r="Z127" s="1">
        <f t="shared" si="244"/>
        <v>2.17525113399577</v>
      </c>
      <c r="AA127" s="1">
        <f t="shared" si="221"/>
        <v>93127.173245067</v>
      </c>
      <c r="AB127" s="1">
        <f t="shared" si="222"/>
        <v>15140.2132834313</v>
      </c>
      <c r="AC127" s="1">
        <f t="shared" si="223"/>
        <v>10093.4755222875</v>
      </c>
      <c r="AD127" s="1">
        <f>AC127/(AC127+[1]战斗公式!$M$27)</f>
        <v>0.296052994529386</v>
      </c>
      <c r="AE127" s="1">
        <f t="shared" si="224"/>
        <v>132292.875062105</v>
      </c>
      <c r="AF127" s="1">
        <f t="shared" si="225"/>
        <v>6.76255512211</v>
      </c>
      <c r="AG127" s="1">
        <f t="shared" si="226"/>
        <v>4.01693734646963</v>
      </c>
      <c r="AH127" s="1">
        <f t="shared" si="227"/>
        <v>3.37248574998412</v>
      </c>
      <c r="AI127" s="1">
        <f t="shared" si="228"/>
        <v>0.771882696688602</v>
      </c>
      <c r="AJ127" s="1">
        <f t="shared" si="229"/>
        <v>1.00315436864676</v>
      </c>
      <c r="AK127" s="1">
        <f t="shared" si="230"/>
        <v>1.07832875508128</v>
      </c>
      <c r="AL127" s="1">
        <f t="shared" si="231"/>
        <v>0.856420601800651</v>
      </c>
      <c r="AM127" s="27">
        <f t="shared" si="232"/>
        <v>78186</v>
      </c>
      <c r="AN127" s="27">
        <f t="shared" si="233"/>
        <v>11686</v>
      </c>
      <c r="AO127" s="27">
        <f t="shared" si="234"/>
        <v>10093</v>
      </c>
      <c r="AP127" s="1">
        <f t="shared" si="235"/>
        <v>50080</v>
      </c>
      <c r="AQ127" s="1">
        <f t="shared" si="236"/>
        <v>10008</v>
      </c>
      <c r="AR127"/>
      <c r="AS127" s="1">
        <f t="shared" ref="AS127:AY127" si="395">ROUNDUP(AS$10*$AP127,0)</f>
        <v>50080</v>
      </c>
      <c r="AT127" s="1">
        <f t="shared" si="395"/>
        <v>150240</v>
      </c>
      <c r="AU127" s="1">
        <f t="shared" si="395"/>
        <v>90144</v>
      </c>
      <c r="AV127" s="1">
        <f t="shared" si="395"/>
        <v>25040</v>
      </c>
      <c r="AW127" s="1">
        <f t="shared" si="395"/>
        <v>7512</v>
      </c>
      <c r="AX127" s="1">
        <f t="shared" si="395"/>
        <v>200320</v>
      </c>
      <c r="AY127" s="1">
        <f t="shared" si="395"/>
        <v>450720</v>
      </c>
      <c r="AZ127" s="1">
        <f t="shared" si="238"/>
        <v>4705958</v>
      </c>
      <c r="BA127" s="1">
        <f t="shared" si="239"/>
        <v>2352979</v>
      </c>
      <c r="BC127" s="1">
        <f t="shared" si="240"/>
        <v>116</v>
      </c>
    </row>
    <row r="128" s="1" customFormat="1" spans="2:55">
      <c r="B128" s="4">
        <v>117</v>
      </c>
      <c r="C128" s="1">
        <f t="shared" ref="C128:I128" si="396">C$5+(C$6-C$5)*(POWER(C$7,$B128-1)-1)/(POWER(C$7,$B$3-1)-1)</f>
        <v>9244.75498496511</v>
      </c>
      <c r="D128" s="1">
        <f t="shared" si="396"/>
        <v>2773.42649548953</v>
      </c>
      <c r="E128" s="1">
        <f t="shared" si="396"/>
        <v>1848.95099699302</v>
      </c>
      <c r="F128" s="1">
        <f t="shared" si="396"/>
        <v>33936.4423498719</v>
      </c>
      <c r="G128" s="1">
        <f t="shared" si="396"/>
        <v>10180.9327049616</v>
      </c>
      <c r="H128" s="1">
        <f t="shared" si="396"/>
        <v>6787.28846997439</v>
      </c>
      <c r="I128" s="1">
        <f t="shared" si="396"/>
        <v>0</v>
      </c>
      <c r="J128" s="1">
        <f>[1]标准模型!$I$65/1*$B128/$B$3</f>
        <v>0.8424</v>
      </c>
      <c r="K128" s="1">
        <f>J128*[1]标准模型!$J$63</f>
        <v>0.8424</v>
      </c>
      <c r="L128" s="1">
        <f t="shared" si="217"/>
        <v>43181.197334837</v>
      </c>
      <c r="M128" s="1">
        <f t="shared" si="218"/>
        <v>15290.6936802515</v>
      </c>
      <c r="N128" s="1">
        <f t="shared" si="219"/>
        <v>10193.7957868343</v>
      </c>
      <c r="O128" s="1">
        <f t="shared" ref="O128:X128" si="397">O$5+(O$6-O$5)*(POWER(O$7,$B128-1)-1)/(POWER(O$7,$B$3-1)-1)</f>
        <v>0.616254724448455</v>
      </c>
      <c r="P128" s="1">
        <f t="shared" si="397"/>
        <v>0.0682701062511254</v>
      </c>
      <c r="Q128" s="1">
        <f t="shared" si="397"/>
        <v>0.33894009844665</v>
      </c>
      <c r="R128" s="1">
        <f t="shared" si="397"/>
        <v>1.04650188977938</v>
      </c>
      <c r="S128" s="1">
        <f t="shared" si="397"/>
        <v>0.162756614227837</v>
      </c>
      <c r="T128" s="1">
        <f t="shared" si="397"/>
        <v>2.45339342534898</v>
      </c>
      <c r="U128" s="1">
        <f t="shared" si="397"/>
        <v>1</v>
      </c>
      <c r="V128" s="1">
        <f t="shared" si="397"/>
        <v>1.12678720375746</v>
      </c>
      <c r="W128" s="1">
        <f t="shared" si="397"/>
        <v>1.07154136889136</v>
      </c>
      <c r="X128" s="1">
        <f t="shared" si="397"/>
        <v>1.37201511823506</v>
      </c>
      <c r="Y128" s="1">
        <f t="shared" si="243"/>
        <v>1.3022924759356</v>
      </c>
      <c r="Z128" s="1">
        <f t="shared" si="244"/>
        <v>2.19398774094139</v>
      </c>
      <c r="AA128" s="1">
        <f t="shared" si="221"/>
        <v>94739.0175918034</v>
      </c>
      <c r="AB128" s="1">
        <f t="shared" si="222"/>
        <v>15290.6936802515</v>
      </c>
      <c r="AC128" s="1">
        <f t="shared" si="223"/>
        <v>10193.7957868343</v>
      </c>
      <c r="AD128" s="1">
        <f>AC128/(AC128+[1]战斗公式!$M$27)</f>
        <v>0.29811828585463</v>
      </c>
      <c r="AE128" s="1">
        <f t="shared" si="224"/>
        <v>134978.60919081</v>
      </c>
      <c r="AF128" s="1">
        <f t="shared" si="225"/>
        <v>6.77843177684551</v>
      </c>
      <c r="AG128" s="1">
        <f t="shared" si="226"/>
        <v>4.02349590970869</v>
      </c>
      <c r="AH128" s="1">
        <f t="shared" si="227"/>
        <v>3.38540976109029</v>
      </c>
      <c r="AI128" s="1">
        <f t="shared" si="228"/>
        <v>0.774531542769753</v>
      </c>
      <c r="AJ128" s="1">
        <f t="shared" si="229"/>
        <v>1.00299665021398</v>
      </c>
      <c r="AK128" s="1">
        <f t="shared" si="230"/>
        <v>1.07676151017227</v>
      </c>
      <c r="AL128" s="1">
        <f t="shared" si="231"/>
        <v>0.856830712458609</v>
      </c>
      <c r="AM128" s="27">
        <f t="shared" si="232"/>
        <v>79714</v>
      </c>
      <c r="AN128" s="27">
        <f t="shared" si="233"/>
        <v>11843</v>
      </c>
      <c r="AO128" s="27">
        <f t="shared" si="234"/>
        <v>10194</v>
      </c>
      <c r="AP128" s="1">
        <f t="shared" si="235"/>
        <v>50948</v>
      </c>
      <c r="AQ128" s="1">
        <f t="shared" si="236"/>
        <v>10147</v>
      </c>
      <c r="AR128"/>
      <c r="AS128" s="1">
        <f t="shared" ref="AS128:AY128" si="398">ROUNDUP(AS$10*$AP128,0)</f>
        <v>50948</v>
      </c>
      <c r="AT128" s="1">
        <f t="shared" si="398"/>
        <v>152844</v>
      </c>
      <c r="AU128" s="1">
        <f t="shared" si="398"/>
        <v>91707</v>
      </c>
      <c r="AV128" s="1">
        <f t="shared" si="398"/>
        <v>25474</v>
      </c>
      <c r="AW128" s="1">
        <f t="shared" si="398"/>
        <v>7643</v>
      </c>
      <c r="AX128" s="1">
        <f t="shared" si="398"/>
        <v>203792</v>
      </c>
      <c r="AY128" s="1">
        <f t="shared" si="398"/>
        <v>458532</v>
      </c>
      <c r="AZ128" s="1">
        <f t="shared" si="238"/>
        <v>4797172</v>
      </c>
      <c r="BA128" s="1">
        <f t="shared" si="239"/>
        <v>2398586</v>
      </c>
      <c r="BC128" s="1">
        <f t="shared" si="240"/>
        <v>117</v>
      </c>
    </row>
    <row r="129" s="1" customFormat="1" spans="2:55">
      <c r="B129" s="4">
        <v>118</v>
      </c>
      <c r="C129" s="1">
        <f t="shared" ref="C129:I129" si="399">C$5+(C$6-C$5)*(POWER(C$7,$B129-1)-1)/(POWER(C$7,$B$3-1)-1)</f>
        <v>9323.7654918497</v>
      </c>
      <c r="D129" s="1">
        <f t="shared" si="399"/>
        <v>2797.12964755491</v>
      </c>
      <c r="E129" s="1">
        <f t="shared" si="399"/>
        <v>1864.75309836994</v>
      </c>
      <c r="F129" s="1">
        <f t="shared" si="399"/>
        <v>34226.4809194483</v>
      </c>
      <c r="G129" s="1">
        <f t="shared" si="399"/>
        <v>10267.9442758345</v>
      </c>
      <c r="H129" s="1">
        <f t="shared" si="399"/>
        <v>6845.29618388966</v>
      </c>
      <c r="I129" s="1">
        <f t="shared" si="399"/>
        <v>0</v>
      </c>
      <c r="J129" s="1">
        <f>[1]标准模型!$I$65/1*$B129/$B$3</f>
        <v>0.8496</v>
      </c>
      <c r="K129" s="1">
        <f>J129*[1]标准模型!$J$63</f>
        <v>0.8496</v>
      </c>
      <c r="L129" s="1">
        <f t="shared" si="217"/>
        <v>43550.246411298</v>
      </c>
      <c r="M129" s="1">
        <f t="shared" si="218"/>
        <v>15441.5152719521</v>
      </c>
      <c r="N129" s="1">
        <f t="shared" si="219"/>
        <v>10294.3435146347</v>
      </c>
      <c r="O129" s="1">
        <f t="shared" ref="O129:X129" si="400">O$5+(O$6-O$5)*(POWER(O$7,$B129-1)-1)/(POWER(O$7,$B$3-1)-1)</f>
        <v>0.617256861721541</v>
      </c>
      <c r="P129" s="1">
        <f t="shared" si="400"/>
        <v>0.0689117685360318</v>
      </c>
      <c r="Q129" s="1">
        <f t="shared" si="400"/>
        <v>0.339491273946847</v>
      </c>
      <c r="R129" s="1">
        <f t="shared" si="400"/>
        <v>1.04690274468862</v>
      </c>
      <c r="S129" s="1">
        <f t="shared" si="400"/>
        <v>0.164159606410157</v>
      </c>
      <c r="T129" s="1">
        <f t="shared" si="400"/>
        <v>2.45730176071401</v>
      </c>
      <c r="U129" s="1">
        <f t="shared" si="400"/>
        <v>1</v>
      </c>
      <c r="V129" s="1">
        <f t="shared" si="400"/>
        <v>1.12788013295443</v>
      </c>
      <c r="W129" s="1">
        <f t="shared" si="400"/>
        <v>1.07215806875172</v>
      </c>
      <c r="X129" s="1">
        <f t="shared" si="400"/>
        <v>1.37522195750893</v>
      </c>
      <c r="Y129" s="1">
        <f t="shared" si="243"/>
        <v>1.31256482580839</v>
      </c>
      <c r="Z129" s="1">
        <f t="shared" si="244"/>
        <v>2.21287166251608</v>
      </c>
      <c r="AA129" s="1">
        <f t="shared" si="221"/>
        <v>96371.106179154</v>
      </c>
      <c r="AB129" s="1">
        <f t="shared" si="222"/>
        <v>15441.5152719521</v>
      </c>
      <c r="AC129" s="1">
        <f t="shared" si="223"/>
        <v>10294.3435146347</v>
      </c>
      <c r="AD129" s="1">
        <f>AC129/(AC129+[1]战斗公式!$M$27)</f>
        <v>0.300176135759581</v>
      </c>
      <c r="AE129" s="1">
        <f t="shared" si="224"/>
        <v>137707.659174718</v>
      </c>
      <c r="AF129" s="1">
        <f t="shared" si="225"/>
        <v>6.79434223680803</v>
      </c>
      <c r="AG129" s="1">
        <f t="shared" si="226"/>
        <v>4.0300640952664</v>
      </c>
      <c r="AH129" s="1">
        <f t="shared" si="227"/>
        <v>3.39823684211317</v>
      </c>
      <c r="AI129" s="1">
        <f t="shared" si="228"/>
        <v>0.777185686543065</v>
      </c>
      <c r="AJ129" s="1">
        <f t="shared" si="229"/>
        <v>1.00284681770284</v>
      </c>
      <c r="AK129" s="1">
        <f t="shared" si="230"/>
        <v>1.07522561016144</v>
      </c>
      <c r="AL129" s="1">
        <f t="shared" si="231"/>
        <v>0.857239592784592</v>
      </c>
      <c r="AM129" s="27">
        <f t="shared" si="232"/>
        <v>81262</v>
      </c>
      <c r="AN129" s="27">
        <f t="shared" si="233"/>
        <v>12001</v>
      </c>
      <c r="AO129" s="27">
        <f t="shared" si="234"/>
        <v>10294</v>
      </c>
      <c r="AP129" s="1">
        <f t="shared" si="235"/>
        <v>51827</v>
      </c>
      <c r="AQ129" s="1">
        <f t="shared" si="236"/>
        <v>10288</v>
      </c>
      <c r="AR129"/>
      <c r="AS129" s="1">
        <f t="shared" ref="AS129:AY129" si="401">ROUNDUP(AS$10*$AP129,0)</f>
        <v>51827</v>
      </c>
      <c r="AT129" s="1">
        <f t="shared" si="401"/>
        <v>155481</v>
      </c>
      <c r="AU129" s="1">
        <f t="shared" si="401"/>
        <v>93289</v>
      </c>
      <c r="AV129" s="1">
        <f t="shared" si="401"/>
        <v>25914</v>
      </c>
      <c r="AW129" s="1">
        <f t="shared" si="401"/>
        <v>7775</v>
      </c>
      <c r="AX129" s="1">
        <f t="shared" si="401"/>
        <v>207308</v>
      </c>
      <c r="AY129" s="1">
        <f t="shared" si="401"/>
        <v>466443</v>
      </c>
      <c r="AZ129" s="1">
        <f t="shared" si="238"/>
        <v>4889600</v>
      </c>
      <c r="BA129" s="1">
        <f t="shared" si="239"/>
        <v>2444800</v>
      </c>
      <c r="BC129" s="1">
        <f t="shared" si="240"/>
        <v>118</v>
      </c>
    </row>
    <row r="130" s="1" customFormat="1" spans="2:55">
      <c r="B130" s="4">
        <v>119</v>
      </c>
      <c r="C130" s="1">
        <f t="shared" ref="C130:I130" si="402">C$5+(C$6-C$5)*(POWER(C$7,$B130-1)-1)/(POWER(C$7,$B$3-1)-1)</f>
        <v>9402.77591972515</v>
      </c>
      <c r="D130" s="1">
        <f t="shared" si="402"/>
        <v>2820.83277591754</v>
      </c>
      <c r="E130" s="1">
        <f t="shared" si="402"/>
        <v>1880.55518394503</v>
      </c>
      <c r="F130" s="1">
        <f t="shared" si="402"/>
        <v>34516.5191989911</v>
      </c>
      <c r="G130" s="1">
        <f t="shared" si="402"/>
        <v>10354.9557596973</v>
      </c>
      <c r="H130" s="1">
        <f t="shared" si="402"/>
        <v>6903.30383979821</v>
      </c>
      <c r="I130" s="1">
        <f t="shared" si="402"/>
        <v>0</v>
      </c>
      <c r="J130" s="1">
        <f>[1]标准模型!$I$65/1*$B130/$B$3</f>
        <v>0.8568</v>
      </c>
      <c r="K130" s="1">
        <f>J130*[1]标准模型!$J$63</f>
        <v>0.8568</v>
      </c>
      <c r="L130" s="1">
        <f t="shared" si="217"/>
        <v>43919.2951187163</v>
      </c>
      <c r="M130" s="1">
        <f t="shared" si="218"/>
        <v>15592.678058021</v>
      </c>
      <c r="N130" s="1">
        <f t="shared" si="219"/>
        <v>10395.1187053473</v>
      </c>
      <c r="O130" s="1">
        <f t="shared" ref="O130:X130" si="403">O$5+(O$6-O$5)*(POWER(O$7,$B130-1)-1)/(POWER(O$7,$B$3-1)-1)</f>
        <v>0.618258997992506</v>
      </c>
      <c r="P130" s="1">
        <f t="shared" si="403"/>
        <v>0.0695543933143654</v>
      </c>
      <c r="Q130" s="1">
        <f t="shared" si="403"/>
        <v>0.340042448895878</v>
      </c>
      <c r="R130" s="1">
        <f t="shared" si="403"/>
        <v>1.047303599197</v>
      </c>
      <c r="S130" s="1">
        <f t="shared" si="403"/>
        <v>0.165562597189508</v>
      </c>
      <c r="T130" s="1">
        <f t="shared" si="403"/>
        <v>2.46121009217077</v>
      </c>
      <c r="U130" s="1">
        <f t="shared" si="403"/>
        <v>1</v>
      </c>
      <c r="V130" s="1">
        <f t="shared" si="403"/>
        <v>1.12897306105849</v>
      </c>
      <c r="W130" s="1">
        <f t="shared" si="403"/>
        <v>1.07277476799539</v>
      </c>
      <c r="X130" s="1">
        <f t="shared" si="403"/>
        <v>1.37842879357602</v>
      </c>
      <c r="Y130" s="1">
        <f t="shared" si="243"/>
        <v>1.32291011915484</v>
      </c>
      <c r="Z130" s="1">
        <f t="shared" si="244"/>
        <v>2.23190393788845</v>
      </c>
      <c r="AA130" s="1">
        <f t="shared" si="221"/>
        <v>98023.6477247478</v>
      </c>
      <c r="AB130" s="1">
        <f t="shared" si="222"/>
        <v>15592.678058021</v>
      </c>
      <c r="AC130" s="1">
        <f t="shared" si="223"/>
        <v>10395.1187053473</v>
      </c>
      <c r="AD130" s="1">
        <f>AC130/(AC130+[1]战斗公式!$M$27)</f>
        <v>0.302226568670956</v>
      </c>
      <c r="AE130" s="1">
        <f t="shared" si="224"/>
        <v>140480.624975994</v>
      </c>
      <c r="AF130" s="1">
        <f t="shared" si="225"/>
        <v>6.81028646240619</v>
      </c>
      <c r="AG130" s="1">
        <f t="shared" si="226"/>
        <v>4.03664186550248</v>
      </c>
      <c r="AH130" s="1">
        <f t="shared" si="227"/>
        <v>3.41096772002837</v>
      </c>
      <c r="AI130" s="1">
        <f t="shared" si="228"/>
        <v>0.779845138603925</v>
      </c>
      <c r="AJ130" s="1">
        <f t="shared" si="229"/>
        <v>1.00270447681726</v>
      </c>
      <c r="AK130" s="1">
        <f t="shared" si="230"/>
        <v>1.07372042815082</v>
      </c>
      <c r="AL130" s="1">
        <f t="shared" si="231"/>
        <v>0.857647246469598</v>
      </c>
      <c r="AM130" s="27">
        <f t="shared" si="232"/>
        <v>82830</v>
      </c>
      <c r="AN130" s="27">
        <f t="shared" si="233"/>
        <v>12160</v>
      </c>
      <c r="AO130" s="27">
        <f t="shared" si="234"/>
        <v>10395</v>
      </c>
      <c r="AP130" s="1">
        <f t="shared" si="235"/>
        <v>52715</v>
      </c>
      <c r="AQ130" s="1">
        <f t="shared" si="236"/>
        <v>10429</v>
      </c>
      <c r="AR130"/>
      <c r="AS130" s="1">
        <f t="shared" ref="AS130:AY130" si="404">ROUNDUP(AS$10*$AP130,0)</f>
        <v>52715</v>
      </c>
      <c r="AT130" s="1">
        <f t="shared" si="404"/>
        <v>158145</v>
      </c>
      <c r="AU130" s="1">
        <f t="shared" si="404"/>
        <v>94887</v>
      </c>
      <c r="AV130" s="1">
        <f t="shared" si="404"/>
        <v>26358</v>
      </c>
      <c r="AW130" s="1">
        <f t="shared" si="404"/>
        <v>7908</v>
      </c>
      <c r="AX130" s="1">
        <f t="shared" si="404"/>
        <v>210860</v>
      </c>
      <c r="AY130" s="1">
        <f t="shared" si="404"/>
        <v>474435</v>
      </c>
      <c r="AZ130" s="1">
        <f t="shared" si="238"/>
        <v>4983241</v>
      </c>
      <c r="BA130" s="1">
        <f t="shared" si="239"/>
        <v>2491620</v>
      </c>
      <c r="BC130" s="1">
        <f t="shared" si="240"/>
        <v>119</v>
      </c>
    </row>
    <row r="131" s="1" customFormat="1" spans="2:55">
      <c r="B131" s="4">
        <v>120</v>
      </c>
      <c r="C131" s="1">
        <f t="shared" ref="C131:I131" si="405">C$5+(C$6-C$5)*(POWER(C$7,$B131-1)-1)/(POWER(C$7,$B$3-1)-1)</f>
        <v>9481.78626858267</v>
      </c>
      <c r="D131" s="1">
        <f t="shared" si="405"/>
        <v>2844.5358805748</v>
      </c>
      <c r="E131" s="1">
        <f t="shared" si="405"/>
        <v>1896.35725371653</v>
      </c>
      <c r="F131" s="1">
        <f t="shared" si="405"/>
        <v>34806.557188468</v>
      </c>
      <c r="G131" s="1">
        <f t="shared" si="405"/>
        <v>10441.9671565404</v>
      </c>
      <c r="H131" s="1">
        <f t="shared" si="405"/>
        <v>6961.3114376936</v>
      </c>
      <c r="I131" s="1">
        <f t="shared" si="405"/>
        <v>0</v>
      </c>
      <c r="J131" s="1">
        <f>[1]标准模型!$I$65/1*$B131/$B$3</f>
        <v>0.864</v>
      </c>
      <c r="K131" s="1">
        <f>J131*[1]标准模型!$J$63</f>
        <v>0.864</v>
      </c>
      <c r="L131" s="1">
        <f t="shared" si="217"/>
        <v>44288.3434570507</v>
      </c>
      <c r="M131" s="1">
        <f t="shared" si="218"/>
        <v>15744.1820379318</v>
      </c>
      <c r="N131" s="1">
        <f t="shared" si="219"/>
        <v>10496.1213586212</v>
      </c>
      <c r="O131" s="1">
        <f t="shared" ref="O131:X131" si="406">O$5+(O$6-O$5)*(POWER(O$7,$B131-1)-1)/(POWER(O$7,$B$3-1)-1)</f>
        <v>0.61926113326124</v>
      </c>
      <c r="P131" s="1">
        <f t="shared" si="406"/>
        <v>0.0701979820298666</v>
      </c>
      <c r="Q131" s="1">
        <f t="shared" si="406"/>
        <v>0.340593623293682</v>
      </c>
      <c r="R131" s="1">
        <f t="shared" si="406"/>
        <v>1.0477044533045</v>
      </c>
      <c r="S131" s="1">
        <f t="shared" si="406"/>
        <v>0.166965586565736</v>
      </c>
      <c r="T131" s="1">
        <f t="shared" si="406"/>
        <v>2.46511841971884</v>
      </c>
      <c r="U131" s="1">
        <f t="shared" si="406"/>
        <v>1</v>
      </c>
      <c r="V131" s="1">
        <f t="shared" si="406"/>
        <v>1.13006598806952</v>
      </c>
      <c r="W131" s="1">
        <f t="shared" si="406"/>
        <v>1.0733914666223</v>
      </c>
      <c r="X131" s="1">
        <f t="shared" si="406"/>
        <v>1.38163562643597</v>
      </c>
      <c r="Y131" s="1">
        <f t="shared" si="243"/>
        <v>1.33332881482586</v>
      </c>
      <c r="Z131" s="1">
        <f t="shared" si="244"/>
        <v>2.25108561233176</v>
      </c>
      <c r="AA131" s="1">
        <f t="shared" si="221"/>
        <v>99696.8527501742</v>
      </c>
      <c r="AB131" s="1">
        <f t="shared" si="222"/>
        <v>15744.1820379318</v>
      </c>
      <c r="AC131" s="1">
        <f t="shared" si="223"/>
        <v>10496.1213586212</v>
      </c>
      <c r="AD131" s="1">
        <f>AC131/(AC131+[1]战斗公式!$M$27)</f>
        <v>0.304269609023683</v>
      </c>
      <c r="AE131" s="1">
        <f t="shared" si="224"/>
        <v>143298.113814275</v>
      </c>
      <c r="AF131" s="1">
        <f t="shared" si="225"/>
        <v>6.82626441425517</v>
      </c>
      <c r="AG131" s="1">
        <f t="shared" si="226"/>
        <v>4.04322918297139</v>
      </c>
      <c r="AH131" s="1">
        <f t="shared" si="227"/>
        <v>3.42360311635921</v>
      </c>
      <c r="AI131" s="1">
        <f t="shared" si="228"/>
        <v>0.782509909568906</v>
      </c>
      <c r="AJ131" s="1">
        <f t="shared" si="229"/>
        <v>1.00256925297595</v>
      </c>
      <c r="AK131" s="1">
        <f t="shared" si="230"/>
        <v>1.07224534978041</v>
      </c>
      <c r="AL131" s="1">
        <f t="shared" si="231"/>
        <v>0.858053677193549</v>
      </c>
      <c r="AM131" s="27">
        <f t="shared" si="232"/>
        <v>84418</v>
      </c>
      <c r="AN131" s="27">
        <f t="shared" si="233"/>
        <v>12320</v>
      </c>
      <c r="AO131" s="27">
        <f t="shared" si="234"/>
        <v>10496</v>
      </c>
      <c r="AP131" s="1">
        <f t="shared" si="235"/>
        <v>53614</v>
      </c>
      <c r="AQ131" s="1">
        <f t="shared" si="236"/>
        <v>10571</v>
      </c>
      <c r="AR131"/>
      <c r="AS131" s="1">
        <f t="shared" ref="AS131:AY131" si="407">ROUNDUP(AS$10*$AP131,0)</f>
        <v>53614</v>
      </c>
      <c r="AT131" s="1">
        <f t="shared" si="407"/>
        <v>160842</v>
      </c>
      <c r="AU131" s="1">
        <f t="shared" si="407"/>
        <v>96506</v>
      </c>
      <c r="AV131" s="1">
        <f t="shared" si="407"/>
        <v>26807</v>
      </c>
      <c r="AW131" s="1">
        <f t="shared" si="407"/>
        <v>8043</v>
      </c>
      <c r="AX131" s="1">
        <f t="shared" si="407"/>
        <v>214456</v>
      </c>
      <c r="AY131" s="1">
        <f t="shared" si="407"/>
        <v>482526</v>
      </c>
      <c r="AZ131" s="1">
        <f t="shared" si="238"/>
        <v>5078093</v>
      </c>
      <c r="BA131" s="1">
        <f t="shared" si="239"/>
        <v>2539047</v>
      </c>
      <c r="BC131" s="1">
        <f t="shared" si="240"/>
        <v>120</v>
      </c>
    </row>
    <row r="132" s="1" customFormat="1" spans="2:55">
      <c r="B132" s="4">
        <v>121</v>
      </c>
      <c r="C132" s="1">
        <f t="shared" ref="C132:I132" si="408">C$5+(C$6-C$5)*(POWER(C$7,$B132-1)-1)/(POWER(C$7,$B$3-1)-1)</f>
        <v>9560.79653843981</v>
      </c>
      <c r="D132" s="1">
        <f t="shared" si="408"/>
        <v>2868.23896153194</v>
      </c>
      <c r="E132" s="1">
        <f t="shared" si="408"/>
        <v>1912.15930768796</v>
      </c>
      <c r="F132" s="1">
        <f t="shared" si="408"/>
        <v>35096.5948879436</v>
      </c>
      <c r="G132" s="1">
        <f t="shared" si="408"/>
        <v>10528.9784663831</v>
      </c>
      <c r="H132" s="1">
        <f t="shared" si="408"/>
        <v>7019.31897758872</v>
      </c>
      <c r="I132" s="1">
        <f t="shared" si="408"/>
        <v>0</v>
      </c>
      <c r="J132" s="1">
        <f>[1]标准模型!$I$65/1*$B132/$B$3</f>
        <v>0.8712</v>
      </c>
      <c r="K132" s="1">
        <f>J132*[1]标准模型!$J$63</f>
        <v>0.8712</v>
      </c>
      <c r="L132" s="1">
        <f t="shared" si="217"/>
        <v>44657.3914263834</v>
      </c>
      <c r="M132" s="1">
        <f t="shared" si="218"/>
        <v>15896.0272112017</v>
      </c>
      <c r="N132" s="1">
        <f t="shared" si="219"/>
        <v>10597.3514741344</v>
      </c>
      <c r="O132" s="1">
        <f t="shared" ref="O132:X132" si="409">O$5+(O$6-O$5)*(POWER(O$7,$B132-1)-1)/(POWER(O$7,$B$3-1)-1)</f>
        <v>0.620263267527965</v>
      </c>
      <c r="P132" s="1">
        <f t="shared" si="409"/>
        <v>0.070842536128441</v>
      </c>
      <c r="Q132" s="1">
        <f t="shared" si="409"/>
        <v>0.341144797140381</v>
      </c>
      <c r="R132" s="1">
        <f t="shared" si="409"/>
        <v>1.04810530701119</v>
      </c>
      <c r="S132" s="1">
        <f t="shared" si="409"/>
        <v>0.168368574539151</v>
      </c>
      <c r="T132" s="1">
        <f t="shared" si="409"/>
        <v>2.46902674335906</v>
      </c>
      <c r="U132" s="1">
        <f t="shared" si="409"/>
        <v>1</v>
      </c>
      <c r="V132" s="1">
        <f t="shared" si="409"/>
        <v>1.13115891398776</v>
      </c>
      <c r="W132" s="1">
        <f t="shared" si="409"/>
        <v>1.07400816463259</v>
      </c>
      <c r="X132" s="1">
        <f t="shared" si="409"/>
        <v>1.38484245608949</v>
      </c>
      <c r="Y132" s="1">
        <f t="shared" si="243"/>
        <v>1.3438213739714</v>
      </c>
      <c r="Z132" s="1">
        <f t="shared" si="244"/>
        <v>2.27041773725911</v>
      </c>
      <c r="AA132" s="1">
        <f t="shared" si="221"/>
        <v>101390.933594184</v>
      </c>
      <c r="AB132" s="1">
        <f t="shared" si="222"/>
        <v>15896.0272112017</v>
      </c>
      <c r="AC132" s="1">
        <f t="shared" si="223"/>
        <v>10597.3514741344</v>
      </c>
      <c r="AD132" s="1">
        <f>AC132/(AC132+[1]战斗公式!$M$27)</f>
        <v>0.30630528125996</v>
      </c>
      <c r="AE132" s="1">
        <f t="shared" si="224"/>
        <v>146160.740243692</v>
      </c>
      <c r="AF132" s="1">
        <f t="shared" si="225"/>
        <v>6.84227605318569</v>
      </c>
      <c r="AG132" s="1">
        <f t="shared" si="226"/>
        <v>4.04982601042561</v>
      </c>
      <c r="AH132" s="1">
        <f t="shared" si="227"/>
        <v>3.43614374721757</v>
      </c>
      <c r="AI132" s="1">
        <f t="shared" si="228"/>
        <v>0.785180010075817</v>
      </c>
      <c r="AJ132" s="1">
        <f t="shared" si="229"/>
        <v>1.00244079032672</v>
      </c>
      <c r="AK132" s="1">
        <f t="shared" si="230"/>
        <v>1.07079977297742</v>
      </c>
      <c r="AL132" s="1">
        <f t="shared" si="231"/>
        <v>0.858458888625328</v>
      </c>
      <c r="AM132" s="27">
        <f t="shared" si="232"/>
        <v>86027</v>
      </c>
      <c r="AN132" s="27">
        <f t="shared" si="233"/>
        <v>12481</v>
      </c>
      <c r="AO132" s="27">
        <f t="shared" si="234"/>
        <v>10597</v>
      </c>
      <c r="AP132" s="1">
        <f t="shared" si="235"/>
        <v>54523</v>
      </c>
      <c r="AQ132" s="1">
        <f t="shared" si="236"/>
        <v>10714</v>
      </c>
      <c r="AR132"/>
      <c r="AS132" s="1">
        <f t="shared" ref="AS132:AY132" si="410">ROUNDUP(AS$10*$AP132,0)</f>
        <v>54523</v>
      </c>
      <c r="AT132" s="1">
        <f t="shared" si="410"/>
        <v>163569</v>
      </c>
      <c r="AU132" s="1">
        <f t="shared" si="410"/>
        <v>98142</v>
      </c>
      <c r="AV132" s="1">
        <f t="shared" si="410"/>
        <v>27262</v>
      </c>
      <c r="AW132" s="1">
        <f t="shared" si="410"/>
        <v>8179</v>
      </c>
      <c r="AX132" s="1">
        <f t="shared" si="410"/>
        <v>218092</v>
      </c>
      <c r="AY132" s="1">
        <f t="shared" si="410"/>
        <v>490707</v>
      </c>
      <c r="AZ132" s="1">
        <f t="shared" si="238"/>
        <v>5174218</v>
      </c>
      <c r="BA132" s="1">
        <f t="shared" si="239"/>
        <v>2587109</v>
      </c>
      <c r="BC132" s="1">
        <f t="shared" si="240"/>
        <v>121</v>
      </c>
    </row>
    <row r="133" s="1" customFormat="1" spans="2:55">
      <c r="B133" s="4">
        <v>122</v>
      </c>
      <c r="C133" s="1">
        <f t="shared" ref="C133:I133" si="411">C$5+(C$6-C$5)*(POWER(C$7,$B133-1)-1)/(POWER(C$7,$B$3-1)-1)</f>
        <v>9639.80672927902</v>
      </c>
      <c r="D133" s="1">
        <f t="shared" si="411"/>
        <v>2891.94201878371</v>
      </c>
      <c r="E133" s="1">
        <f t="shared" si="411"/>
        <v>1927.9613458558</v>
      </c>
      <c r="F133" s="1">
        <f t="shared" si="411"/>
        <v>35386.6322973534</v>
      </c>
      <c r="G133" s="1">
        <f t="shared" si="411"/>
        <v>10615.989689206</v>
      </c>
      <c r="H133" s="1">
        <f t="shared" si="411"/>
        <v>7077.32645947067</v>
      </c>
      <c r="I133" s="1">
        <f t="shared" si="411"/>
        <v>0</v>
      </c>
      <c r="J133" s="1">
        <f>[1]标准模型!$I$65/1*$B133/$B$3</f>
        <v>0.8784</v>
      </c>
      <c r="K133" s="1">
        <f>J133*[1]标准模型!$J$63</f>
        <v>0.8784</v>
      </c>
      <c r="L133" s="1">
        <f t="shared" si="217"/>
        <v>45026.4390266324</v>
      </c>
      <c r="M133" s="1">
        <f t="shared" si="218"/>
        <v>16048.2135772893</v>
      </c>
      <c r="N133" s="1">
        <f t="shared" si="219"/>
        <v>10698.8090515262</v>
      </c>
      <c r="O133" s="1">
        <f t="shared" ref="O133:X133" si="412">O$5+(O$6-O$5)*(POWER(O$7,$B133-1)-1)/(POWER(O$7,$B$3-1)-1)</f>
        <v>0.621265400792459</v>
      </c>
      <c r="P133" s="1">
        <f t="shared" si="412"/>
        <v>0.0714880570581633</v>
      </c>
      <c r="Q133" s="1">
        <f t="shared" si="412"/>
        <v>0.341695970435852</v>
      </c>
      <c r="R133" s="1">
        <f t="shared" si="412"/>
        <v>1.04850616031698</v>
      </c>
      <c r="S133" s="1">
        <f t="shared" si="412"/>
        <v>0.169771561109442</v>
      </c>
      <c r="T133" s="1">
        <f t="shared" si="412"/>
        <v>2.47293506309059</v>
      </c>
      <c r="U133" s="1">
        <f t="shared" si="412"/>
        <v>1</v>
      </c>
      <c r="V133" s="1">
        <f t="shared" si="412"/>
        <v>1.13225183881297</v>
      </c>
      <c r="W133" s="1">
        <f t="shared" si="412"/>
        <v>1.07462486202613</v>
      </c>
      <c r="X133" s="1">
        <f t="shared" si="412"/>
        <v>1.38804928253587</v>
      </c>
      <c r="Y133" s="1">
        <f t="shared" si="243"/>
        <v>1.35438826004137</v>
      </c>
      <c r="Z133" s="1">
        <f t="shared" si="244"/>
        <v>2.28990137023698</v>
      </c>
      <c r="AA133" s="1">
        <f t="shared" si="221"/>
        <v>103106.104423977</v>
      </c>
      <c r="AB133" s="1">
        <f t="shared" si="222"/>
        <v>16048.2135772893</v>
      </c>
      <c r="AC133" s="1">
        <f t="shared" si="223"/>
        <v>10698.8090515262</v>
      </c>
      <c r="AD133" s="1">
        <f>AC133/(AC133+[1]战斗公式!$M$27)</f>
        <v>0.308333609826174</v>
      </c>
      <c r="AE133" s="1">
        <f t="shared" si="224"/>
        <v>149069.126227262</v>
      </c>
      <c r="AF133" s="1">
        <f t="shared" si="225"/>
        <v>6.85832134022284</v>
      </c>
      <c r="AG133" s="1">
        <f t="shared" si="226"/>
        <v>4.05643231080634</v>
      </c>
      <c r="AH133" s="1">
        <f t="shared" si="227"/>
        <v>3.44859032334449</v>
      </c>
      <c r="AI133" s="1">
        <f t="shared" si="228"/>
        <v>0.787855450783742</v>
      </c>
      <c r="AJ133" s="1">
        <f t="shared" si="229"/>
        <v>1.00231875080994</v>
      </c>
      <c r="AK133" s="1">
        <f t="shared" si="230"/>
        <v>1.06938310771048</v>
      </c>
      <c r="AL133" s="1">
        <f t="shared" si="231"/>
        <v>0.858862884422812</v>
      </c>
      <c r="AM133" s="27">
        <f t="shared" si="232"/>
        <v>87656</v>
      </c>
      <c r="AN133" s="27">
        <f t="shared" si="233"/>
        <v>12644</v>
      </c>
      <c r="AO133" s="27">
        <f t="shared" si="234"/>
        <v>10699</v>
      </c>
      <c r="AP133" s="1">
        <f t="shared" si="235"/>
        <v>55442</v>
      </c>
      <c r="AQ133" s="1">
        <f t="shared" si="236"/>
        <v>10859</v>
      </c>
      <c r="AR133"/>
      <c r="AS133" s="1">
        <f t="shared" ref="AS133:AY133" si="413">ROUNDUP(AS$10*$AP133,0)</f>
        <v>55442</v>
      </c>
      <c r="AT133" s="1">
        <f t="shared" si="413"/>
        <v>166326</v>
      </c>
      <c r="AU133" s="1">
        <f t="shared" si="413"/>
        <v>99796</v>
      </c>
      <c r="AV133" s="1">
        <f t="shared" si="413"/>
        <v>27721</v>
      </c>
      <c r="AW133" s="1">
        <f t="shared" si="413"/>
        <v>8317</v>
      </c>
      <c r="AX133" s="1">
        <f t="shared" si="413"/>
        <v>221768</v>
      </c>
      <c r="AY133" s="1">
        <f t="shared" si="413"/>
        <v>498978</v>
      </c>
      <c r="AZ133" s="1">
        <f t="shared" si="238"/>
        <v>5271555</v>
      </c>
      <c r="BA133" s="1">
        <f t="shared" si="239"/>
        <v>2635778</v>
      </c>
      <c r="BC133" s="1">
        <f t="shared" si="240"/>
        <v>122</v>
      </c>
    </row>
    <row r="134" s="1" customFormat="1" spans="2:55">
      <c r="B134" s="4">
        <v>123</v>
      </c>
      <c r="C134" s="1">
        <f t="shared" ref="C134:I134" si="414">C$5+(C$6-C$5)*(POWER(C$7,$B134-1)-1)/(POWER(C$7,$B$3-1)-1)</f>
        <v>9718.81684111786</v>
      </c>
      <c r="D134" s="1">
        <f t="shared" si="414"/>
        <v>2915.64505233536</v>
      </c>
      <c r="E134" s="1">
        <f t="shared" si="414"/>
        <v>1943.76336822357</v>
      </c>
      <c r="F134" s="1">
        <f t="shared" si="414"/>
        <v>35676.6694167618</v>
      </c>
      <c r="G134" s="1">
        <f t="shared" si="414"/>
        <v>10703.0008250285</v>
      </c>
      <c r="H134" s="1">
        <f t="shared" si="414"/>
        <v>7135.33388335235</v>
      </c>
      <c r="I134" s="1">
        <f t="shared" si="414"/>
        <v>0</v>
      </c>
      <c r="J134" s="1">
        <f>[1]标准模型!$I$65/1*$B134/$B$3</f>
        <v>0.8856</v>
      </c>
      <c r="K134" s="1">
        <f>J134*[1]标准模型!$J$63</f>
        <v>0.8856</v>
      </c>
      <c r="L134" s="1">
        <f t="shared" si="217"/>
        <v>45395.4862578797</v>
      </c>
      <c r="M134" s="1">
        <f t="shared" si="218"/>
        <v>16200.7411357121</v>
      </c>
      <c r="N134" s="1">
        <f t="shared" si="219"/>
        <v>10800.4940904747</v>
      </c>
      <c r="O134" s="1">
        <f t="shared" ref="O134:X134" si="415">O$5+(O$6-O$5)*(POWER(O$7,$B134-1)-1)/(POWER(O$7,$B$3-1)-1)</f>
        <v>0.622267533054944</v>
      </c>
      <c r="P134" s="1">
        <f t="shared" si="415"/>
        <v>0.0721345462692801</v>
      </c>
      <c r="Q134" s="1">
        <f t="shared" si="415"/>
        <v>0.342247143180219</v>
      </c>
      <c r="R134" s="1">
        <f t="shared" si="415"/>
        <v>1.04890701322198</v>
      </c>
      <c r="S134" s="1">
        <f t="shared" si="415"/>
        <v>0.171174546276921</v>
      </c>
      <c r="T134" s="1">
        <f t="shared" si="415"/>
        <v>2.47684337891428</v>
      </c>
      <c r="U134" s="1">
        <f t="shared" si="415"/>
        <v>1</v>
      </c>
      <c r="V134" s="1">
        <f t="shared" si="415"/>
        <v>1.13334476254539</v>
      </c>
      <c r="W134" s="1">
        <f t="shared" si="415"/>
        <v>1.07524155880304</v>
      </c>
      <c r="X134" s="1">
        <f t="shared" si="415"/>
        <v>1.39125610577582</v>
      </c>
      <c r="Y134" s="1">
        <f t="shared" si="243"/>
        <v>1.36502993880191</v>
      </c>
      <c r="Z134" s="1">
        <f t="shared" si="244"/>
        <v>2.30953757502861</v>
      </c>
      <c r="AA134" s="1">
        <f t="shared" si="221"/>
        <v>104842.581249268</v>
      </c>
      <c r="AB134" s="1">
        <f t="shared" si="222"/>
        <v>16200.7411357121</v>
      </c>
      <c r="AC134" s="1">
        <f t="shared" si="223"/>
        <v>10800.4940904747</v>
      </c>
      <c r="AD134" s="1">
        <f>AC134/(AC134+[1]战斗公式!$M$27)</f>
        <v>0.310354619172805</v>
      </c>
      <c r="AE134" s="1">
        <f t="shared" si="224"/>
        <v>152023.901216469</v>
      </c>
      <c r="AF134" s="1">
        <f t="shared" si="225"/>
        <v>6.87440023660589</v>
      </c>
      <c r="AG134" s="1">
        <f t="shared" si="226"/>
        <v>4.06304804725151</v>
      </c>
      <c r="AH134" s="1">
        <f t="shared" si="227"/>
        <v>3.46094355015046</v>
      </c>
      <c r="AI134" s="1">
        <f t="shared" si="228"/>
        <v>0.790536242373082</v>
      </c>
      <c r="AJ134" s="1">
        <f t="shared" si="229"/>
        <v>1.002202813269</v>
      </c>
      <c r="AK134" s="1">
        <f t="shared" si="230"/>
        <v>1.06799477574888</v>
      </c>
      <c r="AL134" s="1">
        <f t="shared" si="231"/>
        <v>0.859265668232903</v>
      </c>
      <c r="AM134" s="27">
        <f t="shared" si="232"/>
        <v>89306</v>
      </c>
      <c r="AN134" s="27">
        <f t="shared" si="233"/>
        <v>12807</v>
      </c>
      <c r="AO134" s="27">
        <f t="shared" si="234"/>
        <v>10800</v>
      </c>
      <c r="AP134" s="1">
        <f t="shared" si="235"/>
        <v>56372</v>
      </c>
      <c r="AQ134" s="1">
        <f t="shared" si="236"/>
        <v>11005</v>
      </c>
      <c r="AR134"/>
      <c r="AS134" s="1">
        <f t="shared" ref="AS134:AY134" si="416">ROUNDUP(AS$10*$AP134,0)</f>
        <v>56372</v>
      </c>
      <c r="AT134" s="1">
        <f t="shared" si="416"/>
        <v>169116</v>
      </c>
      <c r="AU134" s="1">
        <f t="shared" si="416"/>
        <v>101470</v>
      </c>
      <c r="AV134" s="1">
        <f t="shared" si="416"/>
        <v>28186</v>
      </c>
      <c r="AW134" s="1">
        <f t="shared" si="416"/>
        <v>8456</v>
      </c>
      <c r="AX134" s="1">
        <f t="shared" si="416"/>
        <v>225488</v>
      </c>
      <c r="AY134" s="1">
        <f t="shared" si="416"/>
        <v>507348</v>
      </c>
      <c r="AZ134" s="1">
        <f t="shared" si="238"/>
        <v>5370163</v>
      </c>
      <c r="BA134" s="1">
        <f t="shared" si="239"/>
        <v>2685082</v>
      </c>
      <c r="BC134" s="1">
        <f t="shared" si="240"/>
        <v>123</v>
      </c>
    </row>
    <row r="135" s="1" customFormat="1" spans="2:55">
      <c r="B135" s="4">
        <v>124</v>
      </c>
      <c r="C135" s="1">
        <f t="shared" ref="C135:I135" si="417">C$5+(C$6-C$5)*(POWER(C$7,$B135-1)-1)/(POWER(C$7,$B$3-1)-1)</f>
        <v>9797.82687393877</v>
      </c>
      <c r="D135" s="1">
        <f t="shared" si="417"/>
        <v>2939.34806218163</v>
      </c>
      <c r="E135" s="1">
        <f t="shared" si="417"/>
        <v>1959.56537478775</v>
      </c>
      <c r="F135" s="1">
        <f t="shared" si="417"/>
        <v>35966.7062461043</v>
      </c>
      <c r="G135" s="1">
        <f t="shared" si="417"/>
        <v>10790.0118738313</v>
      </c>
      <c r="H135" s="1">
        <f t="shared" si="417"/>
        <v>7193.34124922087</v>
      </c>
      <c r="I135" s="1">
        <f t="shared" si="417"/>
        <v>0</v>
      </c>
      <c r="J135" s="1">
        <f>[1]标准模型!$I$65/1*$B135/$B$3</f>
        <v>0.8928</v>
      </c>
      <c r="K135" s="1">
        <f>J135*[1]标准模型!$J$63</f>
        <v>0.8928</v>
      </c>
      <c r="L135" s="1">
        <f t="shared" si="217"/>
        <v>45764.5331200431</v>
      </c>
      <c r="M135" s="1">
        <f t="shared" si="218"/>
        <v>16353.6098859287</v>
      </c>
      <c r="N135" s="1">
        <f t="shared" si="219"/>
        <v>10902.4065906191</v>
      </c>
      <c r="O135" s="1">
        <f t="shared" ref="O135:X135" si="418">O$5+(O$6-O$5)*(POWER(O$7,$B135-1)-1)/(POWER(O$7,$B$3-1)-1)</f>
        <v>0.623269664315197</v>
      </c>
      <c r="P135" s="1">
        <f t="shared" si="418"/>
        <v>0.0727820052142137</v>
      </c>
      <c r="Q135" s="1">
        <f t="shared" si="418"/>
        <v>0.342798315373358</v>
      </c>
      <c r="R135" s="1">
        <f t="shared" si="418"/>
        <v>1.04930786572608</v>
      </c>
      <c r="S135" s="1">
        <f t="shared" si="418"/>
        <v>0.172577530041276</v>
      </c>
      <c r="T135" s="1">
        <f t="shared" si="418"/>
        <v>2.48075169082927</v>
      </c>
      <c r="U135" s="1">
        <f t="shared" si="418"/>
        <v>1</v>
      </c>
      <c r="V135" s="1">
        <f t="shared" si="418"/>
        <v>1.13443768518478</v>
      </c>
      <c r="W135" s="1">
        <f t="shared" si="418"/>
        <v>1.0758582549632</v>
      </c>
      <c r="X135" s="1">
        <f t="shared" si="418"/>
        <v>1.39446292580863</v>
      </c>
      <c r="Y135" s="1">
        <f t="shared" si="243"/>
        <v>1.37574687833518</v>
      </c>
      <c r="Z135" s="1">
        <f t="shared" si="244"/>
        <v>2.32932742160557</v>
      </c>
      <c r="AA135" s="1">
        <f t="shared" si="221"/>
        <v>106600.581933493</v>
      </c>
      <c r="AB135" s="1">
        <f t="shared" si="222"/>
        <v>16353.6098859287</v>
      </c>
      <c r="AC135" s="1">
        <f t="shared" si="223"/>
        <v>10902.4065906191</v>
      </c>
      <c r="AD135" s="1">
        <f>AC135/(AC135+[1]战斗公式!$M$27)</f>
        <v>0.312368333751215</v>
      </c>
      <c r="AE135" s="1">
        <f t="shared" si="224"/>
        <v>155025.702226641</v>
      </c>
      <c r="AF135" s="1">
        <f t="shared" si="225"/>
        <v>6.89051270376461</v>
      </c>
      <c r="AG135" s="1">
        <f t="shared" si="226"/>
        <v>4.06967318308515</v>
      </c>
      <c r="AH135" s="1">
        <f t="shared" si="227"/>
        <v>3.47320412775538</v>
      </c>
      <c r="AI135" s="1">
        <f t="shared" si="228"/>
        <v>0.793222395545602</v>
      </c>
      <c r="AJ135" s="1">
        <f t="shared" si="229"/>
        <v>1.00209267260511</v>
      </c>
      <c r="AK135" s="1">
        <f t="shared" si="230"/>
        <v>1.06663421042652</v>
      </c>
      <c r="AL135" s="1">
        <f t="shared" si="231"/>
        <v>0.859667243691564</v>
      </c>
      <c r="AM135" s="27">
        <f t="shared" si="232"/>
        <v>90977</v>
      </c>
      <c r="AN135" s="27">
        <f t="shared" si="233"/>
        <v>12972</v>
      </c>
      <c r="AO135" s="27">
        <f t="shared" si="234"/>
        <v>10902</v>
      </c>
      <c r="AP135" s="1">
        <f t="shared" si="235"/>
        <v>57313</v>
      </c>
      <c r="AQ135" s="1">
        <f t="shared" si="236"/>
        <v>11152</v>
      </c>
      <c r="AR135"/>
      <c r="AS135" s="1">
        <f t="shared" ref="AS135:AY135" si="419">ROUNDUP(AS$10*$AP135,0)</f>
        <v>57313</v>
      </c>
      <c r="AT135" s="1">
        <f t="shared" si="419"/>
        <v>171939</v>
      </c>
      <c r="AU135" s="1">
        <f t="shared" si="419"/>
        <v>103164</v>
      </c>
      <c r="AV135" s="1">
        <f t="shared" si="419"/>
        <v>28657</v>
      </c>
      <c r="AW135" s="1">
        <f t="shared" si="419"/>
        <v>8597</v>
      </c>
      <c r="AX135" s="1">
        <f t="shared" si="419"/>
        <v>229252</v>
      </c>
      <c r="AY135" s="1">
        <f t="shared" si="419"/>
        <v>515817</v>
      </c>
      <c r="AZ135" s="1">
        <f t="shared" si="238"/>
        <v>5470043</v>
      </c>
      <c r="BA135" s="1">
        <f t="shared" si="239"/>
        <v>2735022</v>
      </c>
      <c r="BC135" s="1">
        <f t="shared" si="240"/>
        <v>124</v>
      </c>
    </row>
    <row r="136" s="1" customFormat="1" spans="2:55">
      <c r="B136" s="4">
        <v>125</v>
      </c>
      <c r="C136" s="1">
        <f t="shared" ref="C136:I136" si="420">C$5+(C$6-C$5)*(POWER(C$7,$B136-1)-1)/(POWER(C$7,$B$3-1)-1)</f>
        <v>9876.83682775053</v>
      </c>
      <c r="D136" s="1">
        <f t="shared" si="420"/>
        <v>2963.05104832516</v>
      </c>
      <c r="E136" s="1">
        <f t="shared" si="420"/>
        <v>1975.36736555011</v>
      </c>
      <c r="F136" s="1">
        <f t="shared" si="420"/>
        <v>36256.7427854133</v>
      </c>
      <c r="G136" s="1">
        <f t="shared" si="420"/>
        <v>10877.022835624</v>
      </c>
      <c r="H136" s="1">
        <f t="shared" si="420"/>
        <v>7251.34855708267</v>
      </c>
      <c r="I136" s="1">
        <f t="shared" si="420"/>
        <v>0</v>
      </c>
      <c r="J136" s="1">
        <f>[1]标准模型!$I$65/1*$B136/$B$3</f>
        <v>0.9</v>
      </c>
      <c r="K136" s="1">
        <f>J136*[1]标准模型!$J$63</f>
        <v>0.9</v>
      </c>
      <c r="L136" s="1">
        <f t="shared" si="217"/>
        <v>46133.5796131638</v>
      </c>
      <c r="M136" s="1">
        <f t="shared" si="218"/>
        <v>16506.8198274418</v>
      </c>
      <c r="N136" s="1">
        <f t="shared" si="219"/>
        <v>11004.5465516279</v>
      </c>
      <c r="O136" s="1">
        <f t="shared" ref="O136:X136" si="421">O$5+(O$6-O$5)*(POWER(O$7,$B136-1)-1)/(POWER(O$7,$B$3-1)-1)</f>
        <v>0.624271794573331</v>
      </c>
      <c r="P136" s="1">
        <f t="shared" si="421"/>
        <v>0.0734304353475646</v>
      </c>
      <c r="Q136" s="1">
        <f t="shared" si="421"/>
        <v>0.343349487015332</v>
      </c>
      <c r="R136" s="1">
        <f t="shared" si="421"/>
        <v>1.04970871782933</v>
      </c>
      <c r="S136" s="1">
        <f t="shared" si="421"/>
        <v>0.173980512402663</v>
      </c>
      <c r="T136" s="1">
        <f t="shared" si="421"/>
        <v>2.48465999883599</v>
      </c>
      <c r="U136" s="1">
        <f t="shared" si="421"/>
        <v>1</v>
      </c>
      <c r="V136" s="1">
        <f t="shared" si="421"/>
        <v>1.13553060673126</v>
      </c>
      <c r="W136" s="1">
        <f t="shared" si="421"/>
        <v>1.07647495050667</v>
      </c>
      <c r="X136" s="1">
        <f t="shared" si="421"/>
        <v>1.39766974263466</v>
      </c>
      <c r="Y136" s="1">
        <f t="shared" si="243"/>
        <v>1.38653954905472</v>
      </c>
      <c r="Z136" s="1">
        <f t="shared" si="244"/>
        <v>2.34927198618949</v>
      </c>
      <c r="AA136" s="1">
        <f t="shared" si="221"/>
        <v>108380.326207848</v>
      </c>
      <c r="AB136" s="1">
        <f t="shared" si="222"/>
        <v>16506.8198274418</v>
      </c>
      <c r="AC136" s="1">
        <f t="shared" si="223"/>
        <v>11004.5465516279</v>
      </c>
      <c r="AD136" s="1">
        <f>AC136/(AC136+[1]战斗公式!$M$27)</f>
        <v>0.314374778013404</v>
      </c>
      <c r="AE136" s="1">
        <f t="shared" si="224"/>
        <v>158075.173917635</v>
      </c>
      <c r="AF136" s="1">
        <f t="shared" si="225"/>
        <v>6.90665870333654</v>
      </c>
      <c r="AG136" s="1">
        <f t="shared" si="226"/>
        <v>4.07630768182441</v>
      </c>
      <c r="AH136" s="1">
        <f t="shared" si="227"/>
        <v>3.48537275102827</v>
      </c>
      <c r="AI136" s="1">
        <f t="shared" si="228"/>
        <v>0.795913921024466</v>
      </c>
      <c r="AJ136" s="1">
        <f t="shared" si="229"/>
        <v>1.00198803897442</v>
      </c>
      <c r="AK136" s="1">
        <f t="shared" si="230"/>
        <v>1.0653008564106</v>
      </c>
      <c r="AL136" s="1">
        <f t="shared" si="231"/>
        <v>0.860067614423849</v>
      </c>
      <c r="AM136" s="27">
        <f t="shared" si="232"/>
        <v>92669</v>
      </c>
      <c r="AN136" s="27">
        <f t="shared" si="233"/>
        <v>13138</v>
      </c>
      <c r="AO136" s="27">
        <f t="shared" si="234"/>
        <v>11005</v>
      </c>
      <c r="AP136" s="1">
        <f t="shared" si="235"/>
        <v>58264</v>
      </c>
      <c r="AQ136" s="1">
        <f t="shared" si="236"/>
        <v>11300</v>
      </c>
      <c r="AR136"/>
      <c r="AS136" s="1">
        <f t="shared" ref="AS136:AY136" si="422">ROUNDUP(AS$10*$AP136,0)</f>
        <v>58264</v>
      </c>
      <c r="AT136" s="1">
        <f t="shared" si="422"/>
        <v>174792</v>
      </c>
      <c r="AU136" s="1">
        <f t="shared" si="422"/>
        <v>104876</v>
      </c>
      <c r="AV136" s="1">
        <f t="shared" si="422"/>
        <v>29132</v>
      </c>
      <c r="AW136" s="1">
        <f t="shared" si="422"/>
        <v>8740</v>
      </c>
      <c r="AX136" s="1">
        <f t="shared" si="422"/>
        <v>233056</v>
      </c>
      <c r="AY136" s="1">
        <f t="shared" si="422"/>
        <v>524376</v>
      </c>
      <c r="AZ136" s="1">
        <f t="shared" si="238"/>
        <v>5571194</v>
      </c>
      <c r="BA136" s="1">
        <f t="shared" si="239"/>
        <v>2785597</v>
      </c>
      <c r="BC136" s="1">
        <f t="shared" si="240"/>
        <v>125</v>
      </c>
    </row>
    <row r="137" s="1" customFormat="1" spans="2:55">
      <c r="B137" s="4">
        <v>126</v>
      </c>
      <c r="C137" s="1">
        <f t="shared" ref="C137:I137" si="423">C$5+(C$6-C$5)*(POWER(C$7,$B137-1)-1)/(POWER(C$7,$B$3-1)-1)</f>
        <v>9955.84670255314</v>
      </c>
      <c r="D137" s="1">
        <f t="shared" si="423"/>
        <v>2986.75401076594</v>
      </c>
      <c r="E137" s="1">
        <f t="shared" si="423"/>
        <v>1991.16934051063</v>
      </c>
      <c r="F137" s="1">
        <f t="shared" si="423"/>
        <v>36546.7790346887</v>
      </c>
      <c r="G137" s="1">
        <f t="shared" si="423"/>
        <v>10964.0337104066</v>
      </c>
      <c r="H137" s="1">
        <f t="shared" si="423"/>
        <v>7309.35580693775</v>
      </c>
      <c r="I137" s="1">
        <f t="shared" si="423"/>
        <v>0</v>
      </c>
      <c r="J137" s="1">
        <f>[1]标准模型!$I$65/1*$B137/$B$3</f>
        <v>0.9072</v>
      </c>
      <c r="K137" s="1">
        <f>J137*[1]标准模型!$J$63</f>
        <v>0.9072</v>
      </c>
      <c r="L137" s="1">
        <f t="shared" si="217"/>
        <v>46502.6257372418</v>
      </c>
      <c r="M137" s="1">
        <f t="shared" si="218"/>
        <v>16660.3709597394</v>
      </c>
      <c r="N137" s="1">
        <f t="shared" si="219"/>
        <v>11106.9139731596</v>
      </c>
      <c r="O137" s="1">
        <f t="shared" ref="O137:X137" si="424">O$5+(O$6-O$5)*(POWER(O$7,$B137-1)-1)/(POWER(O$7,$B$3-1)-1)</f>
        <v>0.625273923829344</v>
      </c>
      <c r="P137" s="1">
        <f t="shared" si="424"/>
        <v>0.0740798381261156</v>
      </c>
      <c r="Q137" s="1">
        <f t="shared" si="424"/>
        <v>0.343900658106139</v>
      </c>
      <c r="R137" s="1">
        <f t="shared" si="424"/>
        <v>1.05010956953174</v>
      </c>
      <c r="S137" s="1">
        <f t="shared" si="424"/>
        <v>0.175383493361082</v>
      </c>
      <c r="T137" s="1">
        <f t="shared" si="424"/>
        <v>2.48856830293444</v>
      </c>
      <c r="U137" s="1">
        <f t="shared" si="424"/>
        <v>1</v>
      </c>
      <c r="V137" s="1">
        <f t="shared" si="424"/>
        <v>1.13662352718482</v>
      </c>
      <c r="W137" s="1">
        <f t="shared" si="424"/>
        <v>1.07709164543344</v>
      </c>
      <c r="X137" s="1">
        <f t="shared" si="424"/>
        <v>1.4008765562539</v>
      </c>
      <c r="Y137" s="1">
        <f t="shared" si="243"/>
        <v>1.39740842370946</v>
      </c>
      <c r="Z137" s="1">
        <f t="shared" si="244"/>
        <v>2.36937235127177</v>
      </c>
      <c r="AA137" s="1">
        <f t="shared" si="221"/>
        <v>110182.03568336</v>
      </c>
      <c r="AB137" s="1">
        <f t="shared" si="222"/>
        <v>16660.3709597394</v>
      </c>
      <c r="AC137" s="1">
        <f t="shared" si="223"/>
        <v>11106.9139731596</v>
      </c>
      <c r="AD137" s="1">
        <f>AC137/(AC137+[1]战斗公式!$M$27)</f>
        <v>0.316373976409639</v>
      </c>
      <c r="AE137" s="1">
        <f t="shared" si="224"/>
        <v>161172.968671805</v>
      </c>
      <c r="AF137" s="1">
        <f t="shared" si="225"/>
        <v>6.92283819715415</v>
      </c>
      <c r="AG137" s="1">
        <f t="shared" si="226"/>
        <v>4.08295150717372</v>
      </c>
      <c r="AH137" s="1">
        <f t="shared" si="227"/>
        <v>3.49745010962661</v>
      </c>
      <c r="AI137" s="1">
        <f t="shared" si="228"/>
        <v>0.798610829554288</v>
      </c>
      <c r="AJ137" s="1">
        <f t="shared" si="229"/>
        <v>1.00188863702526</v>
      </c>
      <c r="AK137" s="1">
        <f t="shared" si="230"/>
        <v>1.063994169475</v>
      </c>
      <c r="AL137" s="1">
        <f t="shared" si="231"/>
        <v>0.860466784043937</v>
      </c>
      <c r="AM137" s="27">
        <f t="shared" si="232"/>
        <v>94382</v>
      </c>
      <c r="AN137" s="27">
        <f t="shared" si="233"/>
        <v>13305</v>
      </c>
      <c r="AO137" s="27">
        <f t="shared" si="234"/>
        <v>11107</v>
      </c>
      <c r="AP137" s="1">
        <f t="shared" si="235"/>
        <v>59227</v>
      </c>
      <c r="AQ137" s="1">
        <f t="shared" si="236"/>
        <v>11449</v>
      </c>
      <c r="AR137"/>
      <c r="AS137" s="1">
        <f t="shared" ref="AS137:AY137" si="425">ROUNDUP(AS$10*$AP137,0)</f>
        <v>59227</v>
      </c>
      <c r="AT137" s="1">
        <f t="shared" si="425"/>
        <v>177681</v>
      </c>
      <c r="AU137" s="1">
        <f t="shared" si="425"/>
        <v>106609</v>
      </c>
      <c r="AV137" s="1">
        <f t="shared" si="425"/>
        <v>29614</v>
      </c>
      <c r="AW137" s="1">
        <f t="shared" si="425"/>
        <v>8885</v>
      </c>
      <c r="AX137" s="1">
        <f t="shared" si="425"/>
        <v>236908</v>
      </c>
      <c r="AY137" s="1">
        <f t="shared" si="425"/>
        <v>533043</v>
      </c>
      <c r="AZ137" s="1">
        <f t="shared" si="238"/>
        <v>5673615</v>
      </c>
      <c r="BA137" s="1">
        <f t="shared" si="239"/>
        <v>2836808</v>
      </c>
      <c r="BC137" s="1">
        <f t="shared" si="240"/>
        <v>126</v>
      </c>
    </row>
    <row r="138" s="1" customFormat="1" spans="2:55">
      <c r="B138" s="4">
        <v>127</v>
      </c>
      <c r="C138" s="1">
        <f t="shared" ref="C138:I138" si="426">C$5+(C$6-C$5)*(POWER(C$7,$B138-1)-1)/(POWER(C$7,$B$3-1)-1)</f>
        <v>10034.8564983466</v>
      </c>
      <c r="D138" s="1">
        <f t="shared" si="426"/>
        <v>3010.45694950398</v>
      </c>
      <c r="E138" s="1">
        <f t="shared" si="426"/>
        <v>2006.97129966932</v>
      </c>
      <c r="F138" s="1">
        <f t="shared" si="426"/>
        <v>36836.8149939305</v>
      </c>
      <c r="G138" s="1">
        <f t="shared" si="426"/>
        <v>11051.0444981792</v>
      </c>
      <c r="H138" s="1">
        <f t="shared" si="426"/>
        <v>7367.36299878611</v>
      </c>
      <c r="I138" s="1">
        <f t="shared" si="426"/>
        <v>0</v>
      </c>
      <c r="J138" s="1">
        <f>[1]标准模型!$I$65/1*$B138/$B$3</f>
        <v>0.9144</v>
      </c>
      <c r="K138" s="1">
        <f>J138*[1]标准模型!$J$63</f>
        <v>0.9144</v>
      </c>
      <c r="L138" s="1">
        <f t="shared" si="217"/>
        <v>46871.6714922771</v>
      </c>
      <c r="M138" s="1">
        <f t="shared" si="218"/>
        <v>16814.2632823096</v>
      </c>
      <c r="N138" s="1">
        <f t="shared" si="219"/>
        <v>11209.5088548731</v>
      </c>
      <c r="O138" s="1">
        <f t="shared" ref="O138:X138" si="427">O$5+(O$6-O$5)*(POWER(O$7,$B138-1)-1)/(POWER(O$7,$B$3-1)-1)</f>
        <v>0.626276052083237</v>
      </c>
      <c r="P138" s="1">
        <f t="shared" si="427"/>
        <v>0.0747302150088344</v>
      </c>
      <c r="Q138" s="1">
        <f t="shared" si="427"/>
        <v>0.344451828645781</v>
      </c>
      <c r="R138" s="1">
        <f t="shared" si="427"/>
        <v>1.05051042083329</v>
      </c>
      <c r="S138" s="1">
        <f t="shared" si="427"/>
        <v>0.176786472916532</v>
      </c>
      <c r="T138" s="1">
        <f t="shared" si="427"/>
        <v>2.49247660312463</v>
      </c>
      <c r="U138" s="1">
        <f t="shared" si="427"/>
        <v>1</v>
      </c>
      <c r="V138" s="1">
        <f t="shared" si="427"/>
        <v>1.13771644654548</v>
      </c>
      <c r="W138" s="1">
        <f t="shared" si="427"/>
        <v>1.07770833974353</v>
      </c>
      <c r="X138" s="1">
        <f t="shared" si="427"/>
        <v>1.40408336666636</v>
      </c>
      <c r="Y138" s="1">
        <f t="shared" si="243"/>
        <v>1.40835397739285</v>
      </c>
      <c r="Z138" s="1">
        <f t="shared" si="244"/>
        <v>2.38962960564343</v>
      </c>
      <c r="AA138" s="1">
        <f t="shared" si="221"/>
        <v>112005.933863938</v>
      </c>
      <c r="AB138" s="1">
        <f t="shared" si="222"/>
        <v>16814.2632823096</v>
      </c>
      <c r="AC138" s="1">
        <f t="shared" si="223"/>
        <v>11209.5088548731</v>
      </c>
      <c r="AD138" s="1">
        <f>AC138/(AC138+[1]战斗公式!$M$27)</f>
        <v>0.318365953387096</v>
      </c>
      <c r="AE138" s="1">
        <f t="shared" si="224"/>
        <v>164319.746674194</v>
      </c>
      <c r="AF138" s="1">
        <f t="shared" si="225"/>
        <v>6.93905114724546</v>
      </c>
      <c r="AG138" s="1">
        <f t="shared" si="226"/>
        <v>4.08960462302449</v>
      </c>
      <c r="AH138" s="1">
        <f t="shared" si="227"/>
        <v>3.50943688803546</v>
      </c>
      <c r="AI138" s="1">
        <f t="shared" si="228"/>
        <v>0.80131313190117</v>
      </c>
      <c r="AJ138" s="1">
        <f t="shared" si="229"/>
        <v>1.00179420517355</v>
      </c>
      <c r="AK138" s="1">
        <f t="shared" si="230"/>
        <v>1.06271361627811</v>
      </c>
      <c r="AL138" s="1">
        <f t="shared" si="231"/>
        <v>0.860864756155165</v>
      </c>
      <c r="AM138" s="27">
        <f t="shared" si="232"/>
        <v>96116</v>
      </c>
      <c r="AN138" s="27">
        <f t="shared" si="233"/>
        <v>13473</v>
      </c>
      <c r="AO138" s="27">
        <f t="shared" si="234"/>
        <v>11210</v>
      </c>
      <c r="AP138" s="1">
        <f t="shared" si="235"/>
        <v>60200</v>
      </c>
      <c r="AQ138" s="1">
        <f t="shared" si="236"/>
        <v>11598</v>
      </c>
      <c r="AR138"/>
      <c r="AS138" s="1">
        <f t="shared" ref="AS138:AY138" si="428">ROUNDUP(AS$10*$AP138,0)</f>
        <v>60200</v>
      </c>
      <c r="AT138" s="1">
        <f t="shared" si="428"/>
        <v>180600</v>
      </c>
      <c r="AU138" s="1">
        <f t="shared" si="428"/>
        <v>108360</v>
      </c>
      <c r="AV138" s="1">
        <f t="shared" si="428"/>
        <v>30100</v>
      </c>
      <c r="AW138" s="1">
        <f t="shared" si="428"/>
        <v>9030</v>
      </c>
      <c r="AX138" s="1">
        <f t="shared" si="428"/>
        <v>240800</v>
      </c>
      <c r="AY138" s="1">
        <f t="shared" si="428"/>
        <v>541800</v>
      </c>
      <c r="AZ138" s="1">
        <f t="shared" si="238"/>
        <v>5777307</v>
      </c>
      <c r="BA138" s="1">
        <f t="shared" si="239"/>
        <v>2888654</v>
      </c>
      <c r="BC138" s="1">
        <f t="shared" si="240"/>
        <v>127</v>
      </c>
    </row>
    <row r="139" s="1" customFormat="1" spans="2:55">
      <c r="B139" s="4">
        <v>128</v>
      </c>
      <c r="C139" s="1">
        <f t="shared" ref="C139:I139" si="429">C$5+(C$6-C$5)*(POWER(C$7,$B139-1)-1)/(POWER(C$7,$B$3-1)-1)</f>
        <v>10113.8662151221</v>
      </c>
      <c r="D139" s="1">
        <f t="shared" si="429"/>
        <v>3034.15986453664</v>
      </c>
      <c r="E139" s="1">
        <f t="shared" si="429"/>
        <v>2022.77324302443</v>
      </c>
      <c r="F139" s="1">
        <f t="shared" si="429"/>
        <v>37126.8506631065</v>
      </c>
      <c r="G139" s="1">
        <f t="shared" si="429"/>
        <v>11138.055198932</v>
      </c>
      <c r="H139" s="1">
        <f t="shared" si="429"/>
        <v>7425.37013262131</v>
      </c>
      <c r="I139" s="1">
        <f t="shared" si="429"/>
        <v>0</v>
      </c>
      <c r="J139" s="1">
        <f>[1]标准模型!$I$65/1*$B139/$B$3</f>
        <v>0.9216</v>
      </c>
      <c r="K139" s="1">
        <f>J139*[1]标准模型!$J$63</f>
        <v>0.9216</v>
      </c>
      <c r="L139" s="1">
        <f t="shared" si="217"/>
        <v>47240.7168782286</v>
      </c>
      <c r="M139" s="1">
        <f t="shared" si="218"/>
        <v>16968.4967946256</v>
      </c>
      <c r="N139" s="1">
        <f t="shared" si="219"/>
        <v>11312.3311964171</v>
      </c>
      <c r="O139" s="1">
        <f t="shared" ref="O139:X139" si="430">O$5+(O$6-O$5)*(POWER(O$7,$B139-1)-1)/(POWER(O$7,$B$3-1)-1)</f>
        <v>0.627278179334899</v>
      </c>
      <c r="P139" s="1">
        <f t="shared" si="430"/>
        <v>0.0753815674568772</v>
      </c>
      <c r="Q139" s="1">
        <f t="shared" si="430"/>
        <v>0.345002998634195</v>
      </c>
      <c r="R139" s="1">
        <f t="shared" si="430"/>
        <v>1.05091127173396</v>
      </c>
      <c r="S139" s="1">
        <f t="shared" si="430"/>
        <v>0.178189451068859</v>
      </c>
      <c r="T139" s="1">
        <f t="shared" si="430"/>
        <v>2.49638489940611</v>
      </c>
      <c r="U139" s="1">
        <f t="shared" si="430"/>
        <v>1</v>
      </c>
      <c r="V139" s="1">
        <f t="shared" si="430"/>
        <v>1.1388093648131</v>
      </c>
      <c r="W139" s="1">
        <f t="shared" si="430"/>
        <v>1.07832503343686</v>
      </c>
      <c r="X139" s="1">
        <f t="shared" si="430"/>
        <v>1.40729017387168</v>
      </c>
      <c r="Y139" s="1">
        <f t="shared" si="243"/>
        <v>1.41937668754998</v>
      </c>
      <c r="Z139" s="1">
        <f t="shared" si="244"/>
        <v>2.41004484442095</v>
      </c>
      <c r="AA139" s="1">
        <f t="shared" si="221"/>
        <v>113852.246159125</v>
      </c>
      <c r="AB139" s="1">
        <f t="shared" si="222"/>
        <v>16968.4967946256</v>
      </c>
      <c r="AC139" s="1">
        <f t="shared" si="223"/>
        <v>11312.3311964171</v>
      </c>
      <c r="AD139" s="1">
        <f>AC139/(AC139+[1]战斗公式!$M$27)</f>
        <v>0.320350733388139</v>
      </c>
      <c r="AE139" s="1">
        <f t="shared" si="224"/>
        <v>167516.175992793</v>
      </c>
      <c r="AF139" s="1">
        <f t="shared" si="225"/>
        <v>6.95529751583011</v>
      </c>
      <c r="AG139" s="1">
        <f t="shared" si="226"/>
        <v>4.09626699345318</v>
      </c>
      <c r="AH139" s="1">
        <f t="shared" si="227"/>
        <v>3.52133376560625</v>
      </c>
      <c r="AI139" s="1">
        <f t="shared" si="228"/>
        <v>0.804020838852745</v>
      </c>
      <c r="AJ139" s="1">
        <f t="shared" si="229"/>
        <v>1.00170449491443</v>
      </c>
      <c r="AK139" s="1">
        <f t="shared" si="230"/>
        <v>1.06145867414516</v>
      </c>
      <c r="AL139" s="1">
        <f t="shared" si="231"/>
        <v>0.861261534350059</v>
      </c>
      <c r="AM139" s="27">
        <f t="shared" si="232"/>
        <v>97872</v>
      </c>
      <c r="AN139" s="27">
        <f t="shared" si="233"/>
        <v>13643</v>
      </c>
      <c r="AO139" s="27">
        <f t="shared" si="234"/>
        <v>11312</v>
      </c>
      <c r="AP139" s="1">
        <f t="shared" si="235"/>
        <v>61184</v>
      </c>
      <c r="AQ139" s="1">
        <f t="shared" si="236"/>
        <v>11750</v>
      </c>
      <c r="AR139"/>
      <c r="AS139" s="1">
        <f t="shared" ref="AS139:AY139" si="431">ROUNDUP(AS$10*$AP139,0)</f>
        <v>61184</v>
      </c>
      <c r="AT139" s="1">
        <f t="shared" si="431"/>
        <v>183552</v>
      </c>
      <c r="AU139" s="1">
        <f t="shared" si="431"/>
        <v>110132</v>
      </c>
      <c r="AV139" s="1">
        <f t="shared" si="431"/>
        <v>30592</v>
      </c>
      <c r="AW139" s="1">
        <f t="shared" si="431"/>
        <v>9178</v>
      </c>
      <c r="AX139" s="1">
        <f t="shared" si="431"/>
        <v>244736</v>
      </c>
      <c r="AY139" s="1">
        <f t="shared" si="431"/>
        <v>550656</v>
      </c>
      <c r="AZ139" s="1">
        <f t="shared" si="238"/>
        <v>5882329</v>
      </c>
      <c r="BA139" s="1">
        <f t="shared" si="239"/>
        <v>2941165</v>
      </c>
      <c r="BC139" s="1">
        <f t="shared" si="240"/>
        <v>128</v>
      </c>
    </row>
    <row r="140" s="1" customFormat="1" spans="2:55">
      <c r="B140" s="4">
        <v>129</v>
      </c>
      <c r="C140" s="1">
        <f t="shared" ref="C140:I140" si="432">C$5+(C$6-C$5)*(POWER(C$7,$B140-1)-1)/(POWER(C$7,$B$3-1)-1)</f>
        <v>10192.8758528973</v>
      </c>
      <c r="D140" s="1">
        <f t="shared" si="432"/>
        <v>3057.86275586918</v>
      </c>
      <c r="E140" s="1">
        <f t="shared" si="432"/>
        <v>2038.57517057946</v>
      </c>
      <c r="F140" s="1">
        <f t="shared" si="432"/>
        <v>37416.8860422812</v>
      </c>
      <c r="G140" s="1">
        <f t="shared" si="432"/>
        <v>11225.0658126843</v>
      </c>
      <c r="H140" s="1">
        <f t="shared" si="432"/>
        <v>7483.37720845623</v>
      </c>
      <c r="I140" s="1">
        <f t="shared" si="432"/>
        <v>0</v>
      </c>
      <c r="J140" s="1">
        <f>[1]标准模型!$I$65/1*$B140/$B$3</f>
        <v>0.9288</v>
      </c>
      <c r="K140" s="1">
        <f>J140*[1]标准模型!$J$63</f>
        <v>0.9288</v>
      </c>
      <c r="L140" s="1">
        <f t="shared" ref="L140:L203" si="433">C140*(1+I140)+F140</f>
        <v>47609.7618951785</v>
      </c>
      <c r="M140" s="1">
        <f t="shared" ref="M140:M203" si="434">D140*(1+J140)+G140</f>
        <v>17123.0714962048</v>
      </c>
      <c r="N140" s="1">
        <f t="shared" ref="N140:N203" si="435">E140*(1+K140)+H140</f>
        <v>11415.3809974699</v>
      </c>
      <c r="O140" s="1">
        <f t="shared" ref="O140:X140" si="436">O$5+(O$6-O$5)*(POWER(O$7,$B140-1)-1)/(POWER(O$7,$B$3-1)-1)</f>
        <v>0.628280305584552</v>
      </c>
      <c r="P140" s="1">
        <f t="shared" si="436"/>
        <v>0.0760338969335922</v>
      </c>
      <c r="Q140" s="1">
        <f t="shared" si="436"/>
        <v>0.345554168071504</v>
      </c>
      <c r="R140" s="1">
        <f t="shared" si="436"/>
        <v>1.05131212223382</v>
      </c>
      <c r="S140" s="1">
        <f t="shared" si="436"/>
        <v>0.179592427818373</v>
      </c>
      <c r="T140" s="1">
        <f t="shared" si="436"/>
        <v>2.50029319177975</v>
      </c>
      <c r="U140" s="1">
        <f t="shared" si="436"/>
        <v>1</v>
      </c>
      <c r="V140" s="1">
        <f t="shared" si="436"/>
        <v>1.13990228198794</v>
      </c>
      <c r="W140" s="1">
        <f t="shared" si="436"/>
        <v>1.07894172651357</v>
      </c>
      <c r="X140" s="1">
        <f t="shared" si="436"/>
        <v>1.41049697787057</v>
      </c>
      <c r="Y140" s="1">
        <f t="shared" si="243"/>
        <v>1.4304770339901</v>
      </c>
      <c r="Z140" s="1">
        <f t="shared" si="244"/>
        <v>2.4306191690827</v>
      </c>
      <c r="AA140" s="1">
        <f t="shared" ref="AA140:AA203" si="437">Z140*L140</f>
        <v>115721.199897884</v>
      </c>
      <c r="AB140" s="1">
        <f t="shared" ref="AB140:AB203" si="438">M140</f>
        <v>17123.0714962048</v>
      </c>
      <c r="AC140" s="1">
        <f t="shared" ref="AC140:AC203" si="439">N140</f>
        <v>11415.3809974699</v>
      </c>
      <c r="AD140" s="1">
        <f>AC140/(AC140+[1]战斗公式!$M$27)</f>
        <v>0.322328340849571</v>
      </c>
      <c r="AE140" s="1">
        <f t="shared" ref="AE140:AE203" si="440">AA140/(1-AD140)</f>
        <v>170762.932661164</v>
      </c>
      <c r="AF140" s="1">
        <f t="shared" ref="AF140:AF203" si="441">AE140/AB140/Y140</f>
        <v>6.97157726532749</v>
      </c>
      <c r="AG140" s="1">
        <f t="shared" ref="AG140:AG203" si="442">AE140/AB140/Z140</f>
        <v>4.10293858272421</v>
      </c>
      <c r="AH140" s="1">
        <f t="shared" ref="AH140:AH203" si="443">AH$5+(AH$6-AH$5)*(POWER(AH$7,$B140-1)-1)/(POWER(AH$7,$B$3-1)-1)</f>
        <v>3.53314141659526</v>
      </c>
      <c r="AI140" s="1">
        <f t="shared" ref="AI140:AI203" si="444">$AI$5+($AI$6-$AI$5)*(POWER($AI$7,$B140-1)-1)/(POWER($AI$7,$B$3-1)-1)</f>
        <v>0.806733961218224</v>
      </c>
      <c r="AJ140" s="1">
        <f t="shared" ref="AJ140:AJ203" si="445">$AJ$5+($AJ$6-$AJ$5)*(POWER($AJ$7,$B140-1)-1)/(POWER($AJ$7,$B$3-1)-1)</f>
        <v>1.00161927016827</v>
      </c>
      <c r="AK140" s="1">
        <f t="shared" ref="AK140:AK203" si="446">$AK$5+($AK$6-$AK$5)*(POWER($AK$7,$B140-1)-1)/(POWER($AK$7,$B$3-1)-1)</f>
        <v>1.06022883085487</v>
      </c>
      <c r="AL140" s="1">
        <f t="shared" ref="AL140:AL203" si="447">$AL$5+($AL$6-$AL$5)*(POWER($AL$7,$B140-1)-1)/(POWER($AL$7,$B$3-1)-1)</f>
        <v>0.861657122210369</v>
      </c>
      <c r="AM140" s="27">
        <f t="shared" ref="AM140:AM203" si="448">ROUND(AA140/AG140*AH140,0)</f>
        <v>99650</v>
      </c>
      <c r="AN140" s="27">
        <f t="shared" ref="AN140:AN203" si="449">ROUND(AB140*AI140,0)</f>
        <v>13814</v>
      </c>
      <c r="AO140" s="27">
        <f t="shared" ref="AO140:AO203" si="450">ROUND(AC140,0)</f>
        <v>11415</v>
      </c>
      <c r="AP140" s="1">
        <f t="shared" ref="AP140:AP203" si="451">ROUND(AA140/$AF140*AH140*AK140,0)</f>
        <v>62179</v>
      </c>
      <c r="AQ140" s="1">
        <f t="shared" ref="AQ140:AQ203" si="452">ROUND(AN140*AL140,0)</f>
        <v>11903</v>
      </c>
      <c r="AR140"/>
      <c r="AS140" s="1">
        <f t="shared" ref="AS140:AY140" si="453">ROUNDUP(AS$10*$AP140,0)</f>
        <v>62179</v>
      </c>
      <c r="AT140" s="1">
        <f t="shared" si="453"/>
        <v>186537</v>
      </c>
      <c r="AU140" s="1">
        <f t="shared" si="453"/>
        <v>111923</v>
      </c>
      <c r="AV140" s="1">
        <f t="shared" si="453"/>
        <v>31090</v>
      </c>
      <c r="AW140" s="1">
        <f t="shared" si="453"/>
        <v>9327</v>
      </c>
      <c r="AX140" s="1">
        <f t="shared" si="453"/>
        <v>248716</v>
      </c>
      <c r="AY140" s="1">
        <f t="shared" si="453"/>
        <v>559611</v>
      </c>
      <c r="AZ140" s="1">
        <f t="shared" ref="AZ140:AZ203" si="454">ROUND(AM140*$AZ$10*AJ140,0)</f>
        <v>5988682</v>
      </c>
      <c r="BA140" s="1">
        <f t="shared" ref="BA140:BA203" si="455">ROUND(AM140*$BA$10*AJ140,0)</f>
        <v>2994341</v>
      </c>
      <c r="BC140" s="1">
        <f t="shared" ref="BC140:BC203" si="456">B140</f>
        <v>129</v>
      </c>
    </row>
    <row r="141" s="1" customFormat="1" spans="2:55">
      <c r="B141" s="4">
        <v>130</v>
      </c>
      <c r="C141" s="1">
        <f t="shared" ref="C141:I141" si="457">C$5+(C$6-C$5)*(POWER(C$7,$B141-1)-1)/(POWER(C$7,$B$3-1)-1)</f>
        <v>10271.8854116633</v>
      </c>
      <c r="D141" s="1">
        <f t="shared" si="457"/>
        <v>3081.56562349898</v>
      </c>
      <c r="E141" s="1">
        <f t="shared" si="457"/>
        <v>2054.37708233266</v>
      </c>
      <c r="F141" s="1">
        <f t="shared" si="457"/>
        <v>37706.9211314222</v>
      </c>
      <c r="G141" s="1">
        <f t="shared" si="457"/>
        <v>11312.0763394267</v>
      </c>
      <c r="H141" s="1">
        <f t="shared" si="457"/>
        <v>7541.38422628444</v>
      </c>
      <c r="I141" s="1">
        <f t="shared" si="457"/>
        <v>0</v>
      </c>
      <c r="J141" s="1">
        <f>[1]标准模型!$I$65/1*$B141/$B$3</f>
        <v>0.936</v>
      </c>
      <c r="K141" s="1">
        <f>J141*[1]标准模型!$J$63</f>
        <v>0.936</v>
      </c>
      <c r="L141" s="1">
        <f t="shared" si="433"/>
        <v>47978.8065430855</v>
      </c>
      <c r="M141" s="1">
        <f t="shared" si="434"/>
        <v>17277.9873865207</v>
      </c>
      <c r="N141" s="1">
        <f t="shared" si="435"/>
        <v>11518.6582576805</v>
      </c>
      <c r="O141" s="1">
        <f t="shared" ref="O141:X141" si="458">O$5+(O$6-O$5)*(POWER(O$7,$B141-1)-1)/(POWER(O$7,$B$3-1)-1)</f>
        <v>0.629282430832085</v>
      </c>
      <c r="P141" s="1">
        <f t="shared" si="458"/>
        <v>0.0766872049045221</v>
      </c>
      <c r="Q141" s="1">
        <f t="shared" si="458"/>
        <v>0.346105336957647</v>
      </c>
      <c r="R141" s="1">
        <f t="shared" si="458"/>
        <v>1.05171297233283</v>
      </c>
      <c r="S141" s="1">
        <f t="shared" si="458"/>
        <v>0.18099540316492</v>
      </c>
      <c r="T141" s="1">
        <f t="shared" si="458"/>
        <v>2.50420148024513</v>
      </c>
      <c r="U141" s="1">
        <f t="shared" si="458"/>
        <v>1</v>
      </c>
      <c r="V141" s="1">
        <f t="shared" si="458"/>
        <v>1.14099519806986</v>
      </c>
      <c r="W141" s="1">
        <f t="shared" si="458"/>
        <v>1.07955841897359</v>
      </c>
      <c r="X141" s="1">
        <f t="shared" si="458"/>
        <v>1.41370377866267</v>
      </c>
      <c r="Y141" s="1">
        <f t="shared" ref="Y141:Y204" si="459">(1+S141*(T141-1))*U141*X141*(O141+P141)*R141*W141</f>
        <v>1.44165549888832</v>
      </c>
      <c r="Z141" s="1">
        <f t="shared" ref="Z141:Z204" si="460">(1+S141*(T141-1))*(O141+P141+Q141)*U141*V141*X141*R141*W141</f>
        <v>2.45135368748448</v>
      </c>
      <c r="AA141" s="1">
        <f t="shared" si="437"/>
        <v>117613.024340497</v>
      </c>
      <c r="AB141" s="1">
        <f t="shared" si="438"/>
        <v>17277.9873865207</v>
      </c>
      <c r="AC141" s="1">
        <f t="shared" si="439"/>
        <v>11518.6582576805</v>
      </c>
      <c r="AD141" s="1">
        <f>AC141/(AC141+[1]战斗公式!$M$27)</f>
        <v>0.324298800200025</v>
      </c>
      <c r="AE141" s="1">
        <f t="shared" si="440"/>
        <v>174060.700758432</v>
      </c>
      <c r="AF141" s="1">
        <f t="shared" si="441"/>
        <v>6.98789035833936</v>
      </c>
      <c r="AG141" s="1">
        <f t="shared" si="442"/>
        <v>4.1096193552822</v>
      </c>
      <c r="AH141" s="1">
        <f t="shared" si="443"/>
        <v>3.54486051020184</v>
      </c>
      <c r="AI141" s="1">
        <f t="shared" si="444"/>
        <v>0.809452509828434</v>
      </c>
      <c r="AJ141" s="1">
        <f t="shared" si="445"/>
        <v>1.00153830665942</v>
      </c>
      <c r="AK141" s="1">
        <f t="shared" si="446"/>
        <v>1.05902358443038</v>
      </c>
      <c r="AL141" s="1">
        <f t="shared" si="447"/>
        <v>0.862051523307098</v>
      </c>
      <c r="AM141" s="27">
        <f t="shared" si="448"/>
        <v>101450</v>
      </c>
      <c r="AN141" s="27">
        <f t="shared" si="449"/>
        <v>13986</v>
      </c>
      <c r="AO141" s="27">
        <f t="shared" si="450"/>
        <v>11519</v>
      </c>
      <c r="AP141" s="1">
        <f t="shared" si="451"/>
        <v>63185</v>
      </c>
      <c r="AQ141" s="1">
        <f t="shared" si="452"/>
        <v>12057</v>
      </c>
      <c r="AR141"/>
      <c r="AS141" s="1">
        <f t="shared" ref="AS141:AY141" si="461">ROUNDUP(AS$10*$AP141,0)</f>
        <v>63185</v>
      </c>
      <c r="AT141" s="1">
        <f t="shared" si="461"/>
        <v>189555</v>
      </c>
      <c r="AU141" s="1">
        <f t="shared" si="461"/>
        <v>113733</v>
      </c>
      <c r="AV141" s="1">
        <f t="shared" si="461"/>
        <v>31593</v>
      </c>
      <c r="AW141" s="1">
        <f t="shared" si="461"/>
        <v>9478</v>
      </c>
      <c r="AX141" s="1">
        <f t="shared" si="461"/>
        <v>252740</v>
      </c>
      <c r="AY141" s="1">
        <f t="shared" si="461"/>
        <v>568665</v>
      </c>
      <c r="AZ141" s="1">
        <f t="shared" si="454"/>
        <v>6096364</v>
      </c>
      <c r="BA141" s="1">
        <f t="shared" si="455"/>
        <v>3048182</v>
      </c>
      <c r="BC141" s="1">
        <f t="shared" si="456"/>
        <v>130</v>
      </c>
    </row>
    <row r="142" s="1" customFormat="1" spans="2:55">
      <c r="B142" s="4">
        <v>131</v>
      </c>
      <c r="C142" s="1">
        <f t="shared" ref="C142:I142" si="462">C$5+(C$6-C$5)*(POWER(C$7,$B142-1)-1)/(POWER(C$7,$B$3-1)-1)</f>
        <v>10350.8948914201</v>
      </c>
      <c r="D142" s="1">
        <f t="shared" si="462"/>
        <v>3105.26846742604</v>
      </c>
      <c r="E142" s="1">
        <f t="shared" si="462"/>
        <v>2070.17897828403</v>
      </c>
      <c r="F142" s="1">
        <f t="shared" si="462"/>
        <v>37996.9559305296</v>
      </c>
      <c r="G142" s="1">
        <f t="shared" si="462"/>
        <v>11399.0867791589</v>
      </c>
      <c r="H142" s="1">
        <f t="shared" si="462"/>
        <v>7599.39118610592</v>
      </c>
      <c r="I142" s="1">
        <f t="shared" si="462"/>
        <v>0</v>
      </c>
      <c r="J142" s="1">
        <f>[1]标准模型!$I$65/1*$B142/$B$3</f>
        <v>0.9432</v>
      </c>
      <c r="K142" s="1">
        <f>J142*[1]标准模型!$J$63</f>
        <v>0.9432</v>
      </c>
      <c r="L142" s="1">
        <f t="shared" si="433"/>
        <v>48347.8508219497</v>
      </c>
      <c r="M142" s="1">
        <f t="shared" si="434"/>
        <v>17433.2444650612</v>
      </c>
      <c r="N142" s="1">
        <f t="shared" si="435"/>
        <v>11622.1629767074</v>
      </c>
      <c r="O142" s="1">
        <f t="shared" ref="O142:X142" si="463">O$5+(O$6-O$5)*(POWER(O$7,$B142-1)-1)/(POWER(O$7,$B$3-1)-1)</f>
        <v>0.630284555077498</v>
      </c>
      <c r="P142" s="1">
        <f t="shared" si="463"/>
        <v>0.0773414928374085</v>
      </c>
      <c r="Q142" s="1">
        <f t="shared" si="463"/>
        <v>0.346656505292624</v>
      </c>
      <c r="R142" s="1">
        <f t="shared" si="463"/>
        <v>1.052113822031</v>
      </c>
      <c r="S142" s="1">
        <f t="shared" si="463"/>
        <v>0.182398377108498</v>
      </c>
      <c r="T142" s="1">
        <f t="shared" si="463"/>
        <v>2.50810976480224</v>
      </c>
      <c r="U142" s="1">
        <f t="shared" si="463"/>
        <v>1</v>
      </c>
      <c r="V142" s="1">
        <f t="shared" si="463"/>
        <v>1.14208811305888</v>
      </c>
      <c r="W142" s="1">
        <f t="shared" si="463"/>
        <v>1.08017511081692</v>
      </c>
      <c r="X142" s="1">
        <f t="shared" si="463"/>
        <v>1.416910576248</v>
      </c>
      <c r="Y142" s="1">
        <f t="shared" si="459"/>
        <v>1.45291256679817</v>
      </c>
      <c r="Z142" s="1">
        <f t="shared" si="460"/>
        <v>2.47224951389611</v>
      </c>
      <c r="AA142" s="1">
        <f t="shared" si="437"/>
        <v>119527.950692487</v>
      </c>
      <c r="AB142" s="1">
        <f t="shared" si="438"/>
        <v>17433.2444650612</v>
      </c>
      <c r="AC142" s="1">
        <f t="shared" si="439"/>
        <v>11622.1629767074</v>
      </c>
      <c r="AD142" s="1">
        <f>AC142/(AC142+[1]战斗公式!$M$27)</f>
        <v>0.326262135859266</v>
      </c>
      <c r="AE142" s="1">
        <f t="shared" si="440"/>
        <v>177410.172493318</v>
      </c>
      <c r="AF142" s="1">
        <f t="shared" si="441"/>
        <v>7.00423675765896</v>
      </c>
      <c r="AG142" s="1">
        <f t="shared" si="442"/>
        <v>4.11630927575542</v>
      </c>
      <c r="AH142" s="1">
        <f t="shared" si="443"/>
        <v>3.55649171060638</v>
      </c>
      <c r="AI142" s="1">
        <f t="shared" si="444"/>
        <v>0.812176495535864</v>
      </c>
      <c r="AJ142" s="1">
        <f t="shared" si="445"/>
        <v>1.00146139132601</v>
      </c>
      <c r="AK142" s="1">
        <f t="shared" si="446"/>
        <v>1.05784244293439</v>
      </c>
      <c r="AL142" s="1">
        <f t="shared" si="447"/>
        <v>0.862444741200536</v>
      </c>
      <c r="AM142" s="27">
        <f t="shared" si="448"/>
        <v>103272</v>
      </c>
      <c r="AN142" s="27">
        <f t="shared" si="449"/>
        <v>14159</v>
      </c>
      <c r="AO142" s="27">
        <f t="shared" si="450"/>
        <v>11622</v>
      </c>
      <c r="AP142" s="1">
        <f t="shared" si="451"/>
        <v>64202</v>
      </c>
      <c r="AQ142" s="1">
        <f t="shared" si="452"/>
        <v>12211</v>
      </c>
      <c r="AR142"/>
      <c r="AS142" s="1">
        <f t="shared" ref="AS142:AY142" si="464">ROUNDUP(AS$10*$AP142,0)</f>
        <v>64202</v>
      </c>
      <c r="AT142" s="1">
        <f t="shared" si="464"/>
        <v>192606</v>
      </c>
      <c r="AU142" s="1">
        <f t="shared" si="464"/>
        <v>115564</v>
      </c>
      <c r="AV142" s="1">
        <f t="shared" si="464"/>
        <v>32101</v>
      </c>
      <c r="AW142" s="1">
        <f t="shared" si="464"/>
        <v>9631</v>
      </c>
      <c r="AX142" s="1">
        <f t="shared" si="464"/>
        <v>256808</v>
      </c>
      <c r="AY142" s="1">
        <f t="shared" si="464"/>
        <v>577818</v>
      </c>
      <c r="AZ142" s="1">
        <f t="shared" si="454"/>
        <v>6205375</v>
      </c>
      <c r="BA142" s="1">
        <f t="shared" si="455"/>
        <v>3102688</v>
      </c>
      <c r="BC142" s="1">
        <f t="shared" si="456"/>
        <v>131</v>
      </c>
    </row>
    <row r="143" s="1" customFormat="1" spans="2:55">
      <c r="B143" s="4">
        <v>132</v>
      </c>
      <c r="C143" s="1">
        <f t="shared" ref="C143:I143" si="465">C$5+(C$6-C$5)*(POWER(C$7,$B143-1)-1)/(POWER(C$7,$B$3-1)-1)</f>
        <v>10429.9042921591</v>
      </c>
      <c r="D143" s="1">
        <f t="shared" si="465"/>
        <v>3128.97128764772</v>
      </c>
      <c r="E143" s="1">
        <f t="shared" si="465"/>
        <v>2085.98085843181</v>
      </c>
      <c r="F143" s="1">
        <f t="shared" si="465"/>
        <v>38286.9904395712</v>
      </c>
      <c r="G143" s="1">
        <f t="shared" si="465"/>
        <v>11486.0971318714</v>
      </c>
      <c r="H143" s="1">
        <f t="shared" si="465"/>
        <v>7657.39808791425</v>
      </c>
      <c r="I143" s="1">
        <f t="shared" si="465"/>
        <v>0</v>
      </c>
      <c r="J143" s="1">
        <f>[1]标准模型!$I$65/1*$B143/$B$3</f>
        <v>0.9504</v>
      </c>
      <c r="K143" s="1">
        <f>J143*[1]标准模型!$J$63</f>
        <v>0.9504</v>
      </c>
      <c r="L143" s="1">
        <f t="shared" si="433"/>
        <v>48716.8947317303</v>
      </c>
      <c r="M143" s="1">
        <f t="shared" si="434"/>
        <v>17588.8427312995</v>
      </c>
      <c r="N143" s="1">
        <f t="shared" si="435"/>
        <v>11725.8951541997</v>
      </c>
      <c r="O143" s="1">
        <f t="shared" ref="O143:X143" si="466">O$5+(O$6-O$5)*(POWER(O$7,$B143-1)-1)/(POWER(O$7,$B$3-1)-1)</f>
        <v>0.63128667832068</v>
      </c>
      <c r="P143" s="1">
        <f t="shared" si="466"/>
        <v>0.0779967622021943</v>
      </c>
      <c r="Q143" s="1">
        <f t="shared" si="466"/>
        <v>0.347207673076374</v>
      </c>
      <c r="R143" s="1">
        <f t="shared" si="466"/>
        <v>1.05251467132827</v>
      </c>
      <c r="S143" s="1">
        <f t="shared" si="466"/>
        <v>0.183801349648952</v>
      </c>
      <c r="T143" s="1">
        <f t="shared" si="466"/>
        <v>2.51201804545065</v>
      </c>
      <c r="U143" s="1">
        <f t="shared" si="466"/>
        <v>1</v>
      </c>
      <c r="V143" s="1">
        <f t="shared" si="466"/>
        <v>1.14318102695486</v>
      </c>
      <c r="W143" s="1">
        <f t="shared" si="466"/>
        <v>1.0807918020435</v>
      </c>
      <c r="X143" s="1">
        <f t="shared" si="466"/>
        <v>1.42011737062618</v>
      </c>
      <c r="Y143" s="1">
        <f t="shared" si="459"/>
        <v>1.46424872465768</v>
      </c>
      <c r="Z143" s="1">
        <f t="shared" si="460"/>
        <v>2.49330776902545</v>
      </c>
      <c r="AA143" s="1">
        <f t="shared" si="437"/>
        <v>121466.212117418</v>
      </c>
      <c r="AB143" s="1">
        <f t="shared" si="438"/>
        <v>17588.8427312995</v>
      </c>
      <c r="AC143" s="1">
        <f t="shared" si="439"/>
        <v>11725.8951541997</v>
      </c>
      <c r="AD143" s="1">
        <f>AC143/(AC143+[1]战斗公式!$M$27)</f>
        <v>0.328218372236399</v>
      </c>
      <c r="AE143" s="1">
        <f t="shared" si="440"/>
        <v>180812.04828686</v>
      </c>
      <c r="AF143" s="1">
        <f t="shared" si="441"/>
        <v>7.02061642626321</v>
      </c>
      <c r="AG143" s="1">
        <f t="shared" si="442"/>
        <v>4.12300830895206</v>
      </c>
      <c r="AH143" s="1">
        <f t="shared" si="443"/>
        <v>3.56803567700789</v>
      </c>
      <c r="AI143" s="1">
        <f t="shared" si="444"/>
        <v>0.814905929214709</v>
      </c>
      <c r="AJ143" s="1">
        <f t="shared" si="445"/>
        <v>1.00138832175927</v>
      </c>
      <c r="AK143" s="1">
        <f t="shared" si="446"/>
        <v>1.05668492426831</v>
      </c>
      <c r="AL143" s="1">
        <f t="shared" si="447"/>
        <v>0.862836779440294</v>
      </c>
      <c r="AM143" s="27">
        <f t="shared" si="448"/>
        <v>105116</v>
      </c>
      <c r="AN143" s="27">
        <f t="shared" si="449"/>
        <v>14333</v>
      </c>
      <c r="AO143" s="27">
        <f t="shared" si="450"/>
        <v>11726</v>
      </c>
      <c r="AP143" s="1">
        <f t="shared" si="451"/>
        <v>65231</v>
      </c>
      <c r="AQ143" s="1">
        <f t="shared" si="452"/>
        <v>12367</v>
      </c>
      <c r="AR143"/>
      <c r="AS143" s="1">
        <f t="shared" ref="AS143:AY143" si="467">ROUNDUP(AS$10*$AP143,0)</f>
        <v>65231</v>
      </c>
      <c r="AT143" s="1">
        <f t="shared" si="467"/>
        <v>195693</v>
      </c>
      <c r="AU143" s="1">
        <f t="shared" si="467"/>
        <v>117416</v>
      </c>
      <c r="AV143" s="1">
        <f t="shared" si="467"/>
        <v>32616</v>
      </c>
      <c r="AW143" s="1">
        <f t="shared" si="467"/>
        <v>9785</v>
      </c>
      <c r="AX143" s="1">
        <f t="shared" si="467"/>
        <v>260924</v>
      </c>
      <c r="AY143" s="1">
        <f t="shared" si="467"/>
        <v>587079</v>
      </c>
      <c r="AZ143" s="1">
        <f t="shared" si="454"/>
        <v>6315716</v>
      </c>
      <c r="BA143" s="1">
        <f t="shared" si="455"/>
        <v>3157858</v>
      </c>
      <c r="BC143" s="1">
        <f t="shared" si="456"/>
        <v>132</v>
      </c>
    </row>
    <row r="144" s="1" customFormat="1" spans="2:55">
      <c r="B144" s="4">
        <v>133</v>
      </c>
      <c r="C144" s="1">
        <f t="shared" ref="C144:I144" si="468">C$5+(C$6-C$5)*(POWER(C$7,$B144-1)-1)/(POWER(C$7,$B$3-1)-1)</f>
        <v>10508.9136138976</v>
      </c>
      <c r="D144" s="1">
        <f t="shared" si="468"/>
        <v>3152.67408416928</v>
      </c>
      <c r="E144" s="1">
        <f t="shared" si="468"/>
        <v>2101.78272277952</v>
      </c>
      <c r="F144" s="1">
        <f t="shared" si="468"/>
        <v>38577.0246586115</v>
      </c>
      <c r="G144" s="1">
        <f t="shared" si="468"/>
        <v>11573.1073975834</v>
      </c>
      <c r="H144" s="1">
        <f t="shared" si="468"/>
        <v>7715.40493172229</v>
      </c>
      <c r="I144" s="1">
        <f t="shared" si="468"/>
        <v>0</v>
      </c>
      <c r="J144" s="1">
        <f>[1]标准模型!$I$65/1*$B144/$B$3</f>
        <v>0.9576</v>
      </c>
      <c r="K144" s="1">
        <f>J144*[1]标准模型!$J$63</f>
        <v>0.9576</v>
      </c>
      <c r="L144" s="1">
        <f t="shared" si="433"/>
        <v>49085.9382725091</v>
      </c>
      <c r="M144" s="1">
        <f t="shared" si="434"/>
        <v>17744.7821847532</v>
      </c>
      <c r="N144" s="1">
        <f t="shared" si="435"/>
        <v>11829.8547898355</v>
      </c>
      <c r="O144" s="1">
        <f t="shared" ref="O144:X144" si="469">O$5+(O$6-O$5)*(POWER(O$7,$B144-1)-1)/(POWER(O$7,$B$3-1)-1)</f>
        <v>0.632288800561853</v>
      </c>
      <c r="P144" s="1">
        <f t="shared" si="469"/>
        <v>0.0786530144710272</v>
      </c>
      <c r="Q144" s="1">
        <f t="shared" si="469"/>
        <v>0.347758840309019</v>
      </c>
      <c r="R144" s="1">
        <f t="shared" si="469"/>
        <v>1.05291552022474</v>
      </c>
      <c r="S144" s="1">
        <f t="shared" si="469"/>
        <v>0.185204320786594</v>
      </c>
      <c r="T144" s="1">
        <f t="shared" si="469"/>
        <v>2.51592632219123</v>
      </c>
      <c r="U144" s="1">
        <f t="shared" si="469"/>
        <v>1</v>
      </c>
      <c r="V144" s="1">
        <f t="shared" si="469"/>
        <v>1.14427393975806</v>
      </c>
      <c r="W144" s="1">
        <f t="shared" si="469"/>
        <v>1.08140849265345</v>
      </c>
      <c r="X144" s="1">
        <f t="shared" si="469"/>
        <v>1.42332416179793</v>
      </c>
      <c r="Y144" s="1">
        <f t="shared" si="459"/>
        <v>1.47566446180208</v>
      </c>
      <c r="Z144" s="1">
        <f t="shared" si="460"/>
        <v>2.51452958005552</v>
      </c>
      <c r="AA144" s="1">
        <f t="shared" si="437"/>
        <v>123428.043751004</v>
      </c>
      <c r="AB144" s="1">
        <f t="shared" si="438"/>
        <v>17744.7821847532</v>
      </c>
      <c r="AC144" s="1">
        <f t="shared" si="439"/>
        <v>11829.8547898355</v>
      </c>
      <c r="AD144" s="1">
        <f>AC144/(AC144+[1]战斗公式!$M$27)</f>
        <v>0.330167533729204</v>
      </c>
      <c r="AE144" s="1">
        <f t="shared" si="440"/>
        <v>184267.036857997</v>
      </c>
      <c r="AF144" s="1">
        <f t="shared" si="441"/>
        <v>7.03702932732258</v>
      </c>
      <c r="AG144" s="1">
        <f t="shared" si="442"/>
        <v>4.12971641986397</v>
      </c>
      <c r="AH144" s="1">
        <f t="shared" si="443"/>
        <v>3.57949306366138</v>
      </c>
      <c r="AI144" s="1">
        <f t="shared" si="444"/>
        <v>0.817640821760911</v>
      </c>
      <c r="AJ144" s="1">
        <f t="shared" si="445"/>
        <v>1.00131890567086</v>
      </c>
      <c r="AK144" s="1">
        <f t="shared" si="446"/>
        <v>1.05555055597556</v>
      </c>
      <c r="AL144" s="1">
        <f t="shared" si="447"/>
        <v>0.863227641565333</v>
      </c>
      <c r="AM144" s="27">
        <f t="shared" si="448"/>
        <v>106983</v>
      </c>
      <c r="AN144" s="27">
        <f t="shared" si="449"/>
        <v>14509</v>
      </c>
      <c r="AO144" s="27">
        <f t="shared" si="450"/>
        <v>11830</v>
      </c>
      <c r="AP144" s="1">
        <f t="shared" si="451"/>
        <v>66271</v>
      </c>
      <c r="AQ144" s="1">
        <f t="shared" si="452"/>
        <v>12525</v>
      </c>
      <c r="AR144"/>
      <c r="AS144" s="1">
        <f t="shared" ref="AS144:AY144" si="470">ROUNDUP(AS$10*$AP144,0)</f>
        <v>66271</v>
      </c>
      <c r="AT144" s="1">
        <f t="shared" si="470"/>
        <v>198813</v>
      </c>
      <c r="AU144" s="1">
        <f t="shared" si="470"/>
        <v>119288</v>
      </c>
      <c r="AV144" s="1">
        <f t="shared" si="470"/>
        <v>33136</v>
      </c>
      <c r="AW144" s="1">
        <f t="shared" si="470"/>
        <v>9941</v>
      </c>
      <c r="AX144" s="1">
        <f t="shared" si="470"/>
        <v>265084</v>
      </c>
      <c r="AY144" s="1">
        <f t="shared" si="470"/>
        <v>596439</v>
      </c>
      <c r="AZ144" s="1">
        <f t="shared" si="454"/>
        <v>6427446</v>
      </c>
      <c r="BA144" s="1">
        <f t="shared" si="455"/>
        <v>3213723</v>
      </c>
      <c r="BC144" s="1">
        <f t="shared" si="456"/>
        <v>133</v>
      </c>
    </row>
    <row r="145" s="1" customFormat="1" spans="2:55">
      <c r="B145" s="4">
        <v>134</v>
      </c>
      <c r="C145" s="1">
        <f t="shared" ref="C145:I145" si="471">C$5+(C$6-C$5)*(POWER(C$7,$B145-1)-1)/(POWER(C$7,$B$3-1)-1)</f>
        <v>10587.9228566182</v>
      </c>
      <c r="D145" s="1">
        <f t="shared" si="471"/>
        <v>3176.37685698547</v>
      </c>
      <c r="E145" s="1">
        <f t="shared" si="471"/>
        <v>2117.58457132365</v>
      </c>
      <c r="F145" s="1">
        <f t="shared" si="471"/>
        <v>38867.0585875859</v>
      </c>
      <c r="G145" s="1">
        <f t="shared" si="471"/>
        <v>11660.1175762758</v>
      </c>
      <c r="H145" s="1">
        <f t="shared" si="471"/>
        <v>7773.41171751718</v>
      </c>
      <c r="I145" s="1">
        <f t="shared" si="471"/>
        <v>0</v>
      </c>
      <c r="J145" s="1">
        <f>[1]标准模型!$I$65/1*$B145/$B$3</f>
        <v>0.9648</v>
      </c>
      <c r="K145" s="1">
        <f>J145*[1]标准模型!$J$63</f>
        <v>0.9648</v>
      </c>
      <c r="L145" s="1">
        <f t="shared" si="433"/>
        <v>49454.9814442041</v>
      </c>
      <c r="M145" s="1">
        <f t="shared" si="434"/>
        <v>17901.0628248808</v>
      </c>
      <c r="N145" s="1">
        <f t="shared" si="435"/>
        <v>11934.0418832539</v>
      </c>
      <c r="O145" s="1">
        <f t="shared" ref="O145:X145" si="472">O$5+(O$6-O$5)*(POWER(O$7,$B145-1)-1)/(POWER(O$7,$B$3-1)-1)</f>
        <v>0.633290921800794</v>
      </c>
      <c r="P145" s="1">
        <f t="shared" si="472"/>
        <v>0.0793102511182634</v>
      </c>
      <c r="Q145" s="1">
        <f t="shared" si="472"/>
        <v>0.348310006990437</v>
      </c>
      <c r="R145" s="1">
        <f t="shared" si="472"/>
        <v>1.05331636872032</v>
      </c>
      <c r="S145" s="1">
        <f t="shared" si="472"/>
        <v>0.186607290521112</v>
      </c>
      <c r="T145" s="1">
        <f t="shared" si="472"/>
        <v>2.5198345950231</v>
      </c>
      <c r="U145" s="1">
        <f t="shared" si="472"/>
        <v>1</v>
      </c>
      <c r="V145" s="1">
        <f t="shared" si="472"/>
        <v>1.14536685146822</v>
      </c>
      <c r="W145" s="1">
        <f t="shared" si="472"/>
        <v>1.08202518264664</v>
      </c>
      <c r="X145" s="1">
        <f t="shared" si="472"/>
        <v>1.42653094976254</v>
      </c>
      <c r="Y145" s="1">
        <f t="shared" si="459"/>
        <v>1.48716026996437</v>
      </c>
      <c r="Z145" s="1">
        <f t="shared" si="460"/>
        <v>2.53591608065776</v>
      </c>
      <c r="AA145" s="1">
        <f t="shared" si="437"/>
        <v>125413.682712988</v>
      </c>
      <c r="AB145" s="1">
        <f t="shared" si="438"/>
        <v>17901.0628248808</v>
      </c>
      <c r="AC145" s="1">
        <f t="shared" si="439"/>
        <v>11934.0418832539</v>
      </c>
      <c r="AD145" s="1">
        <f>AC145/(AC145+[1]战斗公式!$M$27)</f>
        <v>0.33210964472147</v>
      </c>
      <c r="AE145" s="1">
        <f t="shared" si="440"/>
        <v>187775.855305901</v>
      </c>
      <c r="AF145" s="1">
        <f t="shared" si="441"/>
        <v>7.05347542417939</v>
      </c>
      <c r="AG145" s="1">
        <f t="shared" si="442"/>
        <v>4.1364335736571</v>
      </c>
      <c r="AH145" s="1">
        <f t="shared" si="443"/>
        <v>3.59086451991497</v>
      </c>
      <c r="AI145" s="1">
        <f t="shared" si="444"/>
        <v>0.820381184092206</v>
      </c>
      <c r="AJ145" s="1">
        <f t="shared" si="445"/>
        <v>1.00125296038688</v>
      </c>
      <c r="AK145" s="1">
        <f t="shared" si="446"/>
        <v>1.05443887504866</v>
      </c>
      <c r="AL145" s="1">
        <f t="shared" si="447"/>
        <v>0.863617331103997</v>
      </c>
      <c r="AM145" s="27">
        <f t="shared" si="448"/>
        <v>108872</v>
      </c>
      <c r="AN145" s="27">
        <f t="shared" si="449"/>
        <v>14686</v>
      </c>
      <c r="AO145" s="27">
        <f t="shared" si="450"/>
        <v>11934</v>
      </c>
      <c r="AP145" s="1">
        <f t="shared" si="451"/>
        <v>67323</v>
      </c>
      <c r="AQ145" s="1">
        <f t="shared" si="452"/>
        <v>12683</v>
      </c>
      <c r="AR145"/>
      <c r="AS145" s="1">
        <f t="shared" ref="AS145:AY145" si="473">ROUNDUP(AS$10*$AP145,0)</f>
        <v>67323</v>
      </c>
      <c r="AT145" s="1">
        <f t="shared" si="473"/>
        <v>201969</v>
      </c>
      <c r="AU145" s="1">
        <f t="shared" si="473"/>
        <v>121182</v>
      </c>
      <c r="AV145" s="1">
        <f t="shared" si="473"/>
        <v>33662</v>
      </c>
      <c r="AW145" s="1">
        <f t="shared" si="473"/>
        <v>10099</v>
      </c>
      <c r="AX145" s="1">
        <f t="shared" si="473"/>
        <v>269292</v>
      </c>
      <c r="AY145" s="1">
        <f t="shared" si="473"/>
        <v>605907</v>
      </c>
      <c r="AZ145" s="1">
        <f t="shared" si="454"/>
        <v>6540505</v>
      </c>
      <c r="BA145" s="1">
        <f t="shared" si="455"/>
        <v>3270252</v>
      </c>
      <c r="BC145" s="1">
        <f t="shared" si="456"/>
        <v>134</v>
      </c>
    </row>
    <row r="146" s="1" customFormat="1" spans="2:55">
      <c r="B146" s="4">
        <v>135</v>
      </c>
      <c r="C146" s="1">
        <f t="shared" ref="C146:I146" si="474">C$5+(C$6-C$5)*(POWER(C$7,$B146-1)-1)/(POWER(C$7,$B$3-1)-1)</f>
        <v>10666.9320203385</v>
      </c>
      <c r="D146" s="1">
        <f t="shared" si="474"/>
        <v>3200.07960610154</v>
      </c>
      <c r="E146" s="1">
        <f t="shared" si="474"/>
        <v>2133.38640406769</v>
      </c>
      <c r="F146" s="1">
        <f t="shared" si="474"/>
        <v>39157.0922265589</v>
      </c>
      <c r="G146" s="1">
        <f t="shared" si="474"/>
        <v>11747.1276679677</v>
      </c>
      <c r="H146" s="1">
        <f t="shared" si="474"/>
        <v>7831.41844531179</v>
      </c>
      <c r="I146" s="1">
        <f t="shared" si="474"/>
        <v>0</v>
      </c>
      <c r="J146" s="1">
        <f>[1]标准模型!$I$65/1*$B146/$B$3</f>
        <v>0.972</v>
      </c>
      <c r="K146" s="1">
        <f>J146*[1]标准模型!$J$63</f>
        <v>0.972</v>
      </c>
      <c r="L146" s="1">
        <f t="shared" si="433"/>
        <v>49824.0242468974</v>
      </c>
      <c r="M146" s="1">
        <f t="shared" si="434"/>
        <v>18057.6846511999</v>
      </c>
      <c r="N146" s="1">
        <f t="shared" si="435"/>
        <v>12038.4564341333</v>
      </c>
      <c r="O146" s="1">
        <f t="shared" ref="O146:X146" si="475">O$5+(O$6-O$5)*(POWER(O$7,$B146-1)-1)/(POWER(O$7,$B$3-1)-1)</f>
        <v>0.634293042037727</v>
      </c>
      <c r="P146" s="1">
        <f t="shared" si="475"/>
        <v>0.0799684736204704</v>
      </c>
      <c r="Q146" s="1">
        <f t="shared" si="475"/>
        <v>0.34886117312075</v>
      </c>
      <c r="R146" s="1">
        <f t="shared" si="475"/>
        <v>1.05371721681509</v>
      </c>
      <c r="S146" s="1">
        <f t="shared" si="475"/>
        <v>0.188010258852818</v>
      </c>
      <c r="T146" s="1">
        <f t="shared" si="475"/>
        <v>2.52374286394714</v>
      </c>
      <c r="U146" s="1">
        <f t="shared" si="475"/>
        <v>1</v>
      </c>
      <c r="V146" s="1">
        <f t="shared" si="475"/>
        <v>1.14645976208559</v>
      </c>
      <c r="W146" s="1">
        <f t="shared" si="475"/>
        <v>1.08264187202322</v>
      </c>
      <c r="X146" s="1">
        <f t="shared" si="475"/>
        <v>1.42973773452073</v>
      </c>
      <c r="Y146" s="1">
        <f t="shared" si="459"/>
        <v>1.49873664329249</v>
      </c>
      <c r="Z146" s="1">
        <f t="shared" si="460"/>
        <v>2.55746841103807</v>
      </c>
      <c r="AA146" s="1">
        <f t="shared" si="437"/>
        <v>127423.368122235</v>
      </c>
      <c r="AB146" s="1">
        <f t="shared" si="438"/>
        <v>18057.6846511999</v>
      </c>
      <c r="AC146" s="1">
        <f t="shared" si="439"/>
        <v>12038.4564341333</v>
      </c>
      <c r="AD146" s="1">
        <f>AC146/(AC146+[1]战斗公式!$M$27)</f>
        <v>0.334044729583125</v>
      </c>
      <c r="AE146" s="1">
        <f t="shared" si="440"/>
        <v>191339.229198487</v>
      </c>
      <c r="AF146" s="1">
        <f t="shared" si="441"/>
        <v>7.06995468036917</v>
      </c>
      <c r="AG146" s="1">
        <f t="shared" si="442"/>
        <v>4.14315973568003</v>
      </c>
      <c r="AH146" s="1">
        <f t="shared" si="443"/>
        <v>3.60215069024666</v>
      </c>
      <c r="AI146" s="1">
        <f t="shared" si="444"/>
        <v>0.823127027148164</v>
      </c>
      <c r="AJ146" s="1">
        <f t="shared" si="445"/>
        <v>1.0011903123671</v>
      </c>
      <c r="AK146" s="1">
        <f t="shared" si="446"/>
        <v>1.0533494277403</v>
      </c>
      <c r="AL146" s="1">
        <f t="shared" si="447"/>
        <v>0.864005851574044</v>
      </c>
      <c r="AM146" s="27">
        <f t="shared" si="448"/>
        <v>110785</v>
      </c>
      <c r="AN146" s="27">
        <f t="shared" si="449"/>
        <v>14864</v>
      </c>
      <c r="AO146" s="27">
        <f t="shared" si="450"/>
        <v>12038</v>
      </c>
      <c r="AP146" s="1">
        <f t="shared" si="451"/>
        <v>68386</v>
      </c>
      <c r="AQ146" s="1">
        <f t="shared" si="452"/>
        <v>12843</v>
      </c>
      <c r="AR146"/>
      <c r="AS146" s="1">
        <f t="shared" ref="AS146:AY146" si="476">ROUNDUP(AS$10*$AP146,0)</f>
        <v>68386</v>
      </c>
      <c r="AT146" s="1">
        <f t="shared" si="476"/>
        <v>205158</v>
      </c>
      <c r="AU146" s="1">
        <f t="shared" si="476"/>
        <v>123095</v>
      </c>
      <c r="AV146" s="1">
        <f t="shared" si="476"/>
        <v>34193</v>
      </c>
      <c r="AW146" s="1">
        <f t="shared" si="476"/>
        <v>10258</v>
      </c>
      <c r="AX146" s="1">
        <f t="shared" si="476"/>
        <v>273544</v>
      </c>
      <c r="AY146" s="1">
        <f t="shared" si="476"/>
        <v>615474</v>
      </c>
      <c r="AZ146" s="1">
        <f t="shared" si="454"/>
        <v>6655012</v>
      </c>
      <c r="BA146" s="1">
        <f t="shared" si="455"/>
        <v>3327506</v>
      </c>
      <c r="BC146" s="1">
        <f t="shared" si="456"/>
        <v>135</v>
      </c>
    </row>
    <row r="147" s="1" customFormat="1" spans="2:55">
      <c r="B147" s="4">
        <v>136</v>
      </c>
      <c r="C147" s="1">
        <f t="shared" ref="C147:I147" si="477">C$5+(C$6-C$5)*(POWER(C$7,$B147-1)-1)/(POWER(C$7,$B$3-1)-1)</f>
        <v>10745.9411050408</v>
      </c>
      <c r="D147" s="1">
        <f t="shared" si="477"/>
        <v>3223.78233151224</v>
      </c>
      <c r="E147" s="1">
        <f t="shared" si="477"/>
        <v>2149.18822100816</v>
      </c>
      <c r="F147" s="1">
        <f t="shared" si="477"/>
        <v>39447.1255754662</v>
      </c>
      <c r="G147" s="1">
        <f t="shared" si="477"/>
        <v>11834.1376726399</v>
      </c>
      <c r="H147" s="1">
        <f t="shared" si="477"/>
        <v>7889.42511509324</v>
      </c>
      <c r="I147" s="1">
        <f t="shared" si="477"/>
        <v>0</v>
      </c>
      <c r="J147" s="1">
        <f>[1]标准模型!$I$65/1*$B147/$B$3</f>
        <v>0.9792</v>
      </c>
      <c r="K147" s="1">
        <f>J147*[1]标准模型!$J$63</f>
        <v>0.9792</v>
      </c>
      <c r="L147" s="1">
        <f t="shared" si="433"/>
        <v>50193.066680507</v>
      </c>
      <c r="M147" s="1">
        <f t="shared" si="434"/>
        <v>18214.6476631689</v>
      </c>
      <c r="N147" s="1">
        <f t="shared" si="435"/>
        <v>12143.0984421126</v>
      </c>
      <c r="O147" s="1">
        <f t="shared" ref="O147:X147" si="478">O$5+(O$6-O$5)*(POWER(O$7,$B147-1)-1)/(POWER(O$7,$B$3-1)-1)</f>
        <v>0.635295161272428</v>
      </c>
      <c r="P147" s="1">
        <f t="shared" si="478"/>
        <v>0.0806276834564307</v>
      </c>
      <c r="Q147" s="1">
        <f t="shared" si="478"/>
        <v>0.349412338699836</v>
      </c>
      <c r="R147" s="1">
        <f t="shared" si="478"/>
        <v>1.05411806450897</v>
      </c>
      <c r="S147" s="1">
        <f t="shared" si="478"/>
        <v>0.1894132257814</v>
      </c>
      <c r="T147" s="1">
        <f t="shared" si="478"/>
        <v>2.52765112896247</v>
      </c>
      <c r="U147" s="1">
        <f t="shared" si="478"/>
        <v>1</v>
      </c>
      <c r="V147" s="1">
        <f t="shared" si="478"/>
        <v>1.14755267160993</v>
      </c>
      <c r="W147" s="1">
        <f t="shared" si="478"/>
        <v>1.08325856078303</v>
      </c>
      <c r="X147" s="1">
        <f t="shared" si="478"/>
        <v>1.43294451607177</v>
      </c>
      <c r="Y147" s="1">
        <f t="shared" si="459"/>
        <v>1.51039407834874</v>
      </c>
      <c r="Z147" s="1">
        <f t="shared" si="460"/>
        <v>2.57918771794793</v>
      </c>
      <c r="AA147" s="1">
        <f t="shared" si="437"/>
        <v>129457.341108505</v>
      </c>
      <c r="AB147" s="1">
        <f t="shared" si="438"/>
        <v>18214.6476631689</v>
      </c>
      <c r="AC147" s="1">
        <f t="shared" si="439"/>
        <v>12143.0984421126</v>
      </c>
      <c r="AD147" s="1">
        <f>AC147/(AC147+[1]战斗公式!$M$27)</f>
        <v>0.335972812667436</v>
      </c>
      <c r="AE147" s="1">
        <f t="shared" si="440"/>
        <v>194957.892655785</v>
      </c>
      <c r="AF147" s="1">
        <f t="shared" si="441"/>
        <v>7.086467059596</v>
      </c>
      <c r="AG147" s="1">
        <f t="shared" si="442"/>
        <v>4.14989487145321</v>
      </c>
      <c r="AH147" s="1">
        <f t="shared" si="443"/>
        <v>3.61335221430087</v>
      </c>
      <c r="AI147" s="1">
        <f t="shared" si="444"/>
        <v>0.825878361890233</v>
      </c>
      <c r="AJ147" s="1">
        <f t="shared" si="445"/>
        <v>1.0011307967483</v>
      </c>
      <c r="AK147" s="1">
        <f t="shared" si="446"/>
        <v>1.0522817693781</v>
      </c>
      <c r="AL147" s="1">
        <f t="shared" si="447"/>
        <v>0.864393206482682</v>
      </c>
      <c r="AM147" s="27">
        <f t="shared" si="448"/>
        <v>112720</v>
      </c>
      <c r="AN147" s="27">
        <f t="shared" si="449"/>
        <v>15043</v>
      </c>
      <c r="AO147" s="27">
        <f t="shared" si="450"/>
        <v>12143</v>
      </c>
      <c r="AP147" s="1">
        <f t="shared" si="451"/>
        <v>69461</v>
      </c>
      <c r="AQ147" s="1">
        <f t="shared" si="452"/>
        <v>13003</v>
      </c>
      <c r="AR147"/>
      <c r="AS147" s="1">
        <f t="shared" ref="AS147:AY147" si="479">ROUNDUP(AS$10*$AP147,0)</f>
        <v>69461</v>
      </c>
      <c r="AT147" s="1">
        <f t="shared" si="479"/>
        <v>208383</v>
      </c>
      <c r="AU147" s="1">
        <f t="shared" si="479"/>
        <v>125030</v>
      </c>
      <c r="AV147" s="1">
        <f t="shared" si="479"/>
        <v>34731</v>
      </c>
      <c r="AW147" s="1">
        <f t="shared" si="479"/>
        <v>10420</v>
      </c>
      <c r="AX147" s="1">
        <f t="shared" si="479"/>
        <v>277844</v>
      </c>
      <c r="AY147" s="1">
        <f t="shared" si="479"/>
        <v>625149</v>
      </c>
      <c r="AZ147" s="1">
        <f t="shared" si="454"/>
        <v>6770848</v>
      </c>
      <c r="BA147" s="1">
        <f t="shared" si="455"/>
        <v>3385424</v>
      </c>
      <c r="BC147" s="1">
        <f t="shared" si="456"/>
        <v>136</v>
      </c>
    </row>
    <row r="148" s="1" customFormat="1" spans="2:55">
      <c r="B148" s="4">
        <v>137</v>
      </c>
      <c r="C148" s="1">
        <f t="shared" ref="C148:I148" si="480">C$5+(C$6-C$5)*(POWER(C$7,$B148-1)-1)/(POWER(C$7,$B$3-1)-1)</f>
        <v>10824.9501107427</v>
      </c>
      <c r="D148" s="1">
        <f t="shared" si="480"/>
        <v>3247.48503322282</v>
      </c>
      <c r="E148" s="1">
        <f t="shared" si="480"/>
        <v>2164.99002214855</v>
      </c>
      <c r="F148" s="1">
        <f t="shared" si="480"/>
        <v>39737.158634372</v>
      </c>
      <c r="G148" s="1">
        <f t="shared" si="480"/>
        <v>11921.1475903116</v>
      </c>
      <c r="H148" s="1">
        <f t="shared" si="480"/>
        <v>7947.43172687441</v>
      </c>
      <c r="I148" s="1">
        <f t="shared" si="480"/>
        <v>0</v>
      </c>
      <c r="J148" s="1">
        <f>[1]标准模型!$I$65/1*$B148/$B$3</f>
        <v>0.9864</v>
      </c>
      <c r="K148" s="1">
        <f>J148*[1]标准模型!$J$63</f>
        <v>0.9864</v>
      </c>
      <c r="L148" s="1">
        <f t="shared" si="433"/>
        <v>50562.1087451147</v>
      </c>
      <c r="M148" s="1">
        <f t="shared" si="434"/>
        <v>18371.9518603054</v>
      </c>
      <c r="N148" s="1">
        <f t="shared" si="435"/>
        <v>12247.9679068703</v>
      </c>
      <c r="O148" s="1">
        <f t="shared" ref="O148:X148" si="481">O$5+(O$6-O$5)*(POWER(O$7,$B148-1)-1)/(POWER(O$7,$B$3-1)-1)</f>
        <v>0.636297279505121</v>
      </c>
      <c r="P148" s="1">
        <f t="shared" si="481"/>
        <v>0.081287882107145</v>
      </c>
      <c r="Q148" s="1">
        <f t="shared" si="481"/>
        <v>0.349963503727816</v>
      </c>
      <c r="R148" s="1">
        <f t="shared" si="481"/>
        <v>1.05451891180205</v>
      </c>
      <c r="S148" s="1">
        <f t="shared" si="481"/>
        <v>0.190816191307169</v>
      </c>
      <c r="T148" s="1">
        <f t="shared" si="481"/>
        <v>2.53155939006997</v>
      </c>
      <c r="U148" s="1">
        <f t="shared" si="481"/>
        <v>1</v>
      </c>
      <c r="V148" s="1">
        <f t="shared" si="481"/>
        <v>1.14864558004148</v>
      </c>
      <c r="W148" s="1">
        <f t="shared" si="481"/>
        <v>1.08387524892623</v>
      </c>
      <c r="X148" s="1">
        <f t="shared" si="481"/>
        <v>1.43615129441639</v>
      </c>
      <c r="Y148" s="1">
        <f t="shared" si="459"/>
        <v>1.52213307412721</v>
      </c>
      <c r="Z148" s="1">
        <f t="shared" si="460"/>
        <v>2.60107515473088</v>
      </c>
      <c r="AA148" s="1">
        <f t="shared" si="437"/>
        <v>131515.844827719</v>
      </c>
      <c r="AB148" s="1">
        <f t="shared" si="438"/>
        <v>18371.9518603054</v>
      </c>
      <c r="AC148" s="1">
        <f t="shared" si="439"/>
        <v>12247.9679068703</v>
      </c>
      <c r="AD148" s="1">
        <f>AC148/(AC148+[1]战斗公式!$M$27)</f>
        <v>0.33789391831118</v>
      </c>
      <c r="AE148" s="1">
        <f t="shared" si="440"/>
        <v>198632.588440004</v>
      </c>
      <c r="AF148" s="1">
        <f t="shared" si="441"/>
        <v>7.10301252575331</v>
      </c>
      <c r="AG148" s="1">
        <f t="shared" si="442"/>
        <v>4.15663894667726</v>
      </c>
      <c r="AH148" s="1">
        <f t="shared" si="443"/>
        <v>3.62446972692466</v>
      </c>
      <c r="AI148" s="1">
        <f t="shared" si="444"/>
        <v>0.828635199301787</v>
      </c>
      <c r="AJ148" s="1">
        <f t="shared" si="445"/>
        <v>1.00107425691044</v>
      </c>
      <c r="AK148" s="1">
        <f t="shared" si="446"/>
        <v>1.05123546418315</v>
      </c>
      <c r="AL148" s="1">
        <f t="shared" si="447"/>
        <v>0.864779399326593</v>
      </c>
      <c r="AM148" s="27">
        <f t="shared" si="448"/>
        <v>114678</v>
      </c>
      <c r="AN148" s="27">
        <f t="shared" si="449"/>
        <v>15224</v>
      </c>
      <c r="AO148" s="27">
        <f t="shared" si="450"/>
        <v>12248</v>
      </c>
      <c r="AP148" s="1">
        <f t="shared" si="451"/>
        <v>70547</v>
      </c>
      <c r="AQ148" s="1">
        <f t="shared" si="452"/>
        <v>13165</v>
      </c>
      <c r="AR148"/>
      <c r="AS148" s="1">
        <f t="shared" ref="AS148:AY148" si="482">ROUNDUP(AS$10*$AP148,0)</f>
        <v>70547</v>
      </c>
      <c r="AT148" s="1">
        <f t="shared" si="482"/>
        <v>211641</v>
      </c>
      <c r="AU148" s="1">
        <f t="shared" si="482"/>
        <v>126985</v>
      </c>
      <c r="AV148" s="1">
        <f t="shared" si="482"/>
        <v>35274</v>
      </c>
      <c r="AW148" s="1">
        <f t="shared" si="482"/>
        <v>10583</v>
      </c>
      <c r="AX148" s="1">
        <f t="shared" si="482"/>
        <v>282188</v>
      </c>
      <c r="AY148" s="1">
        <f t="shared" si="482"/>
        <v>634923</v>
      </c>
      <c r="AZ148" s="1">
        <f t="shared" si="454"/>
        <v>6888072</v>
      </c>
      <c r="BA148" s="1">
        <f t="shared" si="455"/>
        <v>3444036</v>
      </c>
      <c r="BC148" s="1">
        <f t="shared" si="456"/>
        <v>137</v>
      </c>
    </row>
    <row r="149" s="1" customFormat="1" spans="2:55">
      <c r="B149" s="4">
        <v>138</v>
      </c>
      <c r="C149" s="1">
        <f t="shared" ref="C149:I149" si="483">C$5+(C$6-C$5)*(POWER(C$7,$B149-1)-1)/(POWER(C$7,$B$3-1)-1)</f>
        <v>10903.9590374355</v>
      </c>
      <c r="D149" s="1">
        <f t="shared" si="483"/>
        <v>3271.18771123066</v>
      </c>
      <c r="E149" s="1">
        <f t="shared" si="483"/>
        <v>2180.7918074871</v>
      </c>
      <c r="F149" s="1">
        <f t="shared" si="483"/>
        <v>40027.1914032443</v>
      </c>
      <c r="G149" s="1">
        <f t="shared" si="483"/>
        <v>12008.1574209733</v>
      </c>
      <c r="H149" s="1">
        <f t="shared" si="483"/>
        <v>8005.43828064886</v>
      </c>
      <c r="I149" s="1">
        <f t="shared" si="483"/>
        <v>0</v>
      </c>
      <c r="J149" s="1">
        <f>[1]标准模型!$I$65/1*$B149/$B$3</f>
        <v>0.9936</v>
      </c>
      <c r="K149" s="1">
        <f>J149*[1]标准模型!$J$63</f>
        <v>0.9936</v>
      </c>
      <c r="L149" s="1">
        <f t="shared" si="433"/>
        <v>50931.1504406798</v>
      </c>
      <c r="M149" s="1">
        <f t="shared" si="434"/>
        <v>18529.5972420827</v>
      </c>
      <c r="N149" s="1">
        <f t="shared" si="435"/>
        <v>12353.0648280551</v>
      </c>
      <c r="O149" s="1">
        <f t="shared" ref="O149:X149" si="484">O$5+(O$6-O$5)*(POWER(O$7,$B149-1)-1)/(POWER(O$7,$B$3-1)-1)</f>
        <v>0.637299396735693</v>
      </c>
      <c r="P149" s="1">
        <f t="shared" si="484"/>
        <v>0.0819490710558353</v>
      </c>
      <c r="Q149" s="1">
        <f t="shared" si="484"/>
        <v>0.350514668204631</v>
      </c>
      <c r="R149" s="1">
        <f t="shared" si="484"/>
        <v>1.05491975869428</v>
      </c>
      <c r="S149" s="1">
        <f t="shared" si="484"/>
        <v>0.19221915542997</v>
      </c>
      <c r="T149" s="1">
        <f t="shared" si="484"/>
        <v>2.5354676472692</v>
      </c>
      <c r="U149" s="1">
        <f t="shared" si="484"/>
        <v>1</v>
      </c>
      <c r="V149" s="1">
        <f t="shared" si="484"/>
        <v>1.14973848738012</v>
      </c>
      <c r="W149" s="1">
        <f t="shared" si="484"/>
        <v>1.08449193645273</v>
      </c>
      <c r="X149" s="1">
        <f t="shared" si="484"/>
        <v>1.43935806955422</v>
      </c>
      <c r="Y149" s="1">
        <f t="shared" si="459"/>
        <v>1.53395413205414</v>
      </c>
      <c r="Z149" s="1">
        <f t="shared" si="460"/>
        <v>2.62313188133579</v>
      </c>
      <c r="AA149" s="1">
        <f t="shared" si="437"/>
        <v>133599.124474057</v>
      </c>
      <c r="AB149" s="1">
        <f t="shared" si="438"/>
        <v>18529.5972420827</v>
      </c>
      <c r="AC149" s="1">
        <f t="shared" si="439"/>
        <v>12353.0648280551</v>
      </c>
      <c r="AD149" s="1">
        <f>AC149/(AC149+[1]战斗公式!$M$27)</f>
        <v>0.339808070832085</v>
      </c>
      <c r="AE149" s="1">
        <f t="shared" si="440"/>
        <v>202364.0680407</v>
      </c>
      <c r="AF149" s="1">
        <f t="shared" si="441"/>
        <v>7.11959104290296</v>
      </c>
      <c r="AG149" s="1">
        <f t="shared" si="442"/>
        <v>4.16339192722374</v>
      </c>
      <c r="AH149" s="1">
        <f t="shared" si="443"/>
        <v>3.63550385820378</v>
      </c>
      <c r="AI149" s="1">
        <f t="shared" si="444"/>
        <v>0.831397550388164</v>
      </c>
      <c r="AJ149" s="1">
        <f t="shared" si="445"/>
        <v>1.00102054406448</v>
      </c>
      <c r="AK149" s="1">
        <f t="shared" si="446"/>
        <v>1.0502100850921</v>
      </c>
      <c r="AL149" s="1">
        <f t="shared" si="447"/>
        <v>0.865164433591973</v>
      </c>
      <c r="AM149" s="27">
        <f t="shared" si="448"/>
        <v>116660</v>
      </c>
      <c r="AN149" s="27">
        <f t="shared" si="449"/>
        <v>15405</v>
      </c>
      <c r="AO149" s="27">
        <f t="shared" si="450"/>
        <v>12353</v>
      </c>
      <c r="AP149" s="1">
        <f t="shared" si="451"/>
        <v>71646</v>
      </c>
      <c r="AQ149" s="1">
        <f t="shared" si="452"/>
        <v>13328</v>
      </c>
      <c r="AR149"/>
      <c r="AS149" s="1">
        <f t="shared" ref="AS149:AY149" si="485">ROUNDUP(AS$10*$AP149,0)</f>
        <v>71646</v>
      </c>
      <c r="AT149" s="1">
        <f t="shared" si="485"/>
        <v>214938</v>
      </c>
      <c r="AU149" s="1">
        <f t="shared" si="485"/>
        <v>128963</v>
      </c>
      <c r="AV149" s="1">
        <f t="shared" si="485"/>
        <v>35823</v>
      </c>
      <c r="AW149" s="1">
        <f t="shared" si="485"/>
        <v>10747</v>
      </c>
      <c r="AX149" s="1">
        <f t="shared" si="485"/>
        <v>286584</v>
      </c>
      <c r="AY149" s="1">
        <f t="shared" si="485"/>
        <v>644814</v>
      </c>
      <c r="AZ149" s="1">
        <f t="shared" si="454"/>
        <v>7006743</v>
      </c>
      <c r="BA149" s="1">
        <f t="shared" si="455"/>
        <v>3503372</v>
      </c>
      <c r="BC149" s="1">
        <f t="shared" si="456"/>
        <v>138</v>
      </c>
    </row>
    <row r="150" s="1" customFormat="1" spans="2:55">
      <c r="B150" s="4">
        <v>139</v>
      </c>
      <c r="C150" s="1">
        <f t="shared" ref="C150:I150" si="486">C$5+(C$6-C$5)*(POWER(C$7,$B150-1)-1)/(POWER(C$7,$B$3-1)-1)</f>
        <v>10982.9678851104</v>
      </c>
      <c r="D150" s="1">
        <f t="shared" si="486"/>
        <v>3294.89036553312</v>
      </c>
      <c r="E150" s="1">
        <f t="shared" si="486"/>
        <v>2196.59357702208</v>
      </c>
      <c r="F150" s="1">
        <f t="shared" si="486"/>
        <v>40317.2238820508</v>
      </c>
      <c r="G150" s="1">
        <f t="shared" si="486"/>
        <v>12095.1671646152</v>
      </c>
      <c r="H150" s="1">
        <f t="shared" si="486"/>
        <v>8063.44477641016</v>
      </c>
      <c r="I150" s="1">
        <f t="shared" si="486"/>
        <v>0</v>
      </c>
      <c r="J150" s="1">
        <f>[1]标准模型!$I$65/1*$B150/$B$3</f>
        <v>1.0008</v>
      </c>
      <c r="K150" s="1">
        <f>J150*[1]标准模型!$J$63</f>
        <v>1.0008</v>
      </c>
      <c r="L150" s="1">
        <f t="shared" si="433"/>
        <v>51300.1917671612</v>
      </c>
      <c r="M150" s="1">
        <f t="shared" si="434"/>
        <v>18687.5838079739</v>
      </c>
      <c r="N150" s="1">
        <f t="shared" si="435"/>
        <v>12458.3892053159</v>
      </c>
      <c r="O150" s="1">
        <f t="shared" ref="O150:X150" si="487">O$5+(O$6-O$5)*(POWER(O$7,$B150-1)-1)/(POWER(O$7,$B$3-1)-1)</f>
        <v>0.638301512964034</v>
      </c>
      <c r="P150" s="1">
        <f t="shared" si="487"/>
        <v>0.0826112517879487</v>
      </c>
      <c r="Q150" s="1">
        <f t="shared" si="487"/>
        <v>0.351065832130219</v>
      </c>
      <c r="R150" s="1">
        <f t="shared" si="487"/>
        <v>1.05532060518561</v>
      </c>
      <c r="S150" s="1">
        <f t="shared" si="487"/>
        <v>0.193622118149648</v>
      </c>
      <c r="T150" s="1">
        <f t="shared" si="487"/>
        <v>2.53937590055973</v>
      </c>
      <c r="U150" s="1">
        <f t="shared" si="487"/>
        <v>1</v>
      </c>
      <c r="V150" s="1">
        <f t="shared" si="487"/>
        <v>1.15083139362573</v>
      </c>
      <c r="W150" s="1">
        <f t="shared" si="487"/>
        <v>1.08510862336248</v>
      </c>
      <c r="X150" s="1">
        <f t="shared" si="487"/>
        <v>1.44256484148491</v>
      </c>
      <c r="Y150" s="1">
        <f t="shared" si="459"/>
        <v>1.54585775599981</v>
      </c>
      <c r="Z150" s="1">
        <f t="shared" si="460"/>
        <v>2.64535906435246</v>
      </c>
      <c r="AA150" s="1">
        <f t="shared" si="437"/>
        <v>135707.427294279</v>
      </c>
      <c r="AB150" s="1">
        <f t="shared" si="438"/>
        <v>18687.5838079739</v>
      </c>
      <c r="AC150" s="1">
        <f t="shared" si="439"/>
        <v>12458.3892053159</v>
      </c>
      <c r="AD150" s="1">
        <f>AC150/(AC150+[1]战斗公式!$M$27)</f>
        <v>0.341715294528136</v>
      </c>
      <c r="AE150" s="1">
        <f t="shared" si="440"/>
        <v>206153.091764456</v>
      </c>
      <c r="AF150" s="1">
        <f t="shared" si="441"/>
        <v>7.13620257528171</v>
      </c>
      <c r="AG150" s="1">
        <f t="shared" si="442"/>
        <v>4.1701537791375</v>
      </c>
      <c r="AH150" s="1">
        <f t="shared" si="443"/>
        <v>3.6464552334983</v>
      </c>
      <c r="AI150" s="1">
        <f t="shared" si="444"/>
        <v>0.834165426176713</v>
      </c>
      <c r="AJ150" s="1">
        <f t="shared" si="445"/>
        <v>1.00096951686082</v>
      </c>
      <c r="AK150" s="1">
        <f t="shared" si="446"/>
        <v>1.04920521358287</v>
      </c>
      <c r="AL150" s="1">
        <f t="shared" si="447"/>
        <v>0.865548312754557</v>
      </c>
      <c r="AM150" s="27">
        <f t="shared" si="448"/>
        <v>118665</v>
      </c>
      <c r="AN150" s="27">
        <f t="shared" si="449"/>
        <v>15589</v>
      </c>
      <c r="AO150" s="27">
        <f t="shared" si="450"/>
        <v>12458</v>
      </c>
      <c r="AP150" s="1">
        <f t="shared" si="451"/>
        <v>72756</v>
      </c>
      <c r="AQ150" s="1">
        <f t="shared" si="452"/>
        <v>13493</v>
      </c>
      <c r="AR150"/>
      <c r="AS150" s="1">
        <f t="shared" ref="AS150:AY150" si="488">ROUNDUP(AS$10*$AP150,0)</f>
        <v>72756</v>
      </c>
      <c r="AT150" s="1">
        <f t="shared" si="488"/>
        <v>218268</v>
      </c>
      <c r="AU150" s="1">
        <f t="shared" si="488"/>
        <v>130961</v>
      </c>
      <c r="AV150" s="1">
        <f t="shared" si="488"/>
        <v>36378</v>
      </c>
      <c r="AW150" s="1">
        <f t="shared" si="488"/>
        <v>10914</v>
      </c>
      <c r="AX150" s="1">
        <f t="shared" si="488"/>
        <v>291024</v>
      </c>
      <c r="AY150" s="1">
        <f t="shared" si="488"/>
        <v>654804</v>
      </c>
      <c r="AZ150" s="1">
        <f t="shared" si="454"/>
        <v>7126803</v>
      </c>
      <c r="BA150" s="1">
        <f t="shared" si="455"/>
        <v>3563401</v>
      </c>
      <c r="BC150" s="1">
        <f t="shared" si="456"/>
        <v>139</v>
      </c>
    </row>
    <row r="151" s="1" customFormat="1" spans="2:55">
      <c r="B151" s="4">
        <v>140</v>
      </c>
      <c r="C151" s="1">
        <f t="shared" ref="C151:I151" si="489">C$5+(C$6-C$5)*(POWER(C$7,$B151-1)-1)/(POWER(C$7,$B$3-1)-1)</f>
        <v>11061.9766537849</v>
      </c>
      <c r="D151" s="1">
        <f t="shared" si="489"/>
        <v>3318.59299613546</v>
      </c>
      <c r="E151" s="1">
        <f t="shared" si="489"/>
        <v>2212.39533075697</v>
      </c>
      <c r="F151" s="1">
        <f t="shared" si="489"/>
        <v>40607.2560708559</v>
      </c>
      <c r="G151" s="1">
        <f t="shared" si="489"/>
        <v>12182.1768212568</v>
      </c>
      <c r="H151" s="1">
        <f t="shared" si="489"/>
        <v>8121.45121417117</v>
      </c>
      <c r="I151" s="1">
        <f t="shared" si="489"/>
        <v>0</v>
      </c>
      <c r="J151" s="1">
        <f>[1]标准模型!$I$65/1*$B151/$B$3</f>
        <v>1.008</v>
      </c>
      <c r="K151" s="1">
        <f>J151*[1]标准模型!$J$63</f>
        <v>1.008</v>
      </c>
      <c r="L151" s="1">
        <f t="shared" si="433"/>
        <v>51669.2327246408</v>
      </c>
      <c r="M151" s="1">
        <f t="shared" si="434"/>
        <v>18845.9115574968</v>
      </c>
      <c r="N151" s="1">
        <f t="shared" si="435"/>
        <v>12563.9410383312</v>
      </c>
      <c r="O151" s="1">
        <f t="shared" ref="O151:X151" si="490">O$5+(O$6-O$5)*(POWER(O$7,$B151-1)-1)/(POWER(O$7,$B$3-1)-1)</f>
        <v>0.639303628190366</v>
      </c>
      <c r="P151" s="1">
        <f t="shared" si="490"/>
        <v>0.0832744257911602</v>
      </c>
      <c r="Q151" s="1">
        <f t="shared" si="490"/>
        <v>0.351616995504702</v>
      </c>
      <c r="R151" s="1">
        <f t="shared" si="490"/>
        <v>1.05572145127615</v>
      </c>
      <c r="S151" s="1">
        <f t="shared" si="490"/>
        <v>0.195025079466513</v>
      </c>
      <c r="T151" s="1">
        <f t="shared" si="490"/>
        <v>2.54328414994243</v>
      </c>
      <c r="U151" s="1">
        <f t="shared" si="490"/>
        <v>1</v>
      </c>
      <c r="V151" s="1">
        <f t="shared" si="490"/>
        <v>1.15192429877855</v>
      </c>
      <c r="W151" s="1">
        <f t="shared" si="490"/>
        <v>1.08572530965561</v>
      </c>
      <c r="X151" s="1">
        <f t="shared" si="490"/>
        <v>1.44577161020917</v>
      </c>
      <c r="Y151" s="1">
        <f t="shared" si="459"/>
        <v>1.55784445229043</v>
      </c>
      <c r="Z151" s="1">
        <f t="shared" si="460"/>
        <v>2.66775787704761</v>
      </c>
      <c r="AA151" s="1">
        <f t="shared" si="437"/>
        <v>137841.002602167</v>
      </c>
      <c r="AB151" s="1">
        <f t="shared" si="438"/>
        <v>18845.9115574968</v>
      </c>
      <c r="AC151" s="1">
        <f t="shared" si="439"/>
        <v>12563.9410383312</v>
      </c>
      <c r="AD151" s="1">
        <f>AC151/(AC151+[1]战斗公式!$M$27)</f>
        <v>0.343615613676873</v>
      </c>
      <c r="AE151" s="1">
        <f t="shared" si="440"/>
        <v>210000.42882542</v>
      </c>
      <c r="AF151" s="1">
        <f t="shared" si="441"/>
        <v>7.15284708730814</v>
      </c>
      <c r="AG151" s="1">
        <f t="shared" si="442"/>
        <v>4.17692446863905</v>
      </c>
      <c r="AH151" s="1">
        <f t="shared" si="443"/>
        <v>3.65732447347812</v>
      </c>
      <c r="AI151" s="1">
        <f t="shared" si="444"/>
        <v>0.83693883771684</v>
      </c>
      <c r="AJ151" s="1">
        <f t="shared" si="445"/>
        <v>1.00092104101734</v>
      </c>
      <c r="AK151" s="1">
        <f t="shared" si="446"/>
        <v>1.04822043950382</v>
      </c>
      <c r="AL151" s="1">
        <f t="shared" si="447"/>
        <v>0.865931040279653</v>
      </c>
      <c r="AM151" s="27">
        <f t="shared" si="448"/>
        <v>120694</v>
      </c>
      <c r="AN151" s="27">
        <f t="shared" si="449"/>
        <v>15773</v>
      </c>
      <c r="AO151" s="27">
        <f t="shared" si="450"/>
        <v>12564</v>
      </c>
      <c r="AP151" s="1">
        <f t="shared" si="451"/>
        <v>73878</v>
      </c>
      <c r="AQ151" s="1">
        <f t="shared" si="452"/>
        <v>13658</v>
      </c>
      <c r="AR151"/>
      <c r="AS151" s="1">
        <f t="shared" ref="AS151:AY151" si="491">ROUNDUP(AS$10*$AP151,0)</f>
        <v>73878</v>
      </c>
      <c r="AT151" s="1">
        <f t="shared" si="491"/>
        <v>221634</v>
      </c>
      <c r="AU151" s="1">
        <f t="shared" si="491"/>
        <v>132981</v>
      </c>
      <c r="AV151" s="1">
        <f t="shared" si="491"/>
        <v>36939</v>
      </c>
      <c r="AW151" s="1">
        <f t="shared" si="491"/>
        <v>11082</v>
      </c>
      <c r="AX151" s="1">
        <f t="shared" si="491"/>
        <v>295512</v>
      </c>
      <c r="AY151" s="1">
        <f t="shared" si="491"/>
        <v>664902</v>
      </c>
      <c r="AZ151" s="1">
        <f t="shared" si="454"/>
        <v>7248310</v>
      </c>
      <c r="BA151" s="1">
        <f t="shared" si="455"/>
        <v>3624155</v>
      </c>
      <c r="BC151" s="1">
        <f t="shared" si="456"/>
        <v>140</v>
      </c>
    </row>
    <row r="152" s="1" customFormat="1" spans="2:55">
      <c r="B152" s="4">
        <v>141</v>
      </c>
      <c r="C152" s="1">
        <f t="shared" ref="C152:I152" si="492">C$5+(C$6-C$5)*(POWER(C$7,$B152-1)-1)/(POWER(C$7,$B$3-1)-1)</f>
        <v>11140.9853434502</v>
      </c>
      <c r="D152" s="1">
        <f t="shared" si="492"/>
        <v>3342.29560303506</v>
      </c>
      <c r="E152" s="1">
        <f t="shared" si="492"/>
        <v>2228.19706869004</v>
      </c>
      <c r="F152" s="1">
        <f t="shared" si="492"/>
        <v>40897.2879696273</v>
      </c>
      <c r="G152" s="1">
        <f t="shared" si="492"/>
        <v>12269.1863908882</v>
      </c>
      <c r="H152" s="1">
        <f t="shared" si="492"/>
        <v>8179.45759392547</v>
      </c>
      <c r="I152" s="1">
        <f t="shared" si="492"/>
        <v>0</v>
      </c>
      <c r="J152" s="1">
        <f>[1]标准模型!$I$65/1*$B152/$B$3</f>
        <v>1.0152</v>
      </c>
      <c r="K152" s="1">
        <f>J152*[1]标准模型!$J$63</f>
        <v>1.0152</v>
      </c>
      <c r="L152" s="1">
        <f t="shared" si="433"/>
        <v>52038.2733130775</v>
      </c>
      <c r="M152" s="1">
        <f t="shared" si="434"/>
        <v>19004.5804901245</v>
      </c>
      <c r="N152" s="1">
        <f t="shared" si="435"/>
        <v>12669.7203267496</v>
      </c>
      <c r="O152" s="1">
        <f t="shared" ref="O152:X152" si="493">O$5+(O$6-O$5)*(POWER(O$7,$B152-1)-1)/(POWER(O$7,$B$3-1)-1)</f>
        <v>0.640305742414579</v>
      </c>
      <c r="P152" s="1">
        <f t="shared" si="493"/>
        <v>0.0839385945553766</v>
      </c>
      <c r="Q152" s="1">
        <f t="shared" si="493"/>
        <v>0.352168158328018</v>
      </c>
      <c r="R152" s="1">
        <f t="shared" si="493"/>
        <v>1.05612229696583</v>
      </c>
      <c r="S152" s="1">
        <f t="shared" si="493"/>
        <v>0.19642803938041</v>
      </c>
      <c r="T152" s="1">
        <f t="shared" si="493"/>
        <v>2.54719239541686</v>
      </c>
      <c r="U152" s="1">
        <f t="shared" si="493"/>
        <v>1</v>
      </c>
      <c r="V152" s="1">
        <f t="shared" si="493"/>
        <v>1.15301720283846</v>
      </c>
      <c r="W152" s="1">
        <f t="shared" si="493"/>
        <v>1.08634199533205</v>
      </c>
      <c r="X152" s="1">
        <f t="shared" si="493"/>
        <v>1.44897837572665</v>
      </c>
      <c r="Y152" s="1">
        <f t="shared" si="459"/>
        <v>1.56991472970968</v>
      </c>
      <c r="Z152" s="1">
        <f t="shared" si="460"/>
        <v>2.69032949938031</v>
      </c>
      <c r="AA152" s="1">
        <f t="shared" si="437"/>
        <v>140000.101790988</v>
      </c>
      <c r="AB152" s="1">
        <f t="shared" si="438"/>
        <v>19004.5804901245</v>
      </c>
      <c r="AC152" s="1">
        <f t="shared" si="439"/>
        <v>12669.7203267496</v>
      </c>
      <c r="AD152" s="1">
        <f>AC152/(AC152+[1]战斗公式!$M$27)</f>
        <v>0.345509052533117</v>
      </c>
      <c r="AE152" s="1">
        <f t="shared" si="440"/>
        <v>213906.857433</v>
      </c>
      <c r="AF152" s="1">
        <f t="shared" si="441"/>
        <v>7.16952454356416</v>
      </c>
      <c r="AG152" s="1">
        <f t="shared" si="442"/>
        <v>4.18370396211655</v>
      </c>
      <c r="AH152" s="1">
        <f t="shared" si="443"/>
        <v>3.66811219415808</v>
      </c>
      <c r="AI152" s="1">
        <f t="shared" si="444"/>
        <v>0.839717796080047</v>
      </c>
      <c r="AJ152" s="1">
        <f t="shared" si="445"/>
        <v>1.00087498896603</v>
      </c>
      <c r="AK152" s="1">
        <f t="shared" si="446"/>
        <v>1.04725536090636</v>
      </c>
      <c r="AL152" s="1">
        <f t="shared" si="447"/>
        <v>0.866312619622174</v>
      </c>
      <c r="AM152" s="27">
        <f t="shared" si="448"/>
        <v>122747</v>
      </c>
      <c r="AN152" s="27">
        <f t="shared" si="449"/>
        <v>15958</v>
      </c>
      <c r="AO152" s="27">
        <f t="shared" si="450"/>
        <v>12670</v>
      </c>
      <c r="AP152" s="1">
        <f t="shared" si="451"/>
        <v>75012</v>
      </c>
      <c r="AQ152" s="1">
        <f t="shared" si="452"/>
        <v>13825</v>
      </c>
      <c r="AR152"/>
      <c r="AS152" s="1">
        <f t="shared" ref="AS152:AY152" si="494">ROUNDUP(AS$10*$AP152,0)</f>
        <v>75012</v>
      </c>
      <c r="AT152" s="1">
        <f t="shared" si="494"/>
        <v>225036</v>
      </c>
      <c r="AU152" s="1">
        <f t="shared" si="494"/>
        <v>135022</v>
      </c>
      <c r="AV152" s="1">
        <f t="shared" si="494"/>
        <v>37506</v>
      </c>
      <c r="AW152" s="1">
        <f t="shared" si="494"/>
        <v>11252</v>
      </c>
      <c r="AX152" s="1">
        <f t="shared" si="494"/>
        <v>300048</v>
      </c>
      <c r="AY152" s="1">
        <f t="shared" si="494"/>
        <v>675108</v>
      </c>
      <c r="AZ152" s="1">
        <f t="shared" si="454"/>
        <v>7371264</v>
      </c>
      <c r="BA152" s="1">
        <f t="shared" si="455"/>
        <v>3685632</v>
      </c>
      <c r="BC152" s="1">
        <f t="shared" si="456"/>
        <v>141</v>
      </c>
    </row>
    <row r="153" s="1" customFormat="1" spans="2:55">
      <c r="B153" s="4">
        <v>142</v>
      </c>
      <c r="C153" s="1">
        <f t="shared" ref="C153:I153" si="495">C$5+(C$6-C$5)*(POWER(C$7,$B153-1)-1)/(POWER(C$7,$B$3-1)-1)</f>
        <v>11219.9939540976</v>
      </c>
      <c r="D153" s="1">
        <f t="shared" si="495"/>
        <v>3365.99818622928</v>
      </c>
      <c r="E153" s="1">
        <f t="shared" si="495"/>
        <v>2243.99879081952</v>
      </c>
      <c r="F153" s="1">
        <f t="shared" si="495"/>
        <v>41187.319578333</v>
      </c>
      <c r="G153" s="1">
        <f t="shared" si="495"/>
        <v>12356.1958734999</v>
      </c>
      <c r="H153" s="1">
        <f t="shared" si="495"/>
        <v>8237.4639156666</v>
      </c>
      <c r="I153" s="1">
        <f t="shared" si="495"/>
        <v>0</v>
      </c>
      <c r="J153" s="1">
        <f>[1]标准模型!$I$65/1*$B153/$B$3</f>
        <v>1.0224</v>
      </c>
      <c r="K153" s="1">
        <f>J153*[1]标准模型!$J$63</f>
        <v>1.0224</v>
      </c>
      <c r="L153" s="1">
        <f t="shared" si="433"/>
        <v>52407.3135324306</v>
      </c>
      <c r="M153" s="1">
        <f t="shared" si="434"/>
        <v>19163.59060533</v>
      </c>
      <c r="N153" s="1">
        <f t="shared" si="435"/>
        <v>12775.72707022</v>
      </c>
      <c r="O153" s="1">
        <f t="shared" ref="O153:X153" si="496">O$5+(O$6-O$5)*(POWER(O$7,$B153-1)-1)/(POWER(O$7,$B$3-1)-1)</f>
        <v>0.641307855636559</v>
      </c>
      <c r="P153" s="1">
        <f t="shared" si="496"/>
        <v>0.0846037595727392</v>
      </c>
      <c r="Q153" s="1">
        <f t="shared" si="496"/>
        <v>0.352719320600108</v>
      </c>
      <c r="R153" s="1">
        <f t="shared" si="496"/>
        <v>1.05652314225462</v>
      </c>
      <c r="S153" s="1">
        <f t="shared" si="496"/>
        <v>0.197830997891183</v>
      </c>
      <c r="T153" s="1">
        <f t="shared" si="496"/>
        <v>2.55110063698258</v>
      </c>
      <c r="U153" s="1">
        <f t="shared" si="496"/>
        <v>1</v>
      </c>
      <c r="V153" s="1">
        <f t="shared" si="496"/>
        <v>1.15411010580534</v>
      </c>
      <c r="W153" s="1">
        <f t="shared" si="496"/>
        <v>1.08695868039173</v>
      </c>
      <c r="X153" s="1">
        <f t="shared" si="496"/>
        <v>1.45218513803699</v>
      </c>
      <c r="Y153" s="1">
        <f t="shared" si="459"/>
        <v>1.58206909951058</v>
      </c>
      <c r="Z153" s="1">
        <f t="shared" si="460"/>
        <v>2.71307511803801</v>
      </c>
      <c r="AA153" s="1">
        <f t="shared" si="437"/>
        <v>142184.978348054</v>
      </c>
      <c r="AB153" s="1">
        <f t="shared" si="438"/>
        <v>19163.59060533</v>
      </c>
      <c r="AC153" s="1">
        <f t="shared" si="439"/>
        <v>12775.72707022</v>
      </c>
      <c r="AD153" s="1">
        <f>AC153/(AC153+[1]战斗公式!$M$27)</f>
        <v>0.347395635328321</v>
      </c>
      <c r="AE153" s="1">
        <f t="shared" si="440"/>
        <v>217873.164883882</v>
      </c>
      <c r="AF153" s="1">
        <f t="shared" si="441"/>
        <v>7.18623490880209</v>
      </c>
      <c r="AG153" s="1">
        <f t="shared" si="442"/>
        <v>4.19049222612816</v>
      </c>
      <c r="AH153" s="1">
        <f t="shared" si="443"/>
        <v>3.67881900693295</v>
      </c>
      <c r="AI153" s="1">
        <f t="shared" si="444"/>
        <v>0.84250231235998</v>
      </c>
      <c r="AJ153" s="1">
        <f t="shared" si="445"/>
        <v>1.00083123951729</v>
      </c>
      <c r="AK153" s="1">
        <f t="shared" si="446"/>
        <v>1.04630958388084</v>
      </c>
      <c r="AL153" s="1">
        <f t="shared" si="447"/>
        <v>0.866693054226667</v>
      </c>
      <c r="AM153" s="27">
        <f t="shared" si="448"/>
        <v>124824</v>
      </c>
      <c r="AN153" s="27">
        <f t="shared" si="449"/>
        <v>16145</v>
      </c>
      <c r="AO153" s="27">
        <f t="shared" si="450"/>
        <v>12776</v>
      </c>
      <c r="AP153" s="1">
        <f t="shared" si="451"/>
        <v>76159</v>
      </c>
      <c r="AQ153" s="1">
        <f t="shared" si="452"/>
        <v>13993</v>
      </c>
      <c r="AR153"/>
      <c r="AS153" s="1">
        <f t="shared" ref="AS153:AY153" si="497">ROUNDUP(AS$10*$AP153,0)</f>
        <v>76159</v>
      </c>
      <c r="AT153" s="1">
        <f t="shared" si="497"/>
        <v>228477</v>
      </c>
      <c r="AU153" s="1">
        <f t="shared" si="497"/>
        <v>137087</v>
      </c>
      <c r="AV153" s="1">
        <f t="shared" si="497"/>
        <v>38080</v>
      </c>
      <c r="AW153" s="1">
        <f t="shared" si="497"/>
        <v>11424</v>
      </c>
      <c r="AX153" s="1">
        <f t="shared" si="497"/>
        <v>304636</v>
      </c>
      <c r="AY153" s="1">
        <f t="shared" si="497"/>
        <v>685431</v>
      </c>
      <c r="AZ153" s="1">
        <f t="shared" si="454"/>
        <v>7495666</v>
      </c>
      <c r="BA153" s="1">
        <f t="shared" si="455"/>
        <v>3747833</v>
      </c>
      <c r="BC153" s="1">
        <f t="shared" si="456"/>
        <v>142</v>
      </c>
    </row>
    <row r="154" s="1" customFormat="1" spans="2:55">
      <c r="B154" s="4">
        <v>143</v>
      </c>
      <c r="C154" s="1">
        <f t="shared" ref="C154:I154" si="498">C$5+(C$6-C$5)*(POWER(C$7,$B154-1)-1)/(POWER(C$7,$B$3-1)-1)</f>
        <v>11299.0024857446</v>
      </c>
      <c r="D154" s="1">
        <f t="shared" si="498"/>
        <v>3389.70074572339</v>
      </c>
      <c r="E154" s="1">
        <f t="shared" si="498"/>
        <v>2259.80049714893</v>
      </c>
      <c r="F154" s="1">
        <f t="shared" si="498"/>
        <v>41477.3508970373</v>
      </c>
      <c r="G154" s="1">
        <f t="shared" si="498"/>
        <v>12443.2052691112</v>
      </c>
      <c r="H154" s="1">
        <f t="shared" si="498"/>
        <v>8295.47017940746</v>
      </c>
      <c r="I154" s="1">
        <f t="shared" si="498"/>
        <v>0</v>
      </c>
      <c r="J154" s="1">
        <f>[1]标准模型!$I$65/1*$B154/$B$3</f>
        <v>1.0296</v>
      </c>
      <c r="K154" s="1">
        <f>J154*[1]标准模型!$J$63</f>
        <v>1.0296</v>
      </c>
      <c r="L154" s="1">
        <f t="shared" si="433"/>
        <v>52776.3533827819</v>
      </c>
      <c r="M154" s="1">
        <f t="shared" si="434"/>
        <v>19322.9419026314</v>
      </c>
      <c r="N154" s="1">
        <f t="shared" si="435"/>
        <v>12881.9612684209</v>
      </c>
      <c r="O154" s="1">
        <f t="shared" ref="O154:X154" si="499">O$5+(O$6-O$5)*(POWER(O$7,$B154-1)-1)/(POWER(O$7,$B$3-1)-1)</f>
        <v>0.642309967856531</v>
      </c>
      <c r="P154" s="1">
        <f t="shared" si="499"/>
        <v>0.085269922337628</v>
      </c>
      <c r="Q154" s="1">
        <f t="shared" si="499"/>
        <v>0.353270482321092</v>
      </c>
      <c r="R154" s="1">
        <f t="shared" si="499"/>
        <v>1.05692398714261</v>
      </c>
      <c r="S154" s="1">
        <f t="shared" si="499"/>
        <v>0.199233954999144</v>
      </c>
      <c r="T154" s="1">
        <f t="shared" si="499"/>
        <v>2.55500887464047</v>
      </c>
      <c r="U154" s="1">
        <f t="shared" si="499"/>
        <v>1</v>
      </c>
      <c r="V154" s="1">
        <f t="shared" si="499"/>
        <v>1.15520300767943</v>
      </c>
      <c r="W154" s="1">
        <f t="shared" si="499"/>
        <v>1.08757536483479</v>
      </c>
      <c r="X154" s="1">
        <f t="shared" si="499"/>
        <v>1.4553918971409</v>
      </c>
      <c r="Y154" s="1">
        <f t="shared" si="459"/>
        <v>1.59430807542767</v>
      </c>
      <c r="Z154" s="1">
        <f t="shared" si="460"/>
        <v>2.73599592647297</v>
      </c>
      <c r="AA154" s="1">
        <f t="shared" si="437"/>
        <v>144395.887869389</v>
      </c>
      <c r="AB154" s="1">
        <f t="shared" si="438"/>
        <v>19322.9419026314</v>
      </c>
      <c r="AC154" s="1">
        <f t="shared" si="439"/>
        <v>12881.9612684209</v>
      </c>
      <c r="AD154" s="1">
        <f>AC154/(AC154+[1]战斗公式!$M$27)</f>
        <v>0.349275386269947</v>
      </c>
      <c r="AE154" s="1">
        <f t="shared" si="440"/>
        <v>221900.147654919</v>
      </c>
      <c r="AF154" s="1">
        <f t="shared" si="441"/>
        <v>7.20297814795113</v>
      </c>
      <c r="AG154" s="1">
        <f t="shared" si="442"/>
        <v>4.19728922740448</v>
      </c>
      <c r="AH154" s="1">
        <f t="shared" si="443"/>
        <v>3.68944551861201</v>
      </c>
      <c r="AI154" s="1">
        <f t="shared" si="444"/>
        <v>0.845292397672473</v>
      </c>
      <c r="AJ154" s="1">
        <f t="shared" si="445"/>
        <v>1.00078967754098</v>
      </c>
      <c r="AK154" s="1">
        <f t="shared" si="446"/>
        <v>1.04538272239584</v>
      </c>
      <c r="AL154" s="1">
        <f t="shared" si="447"/>
        <v>0.867072347527347</v>
      </c>
      <c r="AM154" s="27">
        <f t="shared" si="448"/>
        <v>126925</v>
      </c>
      <c r="AN154" s="27">
        <f t="shared" si="449"/>
        <v>16334</v>
      </c>
      <c r="AO154" s="27">
        <f t="shared" si="450"/>
        <v>12882</v>
      </c>
      <c r="AP154" s="1">
        <f t="shared" si="451"/>
        <v>77318</v>
      </c>
      <c r="AQ154" s="1">
        <f t="shared" si="452"/>
        <v>14163</v>
      </c>
      <c r="AR154"/>
      <c r="AS154" s="1">
        <f t="shared" ref="AS154:AY154" si="500">ROUNDUP(AS$10*$AP154,0)</f>
        <v>77318</v>
      </c>
      <c r="AT154" s="1">
        <f t="shared" si="500"/>
        <v>231954</v>
      </c>
      <c r="AU154" s="1">
        <f t="shared" si="500"/>
        <v>139173</v>
      </c>
      <c r="AV154" s="1">
        <f t="shared" si="500"/>
        <v>38659</v>
      </c>
      <c r="AW154" s="1">
        <f t="shared" si="500"/>
        <v>11598</v>
      </c>
      <c r="AX154" s="1">
        <f t="shared" si="500"/>
        <v>309272</v>
      </c>
      <c r="AY154" s="1">
        <f t="shared" si="500"/>
        <v>695862</v>
      </c>
      <c r="AZ154" s="1">
        <f t="shared" si="454"/>
        <v>7621514</v>
      </c>
      <c r="BA154" s="1">
        <f t="shared" si="455"/>
        <v>3810757</v>
      </c>
      <c r="BC154" s="1">
        <f t="shared" si="456"/>
        <v>143</v>
      </c>
    </row>
    <row r="155" s="1" customFormat="1" spans="2:55">
      <c r="B155" s="4">
        <v>144</v>
      </c>
      <c r="C155" s="1">
        <f t="shared" ref="C155:I155" si="501">C$5+(C$6-C$5)*(POWER(C$7,$B155-1)-1)/(POWER(C$7,$B$3-1)-1)</f>
        <v>11378.0109383825</v>
      </c>
      <c r="D155" s="1">
        <f t="shared" si="501"/>
        <v>3413.40328151476</v>
      </c>
      <c r="E155" s="1">
        <f t="shared" si="501"/>
        <v>2275.6021876765</v>
      </c>
      <c r="F155" s="1">
        <f t="shared" si="501"/>
        <v>41767.381925708</v>
      </c>
      <c r="G155" s="1">
        <f t="shared" si="501"/>
        <v>12530.2145777124</v>
      </c>
      <c r="H155" s="1">
        <f t="shared" si="501"/>
        <v>8353.4763851416</v>
      </c>
      <c r="I155" s="1">
        <f t="shared" si="501"/>
        <v>0</v>
      </c>
      <c r="J155" s="1">
        <f>[1]标准模型!$I$65/1*$B155/$B$3</f>
        <v>1.0368</v>
      </c>
      <c r="K155" s="1">
        <f>J155*[1]标准模型!$J$63</f>
        <v>1.0368</v>
      </c>
      <c r="L155" s="1">
        <f t="shared" si="433"/>
        <v>53145.3928640905</v>
      </c>
      <c r="M155" s="1">
        <f t="shared" si="434"/>
        <v>19482.6343815017</v>
      </c>
      <c r="N155" s="1">
        <f t="shared" si="435"/>
        <v>12988.4229210011</v>
      </c>
      <c r="O155" s="1">
        <f t="shared" ref="O155:X155" si="502">O$5+(O$6-O$5)*(POWER(O$7,$B155-1)-1)/(POWER(O$7,$B$3-1)-1)</f>
        <v>0.643312079074383</v>
      </c>
      <c r="P155" s="1">
        <f t="shared" si="502"/>
        <v>0.085937084346664</v>
      </c>
      <c r="Q155" s="1">
        <f t="shared" si="502"/>
        <v>0.353821643490911</v>
      </c>
      <c r="R155" s="1">
        <f t="shared" si="502"/>
        <v>1.05732483162975</v>
      </c>
      <c r="S155" s="1">
        <f t="shared" si="502"/>
        <v>0.200636910704137</v>
      </c>
      <c r="T155" s="1">
        <f t="shared" si="502"/>
        <v>2.55891710839009</v>
      </c>
      <c r="U155" s="1">
        <f t="shared" si="502"/>
        <v>1</v>
      </c>
      <c r="V155" s="1">
        <f t="shared" si="502"/>
        <v>1.15629590846061</v>
      </c>
      <c r="W155" s="1">
        <f t="shared" si="502"/>
        <v>1.08819204866116</v>
      </c>
      <c r="X155" s="1">
        <f t="shared" si="502"/>
        <v>1.45859865303803</v>
      </c>
      <c r="Y155" s="1">
        <f t="shared" si="459"/>
        <v>1.60663217367834</v>
      </c>
      <c r="Z155" s="1">
        <f t="shared" si="460"/>
        <v>2.75909312491767</v>
      </c>
      <c r="AA155" s="1">
        <f t="shared" si="437"/>
        <v>146633.088072361</v>
      </c>
      <c r="AB155" s="1">
        <f t="shared" si="438"/>
        <v>19482.6343815017</v>
      </c>
      <c r="AC155" s="1">
        <f t="shared" si="439"/>
        <v>12988.4229210011</v>
      </c>
      <c r="AD155" s="1">
        <f>AC155/(AC155+[1]战斗公式!$M$27)</f>
        <v>0.351148329539257</v>
      </c>
      <c r="AE155" s="1">
        <f t="shared" si="440"/>
        <v>225988.611493037</v>
      </c>
      <c r="AF155" s="1">
        <f t="shared" si="441"/>
        <v>7.21975422609943</v>
      </c>
      <c r="AG155" s="1">
        <f t="shared" si="442"/>
        <v>4.20409493284052</v>
      </c>
      <c r="AH155" s="1">
        <f t="shared" si="443"/>
        <v>3.69999233145347</v>
      </c>
      <c r="AI155" s="1">
        <f t="shared" si="444"/>
        <v>0.848088063155591</v>
      </c>
      <c r="AJ155" s="1">
        <f t="shared" si="445"/>
        <v>1.00075019366349</v>
      </c>
      <c r="AK155" s="1">
        <f t="shared" si="446"/>
        <v>1.04447439814053</v>
      </c>
      <c r="AL155" s="1">
        <f t="shared" si="447"/>
        <v>0.867450502948124</v>
      </c>
      <c r="AM155" s="27">
        <f t="shared" si="448"/>
        <v>129051</v>
      </c>
      <c r="AN155" s="27">
        <f t="shared" si="449"/>
        <v>16523</v>
      </c>
      <c r="AO155" s="27">
        <f t="shared" si="450"/>
        <v>12988</v>
      </c>
      <c r="AP155" s="1">
        <f t="shared" si="451"/>
        <v>78489</v>
      </c>
      <c r="AQ155" s="1">
        <f t="shared" si="452"/>
        <v>14333</v>
      </c>
      <c r="AR155"/>
      <c r="AS155" s="1">
        <f t="shared" ref="AS155:AY155" si="503">ROUNDUP(AS$10*$AP155,0)</f>
        <v>78489</v>
      </c>
      <c r="AT155" s="1">
        <f t="shared" si="503"/>
        <v>235467</v>
      </c>
      <c r="AU155" s="1">
        <f t="shared" si="503"/>
        <v>141281</v>
      </c>
      <c r="AV155" s="1">
        <f t="shared" si="503"/>
        <v>39245</v>
      </c>
      <c r="AW155" s="1">
        <f t="shared" si="503"/>
        <v>11774</v>
      </c>
      <c r="AX155" s="1">
        <f t="shared" si="503"/>
        <v>313956</v>
      </c>
      <c r="AY155" s="1">
        <f t="shared" si="503"/>
        <v>706401</v>
      </c>
      <c r="AZ155" s="1">
        <f t="shared" si="454"/>
        <v>7748869</v>
      </c>
      <c r="BA155" s="1">
        <f t="shared" si="455"/>
        <v>3874434</v>
      </c>
      <c r="BC155" s="1">
        <f t="shared" si="456"/>
        <v>144</v>
      </c>
    </row>
    <row r="156" s="1" customFormat="1" spans="2:55">
      <c r="B156" s="4">
        <v>145</v>
      </c>
      <c r="C156" s="1">
        <f t="shared" ref="C156:I156" si="504">C$5+(C$6-C$5)*(POWER(C$7,$B156-1)-1)/(POWER(C$7,$B$3-1)-1)</f>
        <v>11457.0193120112</v>
      </c>
      <c r="D156" s="1">
        <f t="shared" si="504"/>
        <v>3437.10579360337</v>
      </c>
      <c r="E156" s="1">
        <f t="shared" si="504"/>
        <v>2291.40386240225</v>
      </c>
      <c r="F156" s="1">
        <f t="shared" si="504"/>
        <v>42057.4126643451</v>
      </c>
      <c r="G156" s="1">
        <f t="shared" si="504"/>
        <v>12617.2237993035</v>
      </c>
      <c r="H156" s="1">
        <f t="shared" si="504"/>
        <v>8411.48253286902</v>
      </c>
      <c r="I156" s="1">
        <f t="shared" si="504"/>
        <v>0</v>
      </c>
      <c r="J156" s="1">
        <f>[1]标准模型!$I$65/1*$B156/$B$3</f>
        <v>1.044</v>
      </c>
      <c r="K156" s="1">
        <f>J156*[1]标准模型!$J$63</f>
        <v>1.044</v>
      </c>
      <c r="L156" s="1">
        <f t="shared" si="433"/>
        <v>53514.4319763564</v>
      </c>
      <c r="M156" s="1">
        <f t="shared" si="434"/>
        <v>19642.6680414288</v>
      </c>
      <c r="N156" s="1">
        <f t="shared" si="435"/>
        <v>13095.1120276192</v>
      </c>
      <c r="O156" s="1">
        <f t="shared" ref="O156:X156" si="505">O$5+(O$6-O$5)*(POWER(O$7,$B156-1)-1)/(POWER(O$7,$B$3-1)-1)</f>
        <v>0.644314189290115</v>
      </c>
      <c r="P156" s="1">
        <f t="shared" si="505"/>
        <v>0.0866052470987136</v>
      </c>
      <c r="Q156" s="1">
        <f t="shared" si="505"/>
        <v>0.354372804109563</v>
      </c>
      <c r="R156" s="1">
        <f t="shared" si="505"/>
        <v>1.05772567571605</v>
      </c>
      <c r="S156" s="1">
        <f t="shared" si="505"/>
        <v>0.202039865006161</v>
      </c>
      <c r="T156" s="1">
        <f t="shared" si="505"/>
        <v>2.56282533823145</v>
      </c>
      <c r="U156" s="1">
        <f t="shared" si="505"/>
        <v>1</v>
      </c>
      <c r="V156" s="1">
        <f t="shared" si="505"/>
        <v>1.15738880814888</v>
      </c>
      <c r="W156" s="1">
        <f t="shared" si="505"/>
        <v>1.08880873187084</v>
      </c>
      <c r="X156" s="1">
        <f t="shared" si="505"/>
        <v>1.46180540572837</v>
      </c>
      <c r="Y156" s="1">
        <f t="shared" si="459"/>
        <v>1.6190419129762</v>
      </c>
      <c r="Z156" s="1">
        <f t="shared" si="460"/>
        <v>2.78236792042371</v>
      </c>
      <c r="AA156" s="1">
        <f t="shared" si="437"/>
        <v>148896.838810711</v>
      </c>
      <c r="AB156" s="1">
        <f t="shared" si="438"/>
        <v>19642.6680414288</v>
      </c>
      <c r="AC156" s="1">
        <f t="shared" si="439"/>
        <v>13095.1120276192</v>
      </c>
      <c r="AD156" s="1">
        <f>AC156/(AC156+[1]战斗公式!$M$27)</f>
        <v>0.353014489290913</v>
      </c>
      <c r="AE156" s="1">
        <f t="shared" si="440"/>
        <v>230139.37151007</v>
      </c>
      <c r="AF156" s="1">
        <f t="shared" si="441"/>
        <v>7.23656310850339</v>
      </c>
      <c r="AG156" s="1">
        <f t="shared" si="442"/>
        <v>4.21090930949927</v>
      </c>
      <c r="AH156" s="1">
        <f t="shared" si="443"/>
        <v>3.71046004319862</v>
      </c>
      <c r="AI156" s="1">
        <f t="shared" si="444"/>
        <v>0.850889319969675</v>
      </c>
      <c r="AJ156" s="1">
        <f t="shared" si="445"/>
        <v>1.00071268397988</v>
      </c>
      <c r="AK156" s="1">
        <f t="shared" si="446"/>
        <v>1.04358424037033</v>
      </c>
      <c r="AL156" s="1">
        <f t="shared" si="447"/>
        <v>0.86782752390264</v>
      </c>
      <c r="AM156" s="27">
        <f t="shared" si="448"/>
        <v>131201</v>
      </c>
      <c r="AN156" s="27">
        <f t="shared" si="449"/>
        <v>16714</v>
      </c>
      <c r="AO156" s="27">
        <f t="shared" si="450"/>
        <v>13095</v>
      </c>
      <c r="AP156" s="1">
        <f t="shared" si="451"/>
        <v>79672</v>
      </c>
      <c r="AQ156" s="1">
        <f t="shared" si="452"/>
        <v>14505</v>
      </c>
      <c r="AR156"/>
      <c r="AS156" s="1">
        <f t="shared" ref="AS156:AY156" si="506">ROUNDUP(AS$10*$AP156,0)</f>
        <v>79672</v>
      </c>
      <c r="AT156" s="1">
        <f t="shared" si="506"/>
        <v>239016</v>
      </c>
      <c r="AU156" s="1">
        <f t="shared" si="506"/>
        <v>143410</v>
      </c>
      <c r="AV156" s="1">
        <f t="shared" si="506"/>
        <v>39836</v>
      </c>
      <c r="AW156" s="1">
        <f t="shared" si="506"/>
        <v>11951</v>
      </c>
      <c r="AX156" s="1">
        <f t="shared" si="506"/>
        <v>318688</v>
      </c>
      <c r="AY156" s="1">
        <f t="shared" si="506"/>
        <v>717048</v>
      </c>
      <c r="AZ156" s="1">
        <f t="shared" si="454"/>
        <v>7877670</v>
      </c>
      <c r="BA156" s="1">
        <f t="shared" si="455"/>
        <v>3938835</v>
      </c>
      <c r="BC156" s="1">
        <f t="shared" si="456"/>
        <v>145</v>
      </c>
    </row>
    <row r="157" s="1" customFormat="1" spans="2:55">
      <c r="B157" s="4">
        <v>146</v>
      </c>
      <c r="C157" s="1">
        <f t="shared" ref="C157:I157" si="507">C$5+(C$6-C$5)*(POWER(C$7,$B157-1)-1)/(POWER(C$7,$B$3-1)-1)</f>
        <v>11536.0276066308</v>
      </c>
      <c r="D157" s="1">
        <f t="shared" si="507"/>
        <v>3460.80828198925</v>
      </c>
      <c r="E157" s="1">
        <f t="shared" si="507"/>
        <v>2307.20552132617</v>
      </c>
      <c r="F157" s="1">
        <f t="shared" si="507"/>
        <v>42347.4431129486</v>
      </c>
      <c r="G157" s="1">
        <f t="shared" si="507"/>
        <v>12704.2329338846</v>
      </c>
      <c r="H157" s="1">
        <f t="shared" si="507"/>
        <v>8469.48862258972</v>
      </c>
      <c r="I157" s="1">
        <f t="shared" si="507"/>
        <v>0</v>
      </c>
      <c r="J157" s="1">
        <f>[1]标准模型!$I$65/1*$B157/$B$3</f>
        <v>1.0512</v>
      </c>
      <c r="K157" s="1">
        <f>J157*[1]标准模型!$J$63</f>
        <v>1.0512</v>
      </c>
      <c r="L157" s="1">
        <f t="shared" si="433"/>
        <v>53883.4707195794</v>
      </c>
      <c r="M157" s="1">
        <f t="shared" si="434"/>
        <v>19803.042881901</v>
      </c>
      <c r="N157" s="1">
        <f t="shared" si="435"/>
        <v>13202.028587934</v>
      </c>
      <c r="O157" s="1">
        <f t="shared" ref="O157:X157" si="508">O$5+(O$6-O$5)*(POWER(O$7,$B157-1)-1)/(POWER(O$7,$B$3-1)-1)</f>
        <v>0.645316298503727</v>
      </c>
      <c r="P157" s="1">
        <f t="shared" si="508"/>
        <v>0.0872744120948913</v>
      </c>
      <c r="Q157" s="1">
        <f t="shared" si="508"/>
        <v>0.35492396417705</v>
      </c>
      <c r="R157" s="1">
        <f t="shared" si="508"/>
        <v>1.05812651940149</v>
      </c>
      <c r="S157" s="1">
        <f t="shared" si="508"/>
        <v>0.203442817905217</v>
      </c>
      <c r="T157" s="1">
        <f t="shared" si="508"/>
        <v>2.56673356416453</v>
      </c>
      <c r="U157" s="1">
        <f t="shared" si="508"/>
        <v>1</v>
      </c>
      <c r="V157" s="1">
        <f t="shared" si="508"/>
        <v>1.15848170674424</v>
      </c>
      <c r="W157" s="1">
        <f t="shared" si="508"/>
        <v>1.08942541446383</v>
      </c>
      <c r="X157" s="1">
        <f t="shared" si="508"/>
        <v>1.46501215521193</v>
      </c>
      <c r="Y157" s="1">
        <f t="shared" si="459"/>
        <v>1.63153781453839</v>
      </c>
      <c r="Z157" s="1">
        <f t="shared" si="460"/>
        <v>2.80582152688905</v>
      </c>
      <c r="AA157" s="1">
        <f t="shared" si="437"/>
        <v>151187.402088492</v>
      </c>
      <c r="AB157" s="1">
        <f t="shared" si="438"/>
        <v>19803.042881901</v>
      </c>
      <c r="AC157" s="1">
        <f t="shared" si="439"/>
        <v>13202.028587934</v>
      </c>
      <c r="AD157" s="1">
        <f>AC157/(AC157+[1]战斗公式!$M$27)</f>
        <v>0.354873889651703</v>
      </c>
      <c r="AE157" s="1">
        <f t="shared" si="440"/>
        <v>234353.252276314</v>
      </c>
      <c r="AF157" s="1">
        <f t="shared" si="441"/>
        <v>7.25340476058365</v>
      </c>
      <c r="AG157" s="1">
        <f t="shared" si="442"/>
        <v>4.21773232460945</v>
      </c>
      <c r="AH157" s="1">
        <f t="shared" si="443"/>
        <v>3.72084924710568</v>
      </c>
      <c r="AI157" s="1">
        <f t="shared" si="444"/>
        <v>0.853696179297388</v>
      </c>
      <c r="AJ157" s="1">
        <f t="shared" si="445"/>
        <v>1.00067704978044</v>
      </c>
      <c r="AK157" s="1">
        <f t="shared" si="446"/>
        <v>1.04271188575554</v>
      </c>
      <c r="AL157" s="1">
        <f t="shared" si="447"/>
        <v>0.868203413794291</v>
      </c>
      <c r="AM157" s="27">
        <f t="shared" si="448"/>
        <v>133376</v>
      </c>
      <c r="AN157" s="27">
        <f t="shared" si="449"/>
        <v>16906</v>
      </c>
      <c r="AO157" s="27">
        <f t="shared" si="450"/>
        <v>13202</v>
      </c>
      <c r="AP157" s="1">
        <f t="shared" si="451"/>
        <v>80869</v>
      </c>
      <c r="AQ157" s="1">
        <f t="shared" si="452"/>
        <v>14678</v>
      </c>
      <c r="AR157"/>
      <c r="AS157" s="1">
        <f t="shared" ref="AS157:AY157" si="509">ROUNDUP(AS$10*$AP157,0)</f>
        <v>80869</v>
      </c>
      <c r="AT157" s="1">
        <f t="shared" si="509"/>
        <v>242607</v>
      </c>
      <c r="AU157" s="1">
        <f t="shared" si="509"/>
        <v>145565</v>
      </c>
      <c r="AV157" s="1">
        <f t="shared" si="509"/>
        <v>40435</v>
      </c>
      <c r="AW157" s="1">
        <f t="shared" si="509"/>
        <v>12131</v>
      </c>
      <c r="AX157" s="1">
        <f t="shared" si="509"/>
        <v>323476</v>
      </c>
      <c r="AY157" s="1">
        <f t="shared" si="509"/>
        <v>727821</v>
      </c>
      <c r="AZ157" s="1">
        <f t="shared" si="454"/>
        <v>8007978</v>
      </c>
      <c r="BA157" s="1">
        <f t="shared" si="455"/>
        <v>4003989</v>
      </c>
      <c r="BC157" s="1">
        <f t="shared" si="456"/>
        <v>146</v>
      </c>
    </row>
    <row r="158" s="1" customFormat="1" spans="2:55">
      <c r="B158" s="4">
        <v>147</v>
      </c>
      <c r="C158" s="1">
        <f t="shared" ref="C158:I158" si="510">C$5+(C$6-C$5)*(POWER(C$7,$B158-1)-1)/(POWER(C$7,$B$3-1)-1)</f>
        <v>11615.0358222412</v>
      </c>
      <c r="D158" s="1">
        <f t="shared" si="510"/>
        <v>3484.51074667237</v>
      </c>
      <c r="E158" s="1">
        <f t="shared" si="510"/>
        <v>2323.00716444825</v>
      </c>
      <c r="F158" s="1">
        <f t="shared" si="510"/>
        <v>42637.4732715185</v>
      </c>
      <c r="G158" s="1">
        <f t="shared" si="510"/>
        <v>12791.2419814556</v>
      </c>
      <c r="H158" s="1">
        <f t="shared" si="510"/>
        <v>8527.4946543037</v>
      </c>
      <c r="I158" s="1">
        <f t="shared" si="510"/>
        <v>0</v>
      </c>
      <c r="J158" s="1">
        <f>[1]标准模型!$I$65/1*$B158/$B$3</f>
        <v>1.0584</v>
      </c>
      <c r="K158" s="1">
        <f>J158*[1]标准模型!$J$63</f>
        <v>1.0584</v>
      </c>
      <c r="L158" s="1">
        <f t="shared" si="433"/>
        <v>54252.5090937597</v>
      </c>
      <c r="M158" s="1">
        <f t="shared" si="434"/>
        <v>19963.758902406</v>
      </c>
      <c r="N158" s="1">
        <f t="shared" si="435"/>
        <v>13309.172601604</v>
      </c>
      <c r="O158" s="1">
        <f t="shared" ref="O158:X158" si="511">O$5+(O$6-O$5)*(POWER(O$7,$B158-1)-1)/(POWER(O$7,$B$3-1)-1)</f>
        <v>0.646318406715218</v>
      </c>
      <c r="P158" s="1">
        <f t="shared" si="511"/>
        <v>0.0879445808385633</v>
      </c>
      <c r="Q158" s="1">
        <f t="shared" si="511"/>
        <v>0.35547512369337</v>
      </c>
      <c r="R158" s="1">
        <f t="shared" si="511"/>
        <v>1.05852736268609</v>
      </c>
      <c r="S158" s="1">
        <f t="shared" si="511"/>
        <v>0.204845769401306</v>
      </c>
      <c r="T158" s="1">
        <f t="shared" si="511"/>
        <v>2.57064178618935</v>
      </c>
      <c r="U158" s="1">
        <f t="shared" si="511"/>
        <v>1</v>
      </c>
      <c r="V158" s="1">
        <f t="shared" si="511"/>
        <v>1.15957460424668</v>
      </c>
      <c r="W158" s="1">
        <f t="shared" si="511"/>
        <v>1.09004209644013</v>
      </c>
      <c r="X158" s="1">
        <f t="shared" si="511"/>
        <v>1.4682189014887</v>
      </c>
      <c r="Y158" s="1">
        <f t="shared" si="459"/>
        <v>1.64412040209427</v>
      </c>
      <c r="Z158" s="1">
        <f t="shared" si="460"/>
        <v>2.8294551650878</v>
      </c>
      <c r="AA158" s="1">
        <f t="shared" si="437"/>
        <v>153505.042074311</v>
      </c>
      <c r="AB158" s="1">
        <f t="shared" si="438"/>
        <v>19963.758902406</v>
      </c>
      <c r="AC158" s="1">
        <f t="shared" si="439"/>
        <v>13309.172601604</v>
      </c>
      <c r="AD158" s="1">
        <f>AC158/(AC158+[1]战斗公式!$M$27)</f>
        <v>0.356726554719463</v>
      </c>
      <c r="AE158" s="1">
        <f t="shared" si="440"/>
        <v>238631.08791529</v>
      </c>
      <c r="AF158" s="1">
        <f t="shared" si="441"/>
        <v>7.27027914792342</v>
      </c>
      <c r="AG158" s="1">
        <f t="shared" si="442"/>
        <v>4.22456394556459</v>
      </c>
      <c r="AH158" s="1">
        <f t="shared" si="443"/>
        <v>3.73116053198344</v>
      </c>
      <c r="AI158" s="1">
        <f t="shared" si="444"/>
        <v>0.856508652343756</v>
      </c>
      <c r="AJ158" s="1">
        <f t="shared" si="445"/>
        <v>1.00064319729098</v>
      </c>
      <c r="AK158" s="1">
        <f t="shared" si="446"/>
        <v>1.04185697823304</v>
      </c>
      <c r="AL158" s="1">
        <f t="shared" si="447"/>
        <v>0.868578176016268</v>
      </c>
      <c r="AM158" s="27">
        <f t="shared" si="448"/>
        <v>135577</v>
      </c>
      <c r="AN158" s="27">
        <f t="shared" si="449"/>
        <v>17099</v>
      </c>
      <c r="AO158" s="27">
        <f t="shared" si="450"/>
        <v>13309</v>
      </c>
      <c r="AP158" s="1">
        <f t="shared" si="451"/>
        <v>82077</v>
      </c>
      <c r="AQ158" s="1">
        <f t="shared" si="452"/>
        <v>14852</v>
      </c>
      <c r="AR158"/>
      <c r="AS158" s="1">
        <f t="shared" ref="AS158:AY158" si="512">ROUNDUP(AS$10*$AP158,0)</f>
        <v>82077</v>
      </c>
      <c r="AT158" s="1">
        <f t="shared" si="512"/>
        <v>246231</v>
      </c>
      <c r="AU158" s="1">
        <f t="shared" si="512"/>
        <v>147739</v>
      </c>
      <c r="AV158" s="1">
        <f t="shared" si="512"/>
        <v>41039</v>
      </c>
      <c r="AW158" s="1">
        <f t="shared" si="512"/>
        <v>12312</v>
      </c>
      <c r="AX158" s="1">
        <f t="shared" si="512"/>
        <v>328308</v>
      </c>
      <c r="AY158" s="1">
        <f t="shared" si="512"/>
        <v>738693</v>
      </c>
      <c r="AZ158" s="1">
        <f t="shared" si="454"/>
        <v>8139852</v>
      </c>
      <c r="BA158" s="1">
        <f t="shared" si="455"/>
        <v>4069926</v>
      </c>
      <c r="BC158" s="1">
        <f t="shared" si="456"/>
        <v>147</v>
      </c>
    </row>
    <row r="159" s="1" customFormat="1" spans="2:55">
      <c r="B159" s="4">
        <v>148</v>
      </c>
      <c r="C159" s="1">
        <f t="shared" ref="C159:I159" si="513">C$5+(C$6-C$5)*(POWER(C$7,$B159-1)-1)/(POWER(C$7,$B$3-1)-1)</f>
        <v>11694.0439588425</v>
      </c>
      <c r="D159" s="1">
        <f t="shared" si="513"/>
        <v>3508.21318765276</v>
      </c>
      <c r="E159" s="1">
        <f t="shared" si="513"/>
        <v>2338.8087917685</v>
      </c>
      <c r="F159" s="1">
        <f t="shared" si="513"/>
        <v>42927.5031400548</v>
      </c>
      <c r="G159" s="1">
        <f t="shared" si="513"/>
        <v>12878.2509420164</v>
      </c>
      <c r="H159" s="1">
        <f t="shared" si="513"/>
        <v>8585.50062801097</v>
      </c>
      <c r="I159" s="1">
        <f t="shared" si="513"/>
        <v>0</v>
      </c>
      <c r="J159" s="1">
        <f>[1]标准模型!$I$65/1*$B159/$B$3</f>
        <v>1.0656</v>
      </c>
      <c r="K159" s="1">
        <f>J159*[1]标准模型!$J$63</f>
        <v>1.0656</v>
      </c>
      <c r="L159" s="1">
        <f t="shared" si="433"/>
        <v>54621.5470988973</v>
      </c>
      <c r="M159" s="1">
        <f t="shared" si="434"/>
        <v>20124.8161024319</v>
      </c>
      <c r="N159" s="1">
        <f t="shared" si="435"/>
        <v>13416.544068288</v>
      </c>
      <c r="O159" s="1">
        <f t="shared" ref="O159:X159" si="514">O$5+(O$6-O$5)*(POWER(O$7,$B159-1)-1)/(POWER(O$7,$B$3-1)-1)</f>
        <v>0.64732051392459</v>
      </c>
      <c r="P159" s="1">
        <f t="shared" si="514"/>
        <v>0.0886157548353507</v>
      </c>
      <c r="Q159" s="1">
        <f t="shared" si="514"/>
        <v>0.356026282658525</v>
      </c>
      <c r="R159" s="1">
        <f t="shared" si="514"/>
        <v>1.05892820556984</v>
      </c>
      <c r="S159" s="1">
        <f t="shared" si="514"/>
        <v>0.206248719494426</v>
      </c>
      <c r="T159" s="1">
        <f t="shared" si="514"/>
        <v>2.5745500043059</v>
      </c>
      <c r="U159" s="1">
        <f t="shared" si="514"/>
        <v>1</v>
      </c>
      <c r="V159" s="1">
        <f t="shared" si="514"/>
        <v>1.16066750065622</v>
      </c>
      <c r="W159" s="1">
        <f t="shared" si="514"/>
        <v>1.09065877779975</v>
      </c>
      <c r="X159" s="1">
        <f t="shared" si="514"/>
        <v>1.47142564455869</v>
      </c>
      <c r="Y159" s="1">
        <f t="shared" si="459"/>
        <v>1.65679020189394</v>
      </c>
      <c r="Z159" s="1">
        <f t="shared" si="460"/>
        <v>2.85327006269997</v>
      </c>
      <c r="AA159" s="1">
        <f t="shared" si="437"/>
        <v>155850.02511564</v>
      </c>
      <c r="AB159" s="1">
        <f t="shared" si="438"/>
        <v>20124.8161024319</v>
      </c>
      <c r="AC159" s="1">
        <f t="shared" si="439"/>
        <v>13416.544068288</v>
      </c>
      <c r="AD159" s="1">
        <f>AC159/(AC159+[1]战斗公式!$M$27)</f>
        <v>0.358572508562036</v>
      </c>
      <c r="AE159" s="1">
        <f t="shared" si="440"/>
        <v>242973.722199297</v>
      </c>
      <c r="AF159" s="1">
        <f t="shared" si="441"/>
        <v>7.28718623626727</v>
      </c>
      <c r="AG159" s="1">
        <f t="shared" si="442"/>
        <v>4.23140413992194</v>
      </c>
      <c r="AH159" s="1">
        <f t="shared" si="443"/>
        <v>3.74139448222462</v>
      </c>
      <c r="AI159" s="1">
        <f t="shared" si="444"/>
        <v>0.859326750336217</v>
      </c>
      <c r="AJ159" s="1">
        <f t="shared" si="445"/>
        <v>1.00061103742599</v>
      </c>
      <c r="AK159" s="1">
        <f t="shared" si="446"/>
        <v>1.04101916886099</v>
      </c>
      <c r="AL159" s="1">
        <f t="shared" si="447"/>
        <v>0.868951813951579</v>
      </c>
      <c r="AM159" s="27">
        <f t="shared" si="448"/>
        <v>137802</v>
      </c>
      <c r="AN159" s="27">
        <f t="shared" si="449"/>
        <v>17294</v>
      </c>
      <c r="AO159" s="27">
        <f t="shared" si="450"/>
        <v>13417</v>
      </c>
      <c r="AP159" s="1">
        <f t="shared" si="451"/>
        <v>83299</v>
      </c>
      <c r="AQ159" s="1">
        <f t="shared" si="452"/>
        <v>15028</v>
      </c>
      <c r="AR159"/>
      <c r="AS159" s="1">
        <f t="shared" ref="AS159:AY159" si="515">ROUNDUP(AS$10*$AP159,0)</f>
        <v>83299</v>
      </c>
      <c r="AT159" s="1">
        <f t="shared" si="515"/>
        <v>249897</v>
      </c>
      <c r="AU159" s="1">
        <f t="shared" si="515"/>
        <v>149939</v>
      </c>
      <c r="AV159" s="1">
        <f t="shared" si="515"/>
        <v>41650</v>
      </c>
      <c r="AW159" s="1">
        <f t="shared" si="515"/>
        <v>12495</v>
      </c>
      <c r="AX159" s="1">
        <f t="shared" si="515"/>
        <v>333196</v>
      </c>
      <c r="AY159" s="1">
        <f t="shared" si="515"/>
        <v>749691</v>
      </c>
      <c r="AZ159" s="1">
        <f t="shared" si="454"/>
        <v>8273172</v>
      </c>
      <c r="BA159" s="1">
        <f t="shared" si="455"/>
        <v>4136586</v>
      </c>
      <c r="BC159" s="1">
        <f t="shared" si="456"/>
        <v>148</v>
      </c>
    </row>
    <row r="160" s="1" customFormat="1" spans="2:55">
      <c r="B160" s="4">
        <v>149</v>
      </c>
      <c r="C160" s="1">
        <f t="shared" ref="C160:I160" si="516">C$5+(C$6-C$5)*(POWER(C$7,$B160-1)-1)/(POWER(C$7,$B$3-1)-1)</f>
        <v>11773.0520164434</v>
      </c>
      <c r="D160" s="1">
        <f t="shared" si="516"/>
        <v>3531.91560493302</v>
      </c>
      <c r="E160" s="1">
        <f t="shared" si="516"/>
        <v>2354.61040328868</v>
      </c>
      <c r="F160" s="1">
        <f t="shared" si="516"/>
        <v>43217.5327185898</v>
      </c>
      <c r="G160" s="1">
        <f t="shared" si="516"/>
        <v>12965.2598155769</v>
      </c>
      <c r="H160" s="1">
        <f t="shared" si="516"/>
        <v>8643.50654371795</v>
      </c>
      <c r="I160" s="1">
        <f t="shared" si="516"/>
        <v>0</v>
      </c>
      <c r="J160" s="1">
        <f>[1]标准模型!$I$65/1*$B160/$B$3</f>
        <v>1.0728</v>
      </c>
      <c r="K160" s="1">
        <f>J160*[1]标准模型!$J$63</f>
        <v>1.0728</v>
      </c>
      <c r="L160" s="1">
        <f t="shared" si="433"/>
        <v>54990.5847350332</v>
      </c>
      <c r="M160" s="1">
        <f t="shared" si="434"/>
        <v>20286.2144814821</v>
      </c>
      <c r="N160" s="1">
        <f t="shared" si="435"/>
        <v>13524.1429876547</v>
      </c>
      <c r="O160" s="1">
        <f t="shared" ref="O160:X160" si="517">O$5+(O$6-O$5)*(POWER(O$7,$B160-1)-1)/(POWER(O$7,$B$3-1)-1)</f>
        <v>0.648322620131953</v>
      </c>
      <c r="P160" s="1">
        <f t="shared" si="517"/>
        <v>0.0892879355931333</v>
      </c>
      <c r="Q160" s="1">
        <f t="shared" si="517"/>
        <v>0.356577441072574</v>
      </c>
      <c r="R160" s="1">
        <f t="shared" si="517"/>
        <v>1.05932904805278</v>
      </c>
      <c r="S160" s="1">
        <f t="shared" si="517"/>
        <v>0.207651668184734</v>
      </c>
      <c r="T160" s="1">
        <f t="shared" si="517"/>
        <v>2.57845821851462</v>
      </c>
      <c r="U160" s="1">
        <f t="shared" si="517"/>
        <v>1</v>
      </c>
      <c r="V160" s="1">
        <f t="shared" si="517"/>
        <v>1.16176039597297</v>
      </c>
      <c r="W160" s="1">
        <f t="shared" si="517"/>
        <v>1.09127545854274</v>
      </c>
      <c r="X160" s="1">
        <f t="shared" si="517"/>
        <v>1.47463238442225</v>
      </c>
      <c r="Y160" s="1">
        <f t="shared" si="459"/>
        <v>1.66954774271825</v>
      </c>
      <c r="Z160" s="1">
        <f t="shared" si="460"/>
        <v>2.87726745434396</v>
      </c>
      <c r="AA160" s="1">
        <f t="shared" si="437"/>
        <v>158222.619753455</v>
      </c>
      <c r="AB160" s="1">
        <f t="shared" si="438"/>
        <v>20286.2144814821</v>
      </c>
      <c r="AC160" s="1">
        <f t="shared" si="439"/>
        <v>13524.1429876547</v>
      </c>
      <c r="AD160" s="1">
        <f>AC160/(AC160+[1]战斗公式!$M$27)</f>
        <v>0.360411775216402</v>
      </c>
      <c r="AE160" s="1">
        <f t="shared" si="440"/>
        <v>247382.008646249</v>
      </c>
      <c r="AF160" s="1">
        <f t="shared" si="441"/>
        <v>7.30412599152195</v>
      </c>
      <c r="AG160" s="1">
        <f t="shared" si="442"/>
        <v>4.23825287540245</v>
      </c>
      <c r="AH160" s="1">
        <f t="shared" si="443"/>
        <v>3.75155167783899</v>
      </c>
      <c r="AI160" s="1">
        <f t="shared" si="444"/>
        <v>0.862150484524662</v>
      </c>
      <c r="AJ160" s="1">
        <f t="shared" si="445"/>
        <v>1.00058048555425</v>
      </c>
      <c r="AK160" s="1">
        <f t="shared" si="446"/>
        <v>1.04019811567638</v>
      </c>
      <c r="AL160" s="1">
        <f t="shared" si="447"/>
        <v>0.869324330973084</v>
      </c>
      <c r="AM160" s="27">
        <f t="shared" si="448"/>
        <v>140053</v>
      </c>
      <c r="AN160" s="27">
        <f t="shared" si="449"/>
        <v>17490</v>
      </c>
      <c r="AO160" s="27">
        <f t="shared" si="450"/>
        <v>13524</v>
      </c>
      <c r="AP160" s="1">
        <f t="shared" si="451"/>
        <v>84533</v>
      </c>
      <c r="AQ160" s="1">
        <f t="shared" si="452"/>
        <v>15204</v>
      </c>
      <c r="AR160"/>
      <c r="AS160" s="1">
        <f t="shared" ref="AS160:AY160" si="518">ROUNDUP(AS$10*$AP160,0)</f>
        <v>84533</v>
      </c>
      <c r="AT160" s="1">
        <f t="shared" si="518"/>
        <v>253599</v>
      </c>
      <c r="AU160" s="1">
        <f t="shared" si="518"/>
        <v>152160</v>
      </c>
      <c r="AV160" s="1">
        <f t="shared" si="518"/>
        <v>42267</v>
      </c>
      <c r="AW160" s="1">
        <f t="shared" si="518"/>
        <v>12680</v>
      </c>
      <c r="AX160" s="1">
        <f t="shared" si="518"/>
        <v>338132</v>
      </c>
      <c r="AY160" s="1">
        <f t="shared" si="518"/>
        <v>760797</v>
      </c>
      <c r="AZ160" s="1">
        <f t="shared" si="454"/>
        <v>8408058</v>
      </c>
      <c r="BA160" s="1">
        <f t="shared" si="455"/>
        <v>4204029</v>
      </c>
      <c r="BC160" s="1">
        <f t="shared" si="456"/>
        <v>149</v>
      </c>
    </row>
    <row r="161" s="1" customFormat="1" spans="2:55">
      <c r="B161" s="4">
        <v>150</v>
      </c>
      <c r="C161" s="1">
        <f t="shared" ref="C161:I161" si="519">C$5+(C$6-C$5)*(POWER(C$7,$B161-1)-1)/(POWER(C$7,$B$3-1)-1)</f>
        <v>11852.0599950264</v>
      </c>
      <c r="D161" s="1">
        <f t="shared" si="519"/>
        <v>3555.61799850792</v>
      </c>
      <c r="E161" s="1">
        <f t="shared" si="519"/>
        <v>2370.41199900528</v>
      </c>
      <c r="F161" s="1">
        <f t="shared" si="519"/>
        <v>43507.5620070589</v>
      </c>
      <c r="G161" s="1">
        <f t="shared" si="519"/>
        <v>13052.2686021177</v>
      </c>
      <c r="H161" s="1">
        <f t="shared" si="519"/>
        <v>8701.51240141178</v>
      </c>
      <c r="I161" s="1">
        <f t="shared" si="519"/>
        <v>0</v>
      </c>
      <c r="J161" s="1">
        <f>[1]标准模型!$I$65/1*$B161/$B$3</f>
        <v>1.08</v>
      </c>
      <c r="K161" s="1">
        <f>J161*[1]标准模型!$J$63</f>
        <v>1.08</v>
      </c>
      <c r="L161" s="1">
        <f t="shared" si="433"/>
        <v>55359.6220020853</v>
      </c>
      <c r="M161" s="1">
        <f t="shared" si="434"/>
        <v>20447.9540390142</v>
      </c>
      <c r="N161" s="1">
        <f t="shared" si="435"/>
        <v>13631.9693593428</v>
      </c>
      <c r="O161" s="1">
        <f t="shared" ref="O161:X161" si="520">O$5+(O$6-O$5)*(POWER(O$7,$B161-1)-1)/(POWER(O$7,$B$3-1)-1)</f>
        <v>0.649324725337084</v>
      </c>
      <c r="P161" s="1">
        <f t="shared" si="520"/>
        <v>0.0899611246220526</v>
      </c>
      <c r="Q161" s="1">
        <f t="shared" si="520"/>
        <v>0.357128598935396</v>
      </c>
      <c r="R161" s="1">
        <f t="shared" si="520"/>
        <v>1.05972989013483</v>
      </c>
      <c r="S161" s="1">
        <f t="shared" si="520"/>
        <v>0.209054615471918</v>
      </c>
      <c r="T161" s="1">
        <f t="shared" si="520"/>
        <v>2.58236642881463</v>
      </c>
      <c r="U161" s="1">
        <f t="shared" si="520"/>
        <v>1</v>
      </c>
      <c r="V161" s="1">
        <f t="shared" si="520"/>
        <v>1.16285329019668</v>
      </c>
      <c r="W161" s="1">
        <f t="shared" si="520"/>
        <v>1.09189213866897</v>
      </c>
      <c r="X161" s="1">
        <f t="shared" si="520"/>
        <v>1.47783912107867</v>
      </c>
      <c r="Y161" s="1">
        <f t="shared" si="459"/>
        <v>1.68239355588237</v>
      </c>
      <c r="Z161" s="1">
        <f t="shared" si="460"/>
        <v>2.90144858159662</v>
      </c>
      <c r="AA161" s="1">
        <f t="shared" si="437"/>
        <v>160623.096735675</v>
      </c>
      <c r="AB161" s="1">
        <f t="shared" si="438"/>
        <v>20447.9540390142</v>
      </c>
      <c r="AC161" s="1">
        <f t="shared" si="439"/>
        <v>13631.9693593428</v>
      </c>
      <c r="AD161" s="1">
        <f>AC161/(AC161+[1]战斗公式!$M$27)</f>
        <v>0.362244378686985</v>
      </c>
      <c r="AE161" s="1">
        <f t="shared" si="440"/>
        <v>251856.810614986</v>
      </c>
      <c r="AF161" s="1">
        <f t="shared" si="441"/>
        <v>7.32109837974437</v>
      </c>
      <c r="AG161" s="1">
        <f t="shared" si="442"/>
        <v>4.24511011988534</v>
      </c>
      <c r="AH161" s="1">
        <f t="shared" si="443"/>
        <v>3.76163269448625</v>
      </c>
      <c r="AI161" s="1">
        <f t="shared" si="444"/>
        <v>0.864979866181485</v>
      </c>
      <c r="AJ161" s="1">
        <f t="shared" si="445"/>
        <v>1.0005514612761</v>
      </c>
      <c r="AK161" s="1">
        <f t="shared" si="446"/>
        <v>1.03939348355547</v>
      </c>
      <c r="AL161" s="1">
        <f t="shared" si="447"/>
        <v>0.869695730443525</v>
      </c>
      <c r="AM161" s="27">
        <f t="shared" si="448"/>
        <v>142330</v>
      </c>
      <c r="AN161" s="27">
        <f t="shared" si="449"/>
        <v>17687</v>
      </c>
      <c r="AO161" s="27">
        <f t="shared" si="450"/>
        <v>13632</v>
      </c>
      <c r="AP161" s="1">
        <f t="shared" si="451"/>
        <v>85780</v>
      </c>
      <c r="AQ161" s="1">
        <f t="shared" si="452"/>
        <v>15382</v>
      </c>
      <c r="AR161"/>
      <c r="AS161" s="1">
        <f t="shared" ref="AS161:AY161" si="521">ROUNDUP(AS$10*$AP161,0)</f>
        <v>85780</v>
      </c>
      <c r="AT161" s="1">
        <f t="shared" si="521"/>
        <v>257340</v>
      </c>
      <c r="AU161" s="1">
        <f t="shared" si="521"/>
        <v>154404</v>
      </c>
      <c r="AV161" s="1">
        <f t="shared" si="521"/>
        <v>42890</v>
      </c>
      <c r="AW161" s="1">
        <f t="shared" si="521"/>
        <v>12867</v>
      </c>
      <c r="AX161" s="1">
        <f t="shared" si="521"/>
        <v>343120</v>
      </c>
      <c r="AY161" s="1">
        <f t="shared" si="521"/>
        <v>772020</v>
      </c>
      <c r="AZ161" s="1">
        <f t="shared" si="454"/>
        <v>8544509</v>
      </c>
      <c r="BA161" s="1">
        <f t="shared" si="455"/>
        <v>4272255</v>
      </c>
      <c r="BC161" s="1">
        <f t="shared" si="456"/>
        <v>150</v>
      </c>
    </row>
    <row r="162" s="1" customFormat="1" spans="2:55">
      <c r="B162" s="4">
        <v>151</v>
      </c>
      <c r="C162" s="1">
        <f t="shared" ref="C162:I162" si="522">C$5+(C$6-C$5)*(POWER(C$7,$B162-1)-1)/(POWER(C$7,$B$3-1)-1)</f>
        <v>11931.067894609</v>
      </c>
      <c r="D162" s="1">
        <f t="shared" si="522"/>
        <v>3579.32036838269</v>
      </c>
      <c r="E162" s="1">
        <f t="shared" si="522"/>
        <v>2386.2135789218</v>
      </c>
      <c r="F162" s="1">
        <f t="shared" si="522"/>
        <v>43797.5910055266</v>
      </c>
      <c r="G162" s="1">
        <f t="shared" si="522"/>
        <v>13139.277301658</v>
      </c>
      <c r="H162" s="1">
        <f t="shared" si="522"/>
        <v>8759.51820110532</v>
      </c>
      <c r="I162" s="1">
        <f t="shared" si="522"/>
        <v>0</v>
      </c>
      <c r="J162" s="1">
        <f>[1]标准模型!$I$65/1*$B162/$B$3</f>
        <v>1.0872</v>
      </c>
      <c r="K162" s="1">
        <f>J162*[1]标准模型!$J$63</f>
        <v>1.0872</v>
      </c>
      <c r="L162" s="1">
        <f t="shared" si="433"/>
        <v>55728.6589001356</v>
      </c>
      <c r="M162" s="1">
        <f t="shared" si="434"/>
        <v>20610.0347745464</v>
      </c>
      <c r="N162" s="1">
        <f t="shared" si="435"/>
        <v>13740.0231830309</v>
      </c>
      <c r="O162" s="1">
        <f t="shared" ref="O162:X162" si="523">O$5+(O$6-O$5)*(POWER(O$7,$B162-1)-1)/(POWER(O$7,$B$3-1)-1)</f>
        <v>0.650326829540207</v>
      </c>
      <c r="P162" s="1">
        <f t="shared" si="523"/>
        <v>0.0906353234345154</v>
      </c>
      <c r="Q162" s="1">
        <f t="shared" si="523"/>
        <v>0.357679756247114</v>
      </c>
      <c r="R162" s="1">
        <f t="shared" si="523"/>
        <v>1.06013073181608</v>
      </c>
      <c r="S162" s="1">
        <f t="shared" si="523"/>
        <v>0.210457561356289</v>
      </c>
      <c r="T162" s="1">
        <f t="shared" si="523"/>
        <v>2.58627463520681</v>
      </c>
      <c r="U162" s="1">
        <f t="shared" si="523"/>
        <v>1</v>
      </c>
      <c r="V162" s="1">
        <f t="shared" si="523"/>
        <v>1.16394618332761</v>
      </c>
      <c r="W162" s="1">
        <f t="shared" si="523"/>
        <v>1.09250881817859</v>
      </c>
      <c r="X162" s="1">
        <f t="shared" si="523"/>
        <v>1.48104585452866</v>
      </c>
      <c r="Y162" s="1">
        <f t="shared" si="459"/>
        <v>1.69532817525331</v>
      </c>
      <c r="Z162" s="1">
        <f t="shared" si="460"/>
        <v>2.9258146930407</v>
      </c>
      <c r="AA162" s="1">
        <f t="shared" si="437"/>
        <v>163051.72903347</v>
      </c>
      <c r="AB162" s="1">
        <f t="shared" si="438"/>
        <v>20610.0347745464</v>
      </c>
      <c r="AC162" s="1">
        <f t="shared" si="439"/>
        <v>13740.0231830309</v>
      </c>
      <c r="AD162" s="1">
        <f>AC162/(AC162+[1]战斗公式!$M$27)</f>
        <v>0.364070342945864</v>
      </c>
      <c r="AE162" s="1">
        <f t="shared" si="440"/>
        <v>256399.001406518</v>
      </c>
      <c r="AF162" s="1">
        <f t="shared" si="441"/>
        <v>7.33810336715943</v>
      </c>
      <c r="AG162" s="1">
        <f t="shared" si="442"/>
        <v>4.25197584141516</v>
      </c>
      <c r="AH162" s="1">
        <f t="shared" si="443"/>
        <v>3.77163810350865</v>
      </c>
      <c r="AI162" s="1">
        <f t="shared" si="444"/>
        <v>0.867814906601621</v>
      </c>
      <c r="AJ162" s="1">
        <f t="shared" si="445"/>
        <v>1.00052388821185</v>
      </c>
      <c r="AK162" s="1">
        <f t="shared" si="446"/>
        <v>1.03860494407697</v>
      </c>
      <c r="AL162" s="1">
        <f t="shared" si="447"/>
        <v>0.870066015715554</v>
      </c>
      <c r="AM162" s="27">
        <f t="shared" si="448"/>
        <v>144632</v>
      </c>
      <c r="AN162" s="27">
        <f t="shared" si="449"/>
        <v>17886</v>
      </c>
      <c r="AO162" s="27">
        <f t="shared" si="450"/>
        <v>13740</v>
      </c>
      <c r="AP162" s="1">
        <f t="shared" si="451"/>
        <v>87041</v>
      </c>
      <c r="AQ162" s="1">
        <f t="shared" si="452"/>
        <v>15562</v>
      </c>
      <c r="AR162"/>
      <c r="AS162" s="1">
        <f t="shared" ref="AS162:AY162" si="524">ROUNDUP(AS$10*$AP162,0)</f>
        <v>87041</v>
      </c>
      <c r="AT162" s="1">
        <f t="shared" si="524"/>
        <v>261123</v>
      </c>
      <c r="AU162" s="1">
        <f t="shared" si="524"/>
        <v>156674</v>
      </c>
      <c r="AV162" s="1">
        <f t="shared" si="524"/>
        <v>43521</v>
      </c>
      <c r="AW162" s="1">
        <f t="shared" si="524"/>
        <v>13057</v>
      </c>
      <c r="AX162" s="1">
        <f t="shared" si="524"/>
        <v>348164</v>
      </c>
      <c r="AY162" s="1">
        <f t="shared" si="524"/>
        <v>783369</v>
      </c>
      <c r="AZ162" s="1">
        <f t="shared" si="454"/>
        <v>8682466</v>
      </c>
      <c r="BA162" s="1">
        <f t="shared" si="455"/>
        <v>4341233</v>
      </c>
      <c r="BC162" s="1">
        <f t="shared" si="456"/>
        <v>151</v>
      </c>
    </row>
    <row r="163" s="1" customFormat="1" spans="2:55">
      <c r="B163" s="4">
        <v>152</v>
      </c>
      <c r="C163" s="1">
        <f t="shared" ref="C163:I163" si="525">C$5+(C$6-C$5)*(POWER(C$7,$B163-1)-1)/(POWER(C$7,$B$3-1)-1)</f>
        <v>12010.0757151824</v>
      </c>
      <c r="D163" s="1">
        <f t="shared" si="525"/>
        <v>3603.02271455472</v>
      </c>
      <c r="E163" s="1">
        <f t="shared" si="525"/>
        <v>2402.01514303648</v>
      </c>
      <c r="F163" s="1">
        <f t="shared" si="525"/>
        <v>44087.6197139608</v>
      </c>
      <c r="G163" s="1">
        <f t="shared" si="525"/>
        <v>13226.2859141882</v>
      </c>
      <c r="H163" s="1">
        <f t="shared" si="525"/>
        <v>8817.52394279215</v>
      </c>
      <c r="I163" s="1">
        <f t="shared" si="525"/>
        <v>0</v>
      </c>
      <c r="J163" s="1">
        <f>[1]标准模型!$I$65/1*$B163/$B$3</f>
        <v>1.0944</v>
      </c>
      <c r="K163" s="1">
        <f>J163*[1]标准模型!$J$63</f>
        <v>1.0944</v>
      </c>
      <c r="L163" s="1">
        <f t="shared" si="433"/>
        <v>56097.6954291432</v>
      </c>
      <c r="M163" s="1">
        <f t="shared" si="434"/>
        <v>20772.4566875516</v>
      </c>
      <c r="N163" s="1">
        <f t="shared" si="435"/>
        <v>13848.3044583678</v>
      </c>
      <c r="O163" s="1">
        <f t="shared" ref="O163:X163" si="526">O$5+(O$6-O$5)*(POWER(O$7,$B163-1)-1)/(POWER(O$7,$B$3-1)-1)</f>
        <v>0.651328932741209</v>
      </c>
      <c r="P163" s="1">
        <f t="shared" si="526"/>
        <v>0.0913105335451968</v>
      </c>
      <c r="Q163" s="1">
        <f t="shared" si="526"/>
        <v>0.358230913007665</v>
      </c>
      <c r="R163" s="1">
        <f t="shared" si="526"/>
        <v>1.06053157309648</v>
      </c>
      <c r="S163" s="1">
        <f t="shared" si="526"/>
        <v>0.211860505837693</v>
      </c>
      <c r="T163" s="1">
        <f t="shared" si="526"/>
        <v>2.59018283769072</v>
      </c>
      <c r="U163" s="1">
        <f t="shared" si="526"/>
        <v>1</v>
      </c>
      <c r="V163" s="1">
        <f t="shared" si="526"/>
        <v>1.16503907536563</v>
      </c>
      <c r="W163" s="1">
        <f t="shared" si="526"/>
        <v>1.09312549707151</v>
      </c>
      <c r="X163" s="1">
        <f t="shared" si="526"/>
        <v>1.48425258477187</v>
      </c>
      <c r="Y163" s="1">
        <f t="shared" si="459"/>
        <v>1.7083521372498</v>
      </c>
      <c r="Z163" s="1">
        <f t="shared" si="460"/>
        <v>2.95036704427772</v>
      </c>
      <c r="AA163" s="1">
        <f t="shared" si="437"/>
        <v>165508.791854073</v>
      </c>
      <c r="AB163" s="1">
        <f t="shared" si="438"/>
        <v>20772.4566875516</v>
      </c>
      <c r="AC163" s="1">
        <f t="shared" si="439"/>
        <v>13848.3044583678</v>
      </c>
      <c r="AD163" s="1">
        <f>AC163/(AC163+[1]战斗公式!$M$27)</f>
        <v>0.365889691930601</v>
      </c>
      <c r="AE163" s="1">
        <f t="shared" si="440"/>
        <v>261009.464359565</v>
      </c>
      <c r="AF163" s="1">
        <f t="shared" si="441"/>
        <v>7.35514092013913</v>
      </c>
      <c r="AG163" s="1">
        <f t="shared" si="442"/>
        <v>4.25885000819253</v>
      </c>
      <c r="AH163" s="1">
        <f t="shared" si="443"/>
        <v>3.78156847196339</v>
      </c>
      <c r="AI163" s="1">
        <f t="shared" si="444"/>
        <v>0.870655617102597</v>
      </c>
      <c r="AJ163" s="1">
        <f t="shared" si="445"/>
        <v>1.00049769380082</v>
      </c>
      <c r="AK163" s="1">
        <f t="shared" si="446"/>
        <v>1.03783217538804</v>
      </c>
      <c r="AL163" s="1">
        <f t="shared" si="447"/>
        <v>0.870435190131767</v>
      </c>
      <c r="AM163" s="27">
        <f t="shared" si="448"/>
        <v>146961</v>
      </c>
      <c r="AN163" s="27">
        <f t="shared" si="449"/>
        <v>18086</v>
      </c>
      <c r="AO163" s="27">
        <f t="shared" si="450"/>
        <v>13848</v>
      </c>
      <c r="AP163" s="1">
        <f t="shared" si="451"/>
        <v>88314</v>
      </c>
      <c r="AQ163" s="1">
        <f t="shared" si="452"/>
        <v>15743</v>
      </c>
      <c r="AR163"/>
      <c r="AS163" s="1">
        <f t="shared" ref="AS163:AY163" si="527">ROUNDUP(AS$10*$AP163,0)</f>
        <v>88314</v>
      </c>
      <c r="AT163" s="1">
        <f t="shared" si="527"/>
        <v>264942</v>
      </c>
      <c r="AU163" s="1">
        <f t="shared" si="527"/>
        <v>158966</v>
      </c>
      <c r="AV163" s="1">
        <f t="shared" si="527"/>
        <v>44157</v>
      </c>
      <c r="AW163" s="1">
        <f t="shared" si="527"/>
        <v>13248</v>
      </c>
      <c r="AX163" s="1">
        <f t="shared" si="527"/>
        <v>353256</v>
      </c>
      <c r="AY163" s="1">
        <f t="shared" si="527"/>
        <v>794826</v>
      </c>
      <c r="AZ163" s="1">
        <f t="shared" si="454"/>
        <v>8822048</v>
      </c>
      <c r="BA163" s="1">
        <f t="shared" si="455"/>
        <v>4411024</v>
      </c>
      <c r="BC163" s="1">
        <f t="shared" si="456"/>
        <v>152</v>
      </c>
    </row>
    <row r="164" s="1" customFormat="1" spans="2:55">
      <c r="B164" s="4">
        <v>153</v>
      </c>
      <c r="C164" s="1">
        <f t="shared" ref="C164:I164" si="528">C$5+(C$6-C$5)*(POWER(C$7,$B164-1)-1)/(POWER(C$7,$B$3-1)-1)</f>
        <v>12089.0834567379</v>
      </c>
      <c r="D164" s="1">
        <f t="shared" si="528"/>
        <v>3626.72503702138</v>
      </c>
      <c r="E164" s="1">
        <f t="shared" si="528"/>
        <v>2417.81669134759</v>
      </c>
      <c r="F164" s="1">
        <f t="shared" si="528"/>
        <v>44377.6481323291</v>
      </c>
      <c r="G164" s="1">
        <f t="shared" si="528"/>
        <v>13313.2944396987</v>
      </c>
      <c r="H164" s="1">
        <f t="shared" si="528"/>
        <v>8875.52962646582</v>
      </c>
      <c r="I164" s="1">
        <f t="shared" si="528"/>
        <v>0</v>
      </c>
      <c r="J164" s="1">
        <f>[1]标准模型!$I$65/1*$B164/$B$3</f>
        <v>1.1016</v>
      </c>
      <c r="K164" s="1">
        <f>J164*[1]标准模型!$J$63</f>
        <v>1.1016</v>
      </c>
      <c r="L164" s="1">
        <f t="shared" si="433"/>
        <v>56466.731589067</v>
      </c>
      <c r="M164" s="1">
        <f t="shared" si="434"/>
        <v>20935.2197775028</v>
      </c>
      <c r="N164" s="1">
        <f t="shared" si="435"/>
        <v>13956.8131850019</v>
      </c>
      <c r="O164" s="1">
        <f t="shared" ref="O164:X164" si="529">O$5+(O$6-O$5)*(POWER(O$7,$B164-1)-1)/(POWER(O$7,$B$3-1)-1)</f>
        <v>0.65233103493998</v>
      </c>
      <c r="P164" s="1">
        <f t="shared" si="529"/>
        <v>0.0919867564710442</v>
      </c>
      <c r="Q164" s="1">
        <f t="shared" si="529"/>
        <v>0.358782069216989</v>
      </c>
      <c r="R164" s="1">
        <f t="shared" si="529"/>
        <v>1.06093241397599</v>
      </c>
      <c r="S164" s="1">
        <f t="shared" si="529"/>
        <v>0.213263448915972</v>
      </c>
      <c r="T164" s="1">
        <f t="shared" si="529"/>
        <v>2.59409103626592</v>
      </c>
      <c r="U164" s="1">
        <f t="shared" si="529"/>
        <v>1</v>
      </c>
      <c r="V164" s="1">
        <f t="shared" si="529"/>
        <v>1.16613196631061</v>
      </c>
      <c r="W164" s="1">
        <f t="shared" si="529"/>
        <v>1.09374217534768</v>
      </c>
      <c r="X164" s="1">
        <f t="shared" si="529"/>
        <v>1.48745931180794</v>
      </c>
      <c r="Y164" s="1">
        <f t="shared" si="459"/>
        <v>1.72146598085485</v>
      </c>
      <c r="Z164" s="1">
        <f t="shared" si="460"/>
        <v>2.97510689796564</v>
      </c>
      <c r="AA164" s="1">
        <f t="shared" si="437"/>
        <v>167994.562656208</v>
      </c>
      <c r="AB164" s="1">
        <f t="shared" si="438"/>
        <v>20935.2197775028</v>
      </c>
      <c r="AC164" s="1">
        <f t="shared" si="439"/>
        <v>13956.8131850019</v>
      </c>
      <c r="AD164" s="1">
        <f>AC164/(AC164+[1]战斗公式!$M$27)</f>
        <v>0.367702449543808</v>
      </c>
      <c r="AE164" s="1">
        <f t="shared" si="440"/>
        <v>265689.092951574</v>
      </c>
      <c r="AF164" s="1">
        <f t="shared" si="441"/>
        <v>7.37221100520935</v>
      </c>
      <c r="AG164" s="1">
        <f t="shared" si="442"/>
        <v>4.26573258857679</v>
      </c>
      <c r="AH164" s="1">
        <f t="shared" si="443"/>
        <v>3.79142436265472</v>
      </c>
      <c r="AI164" s="1">
        <f t="shared" si="444"/>
        <v>0.873502009024576</v>
      </c>
      <c r="AJ164" s="1">
        <f t="shared" si="445"/>
        <v>1.00047280911034</v>
      </c>
      <c r="AK164" s="1">
        <f t="shared" si="446"/>
        <v>1.03707486207289</v>
      </c>
      <c r="AL164" s="1">
        <f t="shared" si="447"/>
        <v>0.870803257024731</v>
      </c>
      <c r="AM164" s="27">
        <f t="shared" si="448"/>
        <v>149315</v>
      </c>
      <c r="AN164" s="27">
        <f t="shared" si="449"/>
        <v>18287</v>
      </c>
      <c r="AO164" s="27">
        <f t="shared" si="450"/>
        <v>13957</v>
      </c>
      <c r="AP164" s="1">
        <f t="shared" si="451"/>
        <v>89600</v>
      </c>
      <c r="AQ164" s="1">
        <f t="shared" si="452"/>
        <v>15924</v>
      </c>
      <c r="AR164"/>
      <c r="AS164" s="1">
        <f t="shared" ref="AS164:AY164" si="530">ROUNDUP(AS$10*$AP164,0)</f>
        <v>89600</v>
      </c>
      <c r="AT164" s="1">
        <f t="shared" si="530"/>
        <v>268800</v>
      </c>
      <c r="AU164" s="1">
        <f t="shared" si="530"/>
        <v>161280</v>
      </c>
      <c r="AV164" s="1">
        <f t="shared" si="530"/>
        <v>44800</v>
      </c>
      <c r="AW164" s="1">
        <f t="shared" si="530"/>
        <v>13440</v>
      </c>
      <c r="AX164" s="1">
        <f t="shared" si="530"/>
        <v>358400</v>
      </c>
      <c r="AY164" s="1">
        <f t="shared" si="530"/>
        <v>806400</v>
      </c>
      <c r="AZ164" s="1">
        <f t="shared" si="454"/>
        <v>8963136</v>
      </c>
      <c r="BA164" s="1">
        <f t="shared" si="455"/>
        <v>4481568</v>
      </c>
      <c r="BC164" s="1">
        <f t="shared" si="456"/>
        <v>153</v>
      </c>
    </row>
    <row r="165" s="1" customFormat="1" spans="2:55">
      <c r="B165" s="4">
        <v>154</v>
      </c>
      <c r="C165" s="1">
        <f t="shared" ref="C165:I165" si="531">C$5+(C$6-C$5)*(POWER(C$7,$B165-1)-1)/(POWER(C$7,$B$3-1)-1)</f>
        <v>12168.0911193018</v>
      </c>
      <c r="D165" s="1">
        <f t="shared" si="531"/>
        <v>3650.42733579055</v>
      </c>
      <c r="E165" s="1">
        <f t="shared" si="531"/>
        <v>2433.61822386037</v>
      </c>
      <c r="F165" s="1">
        <f t="shared" si="531"/>
        <v>44667.6762607283</v>
      </c>
      <c r="G165" s="1">
        <f t="shared" si="531"/>
        <v>13400.3028782185</v>
      </c>
      <c r="H165" s="1">
        <f t="shared" si="531"/>
        <v>8933.53525214565</v>
      </c>
      <c r="I165" s="1">
        <f t="shared" si="531"/>
        <v>0</v>
      </c>
      <c r="J165" s="1">
        <f>[1]标准模型!$I$65/1*$B165/$B$3</f>
        <v>1.1088</v>
      </c>
      <c r="K165" s="1">
        <f>J165*[1]标准模型!$J$63</f>
        <v>1.1088</v>
      </c>
      <c r="L165" s="1">
        <f t="shared" si="433"/>
        <v>56835.7673800301</v>
      </c>
      <c r="M165" s="1">
        <f t="shared" si="434"/>
        <v>21098.3240439336</v>
      </c>
      <c r="N165" s="1">
        <f t="shared" si="435"/>
        <v>14065.5493626224</v>
      </c>
      <c r="O165" s="1">
        <f t="shared" ref="O165:X165" si="532">O$5+(O$6-O$5)*(POWER(O$7,$B165-1)-1)/(POWER(O$7,$B$3-1)-1)</f>
        <v>0.653333136136854</v>
      </c>
      <c r="P165" s="1">
        <f t="shared" si="532"/>
        <v>0.0926639937312804</v>
      </c>
      <c r="Q165" s="1">
        <f t="shared" si="532"/>
        <v>0.35933322487527</v>
      </c>
      <c r="R165" s="1">
        <f t="shared" si="532"/>
        <v>1.06133325445474</v>
      </c>
      <c r="S165" s="1">
        <f t="shared" si="532"/>
        <v>0.214666390591595</v>
      </c>
      <c r="T165" s="1">
        <f t="shared" si="532"/>
        <v>2.59799923093373</v>
      </c>
      <c r="U165" s="1">
        <f t="shared" si="532"/>
        <v>1</v>
      </c>
      <c r="V165" s="1">
        <f t="shared" si="532"/>
        <v>1.16722485616293</v>
      </c>
      <c r="W165" s="1">
        <f t="shared" si="532"/>
        <v>1.09435885300729</v>
      </c>
      <c r="X165" s="1">
        <f t="shared" si="532"/>
        <v>1.49066603563793</v>
      </c>
      <c r="Y165" s="1">
        <f t="shared" si="459"/>
        <v>1.73467024762958</v>
      </c>
      <c r="Z165" s="1">
        <f t="shared" si="460"/>
        <v>3.00003552385957</v>
      </c>
      <c r="AA165" s="1">
        <f t="shared" si="437"/>
        <v>170509.321165909</v>
      </c>
      <c r="AB165" s="1">
        <f t="shared" si="438"/>
        <v>21098.3240439336</v>
      </c>
      <c r="AC165" s="1">
        <f t="shared" si="439"/>
        <v>14065.5493626224</v>
      </c>
      <c r="AD165" s="1">
        <f>AC165/(AC165+[1]战斗公式!$M$27)</f>
        <v>0.369508639652886</v>
      </c>
      <c r="AE165" s="1">
        <f t="shared" si="440"/>
        <v>270438.790901173</v>
      </c>
      <c r="AF165" s="1">
        <f t="shared" si="441"/>
        <v>7.38931358906001</v>
      </c>
      <c r="AG165" s="1">
        <f t="shared" si="442"/>
        <v>4.27262355108944</v>
      </c>
      <c r="AH165" s="1">
        <f t="shared" si="443"/>
        <v>3.80120633416586</v>
      </c>
      <c r="AI165" s="1">
        <f t="shared" si="444"/>
        <v>0.876354093730398</v>
      </c>
      <c r="AJ165" s="1">
        <f t="shared" si="445"/>
        <v>1.00044916865438</v>
      </c>
      <c r="AK165" s="1">
        <f t="shared" si="446"/>
        <v>1.03633269502405</v>
      </c>
      <c r="AL165" s="1">
        <f t="shared" si="447"/>
        <v>0.871170219717017</v>
      </c>
      <c r="AM165" s="27">
        <f t="shared" si="448"/>
        <v>151696</v>
      </c>
      <c r="AN165" s="27">
        <f t="shared" si="449"/>
        <v>18490</v>
      </c>
      <c r="AO165" s="27">
        <f t="shared" si="450"/>
        <v>14066</v>
      </c>
      <c r="AP165" s="1">
        <f t="shared" si="451"/>
        <v>90900</v>
      </c>
      <c r="AQ165" s="1">
        <f t="shared" si="452"/>
        <v>16108</v>
      </c>
      <c r="AR165"/>
      <c r="AS165" s="1">
        <f t="shared" ref="AS165:AY165" si="533">ROUNDUP(AS$10*$AP165,0)</f>
        <v>90900</v>
      </c>
      <c r="AT165" s="1">
        <f t="shared" si="533"/>
        <v>272700</v>
      </c>
      <c r="AU165" s="1">
        <f t="shared" si="533"/>
        <v>163620</v>
      </c>
      <c r="AV165" s="1">
        <f t="shared" si="533"/>
        <v>45450</v>
      </c>
      <c r="AW165" s="1">
        <f t="shared" si="533"/>
        <v>13635</v>
      </c>
      <c r="AX165" s="1">
        <f t="shared" si="533"/>
        <v>363600</v>
      </c>
      <c r="AY165" s="1">
        <f t="shared" si="533"/>
        <v>818100</v>
      </c>
      <c r="AZ165" s="1">
        <f t="shared" si="454"/>
        <v>9105848</v>
      </c>
      <c r="BA165" s="1">
        <f t="shared" si="455"/>
        <v>4552924</v>
      </c>
      <c r="BC165" s="1">
        <f t="shared" si="456"/>
        <v>154</v>
      </c>
    </row>
    <row r="166" s="1" customFormat="1" spans="2:55">
      <c r="B166" s="4">
        <v>155</v>
      </c>
      <c r="C166" s="1">
        <f t="shared" ref="C166:I166" si="534">C$5+(C$6-C$5)*(POWER(C$7,$B166-1)-1)/(POWER(C$7,$B$3-1)-1)</f>
        <v>12247.0987028478</v>
      </c>
      <c r="D166" s="1">
        <f t="shared" si="534"/>
        <v>3674.12961085435</v>
      </c>
      <c r="E166" s="1">
        <f t="shared" si="534"/>
        <v>2449.41974056956</v>
      </c>
      <c r="F166" s="1">
        <f t="shared" si="534"/>
        <v>44957.7040990616</v>
      </c>
      <c r="G166" s="1">
        <f t="shared" si="534"/>
        <v>13487.3112297185</v>
      </c>
      <c r="H166" s="1">
        <f t="shared" si="534"/>
        <v>8991.54081981232</v>
      </c>
      <c r="I166" s="1">
        <f t="shared" si="534"/>
        <v>0</v>
      </c>
      <c r="J166" s="1">
        <f>[1]标准模型!$I$65/1*$B166/$B$3</f>
        <v>1.116</v>
      </c>
      <c r="K166" s="1">
        <f>J166*[1]标准模型!$J$63</f>
        <v>1.116</v>
      </c>
      <c r="L166" s="1">
        <f t="shared" si="433"/>
        <v>57204.8028019094</v>
      </c>
      <c r="M166" s="1">
        <f t="shared" si="434"/>
        <v>21261.7694862863</v>
      </c>
      <c r="N166" s="1">
        <f t="shared" si="435"/>
        <v>14174.5129908575</v>
      </c>
      <c r="O166" s="1">
        <f t="shared" ref="O166:X166" si="535">O$5+(O$6-O$5)*(POWER(O$7,$B166-1)-1)/(POWER(O$7,$B$3-1)-1)</f>
        <v>0.654335236331496</v>
      </c>
      <c r="P166" s="1">
        <f t="shared" si="535"/>
        <v>0.0933422468474069</v>
      </c>
      <c r="Q166" s="1">
        <f t="shared" si="535"/>
        <v>0.359884379982323</v>
      </c>
      <c r="R166" s="1">
        <f t="shared" si="535"/>
        <v>1.0617340945326</v>
      </c>
      <c r="S166" s="1">
        <f t="shared" si="535"/>
        <v>0.216069330864095</v>
      </c>
      <c r="T166" s="1">
        <f t="shared" si="535"/>
        <v>2.60190742169283</v>
      </c>
      <c r="U166" s="1">
        <f t="shared" si="535"/>
        <v>1</v>
      </c>
      <c r="V166" s="1">
        <f t="shared" si="535"/>
        <v>1.16831774492221</v>
      </c>
      <c r="W166" s="1">
        <f t="shared" si="535"/>
        <v>1.09497553005015</v>
      </c>
      <c r="X166" s="1">
        <f t="shared" si="535"/>
        <v>1.49387275626079</v>
      </c>
      <c r="Y166" s="1">
        <f t="shared" si="459"/>
        <v>1.74796548170926</v>
      </c>
      <c r="Z166" s="1">
        <f t="shared" si="460"/>
        <v>3.02515419881675</v>
      </c>
      <c r="AA166" s="1">
        <f t="shared" si="437"/>
        <v>173053.34938868</v>
      </c>
      <c r="AB166" s="1">
        <f t="shared" si="438"/>
        <v>21261.7694862863</v>
      </c>
      <c r="AC166" s="1">
        <f t="shared" si="439"/>
        <v>14174.5129908575</v>
      </c>
      <c r="AD166" s="1">
        <f>AC166/(AC166+[1]战斗公式!$M$27)</f>
        <v>0.371308286087427</v>
      </c>
      <c r="AE166" s="1">
        <f t="shared" si="440"/>
        <v>275259.472264565</v>
      </c>
      <c r="AF166" s="1">
        <f t="shared" si="441"/>
        <v>7.40644863851557</v>
      </c>
      <c r="AG166" s="1">
        <f t="shared" si="442"/>
        <v>4.27952286440192</v>
      </c>
      <c r="AH166" s="1">
        <f t="shared" si="443"/>
        <v>3.81091494089067</v>
      </c>
      <c r="AI166" s="1">
        <f t="shared" si="444"/>
        <v>0.879211882605632</v>
      </c>
      <c r="AJ166" s="1">
        <f t="shared" si="445"/>
        <v>1.00042671022122</v>
      </c>
      <c r="AK166" s="1">
        <f t="shared" si="446"/>
        <v>1.03560537131618</v>
      </c>
      <c r="AL166" s="1">
        <f t="shared" si="447"/>
        <v>0.871536081521225</v>
      </c>
      <c r="AM166" s="27">
        <f t="shared" si="448"/>
        <v>154104</v>
      </c>
      <c r="AN166" s="27">
        <f t="shared" si="449"/>
        <v>18694</v>
      </c>
      <c r="AO166" s="27">
        <f t="shared" si="450"/>
        <v>14175</v>
      </c>
      <c r="AP166" s="1">
        <f t="shared" si="451"/>
        <v>92213</v>
      </c>
      <c r="AQ166" s="1">
        <f t="shared" si="452"/>
        <v>16292</v>
      </c>
      <c r="AR166"/>
      <c r="AS166" s="1">
        <f t="shared" ref="AS166:AY166" si="536">ROUNDUP(AS$10*$AP166,0)</f>
        <v>92213</v>
      </c>
      <c r="AT166" s="1">
        <f t="shared" si="536"/>
        <v>276639</v>
      </c>
      <c r="AU166" s="1">
        <f t="shared" si="536"/>
        <v>165984</v>
      </c>
      <c r="AV166" s="1">
        <f t="shared" si="536"/>
        <v>46107</v>
      </c>
      <c r="AW166" s="1">
        <f t="shared" si="536"/>
        <v>13832</v>
      </c>
      <c r="AX166" s="1">
        <f t="shared" si="536"/>
        <v>368852</v>
      </c>
      <c r="AY166" s="1">
        <f t="shared" si="536"/>
        <v>829917</v>
      </c>
      <c r="AZ166" s="1">
        <f t="shared" si="454"/>
        <v>9250185</v>
      </c>
      <c r="BA166" s="1">
        <f t="shared" si="455"/>
        <v>4625093</v>
      </c>
      <c r="BC166" s="1">
        <f t="shared" si="456"/>
        <v>155</v>
      </c>
    </row>
    <row r="167" s="1" customFormat="1" spans="2:55">
      <c r="B167" s="4">
        <v>156</v>
      </c>
      <c r="C167" s="1">
        <f t="shared" ref="C167:I167" si="537">C$5+(C$6-C$5)*(POWER(C$7,$B167-1)-1)/(POWER(C$7,$B$3-1)-1)</f>
        <v>12326.1062073847</v>
      </c>
      <c r="D167" s="1">
        <f t="shared" si="537"/>
        <v>3697.8318622154</v>
      </c>
      <c r="E167" s="1">
        <f t="shared" si="537"/>
        <v>2465.22124147693</v>
      </c>
      <c r="F167" s="1">
        <f t="shared" si="537"/>
        <v>45247.7316473614</v>
      </c>
      <c r="G167" s="1">
        <f t="shared" si="537"/>
        <v>13574.3194942084</v>
      </c>
      <c r="H167" s="1">
        <f t="shared" si="537"/>
        <v>9049.54632947228</v>
      </c>
      <c r="I167" s="1">
        <f t="shared" si="537"/>
        <v>0</v>
      </c>
      <c r="J167" s="1">
        <f>[1]标准模型!$I$65/1*$B167/$B$3</f>
        <v>1.1232</v>
      </c>
      <c r="K167" s="1">
        <f>J167*[1]标准模型!$J$63</f>
        <v>1.1232</v>
      </c>
      <c r="L167" s="1">
        <f t="shared" si="433"/>
        <v>57573.8378547461</v>
      </c>
      <c r="M167" s="1">
        <f t="shared" si="434"/>
        <v>21425.5561040641</v>
      </c>
      <c r="N167" s="1">
        <f t="shared" si="435"/>
        <v>14283.7040693761</v>
      </c>
      <c r="O167" s="1">
        <f t="shared" ref="O167:X167" si="538">O$5+(O$6-O$5)*(POWER(O$7,$B167-1)-1)/(POWER(O$7,$B$3-1)-1)</f>
        <v>0.655337335524018</v>
      </c>
      <c r="P167" s="1">
        <f t="shared" si="538"/>
        <v>0.0940215173432076</v>
      </c>
      <c r="Q167" s="1">
        <f t="shared" si="538"/>
        <v>0.36043553453821</v>
      </c>
      <c r="R167" s="1">
        <f t="shared" si="538"/>
        <v>1.06213493420961</v>
      </c>
      <c r="S167" s="1">
        <f t="shared" si="538"/>
        <v>0.217472269733626</v>
      </c>
      <c r="T167" s="1">
        <f t="shared" si="538"/>
        <v>2.60581560854367</v>
      </c>
      <c r="U167" s="1">
        <f t="shared" si="538"/>
        <v>1</v>
      </c>
      <c r="V167" s="1">
        <f t="shared" si="538"/>
        <v>1.16941063258859</v>
      </c>
      <c r="W167" s="1">
        <f t="shared" si="538"/>
        <v>1.09559220647632</v>
      </c>
      <c r="X167" s="1">
        <f t="shared" si="538"/>
        <v>1.49707947367686</v>
      </c>
      <c r="Y167" s="1">
        <f t="shared" si="459"/>
        <v>1.76135222982488</v>
      </c>
      <c r="Z167" s="1">
        <f t="shared" si="460"/>
        <v>3.05046420685266</v>
      </c>
      <c r="AA167" s="1">
        <f t="shared" si="437"/>
        <v>175626.931627042</v>
      </c>
      <c r="AB167" s="1">
        <f t="shared" si="438"/>
        <v>21425.5561040641</v>
      </c>
      <c r="AC167" s="1">
        <f t="shared" si="439"/>
        <v>14283.7040693761</v>
      </c>
      <c r="AD167" s="1">
        <f>AC167/(AC167+[1]战斗公式!$M$27)</f>
        <v>0.373101412640004</v>
      </c>
      <c r="AE167" s="1">
        <f t="shared" si="440"/>
        <v>280152.061542593</v>
      </c>
      <c r="AF167" s="1">
        <f t="shared" si="441"/>
        <v>7.42361612056172</v>
      </c>
      <c r="AG167" s="1">
        <f t="shared" si="442"/>
        <v>4.2864304973459</v>
      </c>
      <c r="AH167" s="1">
        <f t="shared" si="443"/>
        <v>3.82055073306504</v>
      </c>
      <c r="AI167" s="1">
        <f t="shared" si="444"/>
        <v>0.882075387058616</v>
      </c>
      <c r="AJ167" s="1">
        <f t="shared" si="445"/>
        <v>1.00040537470972</v>
      </c>
      <c r="AK167" s="1">
        <f t="shared" si="446"/>
        <v>1.03489259408247</v>
      </c>
      <c r="AL167" s="1">
        <f t="shared" si="447"/>
        <v>0.871900845740021</v>
      </c>
      <c r="AM167" s="27">
        <f t="shared" si="448"/>
        <v>156539</v>
      </c>
      <c r="AN167" s="27">
        <f t="shared" si="449"/>
        <v>18899</v>
      </c>
      <c r="AO167" s="27">
        <f t="shared" si="450"/>
        <v>14284</v>
      </c>
      <c r="AP167" s="1">
        <f t="shared" si="451"/>
        <v>93540</v>
      </c>
      <c r="AQ167" s="1">
        <f t="shared" si="452"/>
        <v>16478</v>
      </c>
      <c r="AR167"/>
      <c r="AS167" s="1">
        <f t="shared" ref="AS167:AY167" si="539">ROUNDUP(AS$10*$AP167,0)</f>
        <v>93540</v>
      </c>
      <c r="AT167" s="1">
        <f t="shared" si="539"/>
        <v>280620</v>
      </c>
      <c r="AU167" s="1">
        <f t="shared" si="539"/>
        <v>168372</v>
      </c>
      <c r="AV167" s="1">
        <f t="shared" si="539"/>
        <v>46770</v>
      </c>
      <c r="AW167" s="1">
        <f t="shared" si="539"/>
        <v>14031</v>
      </c>
      <c r="AX167" s="1">
        <f t="shared" si="539"/>
        <v>374160</v>
      </c>
      <c r="AY167" s="1">
        <f t="shared" si="539"/>
        <v>841860</v>
      </c>
      <c r="AZ167" s="1">
        <f t="shared" si="454"/>
        <v>9396147</v>
      </c>
      <c r="BA167" s="1">
        <f t="shared" si="455"/>
        <v>4698074</v>
      </c>
      <c r="BC167" s="1">
        <f t="shared" si="456"/>
        <v>156</v>
      </c>
    </row>
    <row r="168" s="1" customFormat="1" spans="2:55">
      <c r="B168" s="4">
        <v>157</v>
      </c>
      <c r="C168" s="1">
        <f t="shared" ref="C168:I168" si="540">C$5+(C$6-C$5)*(POWER(C$7,$B168-1)-1)/(POWER(C$7,$B$3-1)-1)</f>
        <v>12405.1136329211</v>
      </c>
      <c r="D168" s="1">
        <f t="shared" si="540"/>
        <v>3721.53408987633</v>
      </c>
      <c r="E168" s="1">
        <f t="shared" si="540"/>
        <v>2481.02272658422</v>
      </c>
      <c r="F168" s="1">
        <f t="shared" si="540"/>
        <v>45537.7589056598</v>
      </c>
      <c r="G168" s="1">
        <f t="shared" si="540"/>
        <v>13661.3276716979</v>
      </c>
      <c r="H168" s="1">
        <f t="shared" si="540"/>
        <v>9107.55178113195</v>
      </c>
      <c r="I168" s="1">
        <f t="shared" si="540"/>
        <v>0</v>
      </c>
      <c r="J168" s="1">
        <f>[1]标准模型!$I$65/1*$B168/$B$3</f>
        <v>1.1304</v>
      </c>
      <c r="K168" s="1">
        <f>J168*[1]标准模型!$J$63</f>
        <v>1.1304</v>
      </c>
      <c r="L168" s="1">
        <f t="shared" si="433"/>
        <v>57942.8725385809</v>
      </c>
      <c r="M168" s="1">
        <f t="shared" si="434"/>
        <v>21589.6838967704</v>
      </c>
      <c r="N168" s="1">
        <f t="shared" si="435"/>
        <v>14393.122597847</v>
      </c>
      <c r="O168" s="1">
        <f t="shared" ref="O168:X168" si="541">O$5+(O$6-O$5)*(POWER(O$7,$B168-1)-1)/(POWER(O$7,$B$3-1)-1)</f>
        <v>0.656339433714532</v>
      </c>
      <c r="P168" s="1">
        <f t="shared" si="541"/>
        <v>0.0947018067447521</v>
      </c>
      <c r="Q168" s="1">
        <f t="shared" si="541"/>
        <v>0.360986688542992</v>
      </c>
      <c r="R168" s="1">
        <f t="shared" si="541"/>
        <v>1.06253577348581</v>
      </c>
      <c r="S168" s="1">
        <f t="shared" si="541"/>
        <v>0.218875207200344</v>
      </c>
      <c r="T168" s="1">
        <f t="shared" si="541"/>
        <v>2.60972379148667</v>
      </c>
      <c r="U168" s="1">
        <f t="shared" si="541"/>
        <v>1</v>
      </c>
      <c r="V168" s="1">
        <f t="shared" si="541"/>
        <v>1.17050351916217</v>
      </c>
      <c r="W168" s="1">
        <f t="shared" si="541"/>
        <v>1.09620888228587</v>
      </c>
      <c r="X168" s="1">
        <f t="shared" si="541"/>
        <v>1.5002861878865</v>
      </c>
      <c r="Y168" s="1">
        <f t="shared" si="459"/>
        <v>1.77483104130696</v>
      </c>
      <c r="Z168" s="1">
        <f t="shared" si="460"/>
        <v>3.07596683916164</v>
      </c>
      <c r="AA168" s="1">
        <f t="shared" si="437"/>
        <v>178230.354494445</v>
      </c>
      <c r="AB168" s="1">
        <f t="shared" si="438"/>
        <v>21589.6838967704</v>
      </c>
      <c r="AC168" s="1">
        <f t="shared" si="439"/>
        <v>14393.122597847</v>
      </c>
      <c r="AD168" s="1">
        <f>AC168/(AC168+[1]战斗公式!$M$27)</f>
        <v>0.374888043064622</v>
      </c>
      <c r="AE168" s="1">
        <f t="shared" si="440"/>
        <v>285117.49378179</v>
      </c>
      <c r="AF168" s="1">
        <f t="shared" si="441"/>
        <v>7.44081600233259</v>
      </c>
      <c r="AG168" s="1">
        <f t="shared" si="442"/>
        <v>4.29334641890769</v>
      </c>
      <c r="AH168" s="1">
        <f t="shared" si="443"/>
        <v>3.83011425679811</v>
      </c>
      <c r="AI168" s="1">
        <f t="shared" si="444"/>
        <v>0.884944618520507</v>
      </c>
      <c r="AJ168" s="1">
        <f t="shared" si="445"/>
        <v>1.0003851059738</v>
      </c>
      <c r="AK168" s="1">
        <f t="shared" si="446"/>
        <v>1.03419407239343</v>
      </c>
      <c r="AL168" s="1">
        <f t="shared" si="447"/>
        <v>0.872264515666161</v>
      </c>
      <c r="AM168" s="27">
        <f t="shared" si="448"/>
        <v>159000</v>
      </c>
      <c r="AN168" s="27">
        <f t="shared" si="449"/>
        <v>19106</v>
      </c>
      <c r="AO168" s="27">
        <f t="shared" si="450"/>
        <v>14393</v>
      </c>
      <c r="AP168" s="1">
        <f t="shared" si="451"/>
        <v>94880</v>
      </c>
      <c r="AQ168" s="1">
        <f t="shared" si="452"/>
        <v>16665</v>
      </c>
      <c r="AR168"/>
      <c r="AS168" s="1">
        <f t="shared" ref="AS168:AY168" si="542">ROUNDUP(AS$10*$AP168,0)</f>
        <v>94880</v>
      </c>
      <c r="AT168" s="1">
        <f t="shared" si="542"/>
        <v>284640</v>
      </c>
      <c r="AU168" s="1">
        <f t="shared" si="542"/>
        <v>170784</v>
      </c>
      <c r="AV168" s="1">
        <f t="shared" si="542"/>
        <v>47440</v>
      </c>
      <c r="AW168" s="1">
        <f t="shared" si="542"/>
        <v>14232</v>
      </c>
      <c r="AX168" s="1">
        <f t="shared" si="542"/>
        <v>379520</v>
      </c>
      <c r="AY168" s="1">
        <f t="shared" si="542"/>
        <v>853920</v>
      </c>
      <c r="AZ168" s="1">
        <f t="shared" si="454"/>
        <v>9543674</v>
      </c>
      <c r="BA168" s="1">
        <f t="shared" si="455"/>
        <v>4771837</v>
      </c>
      <c r="BC168" s="1">
        <f t="shared" si="456"/>
        <v>157</v>
      </c>
    </row>
    <row r="169" s="1" customFormat="1" spans="2:55">
      <c r="B169" s="4">
        <v>158</v>
      </c>
      <c r="C169" s="1">
        <f t="shared" ref="C169:I169" si="543">C$5+(C$6-C$5)*(POWER(C$7,$B169-1)-1)/(POWER(C$7,$B$3-1)-1)</f>
        <v>12484.1209794484</v>
      </c>
      <c r="D169" s="1">
        <f t="shared" si="543"/>
        <v>3745.23629383452</v>
      </c>
      <c r="E169" s="1">
        <f t="shared" si="543"/>
        <v>2496.82419588968</v>
      </c>
      <c r="F169" s="1">
        <f t="shared" si="543"/>
        <v>45827.7858739245</v>
      </c>
      <c r="G169" s="1">
        <f t="shared" si="543"/>
        <v>13748.3357621774</v>
      </c>
      <c r="H169" s="1">
        <f t="shared" si="543"/>
        <v>9165.55717478491</v>
      </c>
      <c r="I169" s="1">
        <f t="shared" si="543"/>
        <v>0</v>
      </c>
      <c r="J169" s="1">
        <f>[1]标准模型!$I$65/1*$B169/$B$3</f>
        <v>1.1376</v>
      </c>
      <c r="K169" s="1">
        <f>J169*[1]标准模型!$J$63</f>
        <v>1.1376</v>
      </c>
      <c r="L169" s="1">
        <f t="shared" si="433"/>
        <v>58311.9068533729</v>
      </c>
      <c r="M169" s="1">
        <f t="shared" si="434"/>
        <v>21754.1528638781</v>
      </c>
      <c r="N169" s="1">
        <f t="shared" si="435"/>
        <v>14502.7685759187</v>
      </c>
      <c r="O169" s="1">
        <f t="shared" ref="O169:X169" si="544">O$5+(O$6-O$5)*(POWER(O$7,$B169-1)-1)/(POWER(O$7,$B$3-1)-1)</f>
        <v>0.657341530902925</v>
      </c>
      <c r="P169" s="1">
        <f t="shared" si="544"/>
        <v>0.0953831165803988</v>
      </c>
      <c r="Q169" s="1">
        <f t="shared" si="544"/>
        <v>0.361537841996609</v>
      </c>
      <c r="R169" s="1">
        <f t="shared" si="544"/>
        <v>1.06293661236117</v>
      </c>
      <c r="S169" s="1">
        <f t="shared" si="544"/>
        <v>0.220278143264095</v>
      </c>
      <c r="T169" s="1">
        <f t="shared" si="544"/>
        <v>2.61363197052141</v>
      </c>
      <c r="U169" s="1">
        <f t="shared" si="544"/>
        <v>1</v>
      </c>
      <c r="V169" s="1">
        <f t="shared" si="544"/>
        <v>1.17159640464285</v>
      </c>
      <c r="W169" s="1">
        <f t="shared" si="544"/>
        <v>1.09682555747872</v>
      </c>
      <c r="X169" s="1">
        <f t="shared" si="544"/>
        <v>1.50349289888936</v>
      </c>
      <c r="Y169" s="1">
        <f t="shared" si="459"/>
        <v>1.7884024680917</v>
      </c>
      <c r="Z169" s="1">
        <f t="shared" si="460"/>
        <v>3.10166339414234</v>
      </c>
      <c r="AA169" s="1">
        <f t="shared" si="437"/>
        <v>180863.906929745</v>
      </c>
      <c r="AB169" s="1">
        <f t="shared" si="438"/>
        <v>21754.1528638781</v>
      </c>
      <c r="AC169" s="1">
        <f t="shared" si="439"/>
        <v>14502.7685759187</v>
      </c>
      <c r="AD169" s="1">
        <f>AC169/(AC169+[1]战斗公式!$M$27)</f>
        <v>0.376668201075529</v>
      </c>
      <c r="AE169" s="1">
        <f t="shared" si="440"/>
        <v>290156.714677186</v>
      </c>
      <c r="AF169" s="1">
        <f t="shared" si="441"/>
        <v>7.45804825110416</v>
      </c>
      <c r="AG169" s="1">
        <f t="shared" si="442"/>
        <v>4.30027059822519</v>
      </c>
      <c r="AH169" s="1">
        <f t="shared" si="443"/>
        <v>3.83960605410317</v>
      </c>
      <c r="AI169" s="1">
        <f t="shared" si="444"/>
        <v>0.887819588445321</v>
      </c>
      <c r="AJ169" s="1">
        <f t="shared" si="445"/>
        <v>1.00036585067467</v>
      </c>
      <c r="AK169" s="1">
        <f t="shared" si="446"/>
        <v>1.03350952113817</v>
      </c>
      <c r="AL169" s="1">
        <f t="shared" si="447"/>
        <v>0.872627094582522</v>
      </c>
      <c r="AM169" s="27">
        <f t="shared" si="448"/>
        <v>161489</v>
      </c>
      <c r="AN169" s="27">
        <f t="shared" si="449"/>
        <v>19314</v>
      </c>
      <c r="AO169" s="27">
        <f t="shared" si="450"/>
        <v>14503</v>
      </c>
      <c r="AP169" s="1">
        <f t="shared" si="451"/>
        <v>96234</v>
      </c>
      <c r="AQ169" s="1">
        <f t="shared" si="452"/>
        <v>16854</v>
      </c>
      <c r="AR169"/>
      <c r="AS169" s="1">
        <f t="shared" ref="AS169:AY169" si="545">ROUNDUP(AS$10*$AP169,0)</f>
        <v>96234</v>
      </c>
      <c r="AT169" s="1">
        <f t="shared" si="545"/>
        <v>288702</v>
      </c>
      <c r="AU169" s="1">
        <f t="shared" si="545"/>
        <v>173222</v>
      </c>
      <c r="AV169" s="1">
        <f t="shared" si="545"/>
        <v>48117</v>
      </c>
      <c r="AW169" s="1">
        <f t="shared" si="545"/>
        <v>14436</v>
      </c>
      <c r="AX169" s="1">
        <f t="shared" si="545"/>
        <v>384936</v>
      </c>
      <c r="AY169" s="1">
        <f t="shared" si="545"/>
        <v>866106</v>
      </c>
      <c r="AZ169" s="1">
        <f t="shared" si="454"/>
        <v>9692885</v>
      </c>
      <c r="BA169" s="1">
        <f t="shared" si="455"/>
        <v>4846442</v>
      </c>
      <c r="BC169" s="1">
        <f t="shared" si="456"/>
        <v>158</v>
      </c>
    </row>
    <row r="170" s="1" customFormat="1" spans="2:55">
      <c r="B170" s="4">
        <v>159</v>
      </c>
      <c r="C170" s="1">
        <f t="shared" ref="C170:I170" si="546">C$5+(C$6-C$5)*(POWER(C$7,$B170-1)-1)/(POWER(C$7,$B$3-1)-1)</f>
        <v>12563.1282469666</v>
      </c>
      <c r="D170" s="1">
        <f t="shared" si="546"/>
        <v>3768.93847408997</v>
      </c>
      <c r="E170" s="1">
        <f t="shared" si="546"/>
        <v>2512.62564939331</v>
      </c>
      <c r="F170" s="1">
        <f t="shared" si="546"/>
        <v>46117.8125521557</v>
      </c>
      <c r="G170" s="1">
        <f t="shared" si="546"/>
        <v>13835.3437656467</v>
      </c>
      <c r="H170" s="1">
        <f t="shared" si="546"/>
        <v>9223.56251043114</v>
      </c>
      <c r="I170" s="1">
        <f t="shared" si="546"/>
        <v>0</v>
      </c>
      <c r="J170" s="1">
        <f>[1]标准模型!$I$65/1*$B170/$B$3</f>
        <v>1.1448</v>
      </c>
      <c r="K170" s="1">
        <f>J170*[1]标准模型!$J$63</f>
        <v>1.1448</v>
      </c>
      <c r="L170" s="1">
        <f t="shared" si="433"/>
        <v>58680.9407991223</v>
      </c>
      <c r="M170" s="1">
        <f t="shared" si="434"/>
        <v>21918.9630048749</v>
      </c>
      <c r="N170" s="1">
        <f t="shared" si="435"/>
        <v>14612.6420032499</v>
      </c>
      <c r="O170" s="1">
        <f t="shared" ref="O170:X170" si="547">O$5+(O$6-O$5)*(POWER(O$7,$B170-1)-1)/(POWER(O$7,$B$3-1)-1)</f>
        <v>0.658343627089198</v>
      </c>
      <c r="P170" s="1">
        <f t="shared" si="547"/>
        <v>0.096065448380799</v>
      </c>
      <c r="Q170" s="1">
        <f t="shared" si="547"/>
        <v>0.362088994899059</v>
      </c>
      <c r="R170" s="1">
        <f t="shared" si="547"/>
        <v>1.06333745083568</v>
      </c>
      <c r="S170" s="1">
        <f t="shared" si="547"/>
        <v>0.221681077924877</v>
      </c>
      <c r="T170" s="1">
        <f t="shared" si="547"/>
        <v>2.61754014564787</v>
      </c>
      <c r="U170" s="1">
        <f t="shared" si="547"/>
        <v>1</v>
      </c>
      <c r="V170" s="1">
        <f t="shared" si="547"/>
        <v>1.17268928903061</v>
      </c>
      <c r="W170" s="1">
        <f t="shared" si="547"/>
        <v>1.09744223205489</v>
      </c>
      <c r="X170" s="1">
        <f t="shared" si="547"/>
        <v>1.50669960668543</v>
      </c>
      <c r="Y170" s="1">
        <f t="shared" si="459"/>
        <v>1.80206706473381</v>
      </c>
      <c r="Z170" s="1">
        <f t="shared" si="460"/>
        <v>3.12755517743649</v>
      </c>
      <c r="AA170" s="1">
        <f t="shared" si="437"/>
        <v>183527.880213139</v>
      </c>
      <c r="AB170" s="1">
        <f t="shared" si="438"/>
        <v>21918.9630048749</v>
      </c>
      <c r="AC170" s="1">
        <f t="shared" si="439"/>
        <v>14612.6420032499</v>
      </c>
      <c r="AD170" s="1">
        <f>AC170/(AC170+[1]战斗公式!$M$27)</f>
        <v>0.378441910346876</v>
      </c>
      <c r="AE170" s="1">
        <f t="shared" si="440"/>
        <v>295270.680678553</v>
      </c>
      <c r="AF170" s="1">
        <f t="shared" si="441"/>
        <v>7.47531283430132</v>
      </c>
      <c r="AG170" s="1">
        <f t="shared" si="442"/>
        <v>4.30720300459029</v>
      </c>
      <c r="AH170" s="1">
        <f t="shared" si="443"/>
        <v>3.84902666292845</v>
      </c>
      <c r="AI170" s="1">
        <f t="shared" si="444"/>
        <v>0.890700308309985</v>
      </c>
      <c r="AJ170" s="1">
        <f t="shared" si="445"/>
        <v>1.00034755814049</v>
      </c>
      <c r="AK170" s="1">
        <f t="shared" si="446"/>
        <v>1.03283866090802</v>
      </c>
      <c r="AL170" s="1">
        <f t="shared" si="447"/>
        <v>0.872988585762134</v>
      </c>
      <c r="AM170" s="27">
        <f t="shared" si="448"/>
        <v>164005</v>
      </c>
      <c r="AN170" s="27">
        <f t="shared" si="449"/>
        <v>19523</v>
      </c>
      <c r="AO170" s="27">
        <f t="shared" si="450"/>
        <v>14613</v>
      </c>
      <c r="AP170" s="1">
        <f t="shared" si="451"/>
        <v>97601</v>
      </c>
      <c r="AQ170" s="1">
        <f t="shared" si="452"/>
        <v>17043</v>
      </c>
      <c r="AR170"/>
      <c r="AS170" s="1">
        <f t="shared" ref="AS170:AY170" si="548">ROUNDUP(AS$10*$AP170,0)</f>
        <v>97601</v>
      </c>
      <c r="AT170" s="1">
        <f t="shared" si="548"/>
        <v>292803</v>
      </c>
      <c r="AU170" s="1">
        <f t="shared" si="548"/>
        <v>175682</v>
      </c>
      <c r="AV170" s="1">
        <f t="shared" si="548"/>
        <v>48801</v>
      </c>
      <c r="AW170" s="1">
        <f t="shared" si="548"/>
        <v>14641</v>
      </c>
      <c r="AX170" s="1">
        <f t="shared" si="548"/>
        <v>390404</v>
      </c>
      <c r="AY170" s="1">
        <f t="shared" si="548"/>
        <v>878409</v>
      </c>
      <c r="AZ170" s="1">
        <f t="shared" si="454"/>
        <v>9843720</v>
      </c>
      <c r="BA170" s="1">
        <f t="shared" si="455"/>
        <v>4921860</v>
      </c>
      <c r="BC170" s="1">
        <f t="shared" si="456"/>
        <v>159</v>
      </c>
    </row>
    <row r="171" s="1" customFormat="1" spans="2:55">
      <c r="B171" s="4">
        <v>160</v>
      </c>
      <c r="C171" s="1">
        <f t="shared" ref="C171:I171" si="549">C$5+(C$6-C$5)*(POWER(C$7,$B171-1)-1)/(POWER(C$7,$B$3-1)-1)</f>
        <v>12642.1354354756</v>
      </c>
      <c r="D171" s="1">
        <f t="shared" si="549"/>
        <v>3792.64063064267</v>
      </c>
      <c r="E171" s="1">
        <f t="shared" si="549"/>
        <v>2528.42708709511</v>
      </c>
      <c r="F171" s="1">
        <f t="shared" si="549"/>
        <v>46407.8389403533</v>
      </c>
      <c r="G171" s="1">
        <f t="shared" si="549"/>
        <v>13922.351682106</v>
      </c>
      <c r="H171" s="1">
        <f t="shared" si="549"/>
        <v>9281.56778807066</v>
      </c>
      <c r="I171" s="1">
        <f t="shared" si="549"/>
        <v>0</v>
      </c>
      <c r="J171" s="1">
        <f>[1]标准模型!$I$65/1*$B171/$B$3</f>
        <v>1.152</v>
      </c>
      <c r="K171" s="1">
        <f>J171*[1]标准模型!$J$63</f>
        <v>1.152</v>
      </c>
      <c r="L171" s="1">
        <f t="shared" si="433"/>
        <v>59049.9743758289</v>
      </c>
      <c r="M171" s="1">
        <f t="shared" si="434"/>
        <v>22084.114319249</v>
      </c>
      <c r="N171" s="1">
        <f t="shared" si="435"/>
        <v>14722.7428794993</v>
      </c>
      <c r="O171" s="1">
        <f t="shared" ref="O171:X171" si="550">O$5+(O$6-O$5)*(POWER(O$7,$B171-1)-1)/(POWER(O$7,$B$3-1)-1)</f>
        <v>0.659345722273351</v>
      </c>
      <c r="P171" s="1">
        <f t="shared" si="550"/>
        <v>0.0967488036788998</v>
      </c>
      <c r="Q171" s="1">
        <f t="shared" si="550"/>
        <v>0.362640147250343</v>
      </c>
      <c r="R171" s="1">
        <f t="shared" si="550"/>
        <v>1.06373828890934</v>
      </c>
      <c r="S171" s="1">
        <f t="shared" si="550"/>
        <v>0.223084011182692</v>
      </c>
      <c r="T171" s="1">
        <f t="shared" si="550"/>
        <v>2.62144831686607</v>
      </c>
      <c r="U171" s="1">
        <f t="shared" si="550"/>
        <v>1</v>
      </c>
      <c r="V171" s="1">
        <f t="shared" si="550"/>
        <v>1.17378217232547</v>
      </c>
      <c r="W171" s="1">
        <f t="shared" si="550"/>
        <v>1.09805890601437</v>
      </c>
      <c r="X171" s="1">
        <f t="shared" si="550"/>
        <v>1.50990631127472</v>
      </c>
      <c r="Y171" s="1">
        <f t="shared" si="459"/>
        <v>1.81582538841411</v>
      </c>
      <c r="Z171" s="1">
        <f t="shared" si="460"/>
        <v>3.15364350195728</v>
      </c>
      <c r="AA171" s="1">
        <f t="shared" si="437"/>
        <v>186222.567981077</v>
      </c>
      <c r="AB171" s="1">
        <f t="shared" si="438"/>
        <v>22084.114319249</v>
      </c>
      <c r="AC171" s="1">
        <f t="shared" si="439"/>
        <v>14722.7428794993</v>
      </c>
      <c r="AD171" s="1">
        <f>AC171/(AC171+[1]战斗公式!$M$27)</f>
        <v>0.380209194511732</v>
      </c>
      <c r="AE171" s="1">
        <f t="shared" si="440"/>
        <v>300460.359095472</v>
      </c>
      <c r="AF171" s="1">
        <f t="shared" si="441"/>
        <v>7.49260971949362</v>
      </c>
      <c r="AG171" s="1">
        <f t="shared" si="442"/>
        <v>4.3141436074467</v>
      </c>
      <c r="AH171" s="1">
        <f t="shared" si="443"/>
        <v>3.85837661718754</v>
      </c>
      <c r="AI171" s="1">
        <f t="shared" si="444"/>
        <v>0.893586789614378</v>
      </c>
      <c r="AJ171" s="1">
        <f t="shared" si="445"/>
        <v>1.00033018023303</v>
      </c>
      <c r="AK171" s="1">
        <f t="shared" si="446"/>
        <v>1.03218121788247</v>
      </c>
      <c r="AL171" s="1">
        <f t="shared" si="447"/>
        <v>0.873348992468207</v>
      </c>
      <c r="AM171" s="27">
        <f t="shared" si="448"/>
        <v>166549</v>
      </c>
      <c r="AN171" s="27">
        <f t="shared" si="449"/>
        <v>19734</v>
      </c>
      <c r="AO171" s="27">
        <f t="shared" si="450"/>
        <v>14723</v>
      </c>
      <c r="AP171" s="1">
        <f t="shared" si="451"/>
        <v>98983</v>
      </c>
      <c r="AQ171" s="1">
        <f t="shared" si="452"/>
        <v>17235</v>
      </c>
      <c r="AR171"/>
      <c r="AS171" s="1">
        <f t="shared" ref="AS171:AY171" si="551">ROUNDUP(AS$10*$AP171,0)</f>
        <v>98983</v>
      </c>
      <c r="AT171" s="1">
        <f t="shared" si="551"/>
        <v>296949</v>
      </c>
      <c r="AU171" s="1">
        <f t="shared" si="551"/>
        <v>178170</v>
      </c>
      <c r="AV171" s="1">
        <f t="shared" si="551"/>
        <v>49492</v>
      </c>
      <c r="AW171" s="1">
        <f t="shared" si="551"/>
        <v>14848</v>
      </c>
      <c r="AX171" s="1">
        <f t="shared" si="551"/>
        <v>395932</v>
      </c>
      <c r="AY171" s="1">
        <f t="shared" si="551"/>
        <v>890847</v>
      </c>
      <c r="AZ171" s="1">
        <f t="shared" si="454"/>
        <v>9996239</v>
      </c>
      <c r="BA171" s="1">
        <f t="shared" si="455"/>
        <v>4998120</v>
      </c>
      <c r="BC171" s="1">
        <f t="shared" si="456"/>
        <v>160</v>
      </c>
    </row>
    <row r="172" s="1" customFormat="1" spans="2:55">
      <c r="B172" s="4">
        <v>161</v>
      </c>
      <c r="C172" s="1">
        <f t="shared" ref="C172:I172" si="552">C$5+(C$6-C$5)*(POWER(C$7,$B172-1)-1)/(POWER(C$7,$B$3-1)-1)</f>
        <v>12721.1425449754</v>
      </c>
      <c r="D172" s="1">
        <f t="shared" si="552"/>
        <v>3816.34276349262</v>
      </c>
      <c r="E172" s="1">
        <f t="shared" si="552"/>
        <v>2544.22850899508</v>
      </c>
      <c r="F172" s="1">
        <f t="shared" si="552"/>
        <v>46697.8650385173</v>
      </c>
      <c r="G172" s="1">
        <f t="shared" si="552"/>
        <v>14009.3595115552</v>
      </c>
      <c r="H172" s="1">
        <f t="shared" si="552"/>
        <v>9339.57300770346</v>
      </c>
      <c r="I172" s="1">
        <f t="shared" si="552"/>
        <v>0</v>
      </c>
      <c r="J172" s="1">
        <f>[1]标准模型!$I$65/1*$B172/$B$3</f>
        <v>1.1592</v>
      </c>
      <c r="K172" s="1">
        <f>J172*[1]标准模型!$J$63</f>
        <v>1.1592</v>
      </c>
      <c r="L172" s="1">
        <f t="shared" si="433"/>
        <v>59419.0075834927</v>
      </c>
      <c r="M172" s="1">
        <f t="shared" si="434"/>
        <v>22249.6068064885</v>
      </c>
      <c r="N172" s="1">
        <f t="shared" si="435"/>
        <v>14833.0712043256</v>
      </c>
      <c r="O172" s="1">
        <f t="shared" ref="O172:X172" si="553">O$5+(O$6-O$5)*(POWER(O$7,$B172-1)-1)/(POWER(O$7,$B$3-1)-1)</f>
        <v>0.660347816455384</v>
      </c>
      <c r="P172" s="1">
        <f t="shared" si="553"/>
        <v>0.0974331840099478</v>
      </c>
      <c r="Q172" s="1">
        <f t="shared" si="553"/>
        <v>0.363191299050461</v>
      </c>
      <c r="R172" s="1">
        <f t="shared" si="553"/>
        <v>1.06413912658215</v>
      </c>
      <c r="S172" s="1">
        <f t="shared" si="553"/>
        <v>0.224486943037538</v>
      </c>
      <c r="T172" s="1">
        <f t="shared" si="553"/>
        <v>2.625356484176</v>
      </c>
      <c r="U172" s="1">
        <f t="shared" si="553"/>
        <v>1</v>
      </c>
      <c r="V172" s="1">
        <f t="shared" si="553"/>
        <v>1.17487505452741</v>
      </c>
      <c r="W172" s="1">
        <f t="shared" si="553"/>
        <v>1.09867557935716</v>
      </c>
      <c r="X172" s="1">
        <f t="shared" si="553"/>
        <v>1.51311301265723</v>
      </c>
      <c r="Y172" s="1">
        <f t="shared" si="459"/>
        <v>1.82967799894848</v>
      </c>
      <c r="Z172" s="1">
        <f t="shared" si="460"/>
        <v>3.17992968792048</v>
      </c>
      <c r="AA172" s="1">
        <f t="shared" si="437"/>
        <v>188948.266241521</v>
      </c>
      <c r="AB172" s="1">
        <f t="shared" si="438"/>
        <v>22249.6068064885</v>
      </c>
      <c r="AC172" s="1">
        <f t="shared" si="439"/>
        <v>14833.0712043256</v>
      </c>
      <c r="AD172" s="1">
        <f>AC172/(AC172+[1]战斗公式!$M$27)</f>
        <v>0.381970077161277</v>
      </c>
      <c r="AE172" s="1">
        <f t="shared" si="440"/>
        <v>305726.728203786</v>
      </c>
      <c r="AF172" s="1">
        <f t="shared" si="441"/>
        <v>7.50993887439399</v>
      </c>
      <c r="AG172" s="1">
        <f t="shared" si="442"/>
        <v>4.32109237638911</v>
      </c>
      <c r="AH172" s="1">
        <f t="shared" si="443"/>
        <v>3.86765644678969</v>
      </c>
      <c r="AI172" s="1">
        <f t="shared" si="444"/>
        <v>0.89647904388138</v>
      </c>
      <c r="AJ172" s="1">
        <f t="shared" si="445"/>
        <v>1.00031367122094</v>
      </c>
      <c r="AK172" s="1">
        <f t="shared" si="446"/>
        <v>1.03153692371743</v>
      </c>
      <c r="AL172" s="1">
        <f t="shared" si="447"/>
        <v>0.873708317954162</v>
      </c>
      <c r="AM172" s="27">
        <f t="shared" si="448"/>
        <v>169121</v>
      </c>
      <c r="AN172" s="27">
        <f t="shared" si="449"/>
        <v>19946</v>
      </c>
      <c r="AO172" s="27">
        <f t="shared" si="450"/>
        <v>14833</v>
      </c>
      <c r="AP172" s="1">
        <f t="shared" si="451"/>
        <v>100378</v>
      </c>
      <c r="AQ172" s="1">
        <f t="shared" si="452"/>
        <v>17427</v>
      </c>
      <c r="AR172"/>
      <c r="AS172" s="1">
        <f t="shared" ref="AS172:AY172" si="554">ROUNDUP(AS$10*$AP172,0)</f>
        <v>100378</v>
      </c>
      <c r="AT172" s="1">
        <f t="shared" si="554"/>
        <v>301134</v>
      </c>
      <c r="AU172" s="1">
        <f t="shared" si="554"/>
        <v>180681</v>
      </c>
      <c r="AV172" s="1">
        <f t="shared" si="554"/>
        <v>50189</v>
      </c>
      <c r="AW172" s="1">
        <f t="shared" si="554"/>
        <v>15057</v>
      </c>
      <c r="AX172" s="1">
        <f t="shared" si="554"/>
        <v>401512</v>
      </c>
      <c r="AY172" s="1">
        <f t="shared" si="554"/>
        <v>903402</v>
      </c>
      <c r="AZ172" s="1">
        <f t="shared" si="454"/>
        <v>10150443</v>
      </c>
      <c r="BA172" s="1">
        <f t="shared" si="455"/>
        <v>5075221</v>
      </c>
      <c r="BC172" s="1">
        <f t="shared" si="456"/>
        <v>161</v>
      </c>
    </row>
    <row r="173" s="1" customFormat="1" spans="2:55">
      <c r="B173" s="4">
        <v>162</v>
      </c>
      <c r="C173" s="1">
        <f t="shared" ref="C173:I173" si="555">C$5+(C$6-C$5)*(POWER(C$7,$B173-1)-1)/(POWER(C$7,$B$3-1)-1)</f>
        <v>12800.1495754749</v>
      </c>
      <c r="D173" s="1">
        <f t="shared" si="555"/>
        <v>3840.04487264246</v>
      </c>
      <c r="E173" s="1">
        <f t="shared" si="555"/>
        <v>2560.02991509497</v>
      </c>
      <c r="F173" s="1">
        <f t="shared" si="555"/>
        <v>46987.8908466799</v>
      </c>
      <c r="G173" s="1">
        <f t="shared" si="555"/>
        <v>14096.367254004</v>
      </c>
      <c r="H173" s="1">
        <f t="shared" si="555"/>
        <v>9397.57816933598</v>
      </c>
      <c r="I173" s="1">
        <f t="shared" si="555"/>
        <v>0</v>
      </c>
      <c r="J173" s="1">
        <f>[1]标准模型!$I$65/1*$B173/$B$3</f>
        <v>1.1664</v>
      </c>
      <c r="K173" s="1">
        <f>J173*[1]标准模型!$J$63</f>
        <v>1.1664</v>
      </c>
      <c r="L173" s="1">
        <f t="shared" si="433"/>
        <v>59788.0404221548</v>
      </c>
      <c r="M173" s="1">
        <f t="shared" si="434"/>
        <v>22415.4404660966</v>
      </c>
      <c r="N173" s="1">
        <f t="shared" si="435"/>
        <v>14943.6269773977</v>
      </c>
      <c r="O173" s="1">
        <f t="shared" ref="O173:X173" si="556">O$5+(O$6-O$5)*(POWER(O$7,$B173-1)-1)/(POWER(O$7,$B$3-1)-1)</f>
        <v>0.661349909635408</v>
      </c>
      <c r="P173" s="1">
        <f t="shared" si="556"/>
        <v>0.0981185909114923</v>
      </c>
      <c r="Q173" s="1">
        <f t="shared" si="556"/>
        <v>0.363742450299475</v>
      </c>
      <c r="R173" s="1">
        <f t="shared" si="556"/>
        <v>1.06453996385416</v>
      </c>
      <c r="S173" s="1">
        <f t="shared" si="556"/>
        <v>0.225889873489572</v>
      </c>
      <c r="T173" s="1">
        <f t="shared" si="556"/>
        <v>2.62926464757809</v>
      </c>
      <c r="U173" s="1">
        <f t="shared" si="556"/>
        <v>1</v>
      </c>
      <c r="V173" s="1">
        <f t="shared" si="556"/>
        <v>1.17596793563657</v>
      </c>
      <c r="W173" s="1">
        <f t="shared" si="556"/>
        <v>1.09929225208333</v>
      </c>
      <c r="X173" s="1">
        <f t="shared" si="556"/>
        <v>1.51631971083331</v>
      </c>
      <c r="Y173" s="1">
        <f t="shared" si="459"/>
        <v>1.84362545879814</v>
      </c>
      <c r="Z173" s="1">
        <f t="shared" si="460"/>
        <v>3.20641506287841</v>
      </c>
      <c r="AA173" s="1">
        <f t="shared" si="437"/>
        <v>191705.27338958</v>
      </c>
      <c r="AB173" s="1">
        <f t="shared" si="438"/>
        <v>22415.4404660966</v>
      </c>
      <c r="AC173" s="1">
        <f t="shared" si="439"/>
        <v>14943.6269773977</v>
      </c>
      <c r="AD173" s="1">
        <f>AC173/(AC173+[1]战斗公式!$M$27)</f>
        <v>0.383724581844181</v>
      </c>
      <c r="AE173" s="1">
        <f t="shared" si="440"/>
        <v>311070.777353494</v>
      </c>
      <c r="AF173" s="1">
        <f t="shared" si="441"/>
        <v>7.52730026686055</v>
      </c>
      <c r="AG173" s="1">
        <f t="shared" si="442"/>
        <v>4.32804928116332</v>
      </c>
      <c r="AH173" s="1">
        <f t="shared" si="443"/>
        <v>3.87686667766982</v>
      </c>
      <c r="AI173" s="1">
        <f t="shared" si="444"/>
        <v>0.899377082656916</v>
      </c>
      <c r="AJ173" s="1">
        <f t="shared" si="445"/>
        <v>1.00029798765945</v>
      </c>
      <c r="AK173" s="1">
        <f t="shared" si="446"/>
        <v>1.0309055154357</v>
      </c>
      <c r="AL173" s="1">
        <f t="shared" si="447"/>
        <v>0.87406656546366</v>
      </c>
      <c r="AM173" s="27">
        <f t="shared" si="448"/>
        <v>171721</v>
      </c>
      <c r="AN173" s="27">
        <f t="shared" si="449"/>
        <v>20160</v>
      </c>
      <c r="AO173" s="27">
        <f t="shared" si="450"/>
        <v>14944</v>
      </c>
      <c r="AP173" s="1">
        <f t="shared" si="451"/>
        <v>101788</v>
      </c>
      <c r="AQ173" s="1">
        <f t="shared" si="452"/>
        <v>17621</v>
      </c>
      <c r="AR173"/>
      <c r="AS173" s="1">
        <f t="shared" ref="AS173:AY173" si="557">ROUNDUP(AS$10*$AP173,0)</f>
        <v>101788</v>
      </c>
      <c r="AT173" s="1">
        <f t="shared" si="557"/>
        <v>305364</v>
      </c>
      <c r="AU173" s="1">
        <f t="shared" si="557"/>
        <v>183219</v>
      </c>
      <c r="AV173" s="1">
        <f t="shared" si="557"/>
        <v>50894</v>
      </c>
      <c r="AW173" s="1">
        <f t="shared" si="557"/>
        <v>15269</v>
      </c>
      <c r="AX173" s="1">
        <f t="shared" si="557"/>
        <v>407152</v>
      </c>
      <c r="AY173" s="1">
        <f t="shared" si="557"/>
        <v>916092</v>
      </c>
      <c r="AZ173" s="1">
        <f t="shared" si="454"/>
        <v>10306330</v>
      </c>
      <c r="BA173" s="1">
        <f t="shared" si="455"/>
        <v>5153165</v>
      </c>
      <c r="BC173" s="1">
        <f t="shared" si="456"/>
        <v>162</v>
      </c>
    </row>
    <row r="174" s="1" customFormat="1" spans="2:55">
      <c r="B174" s="4">
        <v>163</v>
      </c>
      <c r="C174" s="1">
        <f t="shared" ref="C174:I174" si="558">C$5+(C$6-C$5)*(POWER(C$7,$B174-1)-1)/(POWER(C$7,$B$3-1)-1)</f>
        <v>12879.1565269652</v>
      </c>
      <c r="D174" s="1">
        <f t="shared" si="558"/>
        <v>3863.74695808956</v>
      </c>
      <c r="E174" s="1">
        <f t="shared" si="558"/>
        <v>2575.83130539304</v>
      </c>
      <c r="F174" s="1">
        <f t="shared" si="558"/>
        <v>47277.9163648089</v>
      </c>
      <c r="G174" s="1">
        <f t="shared" si="558"/>
        <v>14183.3749094427</v>
      </c>
      <c r="H174" s="1">
        <f t="shared" si="558"/>
        <v>9455.58327296179</v>
      </c>
      <c r="I174" s="1">
        <f t="shared" si="558"/>
        <v>0</v>
      </c>
      <c r="J174" s="1">
        <f>[1]标准模型!$I$65/1*$B174/$B$3</f>
        <v>1.1736</v>
      </c>
      <c r="K174" s="1">
        <f>J174*[1]标准模型!$J$63</f>
        <v>1.1736</v>
      </c>
      <c r="L174" s="1">
        <f t="shared" si="433"/>
        <v>60157.0728917741</v>
      </c>
      <c r="M174" s="1">
        <f t="shared" si="434"/>
        <v>22581.6152975462</v>
      </c>
      <c r="N174" s="1">
        <f t="shared" si="435"/>
        <v>15054.4101983641</v>
      </c>
      <c r="O174" s="1">
        <f t="shared" ref="O174:X174" si="559">O$5+(O$6-O$5)*(POWER(O$7,$B174-1)-1)/(POWER(O$7,$B$3-1)-1)</f>
        <v>0.662352001813313</v>
      </c>
      <c r="P174" s="1">
        <f t="shared" si="559"/>
        <v>0.0988050259233892</v>
      </c>
      <c r="Q174" s="1">
        <f t="shared" si="559"/>
        <v>0.364293600997322</v>
      </c>
      <c r="R174" s="1">
        <f t="shared" si="559"/>
        <v>1.06494080072532</v>
      </c>
      <c r="S174" s="1">
        <f t="shared" si="559"/>
        <v>0.227292802538638</v>
      </c>
      <c r="T174" s="1">
        <f t="shared" si="559"/>
        <v>2.63317280707192</v>
      </c>
      <c r="U174" s="1">
        <f t="shared" si="559"/>
        <v>1</v>
      </c>
      <c r="V174" s="1">
        <f t="shared" si="559"/>
        <v>1.17706081565281</v>
      </c>
      <c r="W174" s="1">
        <f t="shared" si="559"/>
        <v>1.09990892419281</v>
      </c>
      <c r="X174" s="1">
        <f t="shared" si="559"/>
        <v>1.5195264058026</v>
      </c>
      <c r="Y174" s="1">
        <f t="shared" si="459"/>
        <v>1.85766833307459</v>
      </c>
      <c r="Z174" s="1">
        <f t="shared" si="460"/>
        <v>3.233100961743</v>
      </c>
      <c r="AA174" s="1">
        <f t="shared" si="437"/>
        <v>194493.890222039</v>
      </c>
      <c r="AB174" s="1">
        <f t="shared" si="438"/>
        <v>22581.6152975462</v>
      </c>
      <c r="AC174" s="1">
        <f t="shared" si="439"/>
        <v>15054.4101983641</v>
      </c>
      <c r="AD174" s="1">
        <f>AC174/(AC174+[1]战斗公式!$M$27)</f>
        <v>0.385472732065346</v>
      </c>
      <c r="AE174" s="1">
        <f t="shared" si="440"/>
        <v>316493.507075296</v>
      </c>
      <c r="AF174" s="1">
        <f t="shared" si="441"/>
        <v>7.54469386488671</v>
      </c>
      <c r="AG174" s="1">
        <f t="shared" si="442"/>
        <v>4.33501429166203</v>
      </c>
      <c r="AH174" s="1">
        <f t="shared" si="443"/>
        <v>3.88600783181835</v>
      </c>
      <c r="AI174" s="1">
        <f t="shared" si="444"/>
        <v>0.902280917510003</v>
      </c>
      <c r="AJ174" s="1">
        <f t="shared" si="445"/>
        <v>1.00028308827604</v>
      </c>
      <c r="AK174" s="1">
        <f t="shared" si="446"/>
        <v>1.03028673531959</v>
      </c>
      <c r="AL174" s="1">
        <f t="shared" si="447"/>
        <v>0.874423738230628</v>
      </c>
      <c r="AM174" s="27">
        <f t="shared" si="448"/>
        <v>174349</v>
      </c>
      <c r="AN174" s="27">
        <f t="shared" si="449"/>
        <v>20375</v>
      </c>
      <c r="AO174" s="27">
        <f t="shared" si="450"/>
        <v>15054</v>
      </c>
      <c r="AP174" s="1">
        <f t="shared" si="451"/>
        <v>103211</v>
      </c>
      <c r="AQ174" s="1">
        <f t="shared" si="452"/>
        <v>17816</v>
      </c>
      <c r="AR174"/>
      <c r="AS174" s="1">
        <f t="shared" ref="AS174:AY174" si="560">ROUNDUP(AS$10*$AP174,0)</f>
        <v>103211</v>
      </c>
      <c r="AT174" s="1">
        <f t="shared" si="560"/>
        <v>309633</v>
      </c>
      <c r="AU174" s="1">
        <f t="shared" si="560"/>
        <v>185780</v>
      </c>
      <c r="AV174" s="1">
        <f t="shared" si="560"/>
        <v>51606</v>
      </c>
      <c r="AW174" s="1">
        <f t="shared" si="560"/>
        <v>15482</v>
      </c>
      <c r="AX174" s="1">
        <f t="shared" si="560"/>
        <v>412844</v>
      </c>
      <c r="AY174" s="1">
        <f t="shared" si="560"/>
        <v>928899</v>
      </c>
      <c r="AZ174" s="1">
        <f t="shared" si="454"/>
        <v>10463901</v>
      </c>
      <c r="BA174" s="1">
        <f t="shared" si="455"/>
        <v>5231951</v>
      </c>
      <c r="BC174" s="1">
        <f t="shared" si="456"/>
        <v>163</v>
      </c>
    </row>
    <row r="175" s="1" customFormat="1" spans="2:55">
      <c r="B175" s="4">
        <v>164</v>
      </c>
      <c r="C175" s="1">
        <f t="shared" ref="C175:I175" si="561">C$5+(C$6-C$5)*(POWER(C$7,$B175-1)-1)/(POWER(C$7,$B$3-1)-1)</f>
        <v>12958.1633994464</v>
      </c>
      <c r="D175" s="1">
        <f t="shared" si="561"/>
        <v>3887.44901983391</v>
      </c>
      <c r="E175" s="1">
        <f t="shared" si="561"/>
        <v>2591.63267988927</v>
      </c>
      <c r="F175" s="1">
        <f t="shared" si="561"/>
        <v>47567.9415929043</v>
      </c>
      <c r="G175" s="1">
        <f t="shared" si="561"/>
        <v>14270.3824778713</v>
      </c>
      <c r="H175" s="1">
        <f t="shared" si="561"/>
        <v>9513.58831858087</v>
      </c>
      <c r="I175" s="1">
        <f t="shared" si="561"/>
        <v>0</v>
      </c>
      <c r="J175" s="1">
        <f>[1]标准模型!$I$65/1*$B175/$B$3</f>
        <v>1.1808</v>
      </c>
      <c r="K175" s="1">
        <f>J175*[1]标准模型!$J$63</f>
        <v>1.1808</v>
      </c>
      <c r="L175" s="1">
        <f t="shared" si="433"/>
        <v>60526.1049923507</v>
      </c>
      <c r="M175" s="1">
        <f t="shared" si="434"/>
        <v>22748.1313003251</v>
      </c>
      <c r="N175" s="1">
        <f t="shared" si="435"/>
        <v>15165.4208668834</v>
      </c>
      <c r="O175" s="1">
        <f t="shared" ref="O175:X175" si="562">O$5+(O$6-O$5)*(POWER(O$7,$B175-1)-1)/(POWER(O$7,$B$3-1)-1)</f>
        <v>0.663354092989097</v>
      </c>
      <c r="P175" s="1">
        <f t="shared" si="562"/>
        <v>0.0994924905878039</v>
      </c>
      <c r="Q175" s="1">
        <f t="shared" si="562"/>
        <v>0.364844751144003</v>
      </c>
      <c r="R175" s="1">
        <f t="shared" si="562"/>
        <v>1.06534163719564</v>
      </c>
      <c r="S175" s="1">
        <f t="shared" si="562"/>
        <v>0.228695730184735</v>
      </c>
      <c r="T175" s="1">
        <f t="shared" si="562"/>
        <v>2.63708096265748</v>
      </c>
      <c r="U175" s="1">
        <f t="shared" si="562"/>
        <v>1</v>
      </c>
      <c r="V175" s="1">
        <f t="shared" si="562"/>
        <v>1.17815369457614</v>
      </c>
      <c r="W175" s="1">
        <f t="shared" si="562"/>
        <v>1.1005255956856</v>
      </c>
      <c r="X175" s="1">
        <f t="shared" si="562"/>
        <v>1.52273309756511</v>
      </c>
      <c r="Y175" s="1">
        <f t="shared" si="459"/>
        <v>1.87180718955268</v>
      </c>
      <c r="Z175" s="1">
        <f t="shared" si="460"/>
        <v>3.25998872682543</v>
      </c>
      <c r="AA175" s="1">
        <f t="shared" si="437"/>
        <v>197314.419953716</v>
      </c>
      <c r="AB175" s="1">
        <f t="shared" si="438"/>
        <v>22748.1313003251</v>
      </c>
      <c r="AC175" s="1">
        <f t="shared" si="439"/>
        <v>15165.4208668834</v>
      </c>
      <c r="AD175" s="1">
        <f>AC175/(AC175+[1]战斗公式!$M$27)</f>
        <v>0.387214551285637</v>
      </c>
      <c r="AE175" s="1">
        <f t="shared" si="440"/>
        <v>321995.929191344</v>
      </c>
      <c r="AF175" s="1">
        <f t="shared" si="441"/>
        <v>7.56211963660826</v>
      </c>
      <c r="AG175" s="1">
        <f t="shared" si="442"/>
        <v>4.34198737792716</v>
      </c>
      <c r="AH175" s="1">
        <f t="shared" si="443"/>
        <v>3.89508042731076</v>
      </c>
      <c r="AI175" s="1">
        <f t="shared" si="444"/>
        <v>0.905190560032796</v>
      </c>
      <c r="AJ175" s="1">
        <f t="shared" si="445"/>
        <v>1.00026893386179</v>
      </c>
      <c r="AK175" s="1">
        <f t="shared" si="446"/>
        <v>1.02968033080581</v>
      </c>
      <c r="AL175" s="1">
        <f t="shared" si="447"/>
        <v>0.874779839479296</v>
      </c>
      <c r="AM175" s="27">
        <f t="shared" si="448"/>
        <v>177005</v>
      </c>
      <c r="AN175" s="27">
        <f t="shared" si="449"/>
        <v>20591</v>
      </c>
      <c r="AO175" s="27">
        <f t="shared" si="450"/>
        <v>15165</v>
      </c>
      <c r="AP175" s="1">
        <f t="shared" si="451"/>
        <v>104649</v>
      </c>
      <c r="AQ175" s="1">
        <f t="shared" si="452"/>
        <v>18013</v>
      </c>
      <c r="AR175"/>
      <c r="AS175" s="1">
        <f t="shared" ref="AS175:AY175" si="563">ROUNDUP(AS$10*$AP175,0)</f>
        <v>104649</v>
      </c>
      <c r="AT175" s="1">
        <f t="shared" si="563"/>
        <v>313947</v>
      </c>
      <c r="AU175" s="1">
        <f t="shared" si="563"/>
        <v>188369</v>
      </c>
      <c r="AV175" s="1">
        <f t="shared" si="563"/>
        <v>52325</v>
      </c>
      <c r="AW175" s="1">
        <f t="shared" si="563"/>
        <v>15698</v>
      </c>
      <c r="AX175" s="1">
        <f t="shared" si="563"/>
        <v>418596</v>
      </c>
      <c r="AY175" s="1">
        <f t="shared" si="563"/>
        <v>941841</v>
      </c>
      <c r="AZ175" s="1">
        <f t="shared" si="454"/>
        <v>10623156</v>
      </c>
      <c r="BA175" s="1">
        <f t="shared" si="455"/>
        <v>5311578</v>
      </c>
      <c r="BC175" s="1">
        <f t="shared" si="456"/>
        <v>164</v>
      </c>
    </row>
    <row r="176" s="1" customFormat="1" spans="2:55">
      <c r="B176" s="4">
        <v>165</v>
      </c>
      <c r="C176" s="1">
        <f t="shared" ref="C176:I176" si="564">C$5+(C$6-C$5)*(POWER(C$7,$B176-1)-1)/(POWER(C$7,$B$3-1)-1)</f>
        <v>13037.1701929271</v>
      </c>
      <c r="D176" s="1">
        <f t="shared" si="564"/>
        <v>3911.15105787814</v>
      </c>
      <c r="E176" s="1">
        <f t="shared" si="564"/>
        <v>2607.43403858543</v>
      </c>
      <c r="F176" s="1">
        <f t="shared" si="564"/>
        <v>47857.9665309984</v>
      </c>
      <c r="G176" s="1">
        <f t="shared" si="564"/>
        <v>14357.3899592995</v>
      </c>
      <c r="H176" s="1">
        <f t="shared" si="564"/>
        <v>9571.59330619967</v>
      </c>
      <c r="I176" s="1">
        <f t="shared" si="564"/>
        <v>0</v>
      </c>
      <c r="J176" s="1">
        <f>[1]标准模型!$I$65/1*$B176/$B$3</f>
        <v>1.188</v>
      </c>
      <c r="K176" s="1">
        <f>J176*[1]标准模型!$J$63</f>
        <v>1.188</v>
      </c>
      <c r="L176" s="1">
        <f t="shared" si="433"/>
        <v>60895.1367239255</v>
      </c>
      <c r="M176" s="1">
        <f t="shared" si="434"/>
        <v>22914.9884739369</v>
      </c>
      <c r="N176" s="1">
        <f t="shared" si="435"/>
        <v>15276.6589826246</v>
      </c>
      <c r="O176" s="1">
        <f t="shared" ref="O176:X176" si="565">O$5+(O$6-O$5)*(POWER(O$7,$B176-1)-1)/(POWER(O$7,$B$3-1)-1)</f>
        <v>0.664356183162872</v>
      </c>
      <c r="P176" s="1">
        <f t="shared" si="565"/>
        <v>0.100180986449215</v>
      </c>
      <c r="Q176" s="1">
        <f t="shared" si="565"/>
        <v>0.36539590073958</v>
      </c>
      <c r="R176" s="1">
        <f t="shared" si="565"/>
        <v>1.06574247326515</v>
      </c>
      <c r="S176" s="1">
        <f t="shared" si="565"/>
        <v>0.230098656428021</v>
      </c>
      <c r="T176" s="1">
        <f t="shared" si="565"/>
        <v>2.6409891143352</v>
      </c>
      <c r="U176" s="1">
        <f t="shared" si="565"/>
        <v>1</v>
      </c>
      <c r="V176" s="1">
        <f t="shared" si="565"/>
        <v>1.17924657240669</v>
      </c>
      <c r="W176" s="1">
        <f t="shared" si="565"/>
        <v>1.10114226656177</v>
      </c>
      <c r="X176" s="1">
        <f t="shared" si="565"/>
        <v>1.52593978612119</v>
      </c>
      <c r="Y176" s="1">
        <f t="shared" si="459"/>
        <v>1.88604259867964</v>
      </c>
      <c r="Z176" s="1">
        <f t="shared" si="460"/>
        <v>3.28707970786765</v>
      </c>
      <c r="AA176" s="1">
        <f t="shared" si="437"/>
        <v>200167.168233042</v>
      </c>
      <c r="AB176" s="1">
        <f t="shared" si="438"/>
        <v>22914.9884739369</v>
      </c>
      <c r="AC176" s="1">
        <f t="shared" si="439"/>
        <v>15276.6589826246</v>
      </c>
      <c r="AD176" s="1">
        <f>AC176/(AC176+[1]战斗公式!$M$27)</f>
        <v>0.388950062921155</v>
      </c>
      <c r="AE176" s="1">
        <f t="shared" si="440"/>
        <v>327579.066925285</v>
      </c>
      <c r="AF176" s="1">
        <f t="shared" si="441"/>
        <v>7.5795775503025</v>
      </c>
      <c r="AG176" s="1">
        <f t="shared" si="442"/>
        <v>4.34896851014906</v>
      </c>
      <c r="AH176" s="1">
        <f t="shared" si="443"/>
        <v>3.90408497833698</v>
      </c>
      <c r="AI176" s="1">
        <f t="shared" si="444"/>
        <v>0.908106021840635</v>
      </c>
      <c r="AJ176" s="1">
        <f t="shared" si="445"/>
        <v>1.00025548716826</v>
      </c>
      <c r="AK176" s="1">
        <f t="shared" si="446"/>
        <v>1.02908605438231</v>
      </c>
      <c r="AL176" s="1">
        <f t="shared" si="447"/>
        <v>0.875134872424218</v>
      </c>
      <c r="AM176" s="27">
        <f t="shared" si="448"/>
        <v>179691</v>
      </c>
      <c r="AN176" s="27">
        <f t="shared" si="449"/>
        <v>20809</v>
      </c>
      <c r="AO176" s="27">
        <f t="shared" si="450"/>
        <v>15277</v>
      </c>
      <c r="AP176" s="1">
        <f t="shared" si="451"/>
        <v>106101</v>
      </c>
      <c r="AQ176" s="1">
        <f t="shared" si="452"/>
        <v>18211</v>
      </c>
      <c r="AR176"/>
      <c r="AS176" s="1">
        <f t="shared" ref="AS176:AY176" si="566">ROUNDUP(AS$10*$AP176,0)</f>
        <v>106101</v>
      </c>
      <c r="AT176" s="1">
        <f t="shared" si="566"/>
        <v>318303</v>
      </c>
      <c r="AU176" s="1">
        <f t="shared" si="566"/>
        <v>190982</v>
      </c>
      <c r="AV176" s="1">
        <f t="shared" si="566"/>
        <v>53051</v>
      </c>
      <c r="AW176" s="1">
        <f t="shared" si="566"/>
        <v>15916</v>
      </c>
      <c r="AX176" s="1">
        <f t="shared" si="566"/>
        <v>424404</v>
      </c>
      <c r="AY176" s="1">
        <f t="shared" si="566"/>
        <v>954909</v>
      </c>
      <c r="AZ176" s="1">
        <f t="shared" si="454"/>
        <v>10784215</v>
      </c>
      <c r="BA176" s="1">
        <f t="shared" si="455"/>
        <v>5392107</v>
      </c>
      <c r="BC176" s="1">
        <f t="shared" si="456"/>
        <v>165</v>
      </c>
    </row>
    <row r="177" s="1" customFormat="1" spans="2:55">
      <c r="B177" s="4">
        <v>166</v>
      </c>
      <c r="C177" s="1">
        <f t="shared" ref="C177:I177" si="567">C$5+(C$6-C$5)*(POWER(C$7,$B177-1)-1)/(POWER(C$7,$B$3-1)-1)</f>
        <v>13116.17690739</v>
      </c>
      <c r="D177" s="1">
        <f t="shared" si="567"/>
        <v>3934.853072217</v>
      </c>
      <c r="E177" s="1">
        <f t="shared" si="567"/>
        <v>2623.235381478</v>
      </c>
      <c r="F177" s="1">
        <f t="shared" si="567"/>
        <v>48147.9911790266</v>
      </c>
      <c r="G177" s="1">
        <f t="shared" si="567"/>
        <v>14444.397353708</v>
      </c>
      <c r="H177" s="1">
        <f t="shared" si="567"/>
        <v>9629.59823580532</v>
      </c>
      <c r="I177" s="1">
        <f t="shared" si="567"/>
        <v>0</v>
      </c>
      <c r="J177" s="1">
        <f>[1]标准模型!$I$65/1*$B177/$B$3</f>
        <v>1.1952</v>
      </c>
      <c r="K177" s="1">
        <f>J177*[1]标准模型!$J$63</f>
        <v>1.1952</v>
      </c>
      <c r="L177" s="1">
        <f t="shared" si="433"/>
        <v>61264.1680864166</v>
      </c>
      <c r="M177" s="1">
        <f t="shared" si="434"/>
        <v>23082.1868178388</v>
      </c>
      <c r="N177" s="1">
        <f t="shared" si="435"/>
        <v>15388.1245452258</v>
      </c>
      <c r="O177" s="1">
        <f t="shared" ref="O177:X177" si="568">O$5+(O$6-O$5)*(POWER(O$7,$B177-1)-1)/(POWER(O$7,$B$3-1)-1)</f>
        <v>0.665358272334416</v>
      </c>
      <c r="P177" s="1">
        <f t="shared" si="568"/>
        <v>0.100870515054419</v>
      </c>
      <c r="Q177" s="1">
        <f t="shared" si="568"/>
        <v>0.365947049783929</v>
      </c>
      <c r="R177" s="1">
        <f t="shared" si="568"/>
        <v>1.06614330893377</v>
      </c>
      <c r="S177" s="1">
        <f t="shared" si="568"/>
        <v>0.231501581268182</v>
      </c>
      <c r="T177" s="1">
        <f t="shared" si="568"/>
        <v>2.64489726210422</v>
      </c>
      <c r="U177" s="1">
        <f t="shared" si="568"/>
        <v>1</v>
      </c>
      <c r="V177" s="1">
        <f t="shared" si="568"/>
        <v>1.1803394491442</v>
      </c>
      <c r="W177" s="1">
        <f t="shared" si="568"/>
        <v>1.10175893682118</v>
      </c>
      <c r="X177" s="1">
        <f t="shared" si="568"/>
        <v>1.52914647147013</v>
      </c>
      <c r="Y177" s="1">
        <f t="shared" si="459"/>
        <v>1.90037513357863</v>
      </c>
      <c r="Z177" s="1">
        <f t="shared" si="460"/>
        <v>3.31437526206288</v>
      </c>
      <c r="AA177" s="1">
        <f t="shared" si="437"/>
        <v>203052.443156481</v>
      </c>
      <c r="AB177" s="1">
        <f t="shared" si="438"/>
        <v>23082.1868178388</v>
      </c>
      <c r="AC177" s="1">
        <f t="shared" si="439"/>
        <v>15388.1245452258</v>
      </c>
      <c r="AD177" s="1">
        <f>AC177/(AC177+[1]战斗公式!$M$27)</f>
        <v>0.390679290341865</v>
      </c>
      <c r="AE177" s="1">
        <f t="shared" si="440"/>
        <v>333243.955010828</v>
      </c>
      <c r="AF177" s="1">
        <f t="shared" si="441"/>
        <v>7.59706757437535</v>
      </c>
      <c r="AG177" s="1">
        <f t="shared" si="442"/>
        <v>4.35595765866102</v>
      </c>
      <c r="AH177" s="1">
        <f t="shared" si="443"/>
        <v>3.91302199523051</v>
      </c>
      <c r="AI177" s="1">
        <f t="shared" si="444"/>
        <v>0.911027314572089</v>
      </c>
      <c r="AJ177" s="1">
        <f t="shared" si="445"/>
        <v>1.00024271280941</v>
      </c>
      <c r="AK177" s="1">
        <f t="shared" si="446"/>
        <v>1.02850366348728</v>
      </c>
      <c r="AL177" s="1">
        <f t="shared" si="447"/>
        <v>0.875488840270305</v>
      </c>
      <c r="AM177" s="27">
        <f t="shared" si="448"/>
        <v>182405</v>
      </c>
      <c r="AN177" s="27">
        <f t="shared" si="449"/>
        <v>21029</v>
      </c>
      <c r="AO177" s="27">
        <f t="shared" si="450"/>
        <v>15388</v>
      </c>
      <c r="AP177" s="1">
        <f t="shared" si="451"/>
        <v>107567</v>
      </c>
      <c r="AQ177" s="1">
        <f t="shared" si="452"/>
        <v>18411</v>
      </c>
      <c r="AR177"/>
      <c r="AS177" s="1">
        <f t="shared" ref="AS177:AY177" si="569">ROUNDUP(AS$10*$AP177,0)</f>
        <v>107567</v>
      </c>
      <c r="AT177" s="1">
        <f t="shared" si="569"/>
        <v>322701</v>
      </c>
      <c r="AU177" s="1">
        <f t="shared" si="569"/>
        <v>193621</v>
      </c>
      <c r="AV177" s="1">
        <f t="shared" si="569"/>
        <v>53784</v>
      </c>
      <c r="AW177" s="1">
        <f t="shared" si="569"/>
        <v>16136</v>
      </c>
      <c r="AX177" s="1">
        <f t="shared" si="569"/>
        <v>430268</v>
      </c>
      <c r="AY177" s="1">
        <f t="shared" si="569"/>
        <v>968103</v>
      </c>
      <c r="AZ177" s="1">
        <f t="shared" si="454"/>
        <v>10946956</v>
      </c>
      <c r="BA177" s="1">
        <f t="shared" si="455"/>
        <v>5473478</v>
      </c>
      <c r="BC177" s="1">
        <f t="shared" si="456"/>
        <v>166</v>
      </c>
    </row>
    <row r="178" s="1" customFormat="1" spans="2:55">
      <c r="B178" s="4">
        <v>167</v>
      </c>
      <c r="C178" s="1">
        <f t="shared" ref="C178:I178" si="570">C$5+(C$6-C$5)*(POWER(C$7,$B178-1)-1)/(POWER(C$7,$B$3-1)-1)</f>
        <v>13195.1835428525</v>
      </c>
      <c r="D178" s="1">
        <f t="shared" si="570"/>
        <v>3958.55506285574</v>
      </c>
      <c r="E178" s="1">
        <f t="shared" si="570"/>
        <v>2639.0367085705</v>
      </c>
      <c r="F178" s="1">
        <f t="shared" si="570"/>
        <v>48438.0155370534</v>
      </c>
      <c r="G178" s="1">
        <f t="shared" si="570"/>
        <v>14531.404661116</v>
      </c>
      <c r="H178" s="1">
        <f t="shared" si="570"/>
        <v>9687.60310741068</v>
      </c>
      <c r="I178" s="1">
        <f t="shared" si="570"/>
        <v>0</v>
      </c>
      <c r="J178" s="1">
        <f>[1]标准模型!$I$65/1*$B178/$B$3</f>
        <v>1.2024</v>
      </c>
      <c r="K178" s="1">
        <f>J178*[1]标准模型!$J$63</f>
        <v>1.2024</v>
      </c>
      <c r="L178" s="1">
        <f t="shared" si="433"/>
        <v>61633.1990799059</v>
      </c>
      <c r="M178" s="1">
        <f t="shared" si="434"/>
        <v>23249.7263315495</v>
      </c>
      <c r="N178" s="1">
        <f t="shared" si="435"/>
        <v>15499.8175543663</v>
      </c>
      <c r="O178" s="1">
        <f t="shared" ref="O178:X178" si="571">O$5+(O$6-O$5)*(POWER(O$7,$B178-1)-1)/(POWER(O$7,$B$3-1)-1)</f>
        <v>0.666360360503951</v>
      </c>
      <c r="P178" s="1">
        <f t="shared" si="571"/>
        <v>0.10156107795253</v>
      </c>
      <c r="Q178" s="1">
        <f t="shared" si="571"/>
        <v>0.366498198277173</v>
      </c>
      <c r="R178" s="1">
        <f t="shared" si="571"/>
        <v>1.06654414420158</v>
      </c>
      <c r="S178" s="1">
        <f t="shared" si="571"/>
        <v>0.232904504705531</v>
      </c>
      <c r="T178" s="1">
        <f t="shared" si="571"/>
        <v>2.64880540596541</v>
      </c>
      <c r="U178" s="1">
        <f t="shared" si="571"/>
        <v>1</v>
      </c>
      <c r="V178" s="1">
        <f t="shared" si="571"/>
        <v>1.18143232478892</v>
      </c>
      <c r="W178" s="1">
        <f t="shared" si="571"/>
        <v>1.10237560646397</v>
      </c>
      <c r="X178" s="1">
        <f t="shared" si="571"/>
        <v>1.53235315361264</v>
      </c>
      <c r="Y178" s="1">
        <f t="shared" si="459"/>
        <v>1.91480537006752</v>
      </c>
      <c r="Z178" s="1">
        <f t="shared" si="460"/>
        <v>3.34187675410689</v>
      </c>
      <c r="AA178" s="1">
        <f t="shared" si="437"/>
        <v>205970.55528638</v>
      </c>
      <c r="AB178" s="1">
        <f t="shared" si="438"/>
        <v>23249.7263315495</v>
      </c>
      <c r="AC178" s="1">
        <f t="shared" si="439"/>
        <v>15499.8175543663</v>
      </c>
      <c r="AD178" s="1">
        <f>AC178/(AC178+[1]战斗公式!$M$27)</f>
        <v>0.392402256872019</v>
      </c>
      <c r="AE178" s="1">
        <f t="shared" si="440"/>
        <v>338991.639807647</v>
      </c>
      <c r="AF178" s="1">
        <f t="shared" si="441"/>
        <v>7.61458967738043</v>
      </c>
      <c r="AG178" s="1">
        <f t="shared" si="442"/>
        <v>4.36295479394642</v>
      </c>
      <c r="AH178" s="1">
        <f t="shared" si="443"/>
        <v>3.92189198449733</v>
      </c>
      <c r="AI178" s="1">
        <f t="shared" si="444"/>
        <v>0.913954449889006</v>
      </c>
      <c r="AJ178" s="1">
        <f t="shared" si="445"/>
        <v>1.0002305771685</v>
      </c>
      <c r="AK178" s="1">
        <f t="shared" si="446"/>
        <v>1.02793292041014</v>
      </c>
      <c r="AL178" s="1">
        <f t="shared" si="447"/>
        <v>0.875841746212854</v>
      </c>
      <c r="AM178" s="27">
        <f t="shared" si="448"/>
        <v>185148</v>
      </c>
      <c r="AN178" s="27">
        <f t="shared" si="449"/>
        <v>21249</v>
      </c>
      <c r="AO178" s="27">
        <f t="shared" si="450"/>
        <v>15500</v>
      </c>
      <c r="AP178" s="1">
        <f t="shared" si="451"/>
        <v>109048</v>
      </c>
      <c r="AQ178" s="1">
        <f t="shared" si="452"/>
        <v>18611</v>
      </c>
      <c r="AR178"/>
      <c r="AS178" s="1">
        <f t="shared" ref="AS178:AY178" si="572">ROUNDUP(AS$10*$AP178,0)</f>
        <v>109048</v>
      </c>
      <c r="AT178" s="1">
        <f t="shared" si="572"/>
        <v>327144</v>
      </c>
      <c r="AU178" s="1">
        <f t="shared" si="572"/>
        <v>196287</v>
      </c>
      <c r="AV178" s="1">
        <f t="shared" si="572"/>
        <v>54524</v>
      </c>
      <c r="AW178" s="1">
        <f t="shared" si="572"/>
        <v>16358</v>
      </c>
      <c r="AX178" s="1">
        <f t="shared" si="572"/>
        <v>436192</v>
      </c>
      <c r="AY178" s="1">
        <f t="shared" si="572"/>
        <v>981432</v>
      </c>
      <c r="AZ178" s="1">
        <f t="shared" si="454"/>
        <v>11111441</v>
      </c>
      <c r="BA178" s="1">
        <f t="shared" si="455"/>
        <v>5555721</v>
      </c>
      <c r="BC178" s="1">
        <f t="shared" si="456"/>
        <v>167</v>
      </c>
    </row>
    <row r="179" s="1" customFormat="1" spans="2:55">
      <c r="B179" s="4">
        <v>168</v>
      </c>
      <c r="C179" s="1">
        <f t="shared" ref="C179:I179" si="573">C$5+(C$6-C$5)*(POWER(C$7,$B179-1)-1)/(POWER(C$7,$B$3-1)-1)</f>
        <v>13274.1900993146</v>
      </c>
      <c r="D179" s="1">
        <f t="shared" si="573"/>
        <v>3982.25702979438</v>
      </c>
      <c r="E179" s="1">
        <f t="shared" si="573"/>
        <v>2654.83801986292</v>
      </c>
      <c r="F179" s="1">
        <f t="shared" si="573"/>
        <v>48728.0396050789</v>
      </c>
      <c r="G179" s="1">
        <f t="shared" si="573"/>
        <v>14618.4118815237</v>
      </c>
      <c r="H179" s="1">
        <f t="shared" si="573"/>
        <v>9745.60792101577</v>
      </c>
      <c r="I179" s="1">
        <f t="shared" si="573"/>
        <v>0</v>
      </c>
      <c r="J179" s="1">
        <f>[1]标准模型!$I$65/1*$B179/$B$3</f>
        <v>1.2096</v>
      </c>
      <c r="K179" s="1">
        <f>J179*[1]标准模型!$J$63</f>
        <v>1.2096</v>
      </c>
      <c r="L179" s="1">
        <f t="shared" si="433"/>
        <v>62002.2297043935</v>
      </c>
      <c r="M179" s="1">
        <f t="shared" si="434"/>
        <v>23417.6070145574</v>
      </c>
      <c r="N179" s="1">
        <f t="shared" si="435"/>
        <v>15611.7380097049</v>
      </c>
      <c r="O179" s="1">
        <f t="shared" ref="O179:X179" si="574">O$5+(O$6-O$5)*(POWER(O$7,$B179-1)-1)/(POWER(O$7,$B$3-1)-1)</f>
        <v>0.667362447671477</v>
      </c>
      <c r="P179" s="1">
        <f t="shared" si="574"/>
        <v>0.102252676694988</v>
      </c>
      <c r="Q179" s="1">
        <f t="shared" si="574"/>
        <v>0.367049346219312</v>
      </c>
      <c r="R179" s="1">
        <f t="shared" si="574"/>
        <v>1.06694497906859</v>
      </c>
      <c r="S179" s="1">
        <f t="shared" si="574"/>
        <v>0.234307426740068</v>
      </c>
      <c r="T179" s="1">
        <f t="shared" si="574"/>
        <v>2.65271354591876</v>
      </c>
      <c r="U179" s="1">
        <f t="shared" si="574"/>
        <v>1</v>
      </c>
      <c r="V179" s="1">
        <f t="shared" si="574"/>
        <v>1.18252519934086</v>
      </c>
      <c r="W179" s="1">
        <f t="shared" si="574"/>
        <v>1.10299227549014</v>
      </c>
      <c r="X179" s="1">
        <f t="shared" si="574"/>
        <v>1.53555983254873</v>
      </c>
      <c r="Y179" s="1">
        <f t="shared" si="459"/>
        <v>1.92933388665966</v>
      </c>
      <c r="Z179" s="1">
        <f t="shared" si="460"/>
        <v>3.369585556213</v>
      </c>
      <c r="AA179" s="1">
        <f t="shared" si="437"/>
        <v>208921.817664925</v>
      </c>
      <c r="AB179" s="1">
        <f t="shared" si="438"/>
        <v>23417.6070145574</v>
      </c>
      <c r="AC179" s="1">
        <f t="shared" si="439"/>
        <v>15611.7380097049</v>
      </c>
      <c r="AD179" s="1">
        <f>AC179/(AC179+[1]战斗公式!$M$27)</f>
        <v>0.394118985788505</v>
      </c>
      <c r="AE179" s="1">
        <f t="shared" si="440"/>
        <v>344823.179410598</v>
      </c>
      <c r="AF179" s="1">
        <f t="shared" si="441"/>
        <v>7.63214382800024</v>
      </c>
      <c r="AG179" s="1">
        <f t="shared" si="442"/>
        <v>4.36995988663077</v>
      </c>
      <c r="AH179" s="1">
        <f t="shared" si="443"/>
        <v>3.93069544884465</v>
      </c>
      <c r="AI179" s="1">
        <f t="shared" si="444"/>
        <v>0.916887439476558</v>
      </c>
      <c r="AJ179" s="1">
        <f t="shared" si="445"/>
        <v>1.00021904830963</v>
      </c>
      <c r="AK179" s="1">
        <f t="shared" si="446"/>
        <v>1.02737359219455</v>
      </c>
      <c r="AL179" s="1">
        <f t="shared" si="447"/>
        <v>0.876193593437575</v>
      </c>
      <c r="AM179" s="27">
        <f t="shared" si="448"/>
        <v>187921</v>
      </c>
      <c r="AN179" s="27">
        <f t="shared" si="449"/>
        <v>21471</v>
      </c>
      <c r="AO179" s="27">
        <f t="shared" si="450"/>
        <v>15612</v>
      </c>
      <c r="AP179" s="1">
        <f t="shared" si="451"/>
        <v>110544</v>
      </c>
      <c r="AQ179" s="1">
        <f t="shared" si="452"/>
        <v>18813</v>
      </c>
      <c r="AR179"/>
      <c r="AS179" s="1">
        <f t="shared" ref="AS179:AY179" si="575">ROUNDUP(AS$10*$AP179,0)</f>
        <v>110544</v>
      </c>
      <c r="AT179" s="1">
        <f t="shared" si="575"/>
        <v>331632</v>
      </c>
      <c r="AU179" s="1">
        <f t="shared" si="575"/>
        <v>198980</v>
      </c>
      <c r="AV179" s="1">
        <f t="shared" si="575"/>
        <v>55272</v>
      </c>
      <c r="AW179" s="1">
        <f t="shared" si="575"/>
        <v>16582</v>
      </c>
      <c r="AX179" s="1">
        <f t="shared" si="575"/>
        <v>442176</v>
      </c>
      <c r="AY179" s="1">
        <f t="shared" si="575"/>
        <v>994896</v>
      </c>
      <c r="AZ179" s="1">
        <f t="shared" si="454"/>
        <v>11277730</v>
      </c>
      <c r="BA179" s="1">
        <f t="shared" si="455"/>
        <v>5638865</v>
      </c>
      <c r="BC179" s="1">
        <f t="shared" si="456"/>
        <v>168</v>
      </c>
    </row>
    <row r="180" s="1" customFormat="1" spans="2:55">
      <c r="B180" s="4">
        <v>169</v>
      </c>
      <c r="C180" s="1">
        <f t="shared" ref="C180:I180" si="576">C$5+(C$6-C$5)*(POWER(C$7,$B180-1)-1)/(POWER(C$7,$B$3-1)-1)</f>
        <v>13353.1965767588</v>
      </c>
      <c r="D180" s="1">
        <f t="shared" si="576"/>
        <v>4005.95897302763</v>
      </c>
      <c r="E180" s="1">
        <f t="shared" si="576"/>
        <v>2670.63931535175</v>
      </c>
      <c r="F180" s="1">
        <f t="shared" si="576"/>
        <v>49018.0633830385</v>
      </c>
      <c r="G180" s="1">
        <f t="shared" si="576"/>
        <v>14705.4190149116</v>
      </c>
      <c r="H180" s="1">
        <f t="shared" si="576"/>
        <v>9803.6126766077</v>
      </c>
      <c r="I180" s="1">
        <f t="shared" si="576"/>
        <v>0</v>
      </c>
      <c r="J180" s="1">
        <f>[1]标准模型!$I$65/1*$B180/$B$3</f>
        <v>1.2168</v>
      </c>
      <c r="K180" s="1">
        <f>J180*[1]标准模型!$J$63</f>
        <v>1.2168</v>
      </c>
      <c r="L180" s="1">
        <f t="shared" si="433"/>
        <v>62371.2599597973</v>
      </c>
      <c r="M180" s="1">
        <f t="shared" si="434"/>
        <v>23585.8288663193</v>
      </c>
      <c r="N180" s="1">
        <f t="shared" si="435"/>
        <v>15723.8859108795</v>
      </c>
      <c r="O180" s="1">
        <f t="shared" ref="O180:X180" si="577">O$5+(O$6-O$5)*(POWER(O$7,$B180-1)-1)/(POWER(O$7,$B$3-1)-1)</f>
        <v>0.668364533836772</v>
      </c>
      <c r="P180" s="1">
        <f t="shared" si="577"/>
        <v>0.10294531283556</v>
      </c>
      <c r="Q180" s="1">
        <f t="shared" si="577"/>
        <v>0.367600493610225</v>
      </c>
      <c r="R180" s="1">
        <f t="shared" si="577"/>
        <v>1.06734581353471</v>
      </c>
      <c r="S180" s="1">
        <f t="shared" si="577"/>
        <v>0.235710347371481</v>
      </c>
      <c r="T180" s="1">
        <f t="shared" si="577"/>
        <v>2.65662168196341</v>
      </c>
      <c r="U180" s="1">
        <f t="shared" si="577"/>
        <v>1</v>
      </c>
      <c r="V180" s="1">
        <f t="shared" si="577"/>
        <v>1.18361807279976</v>
      </c>
      <c r="W180" s="1">
        <f t="shared" si="577"/>
        <v>1.10360894389955</v>
      </c>
      <c r="X180" s="1">
        <f t="shared" si="577"/>
        <v>1.53876650827767</v>
      </c>
      <c r="Y180" s="1">
        <f t="shared" si="459"/>
        <v>1.94396126457293</v>
      </c>
      <c r="Z180" s="1">
        <f t="shared" si="460"/>
        <v>3.39750304814389</v>
      </c>
      <c r="AA180" s="1">
        <f t="shared" si="437"/>
        <v>211906.545829986</v>
      </c>
      <c r="AB180" s="1">
        <f t="shared" si="438"/>
        <v>23585.8288663193</v>
      </c>
      <c r="AC180" s="1">
        <f t="shared" si="439"/>
        <v>15723.8859108795</v>
      </c>
      <c r="AD180" s="1">
        <f>AC180/(AC180+[1]战斗公式!$M$27)</f>
        <v>0.395829500320185</v>
      </c>
      <c r="AE180" s="1">
        <f t="shared" si="440"/>
        <v>350739.643763288</v>
      </c>
      <c r="AF180" s="1">
        <f t="shared" si="441"/>
        <v>7.64972999504566</v>
      </c>
      <c r="AG180" s="1">
        <f t="shared" si="442"/>
        <v>4.37697290748115</v>
      </c>
      <c r="AH180" s="1">
        <f t="shared" si="443"/>
        <v>3.93943288720937</v>
      </c>
      <c r="AI180" s="1">
        <f t="shared" si="444"/>
        <v>0.919826295043284</v>
      </c>
      <c r="AJ180" s="1">
        <f t="shared" si="445"/>
        <v>1.00020809589371</v>
      </c>
      <c r="AK180" s="1">
        <f t="shared" si="446"/>
        <v>1.02682545054327</v>
      </c>
      <c r="AL180" s="1">
        <f t="shared" si="447"/>
        <v>0.876544385120622</v>
      </c>
      <c r="AM180" s="27">
        <f t="shared" si="448"/>
        <v>190724</v>
      </c>
      <c r="AN180" s="27">
        <f t="shared" si="449"/>
        <v>21695</v>
      </c>
      <c r="AO180" s="27">
        <f t="shared" si="450"/>
        <v>15724</v>
      </c>
      <c r="AP180" s="1">
        <f t="shared" si="451"/>
        <v>112054</v>
      </c>
      <c r="AQ180" s="1">
        <f t="shared" si="452"/>
        <v>19017</v>
      </c>
      <c r="AR180"/>
      <c r="AS180" s="1">
        <f t="shared" ref="AS180:AY180" si="578">ROUNDUP(AS$10*$AP180,0)</f>
        <v>112054</v>
      </c>
      <c r="AT180" s="1">
        <f t="shared" si="578"/>
        <v>336162</v>
      </c>
      <c r="AU180" s="1">
        <f t="shared" si="578"/>
        <v>201698</v>
      </c>
      <c r="AV180" s="1">
        <f t="shared" si="578"/>
        <v>56027</v>
      </c>
      <c r="AW180" s="1">
        <f t="shared" si="578"/>
        <v>16809</v>
      </c>
      <c r="AX180" s="1">
        <f t="shared" si="578"/>
        <v>448216</v>
      </c>
      <c r="AY180" s="1">
        <f t="shared" si="578"/>
        <v>1008486</v>
      </c>
      <c r="AZ180" s="1">
        <f t="shared" si="454"/>
        <v>11445821</v>
      </c>
      <c r="BA180" s="1">
        <f t="shared" si="455"/>
        <v>5722911</v>
      </c>
      <c r="BC180" s="1">
        <f t="shared" si="456"/>
        <v>169</v>
      </c>
    </row>
    <row r="181" s="1" customFormat="1" spans="2:55">
      <c r="B181" s="4">
        <v>170</v>
      </c>
      <c r="C181" s="1">
        <f t="shared" ref="C181:I181" si="579">C$5+(C$6-C$5)*(POWER(C$7,$B181-1)-1)/(POWER(C$7,$B$3-1)-1)</f>
        <v>13432.2029752026</v>
      </c>
      <c r="D181" s="1">
        <f t="shared" si="579"/>
        <v>4029.66089256077</v>
      </c>
      <c r="E181" s="1">
        <f t="shared" si="579"/>
        <v>2686.44059504051</v>
      </c>
      <c r="F181" s="1">
        <f t="shared" si="579"/>
        <v>49308.0868709968</v>
      </c>
      <c r="G181" s="1">
        <f t="shared" si="579"/>
        <v>14792.426061299</v>
      </c>
      <c r="H181" s="1">
        <f t="shared" si="579"/>
        <v>9861.61737419936</v>
      </c>
      <c r="I181" s="1">
        <f t="shared" si="579"/>
        <v>0</v>
      </c>
      <c r="J181" s="1">
        <f>[1]标准模型!$I$65/1*$B181/$B$3</f>
        <v>1.224</v>
      </c>
      <c r="K181" s="1">
        <f>J181*[1]标准模型!$J$63</f>
        <v>1.224</v>
      </c>
      <c r="L181" s="1">
        <f t="shared" si="433"/>
        <v>62740.2898461994</v>
      </c>
      <c r="M181" s="1">
        <f t="shared" si="434"/>
        <v>23754.3918863542</v>
      </c>
      <c r="N181" s="1">
        <f t="shared" si="435"/>
        <v>15836.2612575695</v>
      </c>
      <c r="O181" s="1">
        <f t="shared" ref="O181:X181" si="580">O$5+(O$6-O$5)*(POWER(O$7,$B181-1)-1)/(POWER(O$7,$B$3-1)-1)</f>
        <v>0.669366619000058</v>
      </c>
      <c r="P181" s="1">
        <f t="shared" si="580"/>
        <v>0.103638987930343</v>
      </c>
      <c r="Q181" s="1">
        <f t="shared" si="580"/>
        <v>0.368151640450032</v>
      </c>
      <c r="R181" s="1">
        <f t="shared" si="580"/>
        <v>1.06774664760002</v>
      </c>
      <c r="S181" s="1">
        <f t="shared" si="580"/>
        <v>0.237113266600081</v>
      </c>
      <c r="T181" s="1">
        <f t="shared" si="580"/>
        <v>2.66052981410023</v>
      </c>
      <c r="U181" s="1">
        <f t="shared" si="580"/>
        <v>1</v>
      </c>
      <c r="V181" s="1">
        <f t="shared" si="580"/>
        <v>1.18471094516588</v>
      </c>
      <c r="W181" s="1">
        <f t="shared" si="580"/>
        <v>1.10422561169234</v>
      </c>
      <c r="X181" s="1">
        <f t="shared" si="580"/>
        <v>1.54197318080019</v>
      </c>
      <c r="Y181" s="1">
        <f t="shared" si="459"/>
        <v>1.95868808774744</v>
      </c>
      <c r="Z181" s="1">
        <f t="shared" si="460"/>
        <v>3.42563061726076</v>
      </c>
      <c r="AA181" s="1">
        <f t="shared" si="437"/>
        <v>214925.057832955</v>
      </c>
      <c r="AB181" s="1">
        <f t="shared" si="438"/>
        <v>23754.3918863542</v>
      </c>
      <c r="AC181" s="1">
        <f t="shared" si="439"/>
        <v>15836.2612575695</v>
      </c>
      <c r="AD181" s="1">
        <f>AC181/(AC181+[1]战斗公式!$M$27)</f>
        <v>0.39753382364818</v>
      </c>
      <c r="AE181" s="1">
        <f t="shared" si="440"/>
        <v>356742.114776326</v>
      </c>
      <c r="AF181" s="1">
        <f t="shared" si="441"/>
        <v>7.66734814747138</v>
      </c>
      <c r="AG181" s="1">
        <f t="shared" si="442"/>
        <v>4.38399382741196</v>
      </c>
      <c r="AH181" s="1">
        <f t="shared" si="443"/>
        <v>3.94810479478635</v>
      </c>
      <c r="AI181" s="1">
        <f t="shared" si="444"/>
        <v>0.922771028321144</v>
      </c>
      <c r="AJ181" s="1">
        <f t="shared" si="445"/>
        <v>1.00019769109859</v>
      </c>
      <c r="AK181" s="1">
        <f t="shared" si="446"/>
        <v>1.02628827172502</v>
      </c>
      <c r="AL181" s="1">
        <f t="shared" si="447"/>
        <v>0.87689412442862</v>
      </c>
      <c r="AM181" s="27">
        <f t="shared" si="448"/>
        <v>193556</v>
      </c>
      <c r="AN181" s="27">
        <f t="shared" si="449"/>
        <v>21920</v>
      </c>
      <c r="AO181" s="27">
        <f t="shared" si="450"/>
        <v>15836</v>
      </c>
      <c r="AP181" s="1">
        <f t="shared" si="451"/>
        <v>113579</v>
      </c>
      <c r="AQ181" s="1">
        <f t="shared" si="452"/>
        <v>19222</v>
      </c>
      <c r="AR181"/>
      <c r="AS181" s="1">
        <f t="shared" ref="AS181:AY181" si="581">ROUNDUP(AS$10*$AP181,0)</f>
        <v>113579</v>
      </c>
      <c r="AT181" s="1">
        <f t="shared" si="581"/>
        <v>340737</v>
      </c>
      <c r="AU181" s="1">
        <f t="shared" si="581"/>
        <v>204443</v>
      </c>
      <c r="AV181" s="1">
        <f t="shared" si="581"/>
        <v>56790</v>
      </c>
      <c r="AW181" s="1">
        <f t="shared" si="581"/>
        <v>17037</v>
      </c>
      <c r="AX181" s="1">
        <f t="shared" si="581"/>
        <v>454316</v>
      </c>
      <c r="AY181" s="1">
        <f t="shared" si="581"/>
        <v>1022211</v>
      </c>
      <c r="AZ181" s="1">
        <f t="shared" si="454"/>
        <v>11615656</v>
      </c>
      <c r="BA181" s="1">
        <f t="shared" si="455"/>
        <v>5807828</v>
      </c>
      <c r="BC181" s="1">
        <f t="shared" si="456"/>
        <v>170</v>
      </c>
    </row>
    <row r="182" s="1" customFormat="1" spans="2:55">
      <c r="B182" s="4">
        <v>171</v>
      </c>
      <c r="C182" s="1">
        <f t="shared" ref="C182:I182" si="582">C$5+(C$6-C$5)*(POWER(C$7,$B182-1)-1)/(POWER(C$7,$B$3-1)-1)</f>
        <v>13511.2092946372</v>
      </c>
      <c r="D182" s="1">
        <f t="shared" si="582"/>
        <v>4053.36278839117</v>
      </c>
      <c r="E182" s="1">
        <f t="shared" si="582"/>
        <v>2702.24185892744</v>
      </c>
      <c r="F182" s="1">
        <f t="shared" si="582"/>
        <v>49598.1100689214</v>
      </c>
      <c r="G182" s="1">
        <f t="shared" si="582"/>
        <v>14879.4330206764</v>
      </c>
      <c r="H182" s="1">
        <f t="shared" si="582"/>
        <v>9919.62201378429</v>
      </c>
      <c r="I182" s="1">
        <f t="shared" si="582"/>
        <v>0</v>
      </c>
      <c r="J182" s="1">
        <f>[1]标准模型!$I$65/1*$B182/$B$3</f>
        <v>1.2312</v>
      </c>
      <c r="K182" s="1">
        <f>J182*[1]标准模型!$J$63</f>
        <v>1.2312</v>
      </c>
      <c r="L182" s="1">
        <f t="shared" si="433"/>
        <v>63109.3193635586</v>
      </c>
      <c r="M182" s="1">
        <f t="shared" si="434"/>
        <v>23923.2960741348</v>
      </c>
      <c r="N182" s="1">
        <f t="shared" si="435"/>
        <v>15948.8640494232</v>
      </c>
      <c r="O182" s="1">
        <f t="shared" ref="O182:X182" si="583">O$5+(O$6-O$5)*(POWER(O$7,$B182-1)-1)/(POWER(O$7,$B$3-1)-1)</f>
        <v>0.670368703161224</v>
      </c>
      <c r="P182" s="1">
        <f t="shared" si="583"/>
        <v>0.104333703537769</v>
      </c>
      <c r="Q182" s="1">
        <f t="shared" si="583"/>
        <v>0.368702786738673</v>
      </c>
      <c r="R182" s="1">
        <f t="shared" si="583"/>
        <v>1.06814748126449</v>
      </c>
      <c r="S182" s="1">
        <f t="shared" si="583"/>
        <v>0.238516184425714</v>
      </c>
      <c r="T182" s="1">
        <f t="shared" si="583"/>
        <v>2.66443794232877</v>
      </c>
      <c r="U182" s="1">
        <f t="shared" si="583"/>
        <v>1</v>
      </c>
      <c r="V182" s="1">
        <f t="shared" si="583"/>
        <v>1.18580381643908</v>
      </c>
      <c r="W182" s="1">
        <f t="shared" si="583"/>
        <v>1.10484227886845</v>
      </c>
      <c r="X182" s="1">
        <f t="shared" si="583"/>
        <v>1.54517985011592</v>
      </c>
      <c r="Y182" s="1">
        <f t="shared" si="459"/>
        <v>1.97351494284473</v>
      </c>
      <c r="Z182" s="1">
        <f t="shared" si="460"/>
        <v>3.4539696585354</v>
      </c>
      <c r="AA182" s="1">
        <f t="shared" si="437"/>
        <v>217977.674252552</v>
      </c>
      <c r="AB182" s="1">
        <f t="shared" si="438"/>
        <v>23923.2960741348</v>
      </c>
      <c r="AC182" s="1">
        <f t="shared" si="439"/>
        <v>15948.8640494232</v>
      </c>
      <c r="AD182" s="1">
        <f>AC182/(AC182+[1]战斗公式!$M$27)</f>
        <v>0.399231978904128</v>
      </c>
      <c r="AE182" s="1">
        <f t="shared" si="440"/>
        <v>362831.686438527</v>
      </c>
      <c r="AF182" s="1">
        <f t="shared" si="441"/>
        <v>7.68499825435482</v>
      </c>
      <c r="AG182" s="1">
        <f t="shared" si="442"/>
        <v>4.39102261747603</v>
      </c>
      <c r="AH182" s="1">
        <f t="shared" si="443"/>
        <v>3.95671166305651</v>
      </c>
      <c r="AI182" s="1">
        <f t="shared" si="444"/>
        <v>0.925721651065559</v>
      </c>
      <c r="AJ182" s="1">
        <f t="shared" si="445"/>
        <v>1.00018780654322</v>
      </c>
      <c r="AK182" s="1">
        <f t="shared" si="446"/>
        <v>1.02576183648313</v>
      </c>
      <c r="AL182" s="1">
        <f t="shared" si="447"/>
        <v>0.877242814518694</v>
      </c>
      <c r="AM182" s="27">
        <f t="shared" si="448"/>
        <v>196418</v>
      </c>
      <c r="AN182" s="27">
        <f t="shared" si="449"/>
        <v>22146</v>
      </c>
      <c r="AO182" s="27">
        <f t="shared" si="450"/>
        <v>15949</v>
      </c>
      <c r="AP182" s="1">
        <f t="shared" si="451"/>
        <v>115120</v>
      </c>
      <c r="AQ182" s="1">
        <f t="shared" si="452"/>
        <v>19427</v>
      </c>
      <c r="AR182"/>
      <c r="AS182" s="1">
        <f t="shared" ref="AS182:AY182" si="584">ROUNDUP(AS$10*$AP182,0)</f>
        <v>115120</v>
      </c>
      <c r="AT182" s="1">
        <f t="shared" si="584"/>
        <v>345360</v>
      </c>
      <c r="AU182" s="1">
        <f t="shared" si="584"/>
        <v>207216</v>
      </c>
      <c r="AV182" s="1">
        <f t="shared" si="584"/>
        <v>57560</v>
      </c>
      <c r="AW182" s="1">
        <f t="shared" si="584"/>
        <v>17268</v>
      </c>
      <c r="AX182" s="1">
        <f t="shared" si="584"/>
        <v>460480</v>
      </c>
      <c r="AY182" s="1">
        <f t="shared" si="584"/>
        <v>1036080</v>
      </c>
      <c r="AZ182" s="1">
        <f t="shared" si="454"/>
        <v>11787293</v>
      </c>
      <c r="BA182" s="1">
        <f t="shared" si="455"/>
        <v>5893647</v>
      </c>
      <c r="BC182" s="1">
        <f t="shared" si="456"/>
        <v>171</v>
      </c>
    </row>
    <row r="183" s="1" customFormat="1" spans="2:55">
      <c r="B183" s="4">
        <v>172</v>
      </c>
      <c r="C183" s="1">
        <f t="shared" ref="C183:I183" si="585">C$5+(C$6-C$5)*(POWER(C$7,$B183-1)-1)/(POWER(C$7,$B$3-1)-1)</f>
        <v>13590.2155350715</v>
      </c>
      <c r="D183" s="1">
        <f t="shared" si="585"/>
        <v>4077.06466052145</v>
      </c>
      <c r="E183" s="1">
        <f t="shared" si="585"/>
        <v>2718.0431070143</v>
      </c>
      <c r="F183" s="1">
        <f t="shared" si="585"/>
        <v>49888.1329768447</v>
      </c>
      <c r="G183" s="1">
        <f t="shared" si="585"/>
        <v>14966.4398930534</v>
      </c>
      <c r="H183" s="1">
        <f t="shared" si="585"/>
        <v>9977.62659536894</v>
      </c>
      <c r="I183" s="1">
        <f t="shared" si="585"/>
        <v>0</v>
      </c>
      <c r="J183" s="1">
        <f>[1]标准模型!$I$65/1*$B183/$B$3</f>
        <v>1.2384</v>
      </c>
      <c r="K183" s="1">
        <f>J183*[1]标准模型!$J$63</f>
        <v>1.2384</v>
      </c>
      <c r="L183" s="1">
        <f t="shared" si="433"/>
        <v>63478.3485119162</v>
      </c>
      <c r="M183" s="1">
        <f t="shared" si="434"/>
        <v>24092.5414291646</v>
      </c>
      <c r="N183" s="1">
        <f t="shared" si="435"/>
        <v>16061.6942861097</v>
      </c>
      <c r="O183" s="1">
        <f t="shared" ref="O183:X183" si="586">O$5+(O$6-O$5)*(POWER(O$7,$B183-1)-1)/(POWER(O$7,$B$3-1)-1)</f>
        <v>0.671370786320381</v>
      </c>
      <c r="P183" s="1">
        <f t="shared" si="586"/>
        <v>0.105029461218605</v>
      </c>
      <c r="Q183" s="1">
        <f t="shared" si="586"/>
        <v>0.36925393247621</v>
      </c>
      <c r="R183" s="1">
        <f t="shared" si="586"/>
        <v>1.06854831452815</v>
      </c>
      <c r="S183" s="1">
        <f t="shared" si="586"/>
        <v>0.239919100848534</v>
      </c>
      <c r="T183" s="1">
        <f t="shared" si="586"/>
        <v>2.66834606664949</v>
      </c>
      <c r="U183" s="1">
        <f t="shared" si="586"/>
        <v>1</v>
      </c>
      <c r="V183" s="1">
        <f t="shared" si="586"/>
        <v>1.18689668661949</v>
      </c>
      <c r="W183" s="1">
        <f t="shared" si="586"/>
        <v>1.10545894542793</v>
      </c>
      <c r="X183" s="1">
        <f t="shared" si="586"/>
        <v>1.54838651622522</v>
      </c>
      <c r="Y183" s="1">
        <f t="shared" si="459"/>
        <v>1.98844241926414</v>
      </c>
      <c r="Z183" s="1">
        <f t="shared" si="460"/>
        <v>3.4825215745969</v>
      </c>
      <c r="AA183" s="1">
        <f t="shared" si="437"/>
        <v>221064.718212529</v>
      </c>
      <c r="AB183" s="1">
        <f t="shared" si="438"/>
        <v>24092.5414291646</v>
      </c>
      <c r="AC183" s="1">
        <f t="shared" si="439"/>
        <v>16061.6942861097</v>
      </c>
      <c r="AD183" s="1">
        <f>AC183/(AC183+[1]战斗公式!$M$27)</f>
        <v>0.40092398917034</v>
      </c>
      <c r="AE183" s="1">
        <f t="shared" si="440"/>
        <v>369009.464936472</v>
      </c>
      <c r="AF183" s="1">
        <f t="shared" si="441"/>
        <v>7.70268028490971</v>
      </c>
      <c r="AG183" s="1">
        <f t="shared" si="442"/>
        <v>4.39805924886967</v>
      </c>
      <c r="AH183" s="1">
        <f t="shared" si="443"/>
        <v>3.96525397981464</v>
      </c>
      <c r="AI183" s="1">
        <f t="shared" si="444"/>
        <v>0.928678175055464</v>
      </c>
      <c r="AJ183" s="1">
        <f t="shared" si="445"/>
        <v>1.00017841621562</v>
      </c>
      <c r="AK183" s="1">
        <f t="shared" si="446"/>
        <v>1.02524592994608</v>
      </c>
      <c r="AL183" s="1">
        <f t="shared" si="447"/>
        <v>0.877590458538497</v>
      </c>
      <c r="AM183" s="27">
        <f t="shared" si="448"/>
        <v>199310</v>
      </c>
      <c r="AN183" s="27">
        <f t="shared" si="449"/>
        <v>22374</v>
      </c>
      <c r="AO183" s="27">
        <f t="shared" si="450"/>
        <v>16062</v>
      </c>
      <c r="AP183" s="1">
        <f t="shared" si="451"/>
        <v>116675</v>
      </c>
      <c r="AQ183" s="1">
        <f t="shared" si="452"/>
        <v>19635</v>
      </c>
      <c r="AR183"/>
      <c r="AS183" s="1">
        <f t="shared" ref="AS183:AY183" si="587">ROUNDUP(AS$10*$AP183,0)</f>
        <v>116675</v>
      </c>
      <c r="AT183" s="1">
        <f t="shared" si="587"/>
        <v>350025</v>
      </c>
      <c r="AU183" s="1">
        <f t="shared" si="587"/>
        <v>210015</v>
      </c>
      <c r="AV183" s="1">
        <f t="shared" si="587"/>
        <v>58338</v>
      </c>
      <c r="AW183" s="1">
        <f t="shared" si="587"/>
        <v>17502</v>
      </c>
      <c r="AX183" s="1">
        <f t="shared" si="587"/>
        <v>466700</v>
      </c>
      <c r="AY183" s="1">
        <f t="shared" si="587"/>
        <v>1050075</v>
      </c>
      <c r="AZ183" s="1">
        <f t="shared" si="454"/>
        <v>11960734</v>
      </c>
      <c r="BA183" s="1">
        <f t="shared" si="455"/>
        <v>5980367</v>
      </c>
      <c r="BC183" s="1">
        <f t="shared" si="456"/>
        <v>172</v>
      </c>
    </row>
    <row r="184" s="1" customFormat="1" spans="2:55">
      <c r="B184" s="4">
        <v>173</v>
      </c>
      <c r="C184" s="1">
        <f t="shared" ref="C184:I184" si="588">C$5+(C$6-C$5)*(POWER(C$7,$B184-1)-1)/(POWER(C$7,$B$3-1)-1)</f>
        <v>13669.2216964878</v>
      </c>
      <c r="D184" s="1">
        <f t="shared" si="588"/>
        <v>4100.76650894635</v>
      </c>
      <c r="E184" s="1">
        <f t="shared" si="588"/>
        <v>2733.84433929757</v>
      </c>
      <c r="F184" s="1">
        <f t="shared" si="588"/>
        <v>50178.1555947022</v>
      </c>
      <c r="G184" s="1">
        <f t="shared" si="588"/>
        <v>15053.4466784107</v>
      </c>
      <c r="H184" s="1">
        <f t="shared" si="588"/>
        <v>10035.6311189404</v>
      </c>
      <c r="I184" s="1">
        <f t="shared" si="588"/>
        <v>0</v>
      </c>
      <c r="J184" s="1">
        <f>[1]标准模型!$I$65/1*$B184/$B$3</f>
        <v>1.2456</v>
      </c>
      <c r="K184" s="1">
        <f>J184*[1]标准模型!$J$63</f>
        <v>1.2456</v>
      </c>
      <c r="L184" s="1">
        <f t="shared" si="433"/>
        <v>63847.37729119</v>
      </c>
      <c r="M184" s="1">
        <f t="shared" si="434"/>
        <v>24262.1279509006</v>
      </c>
      <c r="N184" s="1">
        <f t="shared" si="435"/>
        <v>16174.751967267</v>
      </c>
      <c r="O184" s="1">
        <f t="shared" ref="O184:X184" si="589">O$5+(O$6-O$5)*(POWER(O$7,$B184-1)-1)/(POWER(O$7,$B$3-1)-1)</f>
        <v>0.672372868477307</v>
      </c>
      <c r="P184" s="1">
        <f t="shared" si="589"/>
        <v>0.105726262535962</v>
      </c>
      <c r="Q184" s="1">
        <f t="shared" si="589"/>
        <v>0.369805077662519</v>
      </c>
      <c r="R184" s="1">
        <f t="shared" si="589"/>
        <v>1.06894914739092</v>
      </c>
      <c r="S184" s="1">
        <f t="shared" si="589"/>
        <v>0.24132201586823</v>
      </c>
      <c r="T184" s="1">
        <f t="shared" si="589"/>
        <v>2.6722541870615</v>
      </c>
      <c r="U184" s="1">
        <f t="shared" si="589"/>
        <v>1</v>
      </c>
      <c r="V184" s="1">
        <f t="shared" si="589"/>
        <v>1.18798955570687</v>
      </c>
      <c r="W184" s="1">
        <f t="shared" si="589"/>
        <v>1.10607561137065</v>
      </c>
      <c r="X184" s="1">
        <f t="shared" si="589"/>
        <v>1.55159317912738</v>
      </c>
      <c r="Y184" s="1">
        <f t="shared" si="459"/>
        <v>2.00347110914478</v>
      </c>
      <c r="Z184" s="1">
        <f t="shared" si="460"/>
        <v>3.51128777574928</v>
      </c>
      <c r="AA184" s="1">
        <f t="shared" si="437"/>
        <v>224186.515396208</v>
      </c>
      <c r="AB184" s="1">
        <f t="shared" si="438"/>
        <v>24262.1279509006</v>
      </c>
      <c r="AC184" s="1">
        <f t="shared" si="439"/>
        <v>16174.751967267</v>
      </c>
      <c r="AD184" s="1">
        <f>AC184/(AC184+[1]战斗公式!$M$27)</f>
        <v>0.402609877478413</v>
      </c>
      <c r="AE184" s="1">
        <f t="shared" si="440"/>
        <v>375276.568768689</v>
      </c>
      <c r="AF184" s="1">
        <f t="shared" si="441"/>
        <v>7.72039420847022</v>
      </c>
      <c r="AG184" s="1">
        <f t="shared" si="442"/>
        <v>4.40510369292591</v>
      </c>
      <c r="AH184" s="1">
        <f t="shared" si="443"/>
        <v>3.97373222919708</v>
      </c>
      <c r="AI184" s="1">
        <f t="shared" si="444"/>
        <v>0.931640612093348</v>
      </c>
      <c r="AJ184" s="1">
        <f t="shared" si="445"/>
        <v>1.00016949540439</v>
      </c>
      <c r="AK184" s="1">
        <f t="shared" si="446"/>
        <v>1.02474034153977</v>
      </c>
      <c r="AL184" s="1">
        <f t="shared" si="447"/>
        <v>0.877937059626241</v>
      </c>
      <c r="AM184" s="27">
        <f t="shared" si="448"/>
        <v>202233</v>
      </c>
      <c r="AN184" s="27">
        <f t="shared" si="449"/>
        <v>22604</v>
      </c>
      <c r="AO184" s="27">
        <f t="shared" si="450"/>
        <v>16175</v>
      </c>
      <c r="AP184" s="1">
        <f t="shared" si="451"/>
        <v>118245</v>
      </c>
      <c r="AQ184" s="1">
        <f t="shared" si="452"/>
        <v>19845</v>
      </c>
      <c r="AR184"/>
      <c r="AS184" s="1">
        <f t="shared" ref="AS184:AY184" si="590">ROUNDUP(AS$10*$AP184,0)</f>
        <v>118245</v>
      </c>
      <c r="AT184" s="1">
        <f t="shared" si="590"/>
        <v>354735</v>
      </c>
      <c r="AU184" s="1">
        <f t="shared" si="590"/>
        <v>212841</v>
      </c>
      <c r="AV184" s="1">
        <f t="shared" si="590"/>
        <v>59123</v>
      </c>
      <c r="AW184" s="1">
        <f t="shared" si="590"/>
        <v>17737</v>
      </c>
      <c r="AX184" s="1">
        <f t="shared" si="590"/>
        <v>472980</v>
      </c>
      <c r="AY184" s="1">
        <f t="shared" si="590"/>
        <v>1064205</v>
      </c>
      <c r="AZ184" s="1">
        <f t="shared" si="454"/>
        <v>12136037</v>
      </c>
      <c r="BA184" s="1">
        <f t="shared" si="455"/>
        <v>6068018</v>
      </c>
      <c r="BC184" s="1">
        <f t="shared" si="456"/>
        <v>173</v>
      </c>
    </row>
    <row r="185" s="1" customFormat="1" spans="2:55">
      <c r="B185" s="4">
        <v>174</v>
      </c>
      <c r="C185" s="1">
        <f t="shared" ref="C185:I185" si="591">C$5+(C$6-C$5)*(POWER(C$7,$B185-1)-1)/(POWER(C$7,$B$3-1)-1)</f>
        <v>13748.2277789126</v>
      </c>
      <c r="D185" s="1">
        <f t="shared" si="591"/>
        <v>4124.46833367377</v>
      </c>
      <c r="E185" s="1">
        <f t="shared" si="591"/>
        <v>2749.64555578252</v>
      </c>
      <c r="F185" s="1">
        <f t="shared" si="591"/>
        <v>50468.1779225905</v>
      </c>
      <c r="G185" s="1">
        <f t="shared" si="591"/>
        <v>15140.4533767771</v>
      </c>
      <c r="H185" s="1">
        <f t="shared" si="591"/>
        <v>10093.6355845181</v>
      </c>
      <c r="I185" s="1">
        <f t="shared" si="591"/>
        <v>0</v>
      </c>
      <c r="J185" s="1">
        <f>[1]标准模型!$I$65/1*$B185/$B$3</f>
        <v>1.2528</v>
      </c>
      <c r="K185" s="1">
        <f>J185*[1]标准模型!$J$63</f>
        <v>1.2528</v>
      </c>
      <c r="L185" s="1">
        <f t="shared" si="433"/>
        <v>64216.4057015031</v>
      </c>
      <c r="M185" s="1">
        <f t="shared" si="434"/>
        <v>24432.0556388774</v>
      </c>
      <c r="N185" s="1">
        <f t="shared" si="435"/>
        <v>16288.037092585</v>
      </c>
      <c r="O185" s="1">
        <f t="shared" ref="O185:X185" si="592">O$5+(O$6-O$5)*(POWER(O$7,$B185-1)-1)/(POWER(O$7,$B$3-1)-1)</f>
        <v>0.673374949632335</v>
      </c>
      <c r="P185" s="1">
        <f t="shared" si="592"/>
        <v>0.106424109055296</v>
      </c>
      <c r="Q185" s="1">
        <f t="shared" si="592"/>
        <v>0.370356222297784</v>
      </c>
      <c r="R185" s="1">
        <f t="shared" si="592"/>
        <v>1.06934997985293</v>
      </c>
      <c r="S185" s="1">
        <f t="shared" si="592"/>
        <v>0.242724929485269</v>
      </c>
      <c r="T185" s="1">
        <f t="shared" si="592"/>
        <v>2.67616230356611</v>
      </c>
      <c r="U185" s="1">
        <f t="shared" si="592"/>
        <v>1</v>
      </c>
      <c r="V185" s="1">
        <f t="shared" si="592"/>
        <v>1.18908242370159</v>
      </c>
      <c r="W185" s="1">
        <f t="shared" si="592"/>
        <v>1.10669227669682</v>
      </c>
      <c r="X185" s="1">
        <f t="shared" si="592"/>
        <v>1.55479983882347</v>
      </c>
      <c r="Y185" s="1">
        <f t="shared" si="459"/>
        <v>2.0186016073865</v>
      </c>
      <c r="Z185" s="1">
        <f t="shared" si="460"/>
        <v>3.54026968002757</v>
      </c>
      <c r="AA185" s="1">
        <f t="shared" si="437"/>
        <v>227343.394065381</v>
      </c>
      <c r="AB185" s="1">
        <f t="shared" si="438"/>
        <v>24432.0556388774</v>
      </c>
      <c r="AC185" s="1">
        <f t="shared" si="439"/>
        <v>16288.037092585</v>
      </c>
      <c r="AD185" s="1">
        <f>AC185/(AC185+[1]战斗公式!$M$27)</f>
        <v>0.404289666809873</v>
      </c>
      <c r="AE185" s="1">
        <f t="shared" si="440"/>
        <v>381634.128869176</v>
      </c>
      <c r="AF185" s="1">
        <f t="shared" si="441"/>
        <v>7.73813999451289</v>
      </c>
      <c r="AG185" s="1">
        <f t="shared" si="442"/>
        <v>4.41215592112289</v>
      </c>
      <c r="AH185" s="1">
        <f t="shared" si="443"/>
        <v>3.98214689170915</v>
      </c>
      <c r="AI185" s="1">
        <f t="shared" si="444"/>
        <v>0.934608974005308</v>
      </c>
      <c r="AJ185" s="1">
        <f t="shared" si="445"/>
        <v>1.00016102063373</v>
      </c>
      <c r="AK185" s="1">
        <f t="shared" si="446"/>
        <v>1.02424486490158</v>
      </c>
      <c r="AL185" s="1">
        <f t="shared" si="447"/>
        <v>0.878282620910722</v>
      </c>
      <c r="AM185" s="27">
        <f t="shared" si="448"/>
        <v>205186</v>
      </c>
      <c r="AN185" s="27">
        <f t="shared" si="449"/>
        <v>22834</v>
      </c>
      <c r="AO185" s="27">
        <f t="shared" si="450"/>
        <v>16288</v>
      </c>
      <c r="AP185" s="1">
        <f t="shared" si="451"/>
        <v>119830</v>
      </c>
      <c r="AQ185" s="1">
        <f t="shared" si="452"/>
        <v>20055</v>
      </c>
      <c r="AR185"/>
      <c r="AS185" s="1">
        <f t="shared" ref="AS185:AY185" si="593">ROUNDUP(AS$10*$AP185,0)</f>
        <v>119830</v>
      </c>
      <c r="AT185" s="1">
        <f t="shared" si="593"/>
        <v>359490</v>
      </c>
      <c r="AU185" s="1">
        <f t="shared" si="593"/>
        <v>215694</v>
      </c>
      <c r="AV185" s="1">
        <f t="shared" si="593"/>
        <v>59915</v>
      </c>
      <c r="AW185" s="1">
        <f t="shared" si="593"/>
        <v>17975</v>
      </c>
      <c r="AX185" s="1">
        <f t="shared" si="593"/>
        <v>479320</v>
      </c>
      <c r="AY185" s="1">
        <f t="shared" si="593"/>
        <v>1078470</v>
      </c>
      <c r="AZ185" s="1">
        <f t="shared" si="454"/>
        <v>12313142</v>
      </c>
      <c r="BA185" s="1">
        <f t="shared" si="455"/>
        <v>6156571</v>
      </c>
      <c r="BC185" s="1">
        <f t="shared" si="456"/>
        <v>174</v>
      </c>
    </row>
    <row r="186" s="1" customFormat="1" spans="2:55">
      <c r="B186" s="4">
        <v>175</v>
      </c>
      <c r="C186" s="1">
        <f t="shared" ref="C186:I186" si="594">C$5+(C$6-C$5)*(POWER(C$7,$B186-1)-1)/(POWER(C$7,$B$3-1)-1)</f>
        <v>13827.2337823194</v>
      </c>
      <c r="D186" s="1">
        <f t="shared" si="594"/>
        <v>4148.17013469582</v>
      </c>
      <c r="E186" s="1">
        <f t="shared" si="594"/>
        <v>2765.44675646388</v>
      </c>
      <c r="F186" s="1">
        <f t="shared" si="594"/>
        <v>50758.199960413</v>
      </c>
      <c r="G186" s="1">
        <f t="shared" si="594"/>
        <v>15227.4599881239</v>
      </c>
      <c r="H186" s="1">
        <f t="shared" si="594"/>
        <v>10151.6399920826</v>
      </c>
      <c r="I186" s="1">
        <f t="shared" si="594"/>
        <v>0</v>
      </c>
      <c r="J186" s="1">
        <f>[1]标准模型!$I$65/1*$B186/$B$3</f>
        <v>1.26</v>
      </c>
      <c r="K186" s="1">
        <f>J186*[1]标准模型!$J$63</f>
        <v>1.26</v>
      </c>
      <c r="L186" s="1">
        <f t="shared" si="433"/>
        <v>64585.4337427324</v>
      </c>
      <c r="M186" s="1">
        <f t="shared" si="434"/>
        <v>24602.3244925364</v>
      </c>
      <c r="N186" s="1">
        <f t="shared" si="435"/>
        <v>16401.549661691</v>
      </c>
      <c r="O186" s="1">
        <f t="shared" ref="O186:X186" si="595">O$5+(O$6-O$5)*(POWER(O$7,$B186-1)-1)/(POWER(O$7,$B$3-1)-1)</f>
        <v>0.674377029785132</v>
      </c>
      <c r="P186" s="1">
        <f t="shared" si="595"/>
        <v>0.107123002344408</v>
      </c>
      <c r="Q186" s="1">
        <f t="shared" si="595"/>
        <v>0.370907366381823</v>
      </c>
      <c r="R186" s="1">
        <f t="shared" si="595"/>
        <v>1.06975081191405</v>
      </c>
      <c r="S186" s="1">
        <f t="shared" si="595"/>
        <v>0.244127841699185</v>
      </c>
      <c r="T186" s="1">
        <f t="shared" si="595"/>
        <v>2.68007041616202</v>
      </c>
      <c r="U186" s="1">
        <f t="shared" si="595"/>
        <v>1</v>
      </c>
      <c r="V186" s="1">
        <f t="shared" si="595"/>
        <v>1.19017529060327</v>
      </c>
      <c r="W186" s="1">
        <f t="shared" si="595"/>
        <v>1.10730894140624</v>
      </c>
      <c r="X186" s="1">
        <f t="shared" si="595"/>
        <v>1.55800649531242</v>
      </c>
      <c r="Y186" s="1">
        <f t="shared" si="459"/>
        <v>2.03383451164297</v>
      </c>
      <c r="Z186" s="1">
        <f t="shared" si="460"/>
        <v>3.56946871319771</v>
      </c>
      <c r="AA186" s="1">
        <f t="shared" si="437"/>
        <v>230535.685072987</v>
      </c>
      <c r="AB186" s="1">
        <f t="shared" si="438"/>
        <v>24602.3244925364</v>
      </c>
      <c r="AC186" s="1">
        <f t="shared" si="439"/>
        <v>16401.549661691</v>
      </c>
      <c r="AD186" s="1">
        <f>AC186/(AC186+[1]战斗公式!$M$27)</f>
        <v>0.405963380093884</v>
      </c>
      <c r="AE186" s="1">
        <f t="shared" si="440"/>
        <v>388083.28871951</v>
      </c>
      <c r="AF186" s="1">
        <f t="shared" si="441"/>
        <v>7.75591761262404</v>
      </c>
      <c r="AG186" s="1">
        <f t="shared" si="442"/>
        <v>4.41921590507035</v>
      </c>
      <c r="AH186" s="1">
        <f t="shared" si="443"/>
        <v>3.99049844425239</v>
      </c>
      <c r="AI186" s="1">
        <f t="shared" si="444"/>
        <v>0.937583272641091</v>
      </c>
      <c r="AJ186" s="1">
        <f t="shared" si="445"/>
        <v>1.00015296960161</v>
      </c>
      <c r="AK186" s="1">
        <f t="shared" si="446"/>
        <v>1.02375929779616</v>
      </c>
      <c r="AL186" s="1">
        <f t="shared" si="447"/>
        <v>0.87862714551135</v>
      </c>
      <c r="AM186" s="27">
        <f t="shared" si="448"/>
        <v>208171</v>
      </c>
      <c r="AN186" s="27">
        <f t="shared" si="449"/>
        <v>23067</v>
      </c>
      <c r="AO186" s="27">
        <f t="shared" si="450"/>
        <v>16402</v>
      </c>
      <c r="AP186" s="1">
        <f t="shared" si="451"/>
        <v>121431</v>
      </c>
      <c r="AQ186" s="1">
        <f t="shared" si="452"/>
        <v>20267</v>
      </c>
      <c r="AR186"/>
      <c r="AS186" s="1">
        <f t="shared" ref="AS186:AY186" si="596">ROUNDUP(AS$10*$AP186,0)</f>
        <v>121431</v>
      </c>
      <c r="AT186" s="1">
        <f t="shared" si="596"/>
        <v>364293</v>
      </c>
      <c r="AU186" s="1">
        <f t="shared" si="596"/>
        <v>218576</v>
      </c>
      <c r="AV186" s="1">
        <f t="shared" si="596"/>
        <v>60716</v>
      </c>
      <c r="AW186" s="1">
        <f t="shared" si="596"/>
        <v>18215</v>
      </c>
      <c r="AX186" s="1">
        <f t="shared" si="596"/>
        <v>485724</v>
      </c>
      <c r="AY186" s="1">
        <f t="shared" si="596"/>
        <v>1092879</v>
      </c>
      <c r="AZ186" s="1">
        <f t="shared" si="454"/>
        <v>12492171</v>
      </c>
      <c r="BA186" s="1">
        <f t="shared" si="455"/>
        <v>6246085</v>
      </c>
      <c r="BC186" s="1">
        <f t="shared" si="456"/>
        <v>175</v>
      </c>
    </row>
    <row r="187" s="1" customFormat="1" spans="2:55">
      <c r="B187" s="4">
        <v>176</v>
      </c>
      <c r="C187" s="1">
        <f t="shared" ref="C187:I187" si="597">C$5+(C$6-C$5)*(POWER(C$7,$B187-1)-1)/(POWER(C$7,$B$3-1)-1)</f>
        <v>13906.2397067258</v>
      </c>
      <c r="D187" s="1">
        <f t="shared" si="597"/>
        <v>4171.87191201775</v>
      </c>
      <c r="E187" s="1">
        <f t="shared" si="597"/>
        <v>2781.24794134517</v>
      </c>
      <c r="F187" s="1">
        <f t="shared" si="597"/>
        <v>51048.2217082341</v>
      </c>
      <c r="G187" s="1">
        <f t="shared" si="597"/>
        <v>15314.4665124702</v>
      </c>
      <c r="H187" s="1">
        <f t="shared" si="597"/>
        <v>10209.6443416468</v>
      </c>
      <c r="I187" s="1">
        <f t="shared" si="597"/>
        <v>0</v>
      </c>
      <c r="J187" s="1">
        <f>[1]标准模型!$I$65/1*$B187/$B$3</f>
        <v>1.2672</v>
      </c>
      <c r="K187" s="1">
        <f>J187*[1]标准模型!$J$63</f>
        <v>1.2672</v>
      </c>
      <c r="L187" s="1">
        <f t="shared" si="433"/>
        <v>64954.4614149599</v>
      </c>
      <c r="M187" s="1">
        <f t="shared" si="434"/>
        <v>24772.9345113968</v>
      </c>
      <c r="N187" s="1">
        <f t="shared" si="435"/>
        <v>16515.2896742646</v>
      </c>
      <c r="O187" s="1">
        <f t="shared" ref="O187:X187" si="598">O$5+(O$6-O$5)*(POWER(O$7,$B187-1)-1)/(POWER(O$7,$B$3-1)-1)</f>
        <v>0.67537910893592</v>
      </c>
      <c r="P187" s="1">
        <f t="shared" si="598"/>
        <v>0.107822943973455</v>
      </c>
      <c r="Q187" s="1">
        <f t="shared" si="598"/>
        <v>0.371458509914756</v>
      </c>
      <c r="R187" s="1">
        <f t="shared" si="598"/>
        <v>1.07015164357437</v>
      </c>
      <c r="S187" s="1">
        <f t="shared" si="598"/>
        <v>0.245530752510288</v>
      </c>
      <c r="T187" s="1">
        <f t="shared" si="598"/>
        <v>2.68397852485009</v>
      </c>
      <c r="U187" s="1">
        <f t="shared" si="598"/>
        <v>1</v>
      </c>
      <c r="V187" s="1">
        <f t="shared" si="598"/>
        <v>1.19126815641217</v>
      </c>
      <c r="W187" s="1">
        <f t="shared" si="598"/>
        <v>1.10792560549903</v>
      </c>
      <c r="X187" s="1">
        <f t="shared" si="598"/>
        <v>1.56121314859494</v>
      </c>
      <c r="Y187" s="1">
        <f t="shared" si="459"/>
        <v>2.04917042234728</v>
      </c>
      <c r="Z187" s="1">
        <f t="shared" si="460"/>
        <v>3.59888630882201</v>
      </c>
      <c r="AA187" s="1">
        <f t="shared" si="437"/>
        <v>233763.721883207</v>
      </c>
      <c r="AB187" s="1">
        <f t="shared" si="438"/>
        <v>24772.9345113968</v>
      </c>
      <c r="AC187" s="1">
        <f t="shared" si="439"/>
        <v>16515.2896742646</v>
      </c>
      <c r="AD187" s="1">
        <f>AC187/(AC187+[1]战斗公式!$M$27)</f>
        <v>0.407631040208387</v>
      </c>
      <c r="AE187" s="1">
        <f t="shared" si="440"/>
        <v>394625.204476348</v>
      </c>
      <c r="AF187" s="1">
        <f t="shared" si="441"/>
        <v>7.77372703253022</v>
      </c>
      <c r="AG187" s="1">
        <f t="shared" si="442"/>
        <v>4.4262836165215</v>
      </c>
      <c r="AH187" s="1">
        <f t="shared" si="443"/>
        <v>3.99878736015155</v>
      </c>
      <c r="AI187" s="1">
        <f t="shared" si="444"/>
        <v>0.940563519874147</v>
      </c>
      <c r="AJ187" s="1">
        <f t="shared" si="445"/>
        <v>1.00014532112109</v>
      </c>
      <c r="AK187" s="1">
        <f t="shared" si="446"/>
        <v>1.02328344203285</v>
      </c>
      <c r="AL187" s="1">
        <f t="shared" si="447"/>
        <v>0.878970636538175</v>
      </c>
      <c r="AM187" s="27">
        <f t="shared" si="448"/>
        <v>211187</v>
      </c>
      <c r="AN187" s="27">
        <f t="shared" si="449"/>
        <v>23301</v>
      </c>
      <c r="AO187" s="27">
        <f t="shared" si="450"/>
        <v>16515</v>
      </c>
      <c r="AP187" s="1">
        <f t="shared" si="451"/>
        <v>123047</v>
      </c>
      <c r="AQ187" s="1">
        <f t="shared" si="452"/>
        <v>20481</v>
      </c>
      <c r="AR187"/>
      <c r="AS187" s="1">
        <f t="shared" ref="AS187:AY187" si="599">ROUNDUP(AS$10*$AP187,0)</f>
        <v>123047</v>
      </c>
      <c r="AT187" s="1">
        <f t="shared" si="599"/>
        <v>369141</v>
      </c>
      <c r="AU187" s="1">
        <f t="shared" si="599"/>
        <v>221485</v>
      </c>
      <c r="AV187" s="1">
        <f t="shared" si="599"/>
        <v>61524</v>
      </c>
      <c r="AW187" s="1">
        <f t="shared" si="599"/>
        <v>18458</v>
      </c>
      <c r="AX187" s="1">
        <f t="shared" si="599"/>
        <v>492188</v>
      </c>
      <c r="AY187" s="1">
        <f t="shared" si="599"/>
        <v>1107423</v>
      </c>
      <c r="AZ187" s="1">
        <f t="shared" si="454"/>
        <v>12673061</v>
      </c>
      <c r="BA187" s="1">
        <f t="shared" si="455"/>
        <v>6336531</v>
      </c>
      <c r="BC187" s="1">
        <f t="shared" si="456"/>
        <v>176</v>
      </c>
    </row>
    <row r="188" s="1" customFormat="1" spans="2:55">
      <c r="B188" s="4">
        <v>177</v>
      </c>
      <c r="C188" s="1">
        <f t="shared" ref="C188:I188" si="600">C$5+(C$6-C$5)*(POWER(C$7,$B188-1)-1)/(POWER(C$7,$B$3-1)-1)</f>
        <v>13985.2455521231</v>
      </c>
      <c r="D188" s="1">
        <f t="shared" si="600"/>
        <v>4195.57366563693</v>
      </c>
      <c r="E188" s="1">
        <f t="shared" si="600"/>
        <v>2797.04911042462</v>
      </c>
      <c r="F188" s="1">
        <f t="shared" si="600"/>
        <v>51338.2431660216</v>
      </c>
      <c r="G188" s="1">
        <f t="shared" si="600"/>
        <v>15401.4729498065</v>
      </c>
      <c r="H188" s="1">
        <f t="shared" si="600"/>
        <v>10267.6486332043</v>
      </c>
      <c r="I188" s="1">
        <f t="shared" si="600"/>
        <v>0</v>
      </c>
      <c r="J188" s="1">
        <f>[1]标准模型!$I$65/1*$B188/$B$3</f>
        <v>1.2744</v>
      </c>
      <c r="K188" s="1">
        <f>J188*[1]标准模型!$J$63</f>
        <v>1.2744</v>
      </c>
      <c r="L188" s="1">
        <f t="shared" si="433"/>
        <v>65323.4887181447</v>
      </c>
      <c r="M188" s="1">
        <f t="shared" si="434"/>
        <v>24943.8856949311</v>
      </c>
      <c r="N188" s="1">
        <f t="shared" si="435"/>
        <v>16629.2571299541</v>
      </c>
      <c r="O188" s="1">
        <f t="shared" ref="O188:X188" si="601">O$5+(O$6-O$5)*(POWER(O$7,$B188-1)-1)/(POWER(O$7,$B$3-1)-1)</f>
        <v>0.676381187084588</v>
      </c>
      <c r="P188" s="1">
        <f t="shared" si="601"/>
        <v>0.108523935514944</v>
      </c>
      <c r="Q188" s="1">
        <f t="shared" si="601"/>
        <v>0.372009652896524</v>
      </c>
      <c r="R188" s="1">
        <f t="shared" si="601"/>
        <v>1.07055247483384</v>
      </c>
      <c r="S188" s="1">
        <f t="shared" si="601"/>
        <v>0.246933661918424</v>
      </c>
      <c r="T188" s="1">
        <f t="shared" si="601"/>
        <v>2.68788662962989</v>
      </c>
      <c r="U188" s="1">
        <f t="shared" si="601"/>
        <v>1</v>
      </c>
      <c r="V188" s="1">
        <f t="shared" si="601"/>
        <v>1.19236102112815</v>
      </c>
      <c r="W188" s="1">
        <f t="shared" si="601"/>
        <v>1.10854226897513</v>
      </c>
      <c r="X188" s="1">
        <f t="shared" si="601"/>
        <v>1.56441979867068</v>
      </c>
      <c r="Y188" s="1">
        <f t="shared" si="459"/>
        <v>2.06460994270933</v>
      </c>
      <c r="Z188" s="1">
        <f t="shared" si="460"/>
        <v>3.62852390826787</v>
      </c>
      <c r="AA188" s="1">
        <f t="shared" si="437"/>
        <v>237027.840585255</v>
      </c>
      <c r="AB188" s="1">
        <f t="shared" si="438"/>
        <v>24943.8856949311</v>
      </c>
      <c r="AC188" s="1">
        <f t="shared" si="439"/>
        <v>16629.2571299541</v>
      </c>
      <c r="AD188" s="1">
        <f>AC188/(AC188+[1]战斗公式!$M$27)</f>
        <v>0.409292669978307</v>
      </c>
      <c r="AE188" s="1">
        <f t="shared" si="440"/>
        <v>401261.045087337</v>
      </c>
      <c r="AF188" s="1">
        <f t="shared" si="441"/>
        <v>7.79156822407413</v>
      </c>
      <c r="AG188" s="1">
        <f t="shared" si="442"/>
        <v>4.43335902736292</v>
      </c>
      <c r="AH188" s="1">
        <f t="shared" si="443"/>
        <v>4.00701410918146</v>
      </c>
      <c r="AI188" s="1">
        <f t="shared" si="444"/>
        <v>0.943549727601668</v>
      </c>
      <c r="AJ188" s="1">
        <f t="shared" si="445"/>
        <v>1.00013805506459</v>
      </c>
      <c r="AK188" s="1">
        <f t="shared" si="446"/>
        <v>1.02281710338481</v>
      </c>
      <c r="AL188" s="1">
        <f t="shared" si="447"/>
        <v>0.879313097091921</v>
      </c>
      <c r="AM188" s="27">
        <f t="shared" si="448"/>
        <v>214233</v>
      </c>
      <c r="AN188" s="27">
        <f t="shared" si="449"/>
        <v>23536</v>
      </c>
      <c r="AO188" s="27">
        <f t="shared" si="450"/>
        <v>16629</v>
      </c>
      <c r="AP188" s="1">
        <f t="shared" si="451"/>
        <v>124679</v>
      </c>
      <c r="AQ188" s="1">
        <f t="shared" si="452"/>
        <v>20696</v>
      </c>
      <c r="AR188"/>
      <c r="AS188" s="1">
        <f t="shared" ref="AS188:AY188" si="602">ROUNDUP(AS$10*$AP188,0)</f>
        <v>124679</v>
      </c>
      <c r="AT188" s="1">
        <f t="shared" si="602"/>
        <v>374037</v>
      </c>
      <c r="AU188" s="1">
        <f t="shared" si="602"/>
        <v>224423</v>
      </c>
      <c r="AV188" s="1">
        <f t="shared" si="602"/>
        <v>62340</v>
      </c>
      <c r="AW188" s="1">
        <f t="shared" si="602"/>
        <v>18702</v>
      </c>
      <c r="AX188" s="1">
        <f t="shared" si="602"/>
        <v>498716</v>
      </c>
      <c r="AY188" s="1">
        <f t="shared" si="602"/>
        <v>1122111</v>
      </c>
      <c r="AZ188" s="1">
        <f t="shared" si="454"/>
        <v>12855755</v>
      </c>
      <c r="BA188" s="1">
        <f t="shared" si="455"/>
        <v>6427877</v>
      </c>
      <c r="BC188" s="1">
        <f t="shared" si="456"/>
        <v>177</v>
      </c>
    </row>
    <row r="189" s="1" customFormat="1" spans="2:55">
      <c r="B189" s="4">
        <v>178</v>
      </c>
      <c r="C189" s="1">
        <f t="shared" ref="C189:I189" si="603">C$5+(C$6-C$5)*(POWER(C$7,$B189-1)-1)/(POWER(C$7,$B$3-1)-1)</f>
        <v>14064.25131852</v>
      </c>
      <c r="D189" s="1">
        <f t="shared" si="603"/>
        <v>4219.27539555601</v>
      </c>
      <c r="E189" s="1">
        <f t="shared" si="603"/>
        <v>2812.850263704</v>
      </c>
      <c r="F189" s="1">
        <f t="shared" si="603"/>
        <v>51628.2643338077</v>
      </c>
      <c r="G189" s="1">
        <f t="shared" si="603"/>
        <v>15488.4793001423</v>
      </c>
      <c r="H189" s="1">
        <f t="shared" si="603"/>
        <v>10325.6528667615</v>
      </c>
      <c r="I189" s="1">
        <f t="shared" si="603"/>
        <v>0</v>
      </c>
      <c r="J189" s="1">
        <f>[1]标准模型!$I$65/1*$B189/$B$3</f>
        <v>1.2816</v>
      </c>
      <c r="K189" s="1">
        <f>J189*[1]标准模型!$J$63</f>
        <v>1.2816</v>
      </c>
      <c r="L189" s="1">
        <f t="shared" si="433"/>
        <v>65692.5156523277</v>
      </c>
      <c r="M189" s="1">
        <f t="shared" si="434"/>
        <v>25115.1780426429</v>
      </c>
      <c r="N189" s="1">
        <f t="shared" si="435"/>
        <v>16743.4520284285</v>
      </c>
      <c r="O189" s="1">
        <f t="shared" ref="O189:X189" si="604">O$5+(O$6-O$5)*(POWER(O$7,$B189-1)-1)/(POWER(O$7,$B$3-1)-1)</f>
        <v>0.677383264231248</v>
      </c>
      <c r="P189" s="1">
        <f t="shared" si="604"/>
        <v>0.109225978543747</v>
      </c>
      <c r="Q189" s="1">
        <f t="shared" si="604"/>
        <v>0.372560795327186</v>
      </c>
      <c r="R189" s="1">
        <f t="shared" si="604"/>
        <v>1.0709533056925</v>
      </c>
      <c r="S189" s="1">
        <f t="shared" si="604"/>
        <v>0.248336569923747</v>
      </c>
      <c r="T189" s="1">
        <f t="shared" si="604"/>
        <v>2.69179473050187</v>
      </c>
      <c r="U189" s="1">
        <f t="shared" si="604"/>
        <v>1</v>
      </c>
      <c r="V189" s="1">
        <f t="shared" si="604"/>
        <v>1.19345388475134</v>
      </c>
      <c r="W189" s="1">
        <f t="shared" si="604"/>
        <v>1.10915893183461</v>
      </c>
      <c r="X189" s="1">
        <f t="shared" si="604"/>
        <v>1.56762644553999</v>
      </c>
      <c r="Y189" s="1">
        <f t="shared" si="459"/>
        <v>2.08015367873271</v>
      </c>
      <c r="Z189" s="1">
        <f t="shared" si="460"/>
        <v>3.65838296075579</v>
      </c>
      <c r="AA189" s="1">
        <f t="shared" si="437"/>
        <v>240328.379911659</v>
      </c>
      <c r="AB189" s="1">
        <f t="shared" si="438"/>
        <v>25115.1780426429</v>
      </c>
      <c r="AC189" s="1">
        <f t="shared" si="439"/>
        <v>16743.4520284285</v>
      </c>
      <c r="AD189" s="1">
        <f>AC189/(AC189+[1]战斗公式!$M$27)</f>
        <v>0.41094829217578</v>
      </c>
      <c r="AE189" s="1">
        <f t="shared" si="440"/>
        <v>407991.992416693</v>
      </c>
      <c r="AF189" s="1">
        <f t="shared" si="441"/>
        <v>7.80944115722797</v>
      </c>
      <c r="AG189" s="1">
        <f t="shared" si="442"/>
        <v>4.44044210961948</v>
      </c>
      <c r="AH189" s="1">
        <f t="shared" si="443"/>
        <v>4.01517915759366</v>
      </c>
      <c r="AI189" s="1">
        <f t="shared" si="444"/>
        <v>0.946541907744645</v>
      </c>
      <c r="AJ189" s="1">
        <f t="shared" si="445"/>
        <v>1.00013115231092</v>
      </c>
      <c r="AK189" s="1">
        <f t="shared" si="446"/>
        <v>1.02236009150972</v>
      </c>
      <c r="AL189" s="1">
        <f t="shared" si="447"/>
        <v>0.879654530264005</v>
      </c>
      <c r="AM189" s="27">
        <f t="shared" si="448"/>
        <v>217312</v>
      </c>
      <c r="AN189" s="27">
        <f t="shared" si="449"/>
        <v>23773</v>
      </c>
      <c r="AO189" s="27">
        <f t="shared" si="450"/>
        <v>16743</v>
      </c>
      <c r="AP189" s="1">
        <f t="shared" si="451"/>
        <v>126326</v>
      </c>
      <c r="AQ189" s="1">
        <f t="shared" si="452"/>
        <v>20912</v>
      </c>
      <c r="AR189"/>
      <c r="AS189" s="1">
        <f t="shared" ref="AS189:AY189" si="605">ROUNDUP(AS$10*$AP189,0)</f>
        <v>126326</v>
      </c>
      <c r="AT189" s="1">
        <f t="shared" si="605"/>
        <v>378978</v>
      </c>
      <c r="AU189" s="1">
        <f t="shared" si="605"/>
        <v>227387</v>
      </c>
      <c r="AV189" s="1">
        <f t="shared" si="605"/>
        <v>63163</v>
      </c>
      <c r="AW189" s="1">
        <f t="shared" si="605"/>
        <v>18949</v>
      </c>
      <c r="AX189" s="1">
        <f t="shared" si="605"/>
        <v>505304</v>
      </c>
      <c r="AY189" s="1">
        <f t="shared" si="605"/>
        <v>1136934</v>
      </c>
      <c r="AZ189" s="1">
        <f t="shared" si="454"/>
        <v>13040430</v>
      </c>
      <c r="BA189" s="1">
        <f t="shared" si="455"/>
        <v>6520215</v>
      </c>
      <c r="BC189" s="1">
        <f t="shared" si="456"/>
        <v>178</v>
      </c>
    </row>
    <row r="190" s="1" customFormat="1" spans="2:55">
      <c r="B190" s="4">
        <v>179</v>
      </c>
      <c r="C190" s="1">
        <f t="shared" ref="C190:I190" si="606">C$5+(C$6-C$5)*(POWER(C$7,$B190-1)-1)/(POWER(C$7,$B$3-1)-1)</f>
        <v>14143.2570059078</v>
      </c>
      <c r="D190" s="1">
        <f t="shared" si="606"/>
        <v>4242.97710177233</v>
      </c>
      <c r="E190" s="1">
        <f t="shared" si="606"/>
        <v>2828.65140118156</v>
      </c>
      <c r="F190" s="1">
        <f t="shared" si="606"/>
        <v>51918.2852115602</v>
      </c>
      <c r="G190" s="1">
        <f t="shared" si="606"/>
        <v>15575.4855634681</v>
      </c>
      <c r="H190" s="1">
        <f t="shared" si="606"/>
        <v>10383.657042312</v>
      </c>
      <c r="I190" s="1">
        <f t="shared" si="606"/>
        <v>0</v>
      </c>
      <c r="J190" s="1">
        <f>[1]标准模型!$I$65/1*$B190/$B$3</f>
        <v>1.2888</v>
      </c>
      <c r="K190" s="1">
        <f>J190*[1]标准模型!$J$63</f>
        <v>1.2888</v>
      </c>
      <c r="L190" s="1">
        <f t="shared" si="433"/>
        <v>66061.542217468</v>
      </c>
      <c r="M190" s="1">
        <f t="shared" si="434"/>
        <v>25286.8115540046</v>
      </c>
      <c r="N190" s="1">
        <f t="shared" si="435"/>
        <v>16857.8743693364</v>
      </c>
      <c r="O190" s="1">
        <f t="shared" ref="O190:X190" si="607">O$5+(O$6-O$5)*(POWER(O$7,$B190-1)-1)/(POWER(O$7,$B$3-1)-1)</f>
        <v>0.678385340375787</v>
      </c>
      <c r="P190" s="1">
        <f t="shared" si="607"/>
        <v>0.109929074637092</v>
      </c>
      <c r="Q190" s="1">
        <f t="shared" si="607"/>
        <v>0.373111937206683</v>
      </c>
      <c r="R190" s="1">
        <f t="shared" si="607"/>
        <v>1.07135413615031</v>
      </c>
      <c r="S190" s="1">
        <f t="shared" si="607"/>
        <v>0.249739476526101</v>
      </c>
      <c r="T190" s="1">
        <f t="shared" si="607"/>
        <v>2.69570282746557</v>
      </c>
      <c r="U190" s="1">
        <f t="shared" si="607"/>
        <v>1</v>
      </c>
      <c r="V190" s="1">
        <f t="shared" si="607"/>
        <v>1.19454674728163</v>
      </c>
      <c r="W190" s="1">
        <f t="shared" si="607"/>
        <v>1.10977559407741</v>
      </c>
      <c r="X190" s="1">
        <f t="shared" si="607"/>
        <v>1.57083308920252</v>
      </c>
      <c r="Y190" s="1">
        <f t="shared" si="459"/>
        <v>2.09580223921803</v>
      </c>
      <c r="Z190" s="1">
        <f t="shared" si="460"/>
        <v>3.68846492338014</v>
      </c>
      <c r="AA190" s="1">
        <f t="shared" si="437"/>
        <v>243665.681253527</v>
      </c>
      <c r="AB190" s="1">
        <f t="shared" si="438"/>
        <v>25286.8115540046</v>
      </c>
      <c r="AC190" s="1">
        <f t="shared" si="439"/>
        <v>16857.8743693364</v>
      </c>
      <c r="AD190" s="1">
        <f>AC190/(AC190+[1]战斗公式!$M$27)</f>
        <v>0.412597929519019</v>
      </c>
      <c r="AE190" s="1">
        <f t="shared" si="440"/>
        <v>414819.24136564</v>
      </c>
      <c r="AF190" s="1">
        <f t="shared" si="441"/>
        <v>7.82734580208092</v>
      </c>
      <c r="AG190" s="1">
        <f t="shared" si="442"/>
        <v>4.447532835449</v>
      </c>
      <c r="AH190" s="1">
        <f t="shared" si="443"/>
        <v>4.02328296814276</v>
      </c>
      <c r="AI190" s="1">
        <f t="shared" si="444"/>
        <v>0.949540072247907</v>
      </c>
      <c r="AJ190" s="1">
        <f t="shared" si="445"/>
        <v>1.00012459469494</v>
      </c>
      <c r="AK190" s="1">
        <f t="shared" si="446"/>
        <v>1.02191221987214</v>
      </c>
      <c r="AL190" s="1">
        <f t="shared" si="447"/>
        <v>0.879994939136572</v>
      </c>
      <c r="AM190" s="27">
        <f t="shared" si="448"/>
        <v>220422</v>
      </c>
      <c r="AN190" s="27">
        <f t="shared" si="449"/>
        <v>24011</v>
      </c>
      <c r="AO190" s="27">
        <f t="shared" si="450"/>
        <v>16858</v>
      </c>
      <c r="AP190" s="1">
        <f t="shared" si="451"/>
        <v>127989</v>
      </c>
      <c r="AQ190" s="1">
        <f t="shared" si="452"/>
        <v>21130</v>
      </c>
      <c r="AR190"/>
      <c r="AS190" s="1">
        <f t="shared" ref="AS190:AY190" si="608">ROUNDUP(AS$10*$AP190,0)</f>
        <v>127989</v>
      </c>
      <c r="AT190" s="1">
        <f t="shared" si="608"/>
        <v>383967</v>
      </c>
      <c r="AU190" s="1">
        <f t="shared" si="608"/>
        <v>230381</v>
      </c>
      <c r="AV190" s="1">
        <f t="shared" si="608"/>
        <v>63995</v>
      </c>
      <c r="AW190" s="1">
        <f t="shared" si="608"/>
        <v>19199</v>
      </c>
      <c r="AX190" s="1">
        <f t="shared" si="608"/>
        <v>511956</v>
      </c>
      <c r="AY190" s="1">
        <f t="shared" si="608"/>
        <v>1151901</v>
      </c>
      <c r="AZ190" s="1">
        <f t="shared" si="454"/>
        <v>13226968</v>
      </c>
      <c r="BA190" s="1">
        <f t="shared" si="455"/>
        <v>6613484</v>
      </c>
      <c r="BC190" s="1">
        <f t="shared" si="456"/>
        <v>179</v>
      </c>
    </row>
    <row r="191" s="1" customFormat="1" spans="2:55">
      <c r="B191" s="4">
        <v>180</v>
      </c>
      <c r="C191" s="1">
        <f t="shared" ref="C191:I191" si="609">C$5+(C$6-C$5)*(POWER(C$7,$B191-1)-1)/(POWER(C$7,$B$3-1)-1)</f>
        <v>14222.2626142864</v>
      </c>
      <c r="D191" s="1">
        <f t="shared" si="609"/>
        <v>4266.67878428591</v>
      </c>
      <c r="E191" s="1">
        <f t="shared" si="609"/>
        <v>2844.45252285728</v>
      </c>
      <c r="F191" s="1">
        <f t="shared" si="609"/>
        <v>52208.3057992791</v>
      </c>
      <c r="G191" s="1">
        <f t="shared" si="609"/>
        <v>15662.4917397837</v>
      </c>
      <c r="H191" s="1">
        <f t="shared" si="609"/>
        <v>10441.6611598558</v>
      </c>
      <c r="I191" s="1">
        <f t="shared" si="609"/>
        <v>0</v>
      </c>
      <c r="J191" s="1">
        <f>[1]标准模型!$I$65/1*$B191/$B$3</f>
        <v>1.296</v>
      </c>
      <c r="K191" s="1">
        <f>J191*[1]标准模型!$J$63</f>
        <v>1.296</v>
      </c>
      <c r="L191" s="1">
        <f t="shared" si="433"/>
        <v>66430.5684135655</v>
      </c>
      <c r="M191" s="1">
        <f t="shared" si="434"/>
        <v>25458.7862285041</v>
      </c>
      <c r="N191" s="1">
        <f t="shared" si="435"/>
        <v>16972.5241523361</v>
      </c>
      <c r="O191" s="1">
        <f t="shared" ref="O191:X191" si="610">O$5+(O$6-O$5)*(POWER(O$7,$B191-1)-1)/(POWER(O$7,$B$3-1)-1)</f>
        <v>0.679387415518206</v>
      </c>
      <c r="P191" s="1">
        <f t="shared" si="610"/>
        <v>0.110633225374577</v>
      </c>
      <c r="Q191" s="1">
        <f t="shared" si="610"/>
        <v>0.373663078535013</v>
      </c>
      <c r="R191" s="1">
        <f t="shared" si="610"/>
        <v>1.07175496620728</v>
      </c>
      <c r="S191" s="1">
        <f t="shared" si="610"/>
        <v>0.251142381725488</v>
      </c>
      <c r="T191" s="1">
        <f t="shared" si="610"/>
        <v>2.699610920521</v>
      </c>
      <c r="U191" s="1">
        <f t="shared" si="610"/>
        <v>1</v>
      </c>
      <c r="V191" s="1">
        <f t="shared" si="610"/>
        <v>1.195639608719</v>
      </c>
      <c r="W191" s="1">
        <f t="shared" si="610"/>
        <v>1.11039225570351</v>
      </c>
      <c r="X191" s="1">
        <f t="shared" si="610"/>
        <v>1.57403972965826</v>
      </c>
      <c r="Y191" s="1">
        <f t="shared" si="459"/>
        <v>2.11155623577686</v>
      </c>
      <c r="Z191" s="1">
        <f t="shared" si="460"/>
        <v>3.71877126115131</v>
      </c>
      <c r="AA191" s="1">
        <f t="shared" si="437"/>
        <v>247040.088678313</v>
      </c>
      <c r="AB191" s="1">
        <f t="shared" si="438"/>
        <v>25458.7862285041</v>
      </c>
      <c r="AC191" s="1">
        <f t="shared" si="439"/>
        <v>16972.5241523361</v>
      </c>
      <c r="AD191" s="1">
        <f>AC191/(AC191+[1]战斗公式!$M$27)</f>
        <v>0.414241604672247</v>
      </c>
      <c r="AE191" s="1">
        <f t="shared" si="440"/>
        <v>421743.999998643</v>
      </c>
      <c r="AF191" s="1">
        <f t="shared" si="441"/>
        <v>7.84528212884657</v>
      </c>
      <c r="AG191" s="1">
        <f t="shared" si="442"/>
        <v>4.4546311771448</v>
      </c>
      <c r="AH191" s="1">
        <f t="shared" si="443"/>
        <v>4.03132600011274</v>
      </c>
      <c r="AI191" s="1">
        <f t="shared" si="444"/>
        <v>0.952544233080176</v>
      </c>
      <c r="AJ191" s="1">
        <f t="shared" si="445"/>
        <v>1.00011836495975</v>
      </c>
      <c r="AK191" s="1">
        <f t="shared" si="446"/>
        <v>1.02147330566731</v>
      </c>
      <c r="AL191" s="1">
        <f t="shared" si="447"/>
        <v>0.880334326782522</v>
      </c>
      <c r="AM191" s="27">
        <f t="shared" si="448"/>
        <v>223565</v>
      </c>
      <c r="AN191" s="27">
        <f t="shared" si="449"/>
        <v>24251</v>
      </c>
      <c r="AO191" s="27">
        <f t="shared" si="450"/>
        <v>16973</v>
      </c>
      <c r="AP191" s="1">
        <f t="shared" si="451"/>
        <v>129668</v>
      </c>
      <c r="AQ191" s="1">
        <f t="shared" si="452"/>
        <v>21349</v>
      </c>
      <c r="AR191"/>
      <c r="AS191" s="1">
        <f t="shared" ref="AS191:AY191" si="611">ROUNDUP(AS$10*$AP191,0)</f>
        <v>129668</v>
      </c>
      <c r="AT191" s="1">
        <f t="shared" si="611"/>
        <v>389004</v>
      </c>
      <c r="AU191" s="1">
        <f t="shared" si="611"/>
        <v>233403</v>
      </c>
      <c r="AV191" s="1">
        <f t="shared" si="611"/>
        <v>64834</v>
      </c>
      <c r="AW191" s="1">
        <f t="shared" si="611"/>
        <v>19451</v>
      </c>
      <c r="AX191" s="1">
        <f t="shared" si="611"/>
        <v>518672</v>
      </c>
      <c r="AY191" s="1">
        <f t="shared" si="611"/>
        <v>1167012</v>
      </c>
      <c r="AZ191" s="1">
        <f t="shared" si="454"/>
        <v>13415488</v>
      </c>
      <c r="BA191" s="1">
        <f t="shared" si="455"/>
        <v>6707744</v>
      </c>
      <c r="BC191" s="1">
        <f t="shared" si="456"/>
        <v>180</v>
      </c>
    </row>
    <row r="192" s="1" customFormat="1" spans="2:55">
      <c r="B192" s="4">
        <v>181</v>
      </c>
      <c r="C192" s="1">
        <f t="shared" ref="C192:I192" si="612">C$5+(C$6-C$5)*(POWER(C$7,$B192-1)-1)/(POWER(C$7,$B$3-1)-1)</f>
        <v>14301.2681436646</v>
      </c>
      <c r="D192" s="1">
        <f t="shared" si="612"/>
        <v>4290.38044309938</v>
      </c>
      <c r="E192" s="1">
        <f t="shared" si="612"/>
        <v>2860.25362873292</v>
      </c>
      <c r="F192" s="1">
        <f t="shared" si="612"/>
        <v>52498.3260969967</v>
      </c>
      <c r="G192" s="1">
        <f t="shared" si="612"/>
        <v>15749.497829099</v>
      </c>
      <c r="H192" s="1">
        <f t="shared" si="612"/>
        <v>10499.6652193993</v>
      </c>
      <c r="I192" s="1">
        <f t="shared" si="612"/>
        <v>0</v>
      </c>
      <c r="J192" s="1">
        <f>[1]标准模型!$I$65/1*$B192/$B$3</f>
        <v>1.3032</v>
      </c>
      <c r="K192" s="1">
        <f>J192*[1]标准模型!$J$63</f>
        <v>1.3032</v>
      </c>
      <c r="L192" s="1">
        <f t="shared" si="433"/>
        <v>66799.5942406613</v>
      </c>
      <c r="M192" s="1">
        <f t="shared" si="434"/>
        <v>25631.1020656455</v>
      </c>
      <c r="N192" s="1">
        <f t="shared" si="435"/>
        <v>17087.401377097</v>
      </c>
      <c r="O192" s="1">
        <f t="shared" ref="O192:X192" si="613">O$5+(O$6-O$5)*(POWER(O$7,$B192-1)-1)/(POWER(O$7,$B$3-1)-1)</f>
        <v>0.680389489658616</v>
      </c>
      <c r="P192" s="1">
        <f t="shared" si="613"/>
        <v>0.111338432338168</v>
      </c>
      <c r="Q192" s="1">
        <f t="shared" si="613"/>
        <v>0.374214219312239</v>
      </c>
      <c r="R192" s="1">
        <f t="shared" si="613"/>
        <v>1.07215579586345</v>
      </c>
      <c r="S192" s="1">
        <f t="shared" si="613"/>
        <v>0.252545285522062</v>
      </c>
      <c r="T192" s="1">
        <f t="shared" si="613"/>
        <v>2.7035190096686</v>
      </c>
      <c r="U192" s="1">
        <f t="shared" si="613"/>
        <v>1</v>
      </c>
      <c r="V192" s="1">
        <f t="shared" si="613"/>
        <v>1.19673246906358</v>
      </c>
      <c r="W192" s="1">
        <f t="shared" si="613"/>
        <v>1.11100891671299</v>
      </c>
      <c r="X192" s="1">
        <f t="shared" si="613"/>
        <v>1.57724636690757</v>
      </c>
      <c r="Y192" s="1">
        <f t="shared" si="459"/>
        <v>2.12741628284118</v>
      </c>
      <c r="Z192" s="1">
        <f t="shared" si="460"/>
        <v>3.74930344702907</v>
      </c>
      <c r="AA192" s="1">
        <f t="shared" si="437"/>
        <v>250451.948946655</v>
      </c>
      <c r="AB192" s="1">
        <f t="shared" si="438"/>
        <v>25631.1020656455</v>
      </c>
      <c r="AC192" s="1">
        <f t="shared" si="439"/>
        <v>17087.401377097</v>
      </c>
      <c r="AD192" s="1">
        <f>AC192/(AC192+[1]战斗公式!$M$27)</f>
        <v>0.415879340245204</v>
      </c>
      <c r="AE192" s="1">
        <f t="shared" si="440"/>
        <v>428767.489668642</v>
      </c>
      <c r="AF192" s="1">
        <f t="shared" si="441"/>
        <v>7.86325010786208</v>
      </c>
      <c r="AG192" s="1">
        <f t="shared" si="442"/>
        <v>4.46173710713492</v>
      </c>
      <c r="AH192" s="1">
        <f t="shared" si="443"/>
        <v>4.03930870934294</v>
      </c>
      <c r="AI192" s="1">
        <f t="shared" si="444"/>
        <v>0.95555440223411</v>
      </c>
      <c r="AJ192" s="1">
        <f t="shared" si="445"/>
        <v>1.00011244671132</v>
      </c>
      <c r="AK192" s="1">
        <f t="shared" si="446"/>
        <v>1.02104316974657</v>
      </c>
      <c r="AL192" s="1">
        <f t="shared" si="447"/>
        <v>0.880672696265534</v>
      </c>
      <c r="AM192" s="27">
        <f t="shared" si="448"/>
        <v>226740</v>
      </c>
      <c r="AN192" s="27">
        <f t="shared" si="449"/>
        <v>24492</v>
      </c>
      <c r="AO192" s="27">
        <f t="shared" si="450"/>
        <v>17087</v>
      </c>
      <c r="AP192" s="1">
        <f t="shared" si="451"/>
        <v>131363</v>
      </c>
      <c r="AQ192" s="1">
        <f t="shared" si="452"/>
        <v>21569</v>
      </c>
      <c r="AR192"/>
      <c r="AS192" s="1">
        <f t="shared" ref="AS192:AY192" si="614">ROUNDUP(AS$10*$AP192,0)</f>
        <v>131363</v>
      </c>
      <c r="AT192" s="1">
        <f t="shared" si="614"/>
        <v>394089</v>
      </c>
      <c r="AU192" s="1">
        <f t="shared" si="614"/>
        <v>236454</v>
      </c>
      <c r="AV192" s="1">
        <f t="shared" si="614"/>
        <v>65682</v>
      </c>
      <c r="AW192" s="1">
        <f t="shared" si="614"/>
        <v>19705</v>
      </c>
      <c r="AX192" s="1">
        <f t="shared" si="614"/>
        <v>525452</v>
      </c>
      <c r="AY192" s="1">
        <f t="shared" si="614"/>
        <v>1182267</v>
      </c>
      <c r="AZ192" s="1">
        <f t="shared" si="454"/>
        <v>13605930</v>
      </c>
      <c r="BA192" s="1">
        <f t="shared" si="455"/>
        <v>6802965</v>
      </c>
      <c r="BC192" s="1">
        <f t="shared" si="456"/>
        <v>181</v>
      </c>
    </row>
    <row r="193" s="1" customFormat="1" spans="2:55">
      <c r="B193" s="4">
        <v>182</v>
      </c>
      <c r="C193" s="1">
        <f t="shared" ref="C193:I193" si="615">C$5+(C$6-C$5)*(POWER(C$7,$B193-1)-1)/(POWER(C$7,$B$3-1)-1)</f>
        <v>14380.2735940337</v>
      </c>
      <c r="D193" s="1">
        <f t="shared" si="615"/>
        <v>4314.0820782101</v>
      </c>
      <c r="E193" s="1">
        <f t="shared" si="615"/>
        <v>2876.05471880674</v>
      </c>
      <c r="F193" s="1">
        <f t="shared" si="615"/>
        <v>52788.3461046806</v>
      </c>
      <c r="G193" s="1">
        <f t="shared" si="615"/>
        <v>15836.5038314042</v>
      </c>
      <c r="H193" s="1">
        <f t="shared" si="615"/>
        <v>10557.6692209361</v>
      </c>
      <c r="I193" s="1">
        <f t="shared" si="615"/>
        <v>0</v>
      </c>
      <c r="J193" s="1">
        <f>[1]标准模型!$I$65/1*$B193/$B$3</f>
        <v>1.3104</v>
      </c>
      <c r="K193" s="1">
        <f>J193*[1]标准模型!$J$63</f>
        <v>1.3104</v>
      </c>
      <c r="L193" s="1">
        <f t="shared" si="433"/>
        <v>67168.6196987143</v>
      </c>
      <c r="M193" s="1">
        <f t="shared" si="434"/>
        <v>25803.7590649008</v>
      </c>
      <c r="N193" s="1">
        <f t="shared" si="435"/>
        <v>17202.5060432672</v>
      </c>
      <c r="O193" s="1">
        <f t="shared" ref="O193:X193" si="616">O$5+(O$6-O$5)*(POWER(O$7,$B193-1)-1)/(POWER(O$7,$B$3-1)-1)</f>
        <v>0.681391562796906</v>
      </c>
      <c r="P193" s="1">
        <f t="shared" si="616"/>
        <v>0.112044697112205</v>
      </c>
      <c r="Q193" s="1">
        <f t="shared" si="616"/>
        <v>0.374765359538298</v>
      </c>
      <c r="R193" s="1">
        <f t="shared" si="616"/>
        <v>1.07255662511876</v>
      </c>
      <c r="S193" s="1">
        <f t="shared" si="616"/>
        <v>0.253948187915669</v>
      </c>
      <c r="T193" s="1">
        <f t="shared" si="616"/>
        <v>2.70742709490793</v>
      </c>
      <c r="U193" s="1">
        <f t="shared" si="616"/>
        <v>1</v>
      </c>
      <c r="V193" s="1">
        <f t="shared" si="616"/>
        <v>1.19782532831526</v>
      </c>
      <c r="W193" s="1">
        <f t="shared" si="616"/>
        <v>1.11162557710579</v>
      </c>
      <c r="X193" s="1">
        <f t="shared" si="616"/>
        <v>1.5804530009501</v>
      </c>
      <c r="Y193" s="1">
        <f t="shared" si="459"/>
        <v>2.14338299766825</v>
      </c>
      <c r="Z193" s="1">
        <f t="shared" si="460"/>
        <v>3.78006296194641</v>
      </c>
      <c r="AA193" s="1">
        <f t="shared" si="437"/>
        <v>253901.611528174</v>
      </c>
      <c r="AB193" s="1">
        <f t="shared" si="438"/>
        <v>25803.7590649008</v>
      </c>
      <c r="AC193" s="1">
        <f t="shared" si="439"/>
        <v>17202.5060432672</v>
      </c>
      <c r="AD193" s="1">
        <f>AC193/(AC193+[1]战斗公式!$M$27)</f>
        <v>0.417511158792202</v>
      </c>
      <c r="AE193" s="1">
        <f t="shared" si="440"/>
        <v>435890.945141036</v>
      </c>
      <c r="AF193" s="1">
        <f t="shared" si="441"/>
        <v>7.88124970957836</v>
      </c>
      <c r="AG193" s="1">
        <f t="shared" si="442"/>
        <v>4.46885059797784</v>
      </c>
      <c r="AH193" s="1">
        <f t="shared" si="443"/>
        <v>4.04723154825392</v>
      </c>
      <c r="AI193" s="1">
        <f t="shared" si="444"/>
        <v>0.958570591726351</v>
      </c>
      <c r="AJ193" s="1">
        <f t="shared" si="445"/>
        <v>1.00010682437531</v>
      </c>
      <c r="AK193" s="1">
        <f t="shared" si="446"/>
        <v>1.02062163654426</v>
      </c>
      <c r="AL193" s="1">
        <f t="shared" si="447"/>
        <v>0.881010050640097</v>
      </c>
      <c r="AM193" s="27">
        <f t="shared" si="448"/>
        <v>229947</v>
      </c>
      <c r="AN193" s="27">
        <f t="shared" si="449"/>
        <v>24735</v>
      </c>
      <c r="AO193" s="27">
        <f t="shared" si="450"/>
        <v>17203</v>
      </c>
      <c r="AP193" s="1">
        <f t="shared" si="451"/>
        <v>133074</v>
      </c>
      <c r="AQ193" s="1">
        <f t="shared" si="452"/>
        <v>21792</v>
      </c>
      <c r="AR193"/>
      <c r="AS193" s="1">
        <f t="shared" ref="AS193:AY193" si="617">ROUNDUP(AS$10*$AP193,0)</f>
        <v>133074</v>
      </c>
      <c r="AT193" s="1">
        <f t="shared" si="617"/>
        <v>399222</v>
      </c>
      <c r="AU193" s="1">
        <f t="shared" si="617"/>
        <v>239534</v>
      </c>
      <c r="AV193" s="1">
        <f t="shared" si="617"/>
        <v>66537</v>
      </c>
      <c r="AW193" s="1">
        <f t="shared" si="617"/>
        <v>19962</v>
      </c>
      <c r="AX193" s="1">
        <f t="shared" si="617"/>
        <v>532296</v>
      </c>
      <c r="AY193" s="1">
        <f t="shared" si="617"/>
        <v>1197666</v>
      </c>
      <c r="AZ193" s="1">
        <f t="shared" si="454"/>
        <v>13798294</v>
      </c>
      <c r="BA193" s="1">
        <f t="shared" si="455"/>
        <v>6899147</v>
      </c>
      <c r="BC193" s="1">
        <f t="shared" si="456"/>
        <v>182</v>
      </c>
    </row>
    <row r="194" s="1" customFormat="1" spans="2:55">
      <c r="B194" s="4">
        <v>183</v>
      </c>
      <c r="C194" s="1">
        <f t="shared" ref="C194:I194" si="618">C$5+(C$6-C$5)*(POWER(C$7,$B194-1)-1)/(POWER(C$7,$B$3-1)-1)</f>
        <v>14459.2789654024</v>
      </c>
      <c r="D194" s="1">
        <f t="shared" si="618"/>
        <v>4337.78368962071</v>
      </c>
      <c r="E194" s="1">
        <f t="shared" si="618"/>
        <v>2891.85579308047</v>
      </c>
      <c r="F194" s="1">
        <f t="shared" si="618"/>
        <v>53078.3658223631</v>
      </c>
      <c r="G194" s="1">
        <f t="shared" si="618"/>
        <v>15923.5097467089</v>
      </c>
      <c r="H194" s="1">
        <f t="shared" si="618"/>
        <v>10615.6731644726</v>
      </c>
      <c r="I194" s="1">
        <f t="shared" si="618"/>
        <v>0</v>
      </c>
      <c r="J194" s="1">
        <f>[1]标准模型!$I$65/1*$B194/$B$3</f>
        <v>1.3176</v>
      </c>
      <c r="K194" s="1">
        <f>J194*[1]标准模型!$J$63</f>
        <v>1.3176</v>
      </c>
      <c r="L194" s="1">
        <f t="shared" si="433"/>
        <v>67537.6447877655</v>
      </c>
      <c r="M194" s="1">
        <f t="shared" si="434"/>
        <v>25976.7572257739</v>
      </c>
      <c r="N194" s="1">
        <f t="shared" si="435"/>
        <v>17317.8381505159</v>
      </c>
      <c r="O194" s="1">
        <f t="shared" ref="O194:X194" si="619">O$5+(O$6-O$5)*(POWER(O$7,$B194-1)-1)/(POWER(O$7,$B$3-1)-1)</f>
        <v>0.682393634933188</v>
      </c>
      <c r="P194" s="1">
        <f t="shared" si="619"/>
        <v>0.112752021283403</v>
      </c>
      <c r="Q194" s="1">
        <f t="shared" si="619"/>
        <v>0.375316499213253</v>
      </c>
      <c r="R194" s="1">
        <f t="shared" si="619"/>
        <v>1.07295745397327</v>
      </c>
      <c r="S194" s="1">
        <f t="shared" si="619"/>
        <v>0.255351088906463</v>
      </c>
      <c r="T194" s="1">
        <f t="shared" si="619"/>
        <v>2.71133517623943</v>
      </c>
      <c r="U194" s="1">
        <f t="shared" si="619"/>
        <v>1</v>
      </c>
      <c r="V194" s="1">
        <f t="shared" si="619"/>
        <v>1.19891818647414</v>
      </c>
      <c r="W194" s="1">
        <f t="shared" si="619"/>
        <v>1.11224223688196</v>
      </c>
      <c r="X194" s="1">
        <f t="shared" si="619"/>
        <v>1.5836596317862</v>
      </c>
      <c r="Y194" s="1">
        <f t="shared" si="459"/>
        <v>2.15945700035626</v>
      </c>
      <c r="Z194" s="1">
        <f t="shared" si="460"/>
        <v>3.81105129485548</v>
      </c>
      <c r="AA194" s="1">
        <f t="shared" si="437"/>
        <v>257389.428619903</v>
      </c>
      <c r="AB194" s="1">
        <f t="shared" si="438"/>
        <v>25976.7572257739</v>
      </c>
      <c r="AC194" s="1">
        <f t="shared" si="439"/>
        <v>17317.8381505159</v>
      </c>
      <c r="AD194" s="1">
        <f>AC194/(AC194+[1]战斗公式!$M$27)</f>
        <v>0.419137082812249</v>
      </c>
      <c r="AE194" s="1">
        <f t="shared" si="440"/>
        <v>443115.614723788</v>
      </c>
      <c r="AF194" s="1">
        <f t="shared" si="441"/>
        <v>7.89928090457065</v>
      </c>
      <c r="AG194" s="1">
        <f t="shared" si="442"/>
        <v>4.47597162236634</v>
      </c>
      <c r="AH194" s="1">
        <f t="shared" si="443"/>
        <v>4.05509496587307</v>
      </c>
      <c r="AI194" s="1">
        <f t="shared" si="444"/>
        <v>0.961592813597577</v>
      </c>
      <c r="AJ194" s="1">
        <f t="shared" si="445"/>
        <v>1.00010148315611</v>
      </c>
      <c r="AK194" s="1">
        <f t="shared" si="446"/>
        <v>1.02020853400598</v>
      </c>
      <c r="AL194" s="1">
        <f t="shared" si="447"/>
        <v>0.881346392951537</v>
      </c>
      <c r="AM194" s="27">
        <f t="shared" si="448"/>
        <v>233187</v>
      </c>
      <c r="AN194" s="27">
        <f t="shared" si="449"/>
        <v>24979</v>
      </c>
      <c r="AO194" s="27">
        <f t="shared" si="450"/>
        <v>17318</v>
      </c>
      <c r="AP194" s="1">
        <f t="shared" si="451"/>
        <v>134801</v>
      </c>
      <c r="AQ194" s="1">
        <f t="shared" si="452"/>
        <v>22015</v>
      </c>
      <c r="AR194"/>
      <c r="AS194" s="1">
        <f t="shared" ref="AS194:AY194" si="620">ROUNDUP(AS$10*$AP194,0)</f>
        <v>134801</v>
      </c>
      <c r="AT194" s="1">
        <f t="shared" si="620"/>
        <v>404403</v>
      </c>
      <c r="AU194" s="1">
        <f t="shared" si="620"/>
        <v>242642</v>
      </c>
      <c r="AV194" s="1">
        <f t="shared" si="620"/>
        <v>67401</v>
      </c>
      <c r="AW194" s="1">
        <f t="shared" si="620"/>
        <v>20221</v>
      </c>
      <c r="AX194" s="1">
        <f t="shared" si="620"/>
        <v>539204</v>
      </c>
      <c r="AY194" s="1">
        <f t="shared" si="620"/>
        <v>1213209</v>
      </c>
      <c r="AZ194" s="1">
        <f t="shared" si="454"/>
        <v>13992640</v>
      </c>
      <c r="BA194" s="1">
        <f t="shared" si="455"/>
        <v>6996320</v>
      </c>
      <c r="BC194" s="1">
        <f t="shared" si="456"/>
        <v>183</v>
      </c>
    </row>
    <row r="195" s="1" customFormat="1" spans="2:55">
      <c r="B195" s="4">
        <v>184</v>
      </c>
      <c r="C195" s="1">
        <f t="shared" ref="C195:I195" si="621">C$5+(C$6-C$5)*(POWER(C$7,$B195-1)-1)/(POWER(C$7,$B$3-1)-1)</f>
        <v>14538.2842577619</v>
      </c>
      <c r="D195" s="1">
        <f t="shared" si="621"/>
        <v>4361.48527732857</v>
      </c>
      <c r="E195" s="1">
        <f t="shared" si="621"/>
        <v>2907.65685155238</v>
      </c>
      <c r="F195" s="1">
        <f t="shared" si="621"/>
        <v>53368.3852500121</v>
      </c>
      <c r="G195" s="1">
        <f t="shared" si="621"/>
        <v>16010.5155750036</v>
      </c>
      <c r="H195" s="1">
        <f t="shared" si="621"/>
        <v>10673.6770500024</v>
      </c>
      <c r="I195" s="1">
        <f t="shared" si="621"/>
        <v>0</v>
      </c>
      <c r="J195" s="1">
        <f>[1]标准模型!$I$65/1*$B195/$B$3</f>
        <v>1.3248</v>
      </c>
      <c r="K195" s="1">
        <f>J195*[1]标准模型!$J$63</f>
        <v>1.3248</v>
      </c>
      <c r="L195" s="1">
        <f t="shared" si="433"/>
        <v>67906.669507774</v>
      </c>
      <c r="M195" s="1">
        <f t="shared" si="434"/>
        <v>26150.0965477371</v>
      </c>
      <c r="N195" s="1">
        <f t="shared" si="435"/>
        <v>17433.3976984914</v>
      </c>
      <c r="O195" s="1">
        <f t="shared" ref="O195:X195" si="622">O$5+(O$6-O$5)*(POWER(O$7,$B195-1)-1)/(POWER(O$7,$B$3-1)-1)</f>
        <v>0.683395706067349</v>
      </c>
      <c r="P195" s="1">
        <f t="shared" si="622"/>
        <v>0.113460406440858</v>
      </c>
      <c r="Q195" s="1">
        <f t="shared" si="622"/>
        <v>0.375867638337042</v>
      </c>
      <c r="R195" s="1">
        <f t="shared" si="622"/>
        <v>1.07335828242694</v>
      </c>
      <c r="S195" s="1">
        <f t="shared" si="622"/>
        <v>0.256753988494288</v>
      </c>
      <c r="T195" s="1">
        <f t="shared" si="622"/>
        <v>2.71524325366266</v>
      </c>
      <c r="U195" s="1">
        <f t="shared" si="622"/>
        <v>1</v>
      </c>
      <c r="V195" s="1">
        <f t="shared" si="622"/>
        <v>1.20001104354012</v>
      </c>
      <c r="W195" s="1">
        <f t="shared" si="622"/>
        <v>1.11285889604145</v>
      </c>
      <c r="X195" s="1">
        <f t="shared" si="622"/>
        <v>1.58686625941552</v>
      </c>
      <c r="Y195" s="1">
        <f t="shared" si="459"/>
        <v>2.17563891384759</v>
      </c>
      <c r="Z195" s="1">
        <f t="shared" si="460"/>
        <v>3.84226994274844</v>
      </c>
      <c r="AA195" s="1">
        <f t="shared" si="437"/>
        <v>260915.755161872</v>
      </c>
      <c r="AB195" s="1">
        <f t="shared" si="438"/>
        <v>26150.0965477371</v>
      </c>
      <c r="AC195" s="1">
        <f t="shared" si="439"/>
        <v>17433.3976984914</v>
      </c>
      <c r="AD195" s="1">
        <f>AC195/(AC195+[1]战斗公式!$M$27)</f>
        <v>0.420757134747994</v>
      </c>
      <c r="AE195" s="1">
        <f t="shared" si="440"/>
        <v>450442.760392668</v>
      </c>
      <c r="AF195" s="1">
        <f t="shared" si="441"/>
        <v>7.91734366352606</v>
      </c>
      <c r="AG195" s="1">
        <f t="shared" si="442"/>
        <v>4.48310015312209</v>
      </c>
      <c r="AH195" s="1">
        <f t="shared" si="443"/>
        <v>4.06289940786008</v>
      </c>
      <c r="AI195" s="1">
        <f t="shared" si="444"/>
        <v>0.964621079912545</v>
      </c>
      <c r="AJ195" s="1">
        <f t="shared" si="445"/>
        <v>1.00009640899786</v>
      </c>
      <c r="AK195" s="1">
        <f t="shared" si="446"/>
        <v>1.01980369351847</v>
      </c>
      <c r="AL195" s="1">
        <f t="shared" si="447"/>
        <v>0.881681726236042</v>
      </c>
      <c r="AM195" s="27">
        <f t="shared" si="448"/>
        <v>236460</v>
      </c>
      <c r="AN195" s="27">
        <f t="shared" si="449"/>
        <v>25225</v>
      </c>
      <c r="AO195" s="27">
        <f t="shared" si="450"/>
        <v>17433</v>
      </c>
      <c r="AP195" s="1">
        <f t="shared" si="451"/>
        <v>136544</v>
      </c>
      <c r="AQ195" s="1">
        <f t="shared" si="452"/>
        <v>22240</v>
      </c>
      <c r="AR195"/>
      <c r="AS195" s="1">
        <f t="shared" ref="AS195:AY195" si="623">ROUNDUP(AS$10*$AP195,0)</f>
        <v>136544</v>
      </c>
      <c r="AT195" s="1">
        <f t="shared" si="623"/>
        <v>409632</v>
      </c>
      <c r="AU195" s="1">
        <f t="shared" si="623"/>
        <v>245780</v>
      </c>
      <c r="AV195" s="1">
        <f t="shared" si="623"/>
        <v>68272</v>
      </c>
      <c r="AW195" s="1">
        <f t="shared" si="623"/>
        <v>20482</v>
      </c>
      <c r="AX195" s="1">
        <f t="shared" si="623"/>
        <v>546176</v>
      </c>
      <c r="AY195" s="1">
        <f t="shared" si="623"/>
        <v>1228896</v>
      </c>
      <c r="AZ195" s="1">
        <f t="shared" si="454"/>
        <v>14188968</v>
      </c>
      <c r="BA195" s="1">
        <f t="shared" si="455"/>
        <v>7094484</v>
      </c>
      <c r="BC195" s="1">
        <f t="shared" si="456"/>
        <v>184</v>
      </c>
    </row>
    <row r="196" s="1" customFormat="1" spans="2:55">
      <c r="B196" s="4">
        <v>185</v>
      </c>
      <c r="C196" s="1">
        <f t="shared" ref="C196:I196" si="624">C$5+(C$6-C$5)*(POWER(C$7,$B196-1)-1)/(POWER(C$7,$B$3-1)-1)</f>
        <v>14617.2894711211</v>
      </c>
      <c r="D196" s="1">
        <f t="shared" si="624"/>
        <v>4385.18684133632</v>
      </c>
      <c r="E196" s="1">
        <f t="shared" si="624"/>
        <v>2923.45789422422</v>
      </c>
      <c r="F196" s="1">
        <f t="shared" si="624"/>
        <v>53658.4043876597</v>
      </c>
      <c r="G196" s="1">
        <f t="shared" si="624"/>
        <v>16097.5213162979</v>
      </c>
      <c r="H196" s="1">
        <f t="shared" si="624"/>
        <v>10731.6808775319</v>
      </c>
      <c r="I196" s="1">
        <f t="shared" si="624"/>
        <v>0</v>
      </c>
      <c r="J196" s="1">
        <f>[1]标准模型!$I$65/1*$B196/$B$3</f>
        <v>1.332</v>
      </c>
      <c r="K196" s="1">
        <f>J196*[1]标准模型!$J$63</f>
        <v>1.332</v>
      </c>
      <c r="L196" s="1">
        <f t="shared" si="433"/>
        <v>68275.6938587808</v>
      </c>
      <c r="M196" s="1">
        <f t="shared" si="434"/>
        <v>26323.7770302942</v>
      </c>
      <c r="N196" s="1">
        <f t="shared" si="435"/>
        <v>17549.1846868628</v>
      </c>
      <c r="O196" s="1">
        <f t="shared" ref="O196:X196" si="625">O$5+(O$6-O$5)*(POWER(O$7,$B196-1)-1)/(POWER(O$7,$B$3-1)-1)</f>
        <v>0.684397776199501</v>
      </c>
      <c r="P196" s="1">
        <f t="shared" si="625"/>
        <v>0.114169854176049</v>
      </c>
      <c r="Q196" s="1">
        <f t="shared" si="625"/>
        <v>0.376418776909726</v>
      </c>
      <c r="R196" s="1">
        <f t="shared" si="625"/>
        <v>1.0737591104798</v>
      </c>
      <c r="S196" s="1">
        <f t="shared" si="625"/>
        <v>0.258156886679302</v>
      </c>
      <c r="T196" s="1">
        <f t="shared" si="625"/>
        <v>2.71915132717805</v>
      </c>
      <c r="U196" s="1">
        <f t="shared" si="625"/>
        <v>1</v>
      </c>
      <c r="V196" s="1">
        <f t="shared" si="625"/>
        <v>1.2011038995133</v>
      </c>
      <c r="W196" s="1">
        <f t="shared" si="625"/>
        <v>1.11347555458431</v>
      </c>
      <c r="X196" s="1">
        <f t="shared" si="625"/>
        <v>1.5900728838384</v>
      </c>
      <c r="Y196" s="1">
        <f t="shared" si="459"/>
        <v>2.19192936394464</v>
      </c>
      <c r="Z196" s="1">
        <f t="shared" si="460"/>
        <v>3.87372041070378</v>
      </c>
      <c r="AA196" s="1">
        <f t="shared" si="437"/>
        <v>264480.948855722</v>
      </c>
      <c r="AB196" s="1">
        <f t="shared" si="438"/>
        <v>26323.7770302942</v>
      </c>
      <c r="AC196" s="1">
        <f t="shared" si="439"/>
        <v>17549.1846868628</v>
      </c>
      <c r="AD196" s="1">
        <f>AC196/(AC196+[1]战斗公式!$M$27)</f>
        <v>0.422371336985863</v>
      </c>
      <c r="AE196" s="1">
        <f t="shared" si="440"/>
        <v>457873.657923463</v>
      </c>
      <c r="AF196" s="1">
        <f t="shared" si="441"/>
        <v>7.93543795725391</v>
      </c>
      <c r="AG196" s="1">
        <f t="shared" si="442"/>
        <v>4.49023616319939</v>
      </c>
      <c r="AH196" s="1">
        <f t="shared" si="443"/>
        <v>4.07064531653218</v>
      </c>
      <c r="AI196" s="1">
        <f t="shared" si="444"/>
        <v>0.967655402760144</v>
      </c>
      <c r="AJ196" s="1">
        <f t="shared" si="445"/>
        <v>1.00009158854753</v>
      </c>
      <c r="AK196" s="1">
        <f t="shared" si="446"/>
        <v>1.01940694984072</v>
      </c>
      <c r="AL196" s="1">
        <f t="shared" si="447"/>
        <v>0.882016053520693</v>
      </c>
      <c r="AM196" s="27">
        <f t="shared" si="448"/>
        <v>239766</v>
      </c>
      <c r="AN196" s="27">
        <f t="shared" si="449"/>
        <v>25472</v>
      </c>
      <c r="AO196" s="27">
        <f t="shared" si="450"/>
        <v>17549</v>
      </c>
      <c r="AP196" s="1">
        <f t="shared" si="451"/>
        <v>138304</v>
      </c>
      <c r="AQ196" s="1">
        <f t="shared" si="452"/>
        <v>22467</v>
      </c>
      <c r="AR196"/>
      <c r="AS196" s="1">
        <f t="shared" ref="AS196:AY196" si="626">ROUNDUP(AS$10*$AP196,0)</f>
        <v>138304</v>
      </c>
      <c r="AT196" s="1">
        <f t="shared" si="626"/>
        <v>414912</v>
      </c>
      <c r="AU196" s="1">
        <f t="shared" si="626"/>
        <v>248948</v>
      </c>
      <c r="AV196" s="1">
        <f t="shared" si="626"/>
        <v>69152</v>
      </c>
      <c r="AW196" s="1">
        <f t="shared" si="626"/>
        <v>20746</v>
      </c>
      <c r="AX196" s="1">
        <f t="shared" si="626"/>
        <v>553216</v>
      </c>
      <c r="AY196" s="1">
        <f t="shared" si="626"/>
        <v>1244736</v>
      </c>
      <c r="AZ196" s="1">
        <f t="shared" si="454"/>
        <v>14387278</v>
      </c>
      <c r="BA196" s="1">
        <f t="shared" si="455"/>
        <v>7193639</v>
      </c>
      <c r="BC196" s="1">
        <f t="shared" si="456"/>
        <v>185</v>
      </c>
    </row>
    <row r="197" s="1" customFormat="1" spans="2:55">
      <c r="B197" s="4">
        <v>186</v>
      </c>
      <c r="C197" s="1">
        <f t="shared" ref="C197:I197" si="627">C$5+(C$6-C$5)*(POWER(C$7,$B197-1)-1)/(POWER(C$7,$B$3-1)-1)</f>
        <v>14696.2946054711</v>
      </c>
      <c r="D197" s="1">
        <f t="shared" si="627"/>
        <v>4408.88838164133</v>
      </c>
      <c r="E197" s="1">
        <f t="shared" si="627"/>
        <v>2939.25892109422</v>
      </c>
      <c r="F197" s="1">
        <f t="shared" si="627"/>
        <v>53948.4232352736</v>
      </c>
      <c r="G197" s="1">
        <f t="shared" si="627"/>
        <v>16184.5269705821</v>
      </c>
      <c r="H197" s="1">
        <f t="shared" si="627"/>
        <v>10789.6846470547</v>
      </c>
      <c r="I197" s="1">
        <f t="shared" si="627"/>
        <v>0</v>
      </c>
      <c r="J197" s="1">
        <f>[1]标准模型!$I$65/1*$B197/$B$3</f>
        <v>1.3392</v>
      </c>
      <c r="K197" s="1">
        <f>J197*[1]标准模型!$J$63</f>
        <v>1.3392</v>
      </c>
      <c r="L197" s="1">
        <f t="shared" si="433"/>
        <v>68644.7178407447</v>
      </c>
      <c r="M197" s="1">
        <f t="shared" si="434"/>
        <v>26497.7986729175</v>
      </c>
      <c r="N197" s="1">
        <f t="shared" si="435"/>
        <v>17665.1991152783</v>
      </c>
      <c r="O197" s="1">
        <f t="shared" ref="O197:X197" si="628">O$5+(O$6-O$5)*(POWER(O$7,$B197-1)-1)/(POWER(O$7,$B$3-1)-1)</f>
        <v>0.685399845329534</v>
      </c>
      <c r="P197" s="1">
        <f t="shared" si="628"/>
        <v>0.114880366082843</v>
      </c>
      <c r="Q197" s="1">
        <f t="shared" si="628"/>
        <v>0.376969914931244</v>
      </c>
      <c r="R197" s="1">
        <f t="shared" si="628"/>
        <v>1.07415993813181</v>
      </c>
      <c r="S197" s="1">
        <f t="shared" si="628"/>
        <v>0.259559783461347</v>
      </c>
      <c r="T197" s="1">
        <f t="shared" si="628"/>
        <v>2.72305939678518</v>
      </c>
      <c r="U197" s="1">
        <f t="shared" si="628"/>
        <v>1</v>
      </c>
      <c r="V197" s="1">
        <f t="shared" si="628"/>
        <v>1.20219675439358</v>
      </c>
      <c r="W197" s="1">
        <f t="shared" si="628"/>
        <v>1.11409221251048</v>
      </c>
      <c r="X197" s="1">
        <f t="shared" si="628"/>
        <v>1.59327950505451</v>
      </c>
      <c r="Y197" s="1">
        <f t="shared" si="459"/>
        <v>2.20832897931306</v>
      </c>
      <c r="Z197" s="1">
        <f t="shared" si="460"/>
        <v>3.90540421190723</v>
      </c>
      <c r="AA197" s="1">
        <f t="shared" si="437"/>
        <v>268085.370180428</v>
      </c>
      <c r="AB197" s="1">
        <f t="shared" si="438"/>
        <v>26497.7986729175</v>
      </c>
      <c r="AC197" s="1">
        <f t="shared" si="439"/>
        <v>17665.1991152783</v>
      </c>
      <c r="AD197" s="1">
        <f>AC197/(AC197+[1]战斗公式!$M$27)</f>
        <v>0.423979711855034</v>
      </c>
      <c r="AE197" s="1">
        <f t="shared" si="440"/>
        <v>465409.597019193</v>
      </c>
      <c r="AF197" s="1">
        <f t="shared" si="441"/>
        <v>7.95356375667345</v>
      </c>
      <c r="AG197" s="1">
        <f t="shared" si="442"/>
        <v>4.4973796256799</v>
      </c>
      <c r="AH197" s="1">
        <f t="shared" si="443"/>
        <v>4.07833313088924</v>
      </c>
      <c r="AI197" s="1">
        <f t="shared" si="444"/>
        <v>0.970695794253437</v>
      </c>
      <c r="AJ197" s="1">
        <f t="shared" si="445"/>
        <v>1.00008700911971</v>
      </c>
      <c r="AK197" s="1">
        <f t="shared" si="446"/>
        <v>1.01901814103651</v>
      </c>
      <c r="AL197" s="1">
        <f t="shared" si="447"/>
        <v>0.882349377823491</v>
      </c>
      <c r="AM197" s="27">
        <f t="shared" si="448"/>
        <v>243106</v>
      </c>
      <c r="AN197" s="27">
        <f t="shared" si="449"/>
        <v>25721</v>
      </c>
      <c r="AO197" s="27">
        <f t="shared" si="450"/>
        <v>17665</v>
      </c>
      <c r="AP197" s="1">
        <f t="shared" si="451"/>
        <v>140080</v>
      </c>
      <c r="AQ197" s="1">
        <f t="shared" si="452"/>
        <v>22695</v>
      </c>
      <c r="AR197"/>
      <c r="AS197" s="1">
        <f t="shared" ref="AS197:AY197" si="629">ROUNDUP(AS$10*$AP197,0)</f>
        <v>140080</v>
      </c>
      <c r="AT197" s="1">
        <f t="shared" si="629"/>
        <v>420240</v>
      </c>
      <c r="AU197" s="1">
        <f t="shared" si="629"/>
        <v>252144</v>
      </c>
      <c r="AV197" s="1">
        <f t="shared" si="629"/>
        <v>70040</v>
      </c>
      <c r="AW197" s="1">
        <f t="shared" si="629"/>
        <v>21012</v>
      </c>
      <c r="AX197" s="1">
        <f t="shared" si="629"/>
        <v>560320</v>
      </c>
      <c r="AY197" s="1">
        <f t="shared" si="629"/>
        <v>1260720</v>
      </c>
      <c r="AZ197" s="1">
        <f t="shared" si="454"/>
        <v>14587629</v>
      </c>
      <c r="BA197" s="1">
        <f t="shared" si="455"/>
        <v>7293815</v>
      </c>
      <c r="BC197" s="1">
        <f t="shared" si="456"/>
        <v>186</v>
      </c>
    </row>
    <row r="198" s="1" customFormat="1" spans="2:55">
      <c r="B198" s="4">
        <v>187</v>
      </c>
      <c r="C198" s="1">
        <f t="shared" ref="C198:I198" si="630">C$5+(C$6-C$5)*(POWER(C$7,$B198-1)-1)/(POWER(C$7,$B$3-1)-1)</f>
        <v>14775.299660812</v>
      </c>
      <c r="D198" s="1">
        <f t="shared" si="630"/>
        <v>4432.58989824359</v>
      </c>
      <c r="E198" s="1">
        <f t="shared" si="630"/>
        <v>2955.05993216239</v>
      </c>
      <c r="F198" s="1">
        <f t="shared" si="630"/>
        <v>54238.441792854</v>
      </c>
      <c r="G198" s="1">
        <f t="shared" si="630"/>
        <v>16271.5325378562</v>
      </c>
      <c r="H198" s="1">
        <f t="shared" si="630"/>
        <v>10847.6883585708</v>
      </c>
      <c r="I198" s="1">
        <f t="shared" si="630"/>
        <v>0</v>
      </c>
      <c r="J198" s="1">
        <f>[1]标准模型!$I$65/1*$B198/$B$3</f>
        <v>1.3464</v>
      </c>
      <c r="K198" s="1">
        <f>J198*[1]标准模型!$J$63</f>
        <v>1.3464</v>
      </c>
      <c r="L198" s="1">
        <f t="shared" si="433"/>
        <v>69013.7414536659</v>
      </c>
      <c r="M198" s="1">
        <f t="shared" si="434"/>
        <v>26672.161475095</v>
      </c>
      <c r="N198" s="1">
        <f t="shared" si="435"/>
        <v>17781.4409833966</v>
      </c>
      <c r="O198" s="1">
        <f t="shared" ref="O198:X198" si="631">O$5+(O$6-O$5)*(POWER(O$7,$B198-1)-1)/(POWER(O$7,$B$3-1)-1)</f>
        <v>0.686401913457446</v>
      </c>
      <c r="P198" s="1">
        <f t="shared" si="631"/>
        <v>0.115591943757496</v>
      </c>
      <c r="Q198" s="1">
        <f t="shared" si="631"/>
        <v>0.377521052401595</v>
      </c>
      <c r="R198" s="1">
        <f t="shared" si="631"/>
        <v>1.07456076538298</v>
      </c>
      <c r="S198" s="1">
        <f t="shared" si="631"/>
        <v>0.260962678840424</v>
      </c>
      <c r="T198" s="1">
        <f t="shared" si="631"/>
        <v>2.72696746248404</v>
      </c>
      <c r="U198" s="1">
        <f t="shared" si="631"/>
        <v>1</v>
      </c>
      <c r="V198" s="1">
        <f t="shared" si="631"/>
        <v>1.20328960818094</v>
      </c>
      <c r="W198" s="1">
        <f t="shared" si="631"/>
        <v>1.11470886981997</v>
      </c>
      <c r="X198" s="1">
        <f t="shared" si="631"/>
        <v>1.59648612306383</v>
      </c>
      <c r="Y198" s="1">
        <f t="shared" si="459"/>
        <v>2.2248383914961</v>
      </c>
      <c r="Z198" s="1">
        <f t="shared" si="460"/>
        <v>3.93732286769518</v>
      </c>
      <c r="AA198" s="1">
        <f t="shared" si="437"/>
        <v>271729.382410722</v>
      </c>
      <c r="AB198" s="1">
        <f t="shared" si="438"/>
        <v>26672.161475095</v>
      </c>
      <c r="AC198" s="1">
        <f t="shared" si="439"/>
        <v>17781.4409833966</v>
      </c>
      <c r="AD198" s="1">
        <f>AC198/(AC198+[1]战斗公式!$M$27)</f>
        <v>0.425582281627451</v>
      </c>
      <c r="AE198" s="1">
        <f t="shared" si="440"/>
        <v>473051.881443683</v>
      </c>
      <c r="AF198" s="1">
        <f t="shared" si="441"/>
        <v>7.9717210328214</v>
      </c>
      <c r="AG198" s="1">
        <f t="shared" si="442"/>
        <v>4.50453051377525</v>
      </c>
      <c r="AH198" s="1">
        <f t="shared" si="443"/>
        <v>4.08596328663862</v>
      </c>
      <c r="AI198" s="1">
        <f t="shared" si="444"/>
        <v>0.973742266529717</v>
      </c>
      <c r="AJ198" s="1">
        <f t="shared" si="445"/>
        <v>1.00008265866329</v>
      </c>
      <c r="AK198" s="1">
        <f t="shared" si="446"/>
        <v>1.0186371084084</v>
      </c>
      <c r="AL198" s="1">
        <f t="shared" si="447"/>
        <v>0.88268170215338</v>
      </c>
      <c r="AM198" s="27">
        <f t="shared" si="448"/>
        <v>246480</v>
      </c>
      <c r="AN198" s="27">
        <f t="shared" si="449"/>
        <v>25972</v>
      </c>
      <c r="AO198" s="27">
        <f t="shared" si="450"/>
        <v>17781</v>
      </c>
      <c r="AP198" s="1">
        <f t="shared" si="451"/>
        <v>141873</v>
      </c>
      <c r="AQ198" s="1">
        <f t="shared" si="452"/>
        <v>22925</v>
      </c>
      <c r="AR198"/>
      <c r="AS198" s="1">
        <f t="shared" ref="AS198:AY198" si="632">ROUNDUP(AS$10*$AP198,0)</f>
        <v>141873</v>
      </c>
      <c r="AT198" s="1">
        <f t="shared" si="632"/>
        <v>425619</v>
      </c>
      <c r="AU198" s="1">
        <f t="shared" si="632"/>
        <v>255372</v>
      </c>
      <c r="AV198" s="1">
        <f t="shared" si="632"/>
        <v>70937</v>
      </c>
      <c r="AW198" s="1">
        <f t="shared" si="632"/>
        <v>21281</v>
      </c>
      <c r="AX198" s="1">
        <f t="shared" si="632"/>
        <v>567492</v>
      </c>
      <c r="AY198" s="1">
        <f t="shared" si="632"/>
        <v>1276857</v>
      </c>
      <c r="AZ198" s="1">
        <f t="shared" si="454"/>
        <v>14790022</v>
      </c>
      <c r="BA198" s="1">
        <f t="shared" si="455"/>
        <v>7395011</v>
      </c>
      <c r="BC198" s="1">
        <f t="shared" si="456"/>
        <v>187</v>
      </c>
    </row>
    <row r="199" s="1" customFormat="1" spans="2:55">
      <c r="B199" s="4">
        <v>188</v>
      </c>
      <c r="C199" s="1">
        <f t="shared" ref="C199:I199" si="633">C$5+(C$6-C$5)*(POWER(C$7,$B199-1)-1)/(POWER(C$7,$B$3-1)-1)</f>
        <v>14854.3046371524</v>
      </c>
      <c r="D199" s="1">
        <f t="shared" si="633"/>
        <v>4456.29139114573</v>
      </c>
      <c r="E199" s="1">
        <f t="shared" si="633"/>
        <v>2970.86092743049</v>
      </c>
      <c r="F199" s="1">
        <f t="shared" si="633"/>
        <v>54528.460060433</v>
      </c>
      <c r="G199" s="1">
        <f t="shared" si="633"/>
        <v>16358.5380181299</v>
      </c>
      <c r="H199" s="1">
        <f t="shared" si="633"/>
        <v>10905.6920120866</v>
      </c>
      <c r="I199" s="1">
        <f t="shared" si="633"/>
        <v>0</v>
      </c>
      <c r="J199" s="1">
        <f>[1]标准模型!$I$65/1*$B199/$B$3</f>
        <v>1.3536</v>
      </c>
      <c r="K199" s="1">
        <f>J199*[1]标准模型!$J$63</f>
        <v>1.3536</v>
      </c>
      <c r="L199" s="1">
        <f t="shared" si="433"/>
        <v>69382.7646975854</v>
      </c>
      <c r="M199" s="1">
        <f t="shared" si="434"/>
        <v>26846.8654363305</v>
      </c>
      <c r="N199" s="1">
        <f t="shared" si="435"/>
        <v>17897.910290887</v>
      </c>
      <c r="O199" s="1">
        <f t="shared" ref="O199:X199" si="634">O$5+(O$6-O$5)*(POWER(O$7,$B199-1)-1)/(POWER(O$7,$B$3-1)-1)</f>
        <v>0.687403980583349</v>
      </c>
      <c r="P199" s="1">
        <f t="shared" si="634"/>
        <v>0.116304588798662</v>
      </c>
      <c r="Q199" s="1">
        <f t="shared" si="634"/>
        <v>0.378072189320842</v>
      </c>
      <c r="R199" s="1">
        <f t="shared" si="634"/>
        <v>1.07496159223334</v>
      </c>
      <c r="S199" s="1">
        <f t="shared" si="634"/>
        <v>0.262365572816689</v>
      </c>
      <c r="T199" s="1">
        <f t="shared" si="634"/>
        <v>2.73087552427506</v>
      </c>
      <c r="U199" s="1">
        <f t="shared" si="634"/>
        <v>1</v>
      </c>
      <c r="V199" s="1">
        <f t="shared" si="634"/>
        <v>1.20438246087552</v>
      </c>
      <c r="W199" s="1">
        <f t="shared" si="634"/>
        <v>1.11532552651283</v>
      </c>
      <c r="X199" s="1">
        <f t="shared" si="634"/>
        <v>1.59969273786672</v>
      </c>
      <c r="Y199" s="1">
        <f t="shared" si="459"/>
        <v>2.24145823492424</v>
      </c>
      <c r="Z199" s="1">
        <f t="shared" si="460"/>
        <v>3.96947790758874</v>
      </c>
      <c r="AA199" s="1">
        <f t="shared" si="437"/>
        <v>275413.351634493</v>
      </c>
      <c r="AB199" s="1">
        <f t="shared" si="438"/>
        <v>26846.8654363305</v>
      </c>
      <c r="AC199" s="1">
        <f t="shared" si="439"/>
        <v>17897.910290887</v>
      </c>
      <c r="AD199" s="1">
        <f>AC199/(AC199+[1]战斗公式!$M$27)</f>
        <v>0.427179068517407</v>
      </c>
      <c r="AE199" s="1">
        <f t="shared" si="440"/>
        <v>480801.829153938</v>
      </c>
      <c r="AF199" s="1">
        <f t="shared" si="441"/>
        <v>7.98990975685104</v>
      </c>
      <c r="AG199" s="1">
        <f t="shared" si="442"/>
        <v>4.51168880082624</v>
      </c>
      <c r="AH199" s="1">
        <f t="shared" si="443"/>
        <v>4.09353621621989</v>
      </c>
      <c r="AI199" s="1">
        <f t="shared" si="444"/>
        <v>0.97679483175055</v>
      </c>
      <c r="AJ199" s="1">
        <f t="shared" si="445"/>
        <v>1.00007852572968</v>
      </c>
      <c r="AK199" s="1">
        <f t="shared" si="446"/>
        <v>1.01826369643284</v>
      </c>
      <c r="AL199" s="1">
        <f t="shared" si="447"/>
        <v>0.88301302951028</v>
      </c>
      <c r="AM199" s="27">
        <f t="shared" si="448"/>
        <v>249887</v>
      </c>
      <c r="AN199" s="27">
        <f t="shared" si="449"/>
        <v>26224</v>
      </c>
      <c r="AO199" s="27">
        <f t="shared" si="450"/>
        <v>17898</v>
      </c>
      <c r="AP199" s="1">
        <f t="shared" si="451"/>
        <v>143682</v>
      </c>
      <c r="AQ199" s="1">
        <f t="shared" si="452"/>
        <v>23156</v>
      </c>
      <c r="AR199"/>
      <c r="AS199" s="1">
        <f t="shared" ref="AS199:AY199" si="635">ROUNDUP(AS$10*$AP199,0)</f>
        <v>143682</v>
      </c>
      <c r="AT199" s="1">
        <f t="shared" si="635"/>
        <v>431046</v>
      </c>
      <c r="AU199" s="1">
        <f t="shared" si="635"/>
        <v>258628</v>
      </c>
      <c r="AV199" s="1">
        <f t="shared" si="635"/>
        <v>71841</v>
      </c>
      <c r="AW199" s="1">
        <f t="shared" si="635"/>
        <v>21553</v>
      </c>
      <c r="AX199" s="1">
        <f t="shared" si="635"/>
        <v>574728</v>
      </c>
      <c r="AY199" s="1">
        <f t="shared" si="635"/>
        <v>1293138</v>
      </c>
      <c r="AZ199" s="1">
        <f t="shared" si="454"/>
        <v>14994397</v>
      </c>
      <c r="BA199" s="1">
        <f t="shared" si="455"/>
        <v>7497199</v>
      </c>
      <c r="BC199" s="1">
        <f t="shared" si="456"/>
        <v>188</v>
      </c>
    </row>
    <row r="200" s="1" customFormat="1" spans="2:55">
      <c r="B200" s="4">
        <v>189</v>
      </c>
      <c r="C200" s="1">
        <f t="shared" ref="C200:I200" si="636">C$5+(C$6-C$5)*(POWER(C$7,$B200-1)-1)/(POWER(C$7,$B$3-1)-1)</f>
        <v>14933.3095344838</v>
      </c>
      <c r="D200" s="1">
        <f t="shared" si="636"/>
        <v>4479.99286034513</v>
      </c>
      <c r="E200" s="1">
        <f t="shared" si="636"/>
        <v>2986.66190689675</v>
      </c>
      <c r="F200" s="1">
        <f t="shared" si="636"/>
        <v>54818.4780379784</v>
      </c>
      <c r="G200" s="1">
        <f t="shared" si="636"/>
        <v>16445.5434113935</v>
      </c>
      <c r="H200" s="1">
        <f t="shared" si="636"/>
        <v>10963.6956075957</v>
      </c>
      <c r="I200" s="1">
        <f t="shared" si="636"/>
        <v>0</v>
      </c>
      <c r="J200" s="1">
        <f>[1]标准模型!$I$65/1*$B200/$B$3</f>
        <v>1.3608</v>
      </c>
      <c r="K200" s="1">
        <f>J200*[1]标准模型!$J$63</f>
        <v>1.3608</v>
      </c>
      <c r="L200" s="1">
        <f t="shared" si="433"/>
        <v>69751.7875724622</v>
      </c>
      <c r="M200" s="1">
        <f t="shared" si="434"/>
        <v>27021.9105560963</v>
      </c>
      <c r="N200" s="1">
        <f t="shared" si="435"/>
        <v>18014.6070373975</v>
      </c>
      <c r="O200" s="1">
        <f t="shared" ref="O200:X200" si="637">O$5+(O$6-O$5)*(POWER(O$7,$B200-1)-1)/(POWER(O$7,$B$3-1)-1)</f>
        <v>0.688406046707133</v>
      </c>
      <c r="P200" s="1">
        <f t="shared" si="637"/>
        <v>0.11701830280739</v>
      </c>
      <c r="Q200" s="1">
        <f t="shared" si="637"/>
        <v>0.378623325688923</v>
      </c>
      <c r="R200" s="1">
        <f t="shared" si="637"/>
        <v>1.07536241868285</v>
      </c>
      <c r="S200" s="1">
        <f t="shared" si="637"/>
        <v>0.263768465389986</v>
      </c>
      <c r="T200" s="1">
        <f t="shared" si="637"/>
        <v>2.73478358215782</v>
      </c>
      <c r="U200" s="1">
        <f t="shared" si="637"/>
        <v>1</v>
      </c>
      <c r="V200" s="1">
        <f t="shared" si="637"/>
        <v>1.20547531247718</v>
      </c>
      <c r="W200" s="1">
        <f t="shared" si="637"/>
        <v>1.115942182589</v>
      </c>
      <c r="X200" s="1">
        <f t="shared" si="637"/>
        <v>1.60289934946283</v>
      </c>
      <c r="Y200" s="1">
        <f t="shared" si="459"/>
        <v>2.25818914692002</v>
      </c>
      <c r="Z200" s="1">
        <f t="shared" si="460"/>
        <v>4.00187086931783</v>
      </c>
      <c r="AA200" s="1">
        <f t="shared" si="437"/>
        <v>279137.646769082</v>
      </c>
      <c r="AB200" s="1">
        <f t="shared" si="438"/>
        <v>27021.9105560963</v>
      </c>
      <c r="AC200" s="1">
        <f t="shared" si="439"/>
        <v>18014.6070373975</v>
      </c>
      <c r="AD200" s="1">
        <f>AC200/(AC200+[1]战斗公式!$M$27)</f>
        <v>0.428770094680705</v>
      </c>
      <c r="AE200" s="1">
        <f t="shared" si="440"/>
        <v>488660.772431119</v>
      </c>
      <c r="AF200" s="1">
        <f t="shared" si="441"/>
        <v>8.0081299000225</v>
      </c>
      <c r="AG200" s="1">
        <f t="shared" si="442"/>
        <v>4.51885446029875</v>
      </c>
      <c r="AH200" s="1">
        <f t="shared" si="443"/>
        <v>4.10105234882929</v>
      </c>
      <c r="AI200" s="1">
        <f t="shared" si="444"/>
        <v>0.979853502101824</v>
      </c>
      <c r="AJ200" s="1">
        <f t="shared" si="445"/>
        <v>1.00007459944276</v>
      </c>
      <c r="AK200" s="1">
        <f t="shared" si="446"/>
        <v>1.01789775269679</v>
      </c>
      <c r="AL200" s="1">
        <f t="shared" si="447"/>
        <v>0.883343362885109</v>
      </c>
      <c r="AM200" s="27">
        <f t="shared" si="448"/>
        <v>253329</v>
      </c>
      <c r="AN200" s="27">
        <f t="shared" si="449"/>
        <v>26478</v>
      </c>
      <c r="AO200" s="27">
        <f t="shared" si="450"/>
        <v>18015</v>
      </c>
      <c r="AP200" s="1">
        <f t="shared" si="451"/>
        <v>145508</v>
      </c>
      <c r="AQ200" s="1">
        <f t="shared" si="452"/>
        <v>23389</v>
      </c>
      <c r="AR200"/>
      <c r="AS200" s="1">
        <f t="shared" ref="AS200:AY200" si="638">ROUNDUP(AS$10*$AP200,0)</f>
        <v>145508</v>
      </c>
      <c r="AT200" s="1">
        <f t="shared" si="638"/>
        <v>436524</v>
      </c>
      <c r="AU200" s="1">
        <f t="shared" si="638"/>
        <v>261915</v>
      </c>
      <c r="AV200" s="1">
        <f t="shared" si="638"/>
        <v>72754</v>
      </c>
      <c r="AW200" s="1">
        <f t="shared" si="638"/>
        <v>21827</v>
      </c>
      <c r="AX200" s="1">
        <f t="shared" si="638"/>
        <v>582032</v>
      </c>
      <c r="AY200" s="1">
        <f t="shared" si="638"/>
        <v>1309572</v>
      </c>
      <c r="AZ200" s="1">
        <f t="shared" si="454"/>
        <v>15200874</v>
      </c>
      <c r="BA200" s="1">
        <f t="shared" si="455"/>
        <v>7600437</v>
      </c>
      <c r="BC200" s="1">
        <f t="shared" si="456"/>
        <v>189</v>
      </c>
    </row>
    <row r="201" s="1" customFormat="1" spans="2:55">
      <c r="B201" s="4">
        <v>190</v>
      </c>
      <c r="C201" s="1">
        <f t="shared" ref="C201:I201" si="639">C$5+(C$6-C$5)*(POWER(C$7,$B201-1)-1)/(POWER(C$7,$B$3-1)-1)</f>
        <v>15012.3143528147</v>
      </c>
      <c r="D201" s="1">
        <f t="shared" si="639"/>
        <v>4503.69430584441</v>
      </c>
      <c r="E201" s="1">
        <f t="shared" si="639"/>
        <v>3002.46287056294</v>
      </c>
      <c r="F201" s="1">
        <f t="shared" si="639"/>
        <v>55108.4957255224</v>
      </c>
      <c r="G201" s="1">
        <f t="shared" si="639"/>
        <v>16532.5487176567</v>
      </c>
      <c r="H201" s="1">
        <f t="shared" si="639"/>
        <v>11021.6991451045</v>
      </c>
      <c r="I201" s="1">
        <f t="shared" si="639"/>
        <v>0</v>
      </c>
      <c r="J201" s="1">
        <f>[1]标准模型!$I$65/1*$B201/$B$3</f>
        <v>1.368</v>
      </c>
      <c r="K201" s="1">
        <f>J201*[1]标准模型!$J$63</f>
        <v>1.368</v>
      </c>
      <c r="L201" s="1">
        <f t="shared" si="433"/>
        <v>70120.8100783371</v>
      </c>
      <c r="M201" s="1">
        <f t="shared" si="434"/>
        <v>27197.2968338963</v>
      </c>
      <c r="N201" s="1">
        <f t="shared" si="435"/>
        <v>18131.5312225975</v>
      </c>
      <c r="O201" s="1">
        <f t="shared" ref="O201:X201" si="640">O$5+(O$6-O$5)*(POWER(O$7,$B201-1)-1)/(POWER(O$7,$B$3-1)-1)</f>
        <v>0.689408111828907</v>
      </c>
      <c r="P201" s="1">
        <f t="shared" si="640"/>
        <v>0.117733087387131</v>
      </c>
      <c r="Q201" s="1">
        <f t="shared" si="640"/>
        <v>0.379174461505899</v>
      </c>
      <c r="R201" s="1">
        <f t="shared" si="640"/>
        <v>1.07576324473156</v>
      </c>
      <c r="S201" s="1">
        <f t="shared" si="640"/>
        <v>0.26517135656047</v>
      </c>
      <c r="T201" s="1">
        <f t="shared" si="640"/>
        <v>2.73869163613274</v>
      </c>
      <c r="U201" s="1">
        <f t="shared" si="640"/>
        <v>1</v>
      </c>
      <c r="V201" s="1">
        <f t="shared" si="640"/>
        <v>1.20656816298606</v>
      </c>
      <c r="W201" s="1">
        <f t="shared" si="640"/>
        <v>1.11655883804856</v>
      </c>
      <c r="X201" s="1">
        <f t="shared" si="640"/>
        <v>1.6061059578525</v>
      </c>
      <c r="Y201" s="1">
        <f t="shared" si="459"/>
        <v>2.27503176771414</v>
      </c>
      <c r="Z201" s="1">
        <f t="shared" si="460"/>
        <v>4.0345032988686</v>
      </c>
      <c r="AA201" s="1">
        <f t="shared" si="437"/>
        <v>282902.63958039</v>
      </c>
      <c r="AB201" s="1">
        <f t="shared" si="438"/>
        <v>27197.2968338963</v>
      </c>
      <c r="AC201" s="1">
        <f t="shared" si="439"/>
        <v>18131.5312225975</v>
      </c>
      <c r="AD201" s="1">
        <f>AC201/(AC201+[1]战斗公式!$M$27)</f>
        <v>0.430355382214843</v>
      </c>
      <c r="AE201" s="1">
        <f t="shared" si="440"/>
        <v>496630.058018186</v>
      </c>
      <c r="AF201" s="1">
        <f t="shared" si="441"/>
        <v>8.0263814337135</v>
      </c>
      <c r="AG201" s="1">
        <f t="shared" si="442"/>
        <v>4.52602746578741</v>
      </c>
      <c r="AH201" s="1">
        <f t="shared" si="443"/>
        <v>4.10851211044412</v>
      </c>
      <c r="AI201" s="1">
        <f t="shared" si="444"/>
        <v>0.982918289793801</v>
      </c>
      <c r="AJ201" s="1">
        <f t="shared" si="445"/>
        <v>1.00007086947018</v>
      </c>
      <c r="AK201" s="1">
        <f t="shared" si="446"/>
        <v>1.01753912783547</v>
      </c>
      <c r="AL201" s="1">
        <f t="shared" si="447"/>
        <v>0.883672705259813</v>
      </c>
      <c r="AM201" s="27">
        <f t="shared" si="448"/>
        <v>256806</v>
      </c>
      <c r="AN201" s="27">
        <f t="shared" si="449"/>
        <v>26733</v>
      </c>
      <c r="AO201" s="27">
        <f t="shared" si="450"/>
        <v>18132</v>
      </c>
      <c r="AP201" s="1">
        <f t="shared" si="451"/>
        <v>147351</v>
      </c>
      <c r="AQ201" s="1">
        <f t="shared" si="452"/>
        <v>23623</v>
      </c>
      <c r="AR201"/>
      <c r="AS201" s="1">
        <f t="shared" ref="AS201:AY201" si="641">ROUNDUP(AS$10*$AP201,0)</f>
        <v>147351</v>
      </c>
      <c r="AT201" s="1">
        <f t="shared" si="641"/>
        <v>442053</v>
      </c>
      <c r="AU201" s="1">
        <f t="shared" si="641"/>
        <v>265232</v>
      </c>
      <c r="AV201" s="1">
        <f t="shared" si="641"/>
        <v>73676</v>
      </c>
      <c r="AW201" s="1">
        <f t="shared" si="641"/>
        <v>22103</v>
      </c>
      <c r="AX201" s="1">
        <f t="shared" si="641"/>
        <v>589404</v>
      </c>
      <c r="AY201" s="1">
        <f t="shared" si="641"/>
        <v>1326159</v>
      </c>
      <c r="AZ201" s="1">
        <f t="shared" si="454"/>
        <v>15409452</v>
      </c>
      <c r="BA201" s="1">
        <f t="shared" si="455"/>
        <v>7704726</v>
      </c>
      <c r="BC201" s="1">
        <f t="shared" si="456"/>
        <v>190</v>
      </c>
    </row>
    <row r="202" s="1" customFormat="1" spans="2:55">
      <c r="B202" s="4">
        <v>191</v>
      </c>
      <c r="C202" s="1">
        <f t="shared" ref="C202:I202" si="642">C$5+(C$6-C$5)*(POWER(C$7,$B202-1)-1)/(POWER(C$7,$B$3-1)-1)</f>
        <v>15091.3190921453</v>
      </c>
      <c r="D202" s="1">
        <f t="shared" si="642"/>
        <v>4527.39572764359</v>
      </c>
      <c r="E202" s="1">
        <f t="shared" si="642"/>
        <v>3018.26381842906</v>
      </c>
      <c r="F202" s="1">
        <f t="shared" si="642"/>
        <v>55398.513123065</v>
      </c>
      <c r="G202" s="1">
        <f t="shared" si="642"/>
        <v>16619.5539369195</v>
      </c>
      <c r="H202" s="1">
        <f t="shared" si="642"/>
        <v>11079.702624613</v>
      </c>
      <c r="I202" s="1">
        <f t="shared" si="642"/>
        <v>0</v>
      </c>
      <c r="J202" s="1">
        <f>[1]标准模型!$I$65/1*$B202/$B$3</f>
        <v>1.3752</v>
      </c>
      <c r="K202" s="1">
        <f>J202*[1]标准模型!$J$63</f>
        <v>1.3752</v>
      </c>
      <c r="L202" s="1">
        <f t="shared" si="433"/>
        <v>70489.8322152103</v>
      </c>
      <c r="M202" s="1">
        <f t="shared" si="434"/>
        <v>27373.0242692186</v>
      </c>
      <c r="N202" s="1">
        <f t="shared" si="435"/>
        <v>18248.6828461457</v>
      </c>
      <c r="O202" s="1">
        <f t="shared" ref="O202:X202" si="643">O$5+(O$6-O$5)*(POWER(O$7,$B202-1)-1)/(POWER(O$7,$B$3-1)-1)</f>
        <v>0.690410175948673</v>
      </c>
      <c r="P202" s="1">
        <f t="shared" si="643"/>
        <v>0.118448944143741</v>
      </c>
      <c r="Q202" s="1">
        <f t="shared" si="643"/>
        <v>0.37972559677177</v>
      </c>
      <c r="R202" s="1">
        <f t="shared" si="643"/>
        <v>1.07616407037947</v>
      </c>
      <c r="S202" s="1">
        <f t="shared" si="643"/>
        <v>0.266574246328142</v>
      </c>
      <c r="T202" s="1">
        <f t="shared" si="643"/>
        <v>2.74259968619983</v>
      </c>
      <c r="U202" s="1">
        <f t="shared" si="643"/>
        <v>1</v>
      </c>
      <c r="V202" s="1">
        <f t="shared" si="643"/>
        <v>1.20766101240214</v>
      </c>
      <c r="W202" s="1">
        <f t="shared" si="643"/>
        <v>1.11717549289149</v>
      </c>
      <c r="X202" s="1">
        <f t="shared" si="643"/>
        <v>1.60931256303575</v>
      </c>
      <c r="Y202" s="1">
        <f t="shared" si="459"/>
        <v>2.29198674045031</v>
      </c>
      <c r="Z202" s="1">
        <f t="shared" si="460"/>
        <v>4.06737675050772</v>
      </c>
      <c r="AA202" s="1">
        <f t="shared" si="437"/>
        <v>286708.704699336</v>
      </c>
      <c r="AB202" s="1">
        <f t="shared" si="438"/>
        <v>27373.0242692186</v>
      </c>
      <c r="AC202" s="1">
        <f t="shared" si="439"/>
        <v>18248.6828461457</v>
      </c>
      <c r="AD202" s="1">
        <f>AC202/(AC202+[1]战斗公式!$M$27)</f>
        <v>0.431934953158203</v>
      </c>
      <c r="AE202" s="1">
        <f t="shared" si="440"/>
        <v>504711.047252979</v>
      </c>
      <c r="AF202" s="1">
        <f t="shared" si="441"/>
        <v>8.0446643294097</v>
      </c>
      <c r="AG202" s="1">
        <f t="shared" si="442"/>
        <v>4.5332077910115</v>
      </c>
      <c r="AH202" s="1">
        <f t="shared" si="443"/>
        <v>4.11591592384684</v>
      </c>
      <c r="AI202" s="1">
        <f t="shared" si="444"/>
        <v>0.985989207061161</v>
      </c>
      <c r="AJ202" s="1">
        <f t="shared" si="445"/>
        <v>1.00006732599623</v>
      </c>
      <c r="AK202" s="1">
        <f t="shared" si="446"/>
        <v>1.01718767547137</v>
      </c>
      <c r="AL202" s="1">
        <f t="shared" si="447"/>
        <v>0.884001059607393</v>
      </c>
      <c r="AM202" s="27">
        <f t="shared" si="448"/>
        <v>260317</v>
      </c>
      <c r="AN202" s="27">
        <f t="shared" si="449"/>
        <v>26990</v>
      </c>
      <c r="AO202" s="27">
        <f t="shared" si="450"/>
        <v>18249</v>
      </c>
      <c r="AP202" s="1">
        <f t="shared" si="451"/>
        <v>149211</v>
      </c>
      <c r="AQ202" s="1">
        <f t="shared" si="452"/>
        <v>23859</v>
      </c>
      <c r="AR202"/>
      <c r="AS202" s="1">
        <f t="shared" ref="AS202:AY202" si="644">ROUNDUP(AS$10*$AP202,0)</f>
        <v>149211</v>
      </c>
      <c r="AT202" s="1">
        <f t="shared" si="644"/>
        <v>447633</v>
      </c>
      <c r="AU202" s="1">
        <f t="shared" si="644"/>
        <v>268580</v>
      </c>
      <c r="AV202" s="1">
        <f t="shared" si="644"/>
        <v>74606</v>
      </c>
      <c r="AW202" s="1">
        <f t="shared" si="644"/>
        <v>22382</v>
      </c>
      <c r="AX202" s="1">
        <f t="shared" si="644"/>
        <v>596844</v>
      </c>
      <c r="AY202" s="1">
        <f t="shared" si="644"/>
        <v>1342899</v>
      </c>
      <c r="AZ202" s="1">
        <f t="shared" si="454"/>
        <v>15620072</v>
      </c>
      <c r="BA202" s="1">
        <f t="shared" si="455"/>
        <v>7810036</v>
      </c>
      <c r="BC202" s="1">
        <f t="shared" si="456"/>
        <v>191</v>
      </c>
    </row>
    <row r="203" s="1" customFormat="1" spans="2:55">
      <c r="B203" s="4">
        <v>192</v>
      </c>
      <c r="C203" s="1">
        <f t="shared" ref="C203:I203" si="645">C$5+(C$6-C$5)*(POWER(C$7,$B203-1)-1)/(POWER(C$7,$B$3-1)-1)</f>
        <v>15170.3237524579</v>
      </c>
      <c r="D203" s="1">
        <f t="shared" si="645"/>
        <v>4551.09712573738</v>
      </c>
      <c r="E203" s="1">
        <f t="shared" si="645"/>
        <v>3034.06475049159</v>
      </c>
      <c r="F203" s="1">
        <f t="shared" si="645"/>
        <v>55688.5302305418</v>
      </c>
      <c r="G203" s="1">
        <f t="shared" si="645"/>
        <v>16706.5590691625</v>
      </c>
      <c r="H203" s="1">
        <f t="shared" si="645"/>
        <v>11137.7060461084</v>
      </c>
      <c r="I203" s="1">
        <f t="shared" si="645"/>
        <v>0</v>
      </c>
      <c r="J203" s="1">
        <f>[1]标准模型!$I$65/1*$B203/$B$3</f>
        <v>1.3824</v>
      </c>
      <c r="K203" s="1">
        <f>J203*[1]标准模型!$J$63</f>
        <v>1.3824</v>
      </c>
      <c r="L203" s="1">
        <f t="shared" si="433"/>
        <v>70858.8539829997</v>
      </c>
      <c r="M203" s="1">
        <f t="shared" si="434"/>
        <v>27549.0928615192</v>
      </c>
      <c r="N203" s="1">
        <f t="shared" si="435"/>
        <v>18366.0619076796</v>
      </c>
      <c r="O203" s="1">
        <f t="shared" ref="O203:X203" si="646">O$5+(O$6-O$5)*(POWER(O$7,$B203-1)-1)/(POWER(O$7,$B$3-1)-1)</f>
        <v>0.691412239066208</v>
      </c>
      <c r="P203" s="1">
        <f t="shared" si="646"/>
        <v>0.119165874685486</v>
      </c>
      <c r="Q203" s="1">
        <f t="shared" si="646"/>
        <v>0.380276731486414</v>
      </c>
      <c r="R203" s="1">
        <f t="shared" si="646"/>
        <v>1.07656489562648</v>
      </c>
      <c r="S203" s="1">
        <f t="shared" si="646"/>
        <v>0.267977134692691</v>
      </c>
      <c r="T203" s="1">
        <f t="shared" si="646"/>
        <v>2.74650773235821</v>
      </c>
      <c r="U203" s="1">
        <f t="shared" si="646"/>
        <v>1</v>
      </c>
      <c r="V203" s="1">
        <f t="shared" si="646"/>
        <v>1.2087538607252</v>
      </c>
      <c r="W203" s="1">
        <f t="shared" si="646"/>
        <v>1.11779214711767</v>
      </c>
      <c r="X203" s="1">
        <f t="shared" si="646"/>
        <v>1.61251916501186</v>
      </c>
      <c r="Y203" s="1">
        <f t="shared" si="459"/>
        <v>2.30905471119323</v>
      </c>
      <c r="Z203" s="1">
        <f t="shared" si="460"/>
        <v>4.10049278681316</v>
      </c>
      <c r="AA203" s="1">
        <f t="shared" si="437"/>
        <v>290556.219639137</v>
      </c>
      <c r="AB203" s="1">
        <f t="shared" si="438"/>
        <v>27549.0928615192</v>
      </c>
      <c r="AC203" s="1">
        <f t="shared" si="439"/>
        <v>18366.0619076796</v>
      </c>
      <c r="AD203" s="1">
        <f>AC203/(AC203+[1]战斗公式!$M$27)</f>
        <v>0.43350882948954</v>
      </c>
      <c r="AE203" s="1">
        <f t="shared" si="440"/>
        <v>512905.116203876</v>
      </c>
      <c r="AF203" s="1">
        <f t="shared" si="441"/>
        <v>8.06297855870092</v>
      </c>
      <c r="AG203" s="1">
        <f t="shared" si="442"/>
        <v>4.54039540981314</v>
      </c>
      <c r="AH203" s="1">
        <f t="shared" si="443"/>
        <v>4.12326420864905</v>
      </c>
      <c r="AI203" s="1">
        <f t="shared" si="444"/>
        <v>0.989066266163057</v>
      </c>
      <c r="AJ203" s="1">
        <f t="shared" si="445"/>
        <v>1.00006395969598</v>
      </c>
      <c r="AK203" s="1">
        <f t="shared" si="446"/>
        <v>1.01684325215456</v>
      </c>
      <c r="AL203" s="1">
        <f t="shared" si="447"/>
        <v>0.884328428891931</v>
      </c>
      <c r="AM203" s="27">
        <f t="shared" si="448"/>
        <v>263862</v>
      </c>
      <c r="AN203" s="27">
        <f t="shared" si="449"/>
        <v>27248</v>
      </c>
      <c r="AO203" s="27">
        <f t="shared" si="450"/>
        <v>18366</v>
      </c>
      <c r="AP203" s="1">
        <f t="shared" si="451"/>
        <v>151088</v>
      </c>
      <c r="AQ203" s="1">
        <f t="shared" si="452"/>
        <v>24096</v>
      </c>
      <c r="AR203"/>
      <c r="AS203" s="1">
        <f t="shared" ref="AS203:AY203" si="647">ROUNDUP(AS$10*$AP203,0)</f>
        <v>151088</v>
      </c>
      <c r="AT203" s="1">
        <f t="shared" si="647"/>
        <v>453264</v>
      </c>
      <c r="AU203" s="1">
        <f t="shared" si="647"/>
        <v>271959</v>
      </c>
      <c r="AV203" s="1">
        <f t="shared" si="647"/>
        <v>75544</v>
      </c>
      <c r="AW203" s="1">
        <f t="shared" si="647"/>
        <v>22664</v>
      </c>
      <c r="AX203" s="1">
        <f t="shared" si="647"/>
        <v>604352</v>
      </c>
      <c r="AY203" s="1">
        <f t="shared" si="647"/>
        <v>1359792</v>
      </c>
      <c r="AZ203" s="1">
        <f t="shared" si="454"/>
        <v>15832733</v>
      </c>
      <c r="BA203" s="1">
        <f t="shared" si="455"/>
        <v>7916366</v>
      </c>
      <c r="BC203" s="1">
        <f t="shared" si="456"/>
        <v>192</v>
      </c>
    </row>
    <row r="204" s="1" customFormat="1" spans="2:55">
      <c r="B204" s="4">
        <v>193</v>
      </c>
      <c r="C204" s="1">
        <f t="shared" ref="C204:I204" si="648">C$5+(C$6-C$5)*(POWER(C$7,$B204-1)-1)/(POWER(C$7,$B$3-1)-1)</f>
        <v>15249.328333779</v>
      </c>
      <c r="D204" s="1">
        <f t="shared" si="648"/>
        <v>4574.79850013369</v>
      </c>
      <c r="E204" s="1">
        <f t="shared" si="648"/>
        <v>3049.8656667558</v>
      </c>
      <c r="F204" s="1">
        <f t="shared" si="648"/>
        <v>55978.5470480494</v>
      </c>
      <c r="G204" s="1">
        <f t="shared" si="648"/>
        <v>16793.5641144148</v>
      </c>
      <c r="H204" s="1">
        <f t="shared" si="648"/>
        <v>11195.7094096099</v>
      </c>
      <c r="I204" s="1">
        <f t="shared" si="648"/>
        <v>0</v>
      </c>
      <c r="J204" s="1">
        <f>[1]标准模型!$I$65/1*$B204/$B$3</f>
        <v>1.3896</v>
      </c>
      <c r="K204" s="1">
        <f>J204*[1]标准模型!$J$63</f>
        <v>1.3896</v>
      </c>
      <c r="L204" s="1">
        <f t="shared" ref="L204:L267" si="649">C204*(1+I204)+F204</f>
        <v>71227.8753818284</v>
      </c>
      <c r="M204" s="1">
        <f t="shared" ref="M204:M267" si="650">D204*(1+J204)+G204</f>
        <v>27725.5026103343</v>
      </c>
      <c r="N204" s="1">
        <f t="shared" ref="N204:N267" si="651">E204*(1+K204)+H204</f>
        <v>18483.6684068896</v>
      </c>
      <c r="O204" s="1">
        <f t="shared" ref="O204:X204" si="652">O$5+(O$6-O$5)*(POWER(O$7,$B204-1)-1)/(POWER(O$7,$B$3-1)-1)</f>
        <v>0.692414301181844</v>
      </c>
      <c r="P204" s="1">
        <f t="shared" si="652"/>
        <v>0.119883880623044</v>
      </c>
      <c r="Q204" s="1">
        <f t="shared" si="652"/>
        <v>0.380827865650014</v>
      </c>
      <c r="R204" s="1">
        <f t="shared" si="652"/>
        <v>1.07696572047274</v>
      </c>
      <c r="S204" s="1">
        <f t="shared" si="652"/>
        <v>0.269380021654582</v>
      </c>
      <c r="T204" s="1">
        <f t="shared" si="652"/>
        <v>2.75041577460919</v>
      </c>
      <c r="U204" s="1">
        <f t="shared" si="652"/>
        <v>1</v>
      </c>
      <c r="V204" s="1">
        <f t="shared" si="652"/>
        <v>1.20984670795558</v>
      </c>
      <c r="W204" s="1">
        <f t="shared" si="652"/>
        <v>1.11840880072729</v>
      </c>
      <c r="X204" s="1">
        <f t="shared" si="652"/>
        <v>1.6157257637819</v>
      </c>
      <c r="Y204" s="1">
        <f t="shared" si="459"/>
        <v>2.32623632895002</v>
      </c>
      <c r="Z204" s="1">
        <f t="shared" si="460"/>
        <v>4.13385297873257</v>
      </c>
      <c r="AA204" s="1">
        <f t="shared" ref="AA204:AA267" si="653">Z204*L204</f>
        <v>294445.564815964</v>
      </c>
      <c r="AB204" s="1">
        <f t="shared" ref="AB204:AB267" si="654">M204</f>
        <v>27725.5026103343</v>
      </c>
      <c r="AC204" s="1">
        <f t="shared" ref="AC204:AC267" si="655">N204</f>
        <v>18483.6684068896</v>
      </c>
      <c r="AD204" s="1">
        <f>AC204/(AC204+[1]战斗公式!$M$27)</f>
        <v>0.435077033128619</v>
      </c>
      <c r="AE204" s="1">
        <f t="shared" ref="AE204:AE267" si="656">AA204/(1-AD204)</f>
        <v>521213.655813363</v>
      </c>
      <c r="AF204" s="1">
        <f t="shared" ref="AF204:AF267" si="657">AE204/AB204/Y204</f>
        <v>8.08132409330035</v>
      </c>
      <c r="AG204" s="1">
        <f t="shared" ref="AG204:AG267" si="658">AE204/AB204/Z204</f>
        <v>4.54759029616435</v>
      </c>
      <c r="AH204" s="1">
        <f t="shared" ref="AH204:AH267" si="659">AH$5+(AH$6-AH$5)*(POWER(AH$7,$B204-1)-1)/(POWER(AH$7,$B$3-1)-1)</f>
        <v>4.13055738131523</v>
      </c>
      <c r="AI204" s="1">
        <f t="shared" ref="AI204:AI267" si="660">$AI$5+($AI$6-$AI$5)*(POWER($AI$7,$B204-1)-1)/(POWER($AI$7,$B$3-1)-1)</f>
        <v>0.992149479383156</v>
      </c>
      <c r="AJ204" s="1">
        <f t="shared" ref="AJ204:AJ267" si="661">$AJ$5+($AJ$6-$AJ$5)*(POWER($AJ$7,$B204-1)-1)/(POWER($AJ$7,$B$3-1)-1)</f>
        <v>1.00006076171074</v>
      </c>
      <c r="AK204" s="1">
        <f t="shared" ref="AK204:AK267" si="662">$AK$5+($AK$6-$AK$5)*(POWER($AK$7,$B204-1)-1)/(POWER($AK$7,$B$3-1)-1)</f>
        <v>1.01650571730408</v>
      </c>
      <c r="AL204" s="1">
        <f t="shared" ref="AL204:AL267" si="663">$AL$5+($AL$6-$AL$5)*(POWER($AL$7,$B204-1)-1)/(POWER($AL$7,$B$3-1)-1)</f>
        <v>0.884654816068615</v>
      </c>
      <c r="AM204" s="27">
        <f t="shared" ref="AM204:AM267" si="664">ROUND(AA204/AG204*AH204,0)</f>
        <v>267444</v>
      </c>
      <c r="AN204" s="27">
        <f t="shared" ref="AN204:AN267" si="665">ROUND(AB204*AI204,0)</f>
        <v>27508</v>
      </c>
      <c r="AO204" s="27">
        <f t="shared" ref="AO204:AO267" si="666">ROUND(AC204,0)</f>
        <v>18484</v>
      </c>
      <c r="AP204" s="1">
        <f t="shared" ref="AP204:AP267" si="667">ROUND(AA204/$AF204*AH204*AK204,0)</f>
        <v>152982</v>
      </c>
      <c r="AQ204" s="1">
        <f t="shared" ref="AQ204:AQ267" si="668">ROUND(AN204*AL204,0)</f>
        <v>24335</v>
      </c>
      <c r="AR204"/>
      <c r="AS204" s="1">
        <f t="shared" ref="AS204:AY204" si="669">ROUNDUP(AS$10*$AP204,0)</f>
        <v>152982</v>
      </c>
      <c r="AT204" s="1">
        <f t="shared" si="669"/>
        <v>458946</v>
      </c>
      <c r="AU204" s="1">
        <f t="shared" si="669"/>
        <v>275368</v>
      </c>
      <c r="AV204" s="1">
        <f t="shared" si="669"/>
        <v>76491</v>
      </c>
      <c r="AW204" s="1">
        <f t="shared" si="669"/>
        <v>22948</v>
      </c>
      <c r="AX204" s="1">
        <f t="shared" si="669"/>
        <v>611928</v>
      </c>
      <c r="AY204" s="1">
        <f t="shared" si="669"/>
        <v>1376838</v>
      </c>
      <c r="AZ204" s="1">
        <f t="shared" ref="AZ204:AZ267" si="670">ROUND(AM204*$AZ$10*AJ204,0)</f>
        <v>16047615</v>
      </c>
      <c r="BA204" s="1">
        <f t="shared" ref="BA204:BA267" si="671">ROUND(AM204*$BA$10*AJ204,0)</f>
        <v>8023808</v>
      </c>
      <c r="BC204" s="1">
        <f t="shared" ref="BC204:BC267" si="672">B204</f>
        <v>193</v>
      </c>
    </row>
    <row r="205" s="1" customFormat="1" spans="2:55">
      <c r="B205" s="4">
        <v>194</v>
      </c>
      <c r="C205" s="1">
        <f t="shared" ref="C205:I205" si="673">C$5+(C$6-C$5)*(POWER(C$7,$B205-1)-1)/(POWER(C$7,$B$3-1)-1)</f>
        <v>15328.3328360909</v>
      </c>
      <c r="D205" s="1">
        <f t="shared" si="673"/>
        <v>4598.49985082726</v>
      </c>
      <c r="E205" s="1">
        <f t="shared" si="673"/>
        <v>3065.66656721817</v>
      </c>
      <c r="F205" s="1">
        <f t="shared" si="673"/>
        <v>56268.5635755235</v>
      </c>
      <c r="G205" s="1">
        <f t="shared" si="673"/>
        <v>16880.569072657</v>
      </c>
      <c r="H205" s="1">
        <f t="shared" si="673"/>
        <v>11253.7127151047</v>
      </c>
      <c r="I205" s="1">
        <f t="shared" si="673"/>
        <v>0</v>
      </c>
      <c r="J205" s="1">
        <f>[1]标准模型!$I$65/1*$B205/$B$3</f>
        <v>1.3968</v>
      </c>
      <c r="K205" s="1">
        <f>J205*[1]标准模型!$J$63</f>
        <v>1.3968</v>
      </c>
      <c r="L205" s="1">
        <f t="shared" si="649"/>
        <v>71596.8964116144</v>
      </c>
      <c r="M205" s="1">
        <f t="shared" si="650"/>
        <v>27902.2535151198</v>
      </c>
      <c r="N205" s="1">
        <f t="shared" si="651"/>
        <v>18601.5023434132</v>
      </c>
      <c r="O205" s="1">
        <f t="shared" ref="O205:X205" si="674">O$5+(O$6-O$5)*(POWER(O$7,$B205-1)-1)/(POWER(O$7,$B$3-1)-1)</f>
        <v>0.693416362295361</v>
      </c>
      <c r="P205" s="1">
        <f t="shared" si="674"/>
        <v>0.120602963569508</v>
      </c>
      <c r="Q205" s="1">
        <f t="shared" si="674"/>
        <v>0.381378999262449</v>
      </c>
      <c r="R205" s="1">
        <f t="shared" si="674"/>
        <v>1.07736654491814</v>
      </c>
      <c r="S205" s="1">
        <f t="shared" si="674"/>
        <v>0.270782907213506</v>
      </c>
      <c r="T205" s="1">
        <f t="shared" si="674"/>
        <v>2.75432381295191</v>
      </c>
      <c r="U205" s="1">
        <f t="shared" si="674"/>
        <v>1</v>
      </c>
      <c r="V205" s="1">
        <f t="shared" si="674"/>
        <v>1.21093955409306</v>
      </c>
      <c r="W205" s="1">
        <f t="shared" si="674"/>
        <v>1.11902545372022</v>
      </c>
      <c r="X205" s="1">
        <f t="shared" si="674"/>
        <v>1.61893235934516</v>
      </c>
      <c r="Y205" s="1">
        <f t="shared" ref="Y205:Y268" si="675">(1+S205*(T205-1))*U205*X205*(O205+P205)*R205*W205</f>
        <v>2.3435322456633</v>
      </c>
      <c r="Z205" s="1">
        <f t="shared" ref="Z205:Z268" si="676">(1+S205*(T205-1))*(O205+P205+Q205)*U205*V205*X205*R205*W205</f>
        <v>4.16745890558378</v>
      </c>
      <c r="AA205" s="1">
        <f t="shared" si="653"/>
        <v>298377.123562742</v>
      </c>
      <c r="AB205" s="1">
        <f t="shared" si="654"/>
        <v>27902.2535151198</v>
      </c>
      <c r="AC205" s="1">
        <f t="shared" si="655"/>
        <v>18601.5023434132</v>
      </c>
      <c r="AD205" s="1">
        <f>AC205/(AC205+[1]战斗公式!$M$27)</f>
        <v>0.436639585934444</v>
      </c>
      <c r="AE205" s="1">
        <f t="shared" si="656"/>
        <v>529638.072028294</v>
      </c>
      <c r="AF205" s="1">
        <f t="shared" si="657"/>
        <v>8.09970090501484</v>
      </c>
      <c r="AG205" s="1">
        <f t="shared" si="658"/>
        <v>4.55479242415505</v>
      </c>
      <c r="AH205" s="1">
        <f t="shared" si="659"/>
        <v>4.13779585518642</v>
      </c>
      <c r="AI205" s="1">
        <f t="shared" si="660"/>
        <v>0.995238859029696</v>
      </c>
      <c r="AJ205" s="1">
        <f t="shared" si="661"/>
        <v>1.00005772362476</v>
      </c>
      <c r="AK205" s="1">
        <f t="shared" si="662"/>
        <v>1.01617493315061</v>
      </c>
      <c r="AL205" s="1">
        <f t="shared" si="663"/>
        <v>0.884980224083768</v>
      </c>
      <c r="AM205" s="27">
        <f t="shared" si="664"/>
        <v>271060</v>
      </c>
      <c r="AN205" s="27">
        <f t="shared" si="665"/>
        <v>27769</v>
      </c>
      <c r="AO205" s="27">
        <f t="shared" si="666"/>
        <v>18602</v>
      </c>
      <c r="AP205" s="1">
        <f t="shared" si="667"/>
        <v>154894</v>
      </c>
      <c r="AQ205" s="1">
        <f t="shared" si="668"/>
        <v>24575</v>
      </c>
      <c r="AR205"/>
      <c r="AS205" s="1">
        <f t="shared" ref="AS205:AY205" si="677">ROUNDUP(AS$10*$AP205,0)</f>
        <v>154894</v>
      </c>
      <c r="AT205" s="1">
        <f t="shared" si="677"/>
        <v>464682</v>
      </c>
      <c r="AU205" s="1">
        <f t="shared" si="677"/>
        <v>278810</v>
      </c>
      <c r="AV205" s="1">
        <f t="shared" si="677"/>
        <v>77447</v>
      </c>
      <c r="AW205" s="1">
        <f t="shared" si="677"/>
        <v>23235</v>
      </c>
      <c r="AX205" s="1">
        <f t="shared" si="677"/>
        <v>619576</v>
      </c>
      <c r="AY205" s="1">
        <f t="shared" si="677"/>
        <v>1394046</v>
      </c>
      <c r="AZ205" s="1">
        <f t="shared" si="670"/>
        <v>16264539</v>
      </c>
      <c r="BA205" s="1">
        <f t="shared" si="671"/>
        <v>8132269</v>
      </c>
      <c r="BC205" s="1">
        <f t="shared" si="672"/>
        <v>194</v>
      </c>
    </row>
    <row r="206" s="1" customFormat="1" spans="2:55">
      <c r="B206" s="4">
        <v>195</v>
      </c>
      <c r="C206" s="1">
        <f t="shared" ref="C206:I206" si="678">C$5+(C$6-C$5)*(POWER(C$7,$B206-1)-1)/(POWER(C$7,$B$3-1)-1)</f>
        <v>15407.3372593936</v>
      </c>
      <c r="D206" s="1">
        <f t="shared" si="678"/>
        <v>4622.20117781808</v>
      </c>
      <c r="E206" s="1">
        <f t="shared" si="678"/>
        <v>3081.46745187872</v>
      </c>
      <c r="F206" s="1">
        <f t="shared" si="678"/>
        <v>56558.5798129639</v>
      </c>
      <c r="G206" s="1">
        <f t="shared" si="678"/>
        <v>16967.5739438892</v>
      </c>
      <c r="H206" s="1">
        <f t="shared" si="678"/>
        <v>11311.7159625928</v>
      </c>
      <c r="I206" s="1">
        <f t="shared" si="678"/>
        <v>0</v>
      </c>
      <c r="J206" s="1">
        <f>[1]标准模型!$I$65/1*$B206/$B$3</f>
        <v>1.404</v>
      </c>
      <c r="K206" s="1">
        <f>J206*[1]标准模型!$J$63</f>
        <v>1.404</v>
      </c>
      <c r="L206" s="1">
        <f t="shared" si="649"/>
        <v>71965.9170723575</v>
      </c>
      <c r="M206" s="1">
        <f t="shared" si="650"/>
        <v>28079.3455753639</v>
      </c>
      <c r="N206" s="1">
        <f t="shared" si="651"/>
        <v>18719.5637169092</v>
      </c>
      <c r="O206" s="1">
        <f t="shared" ref="O206:X206" si="679">O$5+(O$6-O$5)*(POWER(O$7,$B206-1)-1)/(POWER(O$7,$B$3-1)-1)</f>
        <v>0.694418422406758</v>
      </c>
      <c r="P206" s="1">
        <f t="shared" si="679"/>
        <v>0.121323125140392</v>
      </c>
      <c r="Q206" s="1">
        <f t="shared" si="679"/>
        <v>0.381930132323717</v>
      </c>
      <c r="R206" s="1">
        <f t="shared" si="679"/>
        <v>1.0777673689627</v>
      </c>
      <c r="S206" s="1">
        <f t="shared" si="679"/>
        <v>0.272185791369461</v>
      </c>
      <c r="T206" s="1">
        <f t="shared" si="679"/>
        <v>2.75823184738636</v>
      </c>
      <c r="U206" s="1">
        <f t="shared" si="679"/>
        <v>1</v>
      </c>
      <c r="V206" s="1">
        <f t="shared" si="679"/>
        <v>1.21203239913763</v>
      </c>
      <c r="W206" s="1">
        <f t="shared" si="679"/>
        <v>1.11964210609647</v>
      </c>
      <c r="X206" s="1">
        <f t="shared" si="679"/>
        <v>1.62213895170163</v>
      </c>
      <c r="Y206" s="1">
        <f t="shared" si="675"/>
        <v>2.36094311623266</v>
      </c>
      <c r="Z206" s="1">
        <f t="shared" si="676"/>
        <v>4.20131215511327</v>
      </c>
      <c r="AA206" s="1">
        <f t="shared" si="653"/>
        <v>302351.282149969</v>
      </c>
      <c r="AB206" s="1">
        <f t="shared" si="654"/>
        <v>28079.3455753639</v>
      </c>
      <c r="AC206" s="1">
        <f t="shared" si="655"/>
        <v>18719.5637169092</v>
      </c>
      <c r="AD206" s="1">
        <f>AC206/(AC206+[1]战斗公式!$M$27)</f>
        <v>0.438196509705919</v>
      </c>
      <c r="AE206" s="1">
        <f t="shared" si="656"/>
        <v>538179.785945617</v>
      </c>
      <c r="AF206" s="1">
        <f t="shared" si="657"/>
        <v>8.11810896576418</v>
      </c>
      <c r="AG206" s="1">
        <f t="shared" si="658"/>
        <v>4.56200176800022</v>
      </c>
      <c r="AH206" s="1">
        <f t="shared" si="659"/>
        <v>4.14498004050357</v>
      </c>
      <c r="AI206" s="1">
        <f t="shared" si="660"/>
        <v>0.998334417435529</v>
      </c>
      <c r="AJ206" s="1">
        <f t="shared" si="661"/>
        <v>1.00005483744308</v>
      </c>
      <c r="AK206" s="1">
        <f t="shared" si="662"/>
        <v>1.01585076468021</v>
      </c>
      <c r="AL206" s="1">
        <f t="shared" si="663"/>
        <v>0.885304655874877</v>
      </c>
      <c r="AM206" s="27">
        <f t="shared" si="664"/>
        <v>274713</v>
      </c>
      <c r="AN206" s="27">
        <f t="shared" si="665"/>
        <v>28033</v>
      </c>
      <c r="AO206" s="27">
        <f t="shared" si="666"/>
        <v>18720</v>
      </c>
      <c r="AP206" s="1">
        <f t="shared" si="667"/>
        <v>156823</v>
      </c>
      <c r="AQ206" s="1">
        <f t="shared" si="668"/>
        <v>24818</v>
      </c>
      <c r="AR206"/>
      <c r="AS206" s="1">
        <f t="shared" ref="AS206:AY206" si="680">ROUNDUP(AS$10*$AP206,0)</f>
        <v>156823</v>
      </c>
      <c r="AT206" s="1">
        <f t="shared" si="680"/>
        <v>470469</v>
      </c>
      <c r="AU206" s="1">
        <f t="shared" si="680"/>
        <v>282282</v>
      </c>
      <c r="AV206" s="1">
        <f t="shared" si="680"/>
        <v>78412</v>
      </c>
      <c r="AW206" s="1">
        <f t="shared" si="680"/>
        <v>23524</v>
      </c>
      <c r="AX206" s="1">
        <f t="shared" si="680"/>
        <v>627292</v>
      </c>
      <c r="AY206" s="1">
        <f t="shared" si="680"/>
        <v>1411407</v>
      </c>
      <c r="AZ206" s="1">
        <f t="shared" si="670"/>
        <v>16483684</v>
      </c>
      <c r="BA206" s="1">
        <f t="shared" si="671"/>
        <v>8241842</v>
      </c>
      <c r="BC206" s="1">
        <f t="shared" si="672"/>
        <v>195</v>
      </c>
    </row>
    <row r="207" s="1" customFormat="1" spans="2:55">
      <c r="B207" s="4">
        <v>196</v>
      </c>
      <c r="C207" s="1">
        <f t="shared" ref="C207:I207" si="681">C$5+(C$6-C$5)*(POWER(C$7,$B207-1)-1)/(POWER(C$7,$B$3-1)-1)</f>
        <v>15486.341603696</v>
      </c>
      <c r="D207" s="1">
        <f t="shared" si="681"/>
        <v>4645.90248110879</v>
      </c>
      <c r="E207" s="1">
        <f t="shared" si="681"/>
        <v>3097.26832073919</v>
      </c>
      <c r="F207" s="1">
        <f t="shared" si="681"/>
        <v>56848.5957604029</v>
      </c>
      <c r="G207" s="1">
        <f t="shared" si="681"/>
        <v>17054.5787281209</v>
      </c>
      <c r="H207" s="1">
        <f t="shared" si="681"/>
        <v>11369.7191520806</v>
      </c>
      <c r="I207" s="1">
        <f t="shared" si="681"/>
        <v>0</v>
      </c>
      <c r="J207" s="1">
        <f>[1]标准模型!$I$65/1*$B207/$B$3</f>
        <v>1.4112</v>
      </c>
      <c r="K207" s="1">
        <f>J207*[1]标准模型!$J$63</f>
        <v>1.4112</v>
      </c>
      <c r="L207" s="1">
        <f t="shared" si="649"/>
        <v>72334.9373640989</v>
      </c>
      <c r="M207" s="1">
        <f t="shared" si="650"/>
        <v>28256.7787905704</v>
      </c>
      <c r="N207" s="1">
        <f t="shared" si="651"/>
        <v>18837.8525270469</v>
      </c>
      <c r="O207" s="1">
        <f t="shared" ref="O207:X207" si="682">O$5+(O$6-O$5)*(POWER(O$7,$B207-1)-1)/(POWER(O$7,$B$3-1)-1)</f>
        <v>0.695420481516146</v>
      </c>
      <c r="P207" s="1">
        <f t="shared" si="682"/>
        <v>0.122044366953632</v>
      </c>
      <c r="Q207" s="1">
        <f t="shared" si="682"/>
        <v>0.38248126483388</v>
      </c>
      <c r="R207" s="1">
        <f t="shared" si="682"/>
        <v>1.07816819260646</v>
      </c>
      <c r="S207" s="1">
        <f t="shared" si="682"/>
        <v>0.273588674122604</v>
      </c>
      <c r="T207" s="1">
        <f t="shared" si="682"/>
        <v>2.76213987791297</v>
      </c>
      <c r="U207" s="1">
        <f t="shared" si="682"/>
        <v>1</v>
      </c>
      <c r="V207" s="1">
        <f t="shared" si="682"/>
        <v>1.2131252430894</v>
      </c>
      <c r="W207" s="1">
        <f t="shared" si="682"/>
        <v>1.12025875785609</v>
      </c>
      <c r="X207" s="1">
        <f t="shared" si="682"/>
        <v>1.62534554085167</v>
      </c>
      <c r="Y207" s="1">
        <f t="shared" si="675"/>
        <v>2.37846959852289</v>
      </c>
      <c r="Z207" s="1">
        <f t="shared" si="676"/>
        <v>4.23541432352777</v>
      </c>
      <c r="AA207" s="1">
        <f t="shared" si="653"/>
        <v>306368.429803388</v>
      </c>
      <c r="AB207" s="1">
        <f t="shared" si="654"/>
        <v>28256.7787905704</v>
      </c>
      <c r="AC207" s="1">
        <f t="shared" si="655"/>
        <v>18837.8525270469</v>
      </c>
      <c r="AD207" s="1">
        <f>AC207/(AC207+[1]战斗公式!$M$27)</f>
        <v>0.439747826181369</v>
      </c>
      <c r="AE207" s="1">
        <f t="shared" si="656"/>
        <v>546840.233952519</v>
      </c>
      <c r="AF207" s="1">
        <f t="shared" si="657"/>
        <v>8.13654824757747</v>
      </c>
      <c r="AG207" s="1">
        <f t="shared" si="658"/>
        <v>4.56921830203817</v>
      </c>
      <c r="AH207" s="1">
        <f t="shared" si="659"/>
        <v>4.15211034443085</v>
      </c>
      <c r="AI207" s="1">
        <f t="shared" si="660"/>
        <v>1.00143616695817</v>
      </c>
      <c r="AJ207" s="1">
        <f t="shared" si="661"/>
        <v>1.00005209557049</v>
      </c>
      <c r="AK207" s="1">
        <f t="shared" si="662"/>
        <v>1.01553307957921</v>
      </c>
      <c r="AL207" s="1">
        <f t="shared" si="663"/>
        <v>0.885628114370612</v>
      </c>
      <c r="AM207" s="27">
        <f t="shared" si="664"/>
        <v>278401</v>
      </c>
      <c r="AN207" s="27">
        <f t="shared" si="665"/>
        <v>28297</v>
      </c>
      <c r="AO207" s="27">
        <f t="shared" si="666"/>
        <v>18838</v>
      </c>
      <c r="AP207" s="1">
        <f t="shared" si="667"/>
        <v>158769</v>
      </c>
      <c r="AQ207" s="1">
        <f t="shared" si="668"/>
        <v>25061</v>
      </c>
      <c r="AR207"/>
      <c r="AS207" s="1">
        <f t="shared" ref="AS207:AY207" si="683">ROUNDUP(AS$10*$AP207,0)</f>
        <v>158769</v>
      </c>
      <c r="AT207" s="1">
        <f t="shared" si="683"/>
        <v>476307</v>
      </c>
      <c r="AU207" s="1">
        <f t="shared" si="683"/>
        <v>285785</v>
      </c>
      <c r="AV207" s="1">
        <f t="shared" si="683"/>
        <v>79385</v>
      </c>
      <c r="AW207" s="1">
        <f t="shared" si="683"/>
        <v>23816</v>
      </c>
      <c r="AX207" s="1">
        <f t="shared" si="683"/>
        <v>635076</v>
      </c>
      <c r="AY207" s="1">
        <f t="shared" si="683"/>
        <v>1428921</v>
      </c>
      <c r="AZ207" s="1">
        <f t="shared" si="670"/>
        <v>16704930</v>
      </c>
      <c r="BA207" s="1">
        <f t="shared" si="671"/>
        <v>8352465</v>
      </c>
      <c r="BC207" s="1">
        <f t="shared" si="672"/>
        <v>196</v>
      </c>
    </row>
    <row r="208" s="1" customFormat="1" spans="2:55">
      <c r="B208" s="4">
        <v>197</v>
      </c>
      <c r="C208" s="1">
        <f t="shared" ref="C208:I208" si="684">C$5+(C$6-C$5)*(POWER(C$7,$B208-1)-1)/(POWER(C$7,$B$3-1)-1)</f>
        <v>15565.345868998</v>
      </c>
      <c r="D208" s="1">
        <f t="shared" si="684"/>
        <v>4669.60376069939</v>
      </c>
      <c r="E208" s="1">
        <f t="shared" si="684"/>
        <v>3113.06917379959</v>
      </c>
      <c r="F208" s="1">
        <f t="shared" si="684"/>
        <v>57138.6114178406</v>
      </c>
      <c r="G208" s="1">
        <f t="shared" si="684"/>
        <v>17141.5834253522</v>
      </c>
      <c r="H208" s="1">
        <f t="shared" si="684"/>
        <v>11427.7222835681</v>
      </c>
      <c r="I208" s="1">
        <f t="shared" si="684"/>
        <v>0</v>
      </c>
      <c r="J208" s="1">
        <f>[1]标准模型!$I$65/1*$B208/$B$3</f>
        <v>1.4184</v>
      </c>
      <c r="K208" s="1">
        <f>J208*[1]标准模型!$J$63</f>
        <v>1.4184</v>
      </c>
      <c r="L208" s="1">
        <f t="shared" si="649"/>
        <v>72703.9572868386</v>
      </c>
      <c r="M208" s="1">
        <f t="shared" si="650"/>
        <v>28434.5531602276</v>
      </c>
      <c r="N208" s="1">
        <f t="shared" si="651"/>
        <v>18956.368773485</v>
      </c>
      <c r="O208" s="1">
        <f t="shared" ref="O208:X208" si="685">O$5+(O$6-O$5)*(POWER(O$7,$B208-1)-1)/(POWER(O$7,$B$3-1)-1)</f>
        <v>0.696422539623525</v>
      </c>
      <c r="P208" s="1">
        <f t="shared" si="685"/>
        <v>0.122766690629592</v>
      </c>
      <c r="Q208" s="1">
        <f t="shared" si="685"/>
        <v>0.383032396792939</v>
      </c>
      <c r="R208" s="1">
        <f t="shared" si="685"/>
        <v>1.07856901584941</v>
      </c>
      <c r="S208" s="1">
        <f t="shared" si="685"/>
        <v>0.274991555472935</v>
      </c>
      <c r="T208" s="1">
        <f t="shared" si="685"/>
        <v>2.76604790453175</v>
      </c>
      <c r="U208" s="1">
        <f t="shared" si="685"/>
        <v>1</v>
      </c>
      <c r="V208" s="1">
        <f t="shared" si="685"/>
        <v>1.21421808594839</v>
      </c>
      <c r="W208" s="1">
        <f t="shared" si="685"/>
        <v>1.12087540899909</v>
      </c>
      <c r="X208" s="1">
        <f t="shared" si="685"/>
        <v>1.62855212679528</v>
      </c>
      <c r="Y208" s="1">
        <f t="shared" si="675"/>
        <v>2.39611235337043</v>
      </c>
      <c r="Z208" s="1">
        <f t="shared" si="676"/>
        <v>4.26976701552215</v>
      </c>
      <c r="AA208" s="1">
        <f t="shared" si="653"/>
        <v>310428.958721275</v>
      </c>
      <c r="AB208" s="1">
        <f t="shared" si="654"/>
        <v>28434.5531602276</v>
      </c>
      <c r="AC208" s="1">
        <f t="shared" si="655"/>
        <v>18956.368773485</v>
      </c>
      <c r="AD208" s="1">
        <f>AC208/(AC208+[1]战斗公式!$M$27)</f>
        <v>0.441293557037948</v>
      </c>
      <c r="AE208" s="1">
        <f t="shared" si="656"/>
        <v>555620.867866669</v>
      </c>
      <c r="AF208" s="1">
        <f t="shared" si="657"/>
        <v>8.15501872258621</v>
      </c>
      <c r="AG208" s="1">
        <f t="shared" si="658"/>
        <v>4.57644200072738</v>
      </c>
      <c r="AH208" s="1">
        <f t="shared" si="659"/>
        <v>4.15918717107867</v>
      </c>
      <c r="AI208" s="1">
        <f t="shared" si="660"/>
        <v>1.00454411997986</v>
      </c>
      <c r="AJ208" s="1">
        <f t="shared" si="661"/>
        <v>1.00004949079152</v>
      </c>
      <c r="AK208" s="1">
        <f t="shared" si="662"/>
        <v>1.01522174818024</v>
      </c>
      <c r="AL208" s="1">
        <f t="shared" si="663"/>
        <v>0.88595060249086</v>
      </c>
      <c r="AM208" s="27">
        <f t="shared" si="664"/>
        <v>282126</v>
      </c>
      <c r="AN208" s="27">
        <f t="shared" si="665"/>
        <v>28564</v>
      </c>
      <c r="AO208" s="27">
        <f t="shared" si="666"/>
        <v>18956</v>
      </c>
      <c r="AP208" s="1">
        <f t="shared" si="667"/>
        <v>160734</v>
      </c>
      <c r="AQ208" s="1">
        <f t="shared" si="668"/>
        <v>25306</v>
      </c>
      <c r="AR208"/>
      <c r="AS208" s="1">
        <f t="shared" ref="AS208:AY208" si="686">ROUNDUP(AS$10*$AP208,0)</f>
        <v>160734</v>
      </c>
      <c r="AT208" s="1">
        <f t="shared" si="686"/>
        <v>482202</v>
      </c>
      <c r="AU208" s="1">
        <f t="shared" si="686"/>
        <v>289322</v>
      </c>
      <c r="AV208" s="1">
        <f t="shared" si="686"/>
        <v>80367</v>
      </c>
      <c r="AW208" s="1">
        <f t="shared" si="686"/>
        <v>24111</v>
      </c>
      <c r="AX208" s="1">
        <f t="shared" si="686"/>
        <v>642936</v>
      </c>
      <c r="AY208" s="1">
        <f t="shared" si="686"/>
        <v>1446606</v>
      </c>
      <c r="AZ208" s="1">
        <f t="shared" si="670"/>
        <v>16928398</v>
      </c>
      <c r="BA208" s="1">
        <f t="shared" si="671"/>
        <v>8464199</v>
      </c>
      <c r="BC208" s="1">
        <f t="shared" si="672"/>
        <v>197</v>
      </c>
    </row>
    <row r="209" s="1" customFormat="1" spans="2:55">
      <c r="B209" s="4">
        <v>198</v>
      </c>
      <c r="C209" s="1">
        <f t="shared" ref="C209:I209" si="687">C$5+(C$6-C$5)*(POWER(C$7,$B209-1)-1)/(POWER(C$7,$B$3-1)-1)</f>
        <v>15644.3500552908</v>
      </c>
      <c r="D209" s="1">
        <f t="shared" si="687"/>
        <v>4693.30501658723</v>
      </c>
      <c r="E209" s="1">
        <f t="shared" si="687"/>
        <v>3128.87001105816</v>
      </c>
      <c r="F209" s="1">
        <f t="shared" si="687"/>
        <v>57428.6267852447</v>
      </c>
      <c r="G209" s="1">
        <f t="shared" si="687"/>
        <v>17228.5880355734</v>
      </c>
      <c r="H209" s="1">
        <f t="shared" si="687"/>
        <v>11485.7253570489</v>
      </c>
      <c r="I209" s="1">
        <f t="shared" si="687"/>
        <v>0</v>
      </c>
      <c r="J209" s="1">
        <f>[1]标准模型!$I$65/1*$B209/$B$3</f>
        <v>1.4256</v>
      </c>
      <c r="K209" s="1">
        <f>J209*[1]标准模型!$J$63</f>
        <v>1.4256</v>
      </c>
      <c r="L209" s="1">
        <f t="shared" si="649"/>
        <v>73072.9768405355</v>
      </c>
      <c r="M209" s="1">
        <f t="shared" si="650"/>
        <v>28612.6686838074</v>
      </c>
      <c r="N209" s="1">
        <f t="shared" si="651"/>
        <v>19075.1124558716</v>
      </c>
      <c r="O209" s="1">
        <f t="shared" ref="O209:X209" si="688">O$5+(O$6-O$5)*(POWER(O$7,$B209-1)-1)/(POWER(O$7,$B$3-1)-1)</f>
        <v>0.697424596728784</v>
      </c>
      <c r="P209" s="1">
        <f t="shared" si="688"/>
        <v>0.123490097791066</v>
      </c>
      <c r="Q209" s="1">
        <f t="shared" si="688"/>
        <v>0.383583528200831</v>
      </c>
      <c r="R209" s="1">
        <f t="shared" si="688"/>
        <v>1.07896983869151</v>
      </c>
      <c r="S209" s="1">
        <f t="shared" si="688"/>
        <v>0.276394435420298</v>
      </c>
      <c r="T209" s="1">
        <f t="shared" si="688"/>
        <v>2.76995592724226</v>
      </c>
      <c r="U209" s="1">
        <f t="shared" si="688"/>
        <v>1</v>
      </c>
      <c r="V209" s="1">
        <f t="shared" si="688"/>
        <v>1.21531092771447</v>
      </c>
      <c r="W209" s="1">
        <f t="shared" si="688"/>
        <v>1.12149205952541</v>
      </c>
      <c r="X209" s="1">
        <f t="shared" si="688"/>
        <v>1.63175870953211</v>
      </c>
      <c r="Y209" s="1">
        <f t="shared" si="675"/>
        <v>2.41387204459316</v>
      </c>
      <c r="Z209" s="1">
        <f t="shared" si="676"/>
        <v>4.30437184431434</v>
      </c>
      <c r="AA209" s="1">
        <f t="shared" si="653"/>
        <v>314533.264092635</v>
      </c>
      <c r="AB209" s="1">
        <f t="shared" si="654"/>
        <v>28612.6686838074</v>
      </c>
      <c r="AC209" s="1">
        <f t="shared" si="655"/>
        <v>19075.1124558716</v>
      </c>
      <c r="AD209" s="1">
        <f>AC209/(AC209+[1]战斗公式!$M$27)</f>
        <v>0.442833723891334</v>
      </c>
      <c r="AE209" s="1">
        <f t="shared" si="656"/>
        <v>564523.155079275</v>
      </c>
      <c r="AF209" s="1">
        <f t="shared" si="657"/>
        <v>8.17352036302357</v>
      </c>
      <c r="AG209" s="1">
        <f t="shared" si="658"/>
        <v>4.58367283864584</v>
      </c>
      <c r="AH209" s="1">
        <f t="shared" si="659"/>
        <v>4.16621092152663</v>
      </c>
      <c r="AI209" s="1">
        <f t="shared" si="660"/>
        <v>1.0076582889076</v>
      </c>
      <c r="AJ209" s="1">
        <f t="shared" si="661"/>
        <v>1.00004701625151</v>
      </c>
      <c r="AK209" s="1">
        <f t="shared" si="662"/>
        <v>1.01491664340925</v>
      </c>
      <c r="AL209" s="1">
        <f t="shared" si="663"/>
        <v>0.886272123146747</v>
      </c>
      <c r="AM209" s="27">
        <f t="shared" si="664"/>
        <v>285887</v>
      </c>
      <c r="AN209" s="27">
        <f t="shared" si="665"/>
        <v>28832</v>
      </c>
      <c r="AO209" s="27">
        <f t="shared" si="666"/>
        <v>19075</v>
      </c>
      <c r="AP209" s="1">
        <f t="shared" si="667"/>
        <v>162716</v>
      </c>
      <c r="AQ209" s="1">
        <f t="shared" si="668"/>
        <v>25553</v>
      </c>
      <c r="AR209"/>
      <c r="AS209" s="1">
        <f t="shared" ref="AS209:AY209" si="689">ROUNDUP(AS$10*$AP209,0)</f>
        <v>162716</v>
      </c>
      <c r="AT209" s="1">
        <f t="shared" si="689"/>
        <v>488148</v>
      </c>
      <c r="AU209" s="1">
        <f t="shared" si="689"/>
        <v>292889</v>
      </c>
      <c r="AV209" s="1">
        <f t="shared" si="689"/>
        <v>81358</v>
      </c>
      <c r="AW209" s="1">
        <f t="shared" si="689"/>
        <v>24408</v>
      </c>
      <c r="AX209" s="1">
        <f t="shared" si="689"/>
        <v>650864</v>
      </c>
      <c r="AY209" s="1">
        <f t="shared" si="689"/>
        <v>1464444</v>
      </c>
      <c r="AZ209" s="1">
        <f t="shared" si="670"/>
        <v>17154026</v>
      </c>
      <c r="BA209" s="1">
        <f t="shared" si="671"/>
        <v>8577013</v>
      </c>
      <c r="BC209" s="1">
        <f t="shared" si="672"/>
        <v>198</v>
      </c>
    </row>
    <row r="210" s="1" customFormat="1" spans="2:55">
      <c r="B210" s="4">
        <v>199</v>
      </c>
      <c r="C210" s="1">
        <f t="shared" ref="C210:I210" si="690">C$5+(C$6-C$5)*(POWER(C$7,$B210-1)-1)/(POWER(C$7,$B$3-1)-1)</f>
        <v>15723.3541625745</v>
      </c>
      <c r="D210" s="1">
        <f t="shared" si="690"/>
        <v>4717.00624877234</v>
      </c>
      <c r="E210" s="1">
        <f t="shared" si="690"/>
        <v>3144.67083251489</v>
      </c>
      <c r="F210" s="1">
        <f t="shared" si="690"/>
        <v>57718.6418626151</v>
      </c>
      <c r="G210" s="1">
        <f t="shared" si="690"/>
        <v>17315.5925587845</v>
      </c>
      <c r="H210" s="1">
        <f t="shared" si="690"/>
        <v>11543.728372523</v>
      </c>
      <c r="I210" s="1">
        <f t="shared" si="690"/>
        <v>0</v>
      </c>
      <c r="J210" s="1">
        <f>[1]标准模型!$I$65/1*$B210/$B$3</f>
        <v>1.4328</v>
      </c>
      <c r="K210" s="1">
        <f>J210*[1]标准模型!$J$63</f>
        <v>1.4328</v>
      </c>
      <c r="L210" s="1">
        <f t="shared" si="649"/>
        <v>73441.9960251896</v>
      </c>
      <c r="M210" s="1">
        <f t="shared" si="650"/>
        <v>28791.1253607979</v>
      </c>
      <c r="N210" s="1">
        <f t="shared" si="651"/>
        <v>19194.0835738652</v>
      </c>
      <c r="O210" s="1">
        <f t="shared" ref="O210:X210" si="691">O$5+(O$6-O$5)*(POWER(O$7,$B210-1)-1)/(POWER(O$7,$B$3-1)-1)</f>
        <v>0.698426652831923</v>
      </c>
      <c r="P210" s="1">
        <f t="shared" si="691"/>
        <v>0.124214590063283</v>
      </c>
      <c r="Q210" s="1">
        <f t="shared" si="691"/>
        <v>0.384134659057558</v>
      </c>
      <c r="R210" s="1">
        <f t="shared" si="691"/>
        <v>1.07937066113277</v>
      </c>
      <c r="S210" s="1">
        <f t="shared" si="691"/>
        <v>0.277797313964692</v>
      </c>
      <c r="T210" s="1">
        <f t="shared" si="691"/>
        <v>2.7738639460445</v>
      </c>
      <c r="U210" s="1">
        <f t="shared" si="691"/>
        <v>1</v>
      </c>
      <c r="V210" s="1">
        <f t="shared" si="691"/>
        <v>1.21640376838764</v>
      </c>
      <c r="W210" s="1">
        <f t="shared" si="691"/>
        <v>1.12210870943503</v>
      </c>
      <c r="X210" s="1">
        <f t="shared" si="691"/>
        <v>1.63496528906215</v>
      </c>
      <c r="Y210" s="1">
        <f t="shared" si="675"/>
        <v>2.43174933900378</v>
      </c>
      <c r="Z210" s="1">
        <f t="shared" si="676"/>
        <v>4.33923043168754</v>
      </c>
      <c r="AA210" s="1">
        <f t="shared" si="653"/>
        <v>318681.744116378</v>
      </c>
      <c r="AB210" s="1">
        <f t="shared" si="654"/>
        <v>28791.1253607979</v>
      </c>
      <c r="AC210" s="1">
        <f t="shared" si="655"/>
        <v>19194.0835738652</v>
      </c>
      <c r="AD210" s="1">
        <f>AC210/(AC210+[1]战斗公式!$M$27)</f>
        <v>0.444368348295707</v>
      </c>
      <c r="AE210" s="1">
        <f t="shared" si="656"/>
        <v>573548.578701165</v>
      </c>
      <c r="AF210" s="1">
        <f t="shared" si="657"/>
        <v>8.19205314122937</v>
      </c>
      <c r="AG210" s="1">
        <f t="shared" si="658"/>
        <v>4.59091079049264</v>
      </c>
      <c r="AH210" s="1">
        <f t="shared" si="659"/>
        <v>4.17318199384624</v>
      </c>
      <c r="AI210" s="1">
        <f t="shared" si="660"/>
        <v>1.01077868617318</v>
      </c>
      <c r="AJ210" s="1">
        <f t="shared" si="661"/>
        <v>1.00004466543849</v>
      </c>
      <c r="AK210" s="1">
        <f t="shared" si="662"/>
        <v>1.01461764073368</v>
      </c>
      <c r="AL210" s="1">
        <f t="shared" si="663"/>
        <v>0.886592679240666</v>
      </c>
      <c r="AM210" s="27">
        <f t="shared" si="664"/>
        <v>289685</v>
      </c>
      <c r="AN210" s="27">
        <f t="shared" si="665"/>
        <v>29101</v>
      </c>
      <c r="AO210" s="27">
        <f t="shared" si="666"/>
        <v>19194</v>
      </c>
      <c r="AP210" s="1">
        <f t="shared" si="667"/>
        <v>164715</v>
      </c>
      <c r="AQ210" s="1">
        <f t="shared" si="668"/>
        <v>25801</v>
      </c>
      <c r="AR210"/>
      <c r="AS210" s="1">
        <f t="shared" ref="AS210:AY210" si="692">ROUNDUP(AS$10*$AP210,0)</f>
        <v>164715</v>
      </c>
      <c r="AT210" s="1">
        <f t="shared" si="692"/>
        <v>494145</v>
      </c>
      <c r="AU210" s="1">
        <f t="shared" si="692"/>
        <v>296487</v>
      </c>
      <c r="AV210" s="1">
        <f t="shared" si="692"/>
        <v>82358</v>
      </c>
      <c r="AW210" s="1">
        <f t="shared" si="692"/>
        <v>24708</v>
      </c>
      <c r="AX210" s="1">
        <f t="shared" si="692"/>
        <v>658860</v>
      </c>
      <c r="AY210" s="1">
        <f t="shared" si="692"/>
        <v>1482435</v>
      </c>
      <c r="AZ210" s="1">
        <f t="shared" si="670"/>
        <v>17381876</v>
      </c>
      <c r="BA210" s="1">
        <f t="shared" si="671"/>
        <v>8690938</v>
      </c>
      <c r="BC210" s="1">
        <f t="shared" si="672"/>
        <v>199</v>
      </c>
    </row>
    <row r="211" s="1" customFormat="1" spans="2:55">
      <c r="B211" s="4">
        <v>200</v>
      </c>
      <c r="C211" s="1">
        <f t="shared" ref="C211:I211" si="693">C$5+(C$6-C$5)*(POWER(C$7,$B211-1)-1)/(POWER(C$7,$B$3-1)-1)</f>
        <v>15802.3581908665</v>
      </c>
      <c r="D211" s="1">
        <f t="shared" si="693"/>
        <v>4740.70745725996</v>
      </c>
      <c r="E211" s="1">
        <f t="shared" si="693"/>
        <v>3160.47163817331</v>
      </c>
      <c r="F211" s="1">
        <f t="shared" si="693"/>
        <v>58008.6566500164</v>
      </c>
      <c r="G211" s="1">
        <f t="shared" si="693"/>
        <v>17402.5969950049</v>
      </c>
      <c r="H211" s="1">
        <f t="shared" si="693"/>
        <v>11601.7313300033</v>
      </c>
      <c r="I211" s="1">
        <f t="shared" si="693"/>
        <v>0</v>
      </c>
      <c r="J211" s="1">
        <f>[1]标准模型!$I$65/1*$B211/$B$3</f>
        <v>1.44</v>
      </c>
      <c r="K211" s="1">
        <f>J211*[1]标准模型!$J$63</f>
        <v>1.44</v>
      </c>
      <c r="L211" s="1">
        <f t="shared" si="649"/>
        <v>73811.0148408829</v>
      </c>
      <c r="M211" s="1">
        <f t="shared" si="650"/>
        <v>28969.9231907192</v>
      </c>
      <c r="N211" s="1">
        <f t="shared" si="651"/>
        <v>19313.2821271462</v>
      </c>
      <c r="O211" s="1">
        <f t="shared" ref="O211:X211" si="694">O$5+(O$6-O$5)*(POWER(O$7,$B211-1)-1)/(POWER(O$7,$B$3-1)-1)</f>
        <v>0.699428707933164</v>
      </c>
      <c r="P211" s="1">
        <f t="shared" si="694"/>
        <v>0.124940169073907</v>
      </c>
      <c r="Q211" s="1">
        <f t="shared" si="694"/>
        <v>0.38468578936324</v>
      </c>
      <c r="R211" s="1">
        <f t="shared" si="694"/>
        <v>1.07977148317327</v>
      </c>
      <c r="S211" s="1">
        <f t="shared" si="694"/>
        <v>0.27920019110643</v>
      </c>
      <c r="T211" s="1">
        <f t="shared" si="694"/>
        <v>2.77777196093934</v>
      </c>
      <c r="U211" s="1">
        <f t="shared" si="694"/>
        <v>1</v>
      </c>
      <c r="V211" s="1">
        <f t="shared" si="694"/>
        <v>1.21749660796813</v>
      </c>
      <c r="W211" s="1">
        <f t="shared" si="694"/>
        <v>1.1227253587281</v>
      </c>
      <c r="X211" s="1">
        <f t="shared" si="694"/>
        <v>1.63817186538613</v>
      </c>
      <c r="Y211" s="1">
        <f t="shared" si="675"/>
        <v>2.44974490642156</v>
      </c>
      <c r="Z211" s="1">
        <f t="shared" si="676"/>
        <v>4.37434440802916</v>
      </c>
      <c r="AA211" s="1">
        <f t="shared" si="653"/>
        <v>322874.800020174</v>
      </c>
      <c r="AB211" s="1">
        <f t="shared" si="654"/>
        <v>28969.9231907192</v>
      </c>
      <c r="AC211" s="1">
        <f t="shared" si="655"/>
        <v>19313.2821271462</v>
      </c>
      <c r="AD211" s="1">
        <f>AC211/(AC211+[1]战斗公式!$M$27)</f>
        <v>0.445897451743602</v>
      </c>
      <c r="AE211" s="1">
        <f t="shared" si="656"/>
        <v>582698.637709154</v>
      </c>
      <c r="AF211" s="1">
        <f t="shared" si="657"/>
        <v>8.21061702965208</v>
      </c>
      <c r="AG211" s="1">
        <f t="shared" si="658"/>
        <v>4.59815583108842</v>
      </c>
      <c r="AH211" s="1">
        <f t="shared" si="659"/>
        <v>4.18010078312344</v>
      </c>
      <c r="AI211" s="1">
        <f t="shared" si="660"/>
        <v>1.0139053242333</v>
      </c>
      <c r="AJ211" s="1">
        <f t="shared" si="661"/>
        <v>1.00004243216613</v>
      </c>
      <c r="AK211" s="1">
        <f t="shared" si="662"/>
        <v>1.01432461811161</v>
      </c>
      <c r="AL211" s="1">
        <f t="shared" si="663"/>
        <v>0.886912273666304</v>
      </c>
      <c r="AM211" s="27">
        <f t="shared" si="664"/>
        <v>293520</v>
      </c>
      <c r="AN211" s="27">
        <f t="shared" si="665"/>
        <v>29373</v>
      </c>
      <c r="AO211" s="27">
        <f t="shared" si="666"/>
        <v>19313</v>
      </c>
      <c r="AP211" s="1">
        <f t="shared" si="667"/>
        <v>166733</v>
      </c>
      <c r="AQ211" s="1">
        <f t="shared" si="668"/>
        <v>26051</v>
      </c>
      <c r="AR211"/>
      <c r="AS211" s="1">
        <f t="shared" ref="AS211:AY211" si="695">ROUNDUP(AS$10*$AP211,0)</f>
        <v>166733</v>
      </c>
      <c r="AT211" s="1">
        <f t="shared" si="695"/>
        <v>500199</v>
      </c>
      <c r="AU211" s="1">
        <f t="shared" si="695"/>
        <v>300120</v>
      </c>
      <c r="AV211" s="1">
        <f t="shared" si="695"/>
        <v>83367</v>
      </c>
      <c r="AW211" s="1">
        <f t="shared" si="695"/>
        <v>25010</v>
      </c>
      <c r="AX211" s="1">
        <f t="shared" si="695"/>
        <v>666932</v>
      </c>
      <c r="AY211" s="1">
        <f t="shared" si="695"/>
        <v>1500597</v>
      </c>
      <c r="AZ211" s="1">
        <f t="shared" si="670"/>
        <v>17611947</v>
      </c>
      <c r="BA211" s="1">
        <f t="shared" si="671"/>
        <v>8805974</v>
      </c>
      <c r="BC211" s="1">
        <f t="shared" si="672"/>
        <v>200</v>
      </c>
    </row>
    <row r="212" s="1" customFormat="1" spans="2:55">
      <c r="B212" s="4">
        <v>201</v>
      </c>
      <c r="C212" s="1">
        <f t="shared" ref="C212:I212" si="696">C$5+(C$6-C$5)*(POWER(C$7,$B212-1)-1)/(POWER(C$7,$B$3-1)-1)</f>
        <v>15881.3621401407</v>
      </c>
      <c r="D212" s="1">
        <f t="shared" si="696"/>
        <v>4764.40864204221</v>
      </c>
      <c r="E212" s="1">
        <f t="shared" si="696"/>
        <v>3176.27242802814</v>
      </c>
      <c r="F212" s="1">
        <f t="shared" si="696"/>
        <v>58298.6711473519</v>
      </c>
      <c r="G212" s="1">
        <f t="shared" si="696"/>
        <v>17489.6013442056</v>
      </c>
      <c r="H212" s="1">
        <f t="shared" si="696"/>
        <v>11659.7342294704</v>
      </c>
      <c r="I212" s="1">
        <f t="shared" si="696"/>
        <v>0</v>
      </c>
      <c r="J212" s="1">
        <f>[1]标准模型!$I$65/1*$B212/$B$3</f>
        <v>1.4472</v>
      </c>
      <c r="K212" s="1">
        <f>J212*[1]标准模型!$J$63</f>
        <v>1.4472</v>
      </c>
      <c r="L212" s="1">
        <f t="shared" si="649"/>
        <v>74180.0332874926</v>
      </c>
      <c r="M212" s="1">
        <f t="shared" si="650"/>
        <v>29149.0621730113</v>
      </c>
      <c r="N212" s="1">
        <f t="shared" si="651"/>
        <v>19432.7081153409</v>
      </c>
      <c r="O212" s="1">
        <f t="shared" ref="O212:X212" si="697">O$5+(O$6-O$5)*(POWER(O$7,$B212-1)-1)/(POWER(O$7,$B$3-1)-1)</f>
        <v>0.700430762032174</v>
      </c>
      <c r="P212" s="1">
        <f t="shared" si="697"/>
        <v>0.125666836453048</v>
      </c>
      <c r="Q212" s="1">
        <f t="shared" si="697"/>
        <v>0.385236919117696</v>
      </c>
      <c r="R212" s="1">
        <f t="shared" si="697"/>
        <v>1.08017230481287</v>
      </c>
      <c r="S212" s="1">
        <f t="shared" si="697"/>
        <v>0.280603066845044</v>
      </c>
      <c r="T212" s="1">
        <f t="shared" si="697"/>
        <v>2.78167997192548</v>
      </c>
      <c r="U212" s="1">
        <f t="shared" si="697"/>
        <v>1</v>
      </c>
      <c r="V212" s="1">
        <f t="shared" si="697"/>
        <v>1.2185894464556</v>
      </c>
      <c r="W212" s="1">
        <f t="shared" si="697"/>
        <v>1.12334200740441</v>
      </c>
      <c r="X212" s="1">
        <f t="shared" si="697"/>
        <v>1.64137843850296</v>
      </c>
      <c r="Y212" s="1">
        <f t="shared" si="675"/>
        <v>2.46785941966998</v>
      </c>
      <c r="Z212" s="1">
        <f t="shared" si="676"/>
        <v>4.40971541234094</v>
      </c>
      <c r="AA212" s="1">
        <f t="shared" si="653"/>
        <v>327112.83607582</v>
      </c>
      <c r="AB212" s="1">
        <f t="shared" si="654"/>
        <v>29149.0621730113</v>
      </c>
      <c r="AC212" s="1">
        <f t="shared" si="655"/>
        <v>19432.7081153409</v>
      </c>
      <c r="AD212" s="1">
        <f>AC212/(AC212+[1]战斗公式!$M$27)</f>
        <v>0.44742105566466</v>
      </c>
      <c r="AE212" s="1">
        <f t="shared" si="656"/>
        <v>591974.847085935</v>
      </c>
      <c r="AF212" s="1">
        <f t="shared" si="657"/>
        <v>8.22921200082749</v>
      </c>
      <c r="AG212" s="1">
        <f t="shared" si="658"/>
        <v>4.6054079353666</v>
      </c>
      <c r="AH212" s="1">
        <f t="shared" si="659"/>
        <v>4.18696768148107</v>
      </c>
      <c r="AI212" s="1">
        <f t="shared" si="660"/>
        <v>1.01703821556954</v>
      </c>
      <c r="AJ212" s="1">
        <f t="shared" si="661"/>
        <v>1.00004031055738</v>
      </c>
      <c r="AK212" s="1">
        <f t="shared" si="662"/>
        <v>1.01403745594199</v>
      </c>
      <c r="AL212" s="1">
        <f t="shared" si="663"/>
        <v>0.887230909308665</v>
      </c>
      <c r="AM212" s="27">
        <f t="shared" si="664"/>
        <v>297392</v>
      </c>
      <c r="AN212" s="27">
        <f t="shared" si="665"/>
        <v>29646</v>
      </c>
      <c r="AO212" s="27">
        <f t="shared" si="666"/>
        <v>19433</v>
      </c>
      <c r="AP212" s="1">
        <f t="shared" si="667"/>
        <v>168769</v>
      </c>
      <c r="AQ212" s="1">
        <f t="shared" si="668"/>
        <v>26303</v>
      </c>
      <c r="AR212"/>
      <c r="AS212" s="1">
        <f t="shared" ref="AS212:AY212" si="698">ROUNDUP(AS$10*$AP212,0)</f>
        <v>168769</v>
      </c>
      <c r="AT212" s="1">
        <f t="shared" si="698"/>
        <v>506307</v>
      </c>
      <c r="AU212" s="1">
        <f t="shared" si="698"/>
        <v>303785</v>
      </c>
      <c r="AV212" s="1">
        <f t="shared" si="698"/>
        <v>84385</v>
      </c>
      <c r="AW212" s="1">
        <f t="shared" si="698"/>
        <v>25316</v>
      </c>
      <c r="AX212" s="1">
        <f t="shared" si="698"/>
        <v>675076</v>
      </c>
      <c r="AY212" s="1">
        <f t="shared" si="698"/>
        <v>1518921</v>
      </c>
      <c r="AZ212" s="1">
        <f t="shared" si="670"/>
        <v>17844239</v>
      </c>
      <c r="BA212" s="1">
        <f t="shared" si="671"/>
        <v>8922120</v>
      </c>
      <c r="BC212" s="1">
        <f t="shared" si="672"/>
        <v>201</v>
      </c>
    </row>
    <row r="213" s="1" customFormat="1" spans="2:55">
      <c r="B213" s="4">
        <v>202</v>
      </c>
      <c r="C213" s="1">
        <f t="shared" ref="C213:I213" si="699">C$5+(C$6-C$5)*(POWER(C$7,$B213-1)-1)/(POWER(C$7,$B$3-1)-1)</f>
        <v>15960.3660104232</v>
      </c>
      <c r="D213" s="1">
        <f t="shared" si="699"/>
        <v>4788.10980312697</v>
      </c>
      <c r="E213" s="1">
        <f t="shared" si="699"/>
        <v>3192.07320208465</v>
      </c>
      <c r="F213" s="1">
        <f t="shared" si="699"/>
        <v>58588.6853547182</v>
      </c>
      <c r="G213" s="1">
        <f t="shared" si="699"/>
        <v>17576.6056064155</v>
      </c>
      <c r="H213" s="1">
        <f t="shared" si="699"/>
        <v>11717.7370709436</v>
      </c>
      <c r="I213" s="1">
        <f t="shared" si="699"/>
        <v>0</v>
      </c>
      <c r="J213" s="1">
        <f>[1]标准模型!$I$65/1*$B213/$B$3</f>
        <v>1.4544</v>
      </c>
      <c r="K213" s="1">
        <f>J213*[1]标准模型!$J$63</f>
        <v>1.4544</v>
      </c>
      <c r="L213" s="1">
        <f t="shared" si="649"/>
        <v>74549.0513651414</v>
      </c>
      <c r="M213" s="1">
        <f t="shared" si="650"/>
        <v>29328.5423072103</v>
      </c>
      <c r="N213" s="1">
        <f t="shared" si="651"/>
        <v>19552.3615381402</v>
      </c>
      <c r="O213" s="1">
        <f t="shared" ref="O213:X213" si="700">O$5+(O$6-O$5)*(POWER(O$7,$B213-1)-1)/(POWER(O$7,$B$3-1)-1)</f>
        <v>0.701432815129287</v>
      </c>
      <c r="P213" s="1">
        <f t="shared" si="700"/>
        <v>0.126394593833257</v>
      </c>
      <c r="Q213" s="1">
        <f t="shared" si="700"/>
        <v>0.385788048321108</v>
      </c>
      <c r="R213" s="1">
        <f t="shared" si="700"/>
        <v>1.08057312605171</v>
      </c>
      <c r="S213" s="1">
        <f t="shared" si="700"/>
        <v>0.282005941181001</v>
      </c>
      <c r="T213" s="1">
        <f t="shared" si="700"/>
        <v>2.78558797900422</v>
      </c>
      <c r="U213" s="1">
        <f t="shared" si="700"/>
        <v>1</v>
      </c>
      <c r="V213" s="1">
        <f t="shared" si="700"/>
        <v>1.2196822838504</v>
      </c>
      <c r="W213" s="1">
        <f t="shared" si="700"/>
        <v>1.12395865546418</v>
      </c>
      <c r="X213" s="1">
        <f t="shared" si="700"/>
        <v>1.64458500841372</v>
      </c>
      <c r="Y213" s="1">
        <f t="shared" si="675"/>
        <v>2.48609355460609</v>
      </c>
      <c r="Z213" s="1">
        <f t="shared" si="676"/>
        <v>4.44534509231419</v>
      </c>
      <c r="AA213" s="1">
        <f t="shared" si="653"/>
        <v>331396.25962271</v>
      </c>
      <c r="AB213" s="1">
        <f t="shared" si="654"/>
        <v>29328.5423072103</v>
      </c>
      <c r="AC213" s="1">
        <f t="shared" si="655"/>
        <v>19552.3615381402</v>
      </c>
      <c r="AD213" s="1">
        <f>AC213/(AC213+[1]战斗公式!$M$27)</f>
        <v>0.44893918142688</v>
      </c>
      <c r="AE213" s="1">
        <f t="shared" si="656"/>
        <v>601378.737978151</v>
      </c>
      <c r="AF213" s="1">
        <f t="shared" si="657"/>
        <v>8.24783802741021</v>
      </c>
      <c r="AG213" s="1">
        <f t="shared" si="658"/>
        <v>4.61266707838535</v>
      </c>
      <c r="AH213" s="1">
        <f t="shared" si="659"/>
        <v>4.19378307810101</v>
      </c>
      <c r="AI213" s="1">
        <f t="shared" si="660"/>
        <v>1.02017737268846</v>
      </c>
      <c r="AJ213" s="1">
        <f t="shared" si="661"/>
        <v>1.00003829502907</v>
      </c>
      <c r="AK213" s="1">
        <f t="shared" si="662"/>
        <v>1.01375603701576</v>
      </c>
      <c r="AL213" s="1">
        <f t="shared" si="663"/>
        <v>0.887548589044098</v>
      </c>
      <c r="AM213" s="27">
        <f t="shared" si="664"/>
        <v>301302</v>
      </c>
      <c r="AN213" s="27">
        <f t="shared" si="665"/>
        <v>29920</v>
      </c>
      <c r="AO213" s="27">
        <f t="shared" si="666"/>
        <v>19552</v>
      </c>
      <c r="AP213" s="1">
        <f t="shared" si="667"/>
        <v>170823</v>
      </c>
      <c r="AQ213" s="1">
        <f t="shared" si="668"/>
        <v>26555</v>
      </c>
      <c r="AR213"/>
      <c r="AS213" s="1">
        <f t="shared" ref="AS213:AY213" si="701">ROUNDUP(AS$10*$AP213,0)</f>
        <v>170823</v>
      </c>
      <c r="AT213" s="1">
        <f t="shared" si="701"/>
        <v>512469</v>
      </c>
      <c r="AU213" s="1">
        <f t="shared" si="701"/>
        <v>307482</v>
      </c>
      <c r="AV213" s="1">
        <f t="shared" si="701"/>
        <v>85412</v>
      </c>
      <c r="AW213" s="1">
        <f t="shared" si="701"/>
        <v>25624</v>
      </c>
      <c r="AX213" s="1">
        <f t="shared" si="701"/>
        <v>683292</v>
      </c>
      <c r="AY213" s="1">
        <f t="shared" si="701"/>
        <v>1537407</v>
      </c>
      <c r="AZ213" s="1">
        <f t="shared" si="670"/>
        <v>18078812</v>
      </c>
      <c r="BA213" s="1">
        <f t="shared" si="671"/>
        <v>9039406</v>
      </c>
      <c r="BC213" s="1">
        <f t="shared" si="672"/>
        <v>202</v>
      </c>
    </row>
    <row r="214" s="1" customFormat="1" spans="2:55">
      <c r="B214" s="4">
        <v>203</v>
      </c>
      <c r="C214" s="1">
        <f t="shared" ref="C214:I214" si="702">C$5+(C$6-C$5)*(POWER(C$7,$B214-1)-1)/(POWER(C$7,$B$3-1)-1)</f>
        <v>16039.3698016966</v>
      </c>
      <c r="D214" s="1">
        <f t="shared" si="702"/>
        <v>4811.81094050899</v>
      </c>
      <c r="E214" s="1">
        <f t="shared" si="702"/>
        <v>3207.87396033932</v>
      </c>
      <c r="F214" s="1">
        <f t="shared" si="702"/>
        <v>58878.6992720509</v>
      </c>
      <c r="G214" s="1">
        <f t="shared" si="702"/>
        <v>17663.6097816153</v>
      </c>
      <c r="H214" s="1">
        <f t="shared" si="702"/>
        <v>11775.7398544102</v>
      </c>
      <c r="I214" s="1">
        <f t="shared" si="702"/>
        <v>0</v>
      </c>
      <c r="J214" s="1">
        <f>[1]标准模型!$I$65/1*$B214/$B$3</f>
        <v>1.4616</v>
      </c>
      <c r="K214" s="1">
        <f>J214*[1]标准模型!$J$63</f>
        <v>1.4616</v>
      </c>
      <c r="L214" s="1">
        <f t="shared" si="649"/>
        <v>74918.0690737475</v>
      </c>
      <c r="M214" s="1">
        <f t="shared" si="650"/>
        <v>29508.3635927722</v>
      </c>
      <c r="N214" s="1">
        <f t="shared" si="651"/>
        <v>19672.2423951815</v>
      </c>
      <c r="O214" s="1">
        <f t="shared" ref="O214:X214" si="703">O$5+(O$6-O$5)*(POWER(O$7,$B214-1)-1)/(POWER(O$7,$B$3-1)-1)</f>
        <v>0.702434867224279</v>
      </c>
      <c r="P214" s="1">
        <f t="shared" si="703"/>
        <v>0.127123442849536</v>
      </c>
      <c r="Q214" s="1">
        <f t="shared" si="703"/>
        <v>0.386339176973354</v>
      </c>
      <c r="R214" s="1">
        <f t="shared" si="703"/>
        <v>1.08097394688971</v>
      </c>
      <c r="S214" s="1">
        <f t="shared" si="703"/>
        <v>0.283408814113991</v>
      </c>
      <c r="T214" s="1">
        <f t="shared" si="703"/>
        <v>2.78949598217469</v>
      </c>
      <c r="U214" s="1">
        <f t="shared" si="703"/>
        <v>1</v>
      </c>
      <c r="V214" s="1">
        <f t="shared" si="703"/>
        <v>1.22077512015229</v>
      </c>
      <c r="W214" s="1">
        <f t="shared" si="703"/>
        <v>1.12457530290725</v>
      </c>
      <c r="X214" s="1">
        <f t="shared" si="703"/>
        <v>1.64779157511769</v>
      </c>
      <c r="Y214" s="1">
        <f t="shared" si="675"/>
        <v>2.50444799011108</v>
      </c>
      <c r="Z214" s="1">
        <f t="shared" si="676"/>
        <v>4.48123510432541</v>
      </c>
      <c r="AA214" s="1">
        <f t="shared" si="653"/>
        <v>335725.481081553</v>
      </c>
      <c r="AB214" s="1">
        <f t="shared" si="654"/>
        <v>29508.3635927722</v>
      </c>
      <c r="AC214" s="1">
        <f t="shared" si="655"/>
        <v>19672.2423951815</v>
      </c>
      <c r="AD214" s="1">
        <f>AC214/(AC214+[1]战斗公式!$M$27)</f>
        <v>0.450451850334848</v>
      </c>
      <c r="AE214" s="1">
        <f t="shared" si="656"/>
        <v>610911.857834687</v>
      </c>
      <c r="AF214" s="1">
        <f t="shared" si="657"/>
        <v>8.26649508214048</v>
      </c>
      <c r="AG214" s="1">
        <f t="shared" si="658"/>
        <v>4.61993323531425</v>
      </c>
      <c r="AH214" s="1">
        <f t="shared" si="659"/>
        <v>4.20054735924631</v>
      </c>
      <c r="AI214" s="1">
        <f t="shared" si="660"/>
        <v>1.02332280812161</v>
      </c>
      <c r="AJ214" s="1">
        <f t="shared" si="661"/>
        <v>1.00003638027718</v>
      </c>
      <c r="AK214" s="1">
        <f t="shared" si="662"/>
        <v>1.01348024646806</v>
      </c>
      <c r="AL214" s="1">
        <f t="shared" si="663"/>
        <v>0.887865315740326</v>
      </c>
      <c r="AM214" s="27">
        <f t="shared" si="664"/>
        <v>305249</v>
      </c>
      <c r="AN214" s="27">
        <f t="shared" si="665"/>
        <v>30197</v>
      </c>
      <c r="AO214" s="27">
        <f t="shared" si="666"/>
        <v>19672</v>
      </c>
      <c r="AP214" s="1">
        <f t="shared" si="667"/>
        <v>172896</v>
      </c>
      <c r="AQ214" s="1">
        <f t="shared" si="668"/>
        <v>26811</v>
      </c>
      <c r="AR214"/>
      <c r="AS214" s="1">
        <f t="shared" ref="AS214:AY214" si="704">ROUNDUP(AS$10*$AP214,0)</f>
        <v>172896</v>
      </c>
      <c r="AT214" s="1">
        <f t="shared" si="704"/>
        <v>518688</v>
      </c>
      <c r="AU214" s="1">
        <f t="shared" si="704"/>
        <v>311213</v>
      </c>
      <c r="AV214" s="1">
        <f t="shared" si="704"/>
        <v>86448</v>
      </c>
      <c r="AW214" s="1">
        <f t="shared" si="704"/>
        <v>25935</v>
      </c>
      <c r="AX214" s="1">
        <f t="shared" si="704"/>
        <v>691584</v>
      </c>
      <c r="AY214" s="1">
        <f t="shared" si="704"/>
        <v>1556064</v>
      </c>
      <c r="AZ214" s="1">
        <f t="shared" si="670"/>
        <v>18315606</v>
      </c>
      <c r="BA214" s="1">
        <f t="shared" si="671"/>
        <v>9157803</v>
      </c>
      <c r="BC214" s="1">
        <f t="shared" si="672"/>
        <v>203</v>
      </c>
    </row>
    <row r="215" s="1" customFormat="1" spans="2:55">
      <c r="B215" s="4">
        <v>204</v>
      </c>
      <c r="C215" s="1">
        <f t="shared" ref="C215:I215" si="705">C$5+(C$6-C$5)*(POWER(C$7,$B215-1)-1)/(POWER(C$7,$B$3-1)-1)</f>
        <v>16118.3735139609</v>
      </c>
      <c r="D215" s="1">
        <f t="shared" si="705"/>
        <v>4835.51205418826</v>
      </c>
      <c r="E215" s="1">
        <f t="shared" si="705"/>
        <v>3223.67470279217</v>
      </c>
      <c r="F215" s="1">
        <f t="shared" si="705"/>
        <v>59168.71289935</v>
      </c>
      <c r="G215" s="1">
        <f t="shared" si="705"/>
        <v>17750.613869805</v>
      </c>
      <c r="H215" s="1">
        <f t="shared" si="705"/>
        <v>11833.74257987</v>
      </c>
      <c r="I215" s="1">
        <f t="shared" si="705"/>
        <v>0</v>
      </c>
      <c r="J215" s="1">
        <f>[1]标准模型!$I$65/1*$B215/$B$3</f>
        <v>1.4688</v>
      </c>
      <c r="K215" s="1">
        <f>J215*[1]标准模型!$J$63</f>
        <v>1.4688</v>
      </c>
      <c r="L215" s="1">
        <f t="shared" si="649"/>
        <v>75287.0864133109</v>
      </c>
      <c r="M215" s="1">
        <f t="shared" si="650"/>
        <v>29688.526029185</v>
      </c>
      <c r="N215" s="1">
        <f t="shared" si="651"/>
        <v>19792.3506861233</v>
      </c>
      <c r="O215" s="1">
        <f t="shared" ref="O215:X215" si="706">O$5+(O$6-O$5)*(POWER(O$7,$B215-1)-1)/(POWER(O$7,$B$3-1)-1)</f>
        <v>0.703436918317151</v>
      </c>
      <c r="P215" s="1">
        <f t="shared" si="706"/>
        <v>0.12785338513934</v>
      </c>
      <c r="Q215" s="1">
        <f t="shared" si="706"/>
        <v>0.386890305074433</v>
      </c>
      <c r="R215" s="1">
        <f t="shared" si="706"/>
        <v>1.08137476732686</v>
      </c>
      <c r="S215" s="1">
        <f t="shared" si="706"/>
        <v>0.284811685644012</v>
      </c>
      <c r="T215" s="1">
        <f t="shared" si="706"/>
        <v>2.79340398143689</v>
      </c>
      <c r="U215" s="1">
        <f t="shared" si="706"/>
        <v>1</v>
      </c>
      <c r="V215" s="1">
        <f t="shared" si="706"/>
        <v>1.22186795536127</v>
      </c>
      <c r="W215" s="1">
        <f t="shared" si="706"/>
        <v>1.12519194973363</v>
      </c>
      <c r="X215" s="1">
        <f t="shared" si="706"/>
        <v>1.65099813861488</v>
      </c>
      <c r="Y215" s="1">
        <f t="shared" si="675"/>
        <v>2.52292340811268</v>
      </c>
      <c r="Z215" s="1">
        <f t="shared" si="676"/>
        <v>4.51738711349744</v>
      </c>
      <c r="AA215" s="1">
        <f t="shared" si="653"/>
        <v>340100.913976259</v>
      </c>
      <c r="AB215" s="1">
        <f t="shared" si="654"/>
        <v>29688.526029185</v>
      </c>
      <c r="AC215" s="1">
        <f t="shared" si="655"/>
        <v>19792.3506861233</v>
      </c>
      <c r="AD215" s="1">
        <f>AC215/(AC215+[1]战斗公式!$M$27)</f>
        <v>0.451959083630443</v>
      </c>
      <c r="AE215" s="1">
        <f t="shared" si="656"/>
        <v>620575.770563308</v>
      </c>
      <c r="AF215" s="1">
        <f t="shared" si="657"/>
        <v>8.28518313786401</v>
      </c>
      <c r="AG215" s="1">
        <f t="shared" si="658"/>
        <v>4.62720638144164</v>
      </c>
      <c r="AH215" s="1">
        <f t="shared" si="659"/>
        <v>4.20726090828301</v>
      </c>
      <c r="AI215" s="1">
        <f t="shared" si="660"/>
        <v>1.02647453442562</v>
      </c>
      <c r="AJ215" s="1">
        <f t="shared" si="661"/>
        <v>1.00003456126288</v>
      </c>
      <c r="AK215" s="1">
        <f t="shared" si="662"/>
        <v>1.01320997173131</v>
      </c>
      <c r="AL215" s="1">
        <f t="shared" si="663"/>
        <v>0.888181092256465</v>
      </c>
      <c r="AM215" s="27">
        <f t="shared" si="664"/>
        <v>309235</v>
      </c>
      <c r="AN215" s="27">
        <f t="shared" si="665"/>
        <v>30475</v>
      </c>
      <c r="AO215" s="27">
        <f t="shared" si="666"/>
        <v>19792</v>
      </c>
      <c r="AP215" s="1">
        <f t="shared" si="667"/>
        <v>174987</v>
      </c>
      <c r="AQ215" s="1">
        <f t="shared" si="668"/>
        <v>27067</v>
      </c>
      <c r="AR215"/>
      <c r="AS215" s="1">
        <f t="shared" ref="AS215:AY215" si="707">ROUNDUP(AS$10*$AP215,0)</f>
        <v>174987</v>
      </c>
      <c r="AT215" s="1">
        <f t="shared" si="707"/>
        <v>524961</v>
      </c>
      <c r="AU215" s="1">
        <f t="shared" si="707"/>
        <v>314977</v>
      </c>
      <c r="AV215" s="1">
        <f t="shared" si="707"/>
        <v>87494</v>
      </c>
      <c r="AW215" s="1">
        <f t="shared" si="707"/>
        <v>26249</v>
      </c>
      <c r="AX215" s="1">
        <f t="shared" si="707"/>
        <v>699948</v>
      </c>
      <c r="AY215" s="1">
        <f t="shared" si="707"/>
        <v>1574883</v>
      </c>
      <c r="AZ215" s="1">
        <f t="shared" si="670"/>
        <v>18554741</v>
      </c>
      <c r="BA215" s="1">
        <f t="shared" si="671"/>
        <v>9277371</v>
      </c>
      <c r="BC215" s="1">
        <f t="shared" si="672"/>
        <v>204</v>
      </c>
    </row>
    <row r="216" s="1" customFormat="1" spans="2:55">
      <c r="B216" s="4">
        <v>205</v>
      </c>
      <c r="C216" s="1">
        <f t="shared" ref="C216:I216" si="708">C$5+(C$6-C$5)*(POWER(C$7,$B216-1)-1)/(POWER(C$7,$B$3-1)-1)</f>
        <v>16197.3771472247</v>
      </c>
      <c r="D216" s="1">
        <f t="shared" si="708"/>
        <v>4859.21314416742</v>
      </c>
      <c r="E216" s="1">
        <f t="shared" si="708"/>
        <v>3239.47542944494</v>
      </c>
      <c r="F216" s="1">
        <f t="shared" si="708"/>
        <v>59458.7262366477</v>
      </c>
      <c r="G216" s="1">
        <f t="shared" si="708"/>
        <v>17837.6178709943</v>
      </c>
      <c r="H216" s="1">
        <f t="shared" si="708"/>
        <v>11891.7452473295</v>
      </c>
      <c r="I216" s="1">
        <f t="shared" si="708"/>
        <v>0</v>
      </c>
      <c r="J216" s="1">
        <f>[1]标准模型!$I$65/1*$B216/$B$3</f>
        <v>1.476</v>
      </c>
      <c r="K216" s="1">
        <f>J216*[1]标准模型!$J$63</f>
        <v>1.476</v>
      </c>
      <c r="L216" s="1">
        <f t="shared" si="649"/>
        <v>75656.1033838724</v>
      </c>
      <c r="M216" s="1">
        <f t="shared" si="650"/>
        <v>29869.0296159528</v>
      </c>
      <c r="N216" s="1">
        <f t="shared" si="651"/>
        <v>19912.6864106352</v>
      </c>
      <c r="O216" s="1">
        <f t="shared" ref="O216:X216" si="709">O$5+(O$6-O$5)*(POWER(O$7,$B216-1)-1)/(POWER(O$7,$B$3-1)-1)</f>
        <v>0.704438968408015</v>
      </c>
      <c r="P216" s="1">
        <f t="shared" si="709"/>
        <v>0.128584422342579</v>
      </c>
      <c r="Q216" s="1">
        <f t="shared" si="709"/>
        <v>0.387441432624408</v>
      </c>
      <c r="R216" s="1">
        <f t="shared" si="709"/>
        <v>1.08177558736321</v>
      </c>
      <c r="S216" s="1">
        <f t="shared" si="709"/>
        <v>0.286214555771221</v>
      </c>
      <c r="T216" s="1">
        <f t="shared" si="709"/>
        <v>2.79731197679126</v>
      </c>
      <c r="U216" s="1">
        <f t="shared" si="709"/>
        <v>1</v>
      </c>
      <c r="V216" s="1">
        <f t="shared" si="709"/>
        <v>1.22296078947746</v>
      </c>
      <c r="W216" s="1">
        <f t="shared" si="709"/>
        <v>1.12580859594339</v>
      </c>
      <c r="X216" s="1">
        <f t="shared" si="709"/>
        <v>1.65420469890565</v>
      </c>
      <c r="Y216" s="1">
        <f t="shared" si="675"/>
        <v>2.54152049359359</v>
      </c>
      <c r="Z216" s="1">
        <f t="shared" si="676"/>
        <v>4.55380279373177</v>
      </c>
      <c r="AA216" s="1">
        <f t="shared" si="653"/>
        <v>344522.974952338</v>
      </c>
      <c r="AB216" s="1">
        <f t="shared" si="654"/>
        <v>29869.0296159528</v>
      </c>
      <c r="AC216" s="1">
        <f t="shared" si="655"/>
        <v>19912.6864106352</v>
      </c>
      <c r="AD216" s="1">
        <f>AC216/(AC216+[1]战斗公式!$M$27)</f>
        <v>0.453460902492464</v>
      </c>
      <c r="AE216" s="1">
        <f t="shared" si="656"/>
        <v>630372.05668088</v>
      </c>
      <c r="AF216" s="1">
        <f t="shared" si="657"/>
        <v>8.3039021675279</v>
      </c>
      <c r="AG216" s="1">
        <f t="shared" si="658"/>
        <v>4.63448649217274</v>
      </c>
      <c r="AH216" s="1">
        <f t="shared" si="659"/>
        <v>4.21392410570194</v>
      </c>
      <c r="AI216" s="1">
        <f t="shared" si="660"/>
        <v>1.02963256418225</v>
      </c>
      <c r="AJ216" s="1">
        <f t="shared" si="661"/>
        <v>1.00003283319929</v>
      </c>
      <c r="AK216" s="1">
        <f t="shared" si="662"/>
        <v>1.0129451024893</v>
      </c>
      <c r="AL216" s="1">
        <f t="shared" si="663"/>
        <v>0.888495921443055</v>
      </c>
      <c r="AM216" s="27">
        <f t="shared" si="664"/>
        <v>313259</v>
      </c>
      <c r="AN216" s="27">
        <f t="shared" si="665"/>
        <v>30754</v>
      </c>
      <c r="AO216" s="27">
        <f t="shared" si="666"/>
        <v>19913</v>
      </c>
      <c r="AP216" s="1">
        <f t="shared" si="667"/>
        <v>177096</v>
      </c>
      <c r="AQ216" s="1">
        <f t="shared" si="668"/>
        <v>27325</v>
      </c>
      <c r="AR216"/>
      <c r="AS216" s="1">
        <f t="shared" ref="AS216:AY216" si="710">ROUNDUP(AS$10*$AP216,0)</f>
        <v>177096</v>
      </c>
      <c r="AT216" s="1">
        <f t="shared" si="710"/>
        <v>531288</v>
      </c>
      <c r="AU216" s="1">
        <f t="shared" si="710"/>
        <v>318773</v>
      </c>
      <c r="AV216" s="1">
        <f t="shared" si="710"/>
        <v>88548</v>
      </c>
      <c r="AW216" s="1">
        <f t="shared" si="710"/>
        <v>26565</v>
      </c>
      <c r="AX216" s="1">
        <f t="shared" si="710"/>
        <v>708384</v>
      </c>
      <c r="AY216" s="1">
        <f t="shared" si="710"/>
        <v>1593864</v>
      </c>
      <c r="AZ216" s="1">
        <f t="shared" si="670"/>
        <v>18796157</v>
      </c>
      <c r="BA216" s="1">
        <f t="shared" si="671"/>
        <v>9398079</v>
      </c>
      <c r="BC216" s="1">
        <f t="shared" si="672"/>
        <v>205</v>
      </c>
    </row>
    <row r="217" s="1" customFormat="1" spans="2:55">
      <c r="B217" s="4">
        <v>206</v>
      </c>
      <c r="C217" s="1">
        <f t="shared" ref="C217:I217" si="711">C$5+(C$6-C$5)*(POWER(C$7,$B217-1)-1)/(POWER(C$7,$B$3-1)-1)</f>
        <v>16276.3807014882</v>
      </c>
      <c r="D217" s="1">
        <f t="shared" si="711"/>
        <v>4882.91421044646</v>
      </c>
      <c r="E217" s="1">
        <f t="shared" si="711"/>
        <v>3255.27614029764</v>
      </c>
      <c r="F217" s="1">
        <f t="shared" si="711"/>
        <v>59748.739283944</v>
      </c>
      <c r="G217" s="1">
        <f t="shared" si="711"/>
        <v>17924.6217851832</v>
      </c>
      <c r="H217" s="1">
        <f t="shared" si="711"/>
        <v>11949.7478567888</v>
      </c>
      <c r="I217" s="1">
        <f t="shared" si="711"/>
        <v>0</v>
      </c>
      <c r="J217" s="1">
        <f>[1]标准模型!$I$65/1*$B217/$B$3</f>
        <v>1.4832</v>
      </c>
      <c r="K217" s="1">
        <f>J217*[1]标准模型!$J$63</f>
        <v>1.4832</v>
      </c>
      <c r="L217" s="1">
        <f t="shared" si="649"/>
        <v>76025.1199854322</v>
      </c>
      <c r="M217" s="1">
        <f t="shared" si="650"/>
        <v>30049.8743525638</v>
      </c>
      <c r="N217" s="1">
        <f t="shared" si="651"/>
        <v>20033.2495683759</v>
      </c>
      <c r="O217" s="1">
        <f t="shared" ref="O217:X217" si="712">O$5+(O$6-O$5)*(POWER(O$7,$B217-1)-1)/(POWER(O$7,$B$3-1)-1)</f>
        <v>0.70544101749687</v>
      </c>
      <c r="P217" s="1">
        <f t="shared" si="712"/>
        <v>0.129316556101622</v>
      </c>
      <c r="Q217" s="1">
        <f t="shared" si="712"/>
        <v>0.387992559623278</v>
      </c>
      <c r="R217" s="1">
        <f t="shared" si="712"/>
        <v>1.08217640699875</v>
      </c>
      <c r="S217" s="1">
        <f t="shared" si="712"/>
        <v>0.287617424495618</v>
      </c>
      <c r="T217" s="1">
        <f t="shared" si="712"/>
        <v>2.80121996823779</v>
      </c>
      <c r="U217" s="1">
        <f t="shared" si="712"/>
        <v>1</v>
      </c>
      <c r="V217" s="1">
        <f t="shared" si="712"/>
        <v>1.22405362250086</v>
      </c>
      <c r="W217" s="1">
        <f t="shared" si="712"/>
        <v>1.12642524153654</v>
      </c>
      <c r="X217" s="1">
        <f t="shared" si="712"/>
        <v>1.65741125598998</v>
      </c>
      <c r="Y217" s="1">
        <f t="shared" si="675"/>
        <v>2.56023993459789</v>
      </c>
      <c r="Z217" s="1">
        <f t="shared" si="676"/>
        <v>4.59048382773705</v>
      </c>
      <c r="AA217" s="1">
        <f t="shared" si="653"/>
        <v>348992.083794895</v>
      </c>
      <c r="AB217" s="1">
        <f t="shared" si="654"/>
        <v>30049.8743525638</v>
      </c>
      <c r="AC217" s="1">
        <f t="shared" si="655"/>
        <v>20033.2495683759</v>
      </c>
      <c r="AD217" s="1">
        <f>AC217/(AC217+[1]战斗公式!$M$27)</f>
        <v>0.454957328036119</v>
      </c>
      <c r="AE217" s="1">
        <f t="shared" si="656"/>
        <v>640302.313463674</v>
      </c>
      <c r="AF217" s="1">
        <f t="shared" si="657"/>
        <v>8.32265214417448</v>
      </c>
      <c r="AG217" s="1">
        <f t="shared" si="658"/>
        <v>4.64177354302681</v>
      </c>
      <c r="AH217" s="1">
        <f t="shared" si="659"/>
        <v>4.22053732914023</v>
      </c>
      <c r="AI217" s="1">
        <f t="shared" si="660"/>
        <v>1.03279690999838</v>
      </c>
      <c r="AJ217" s="1">
        <f t="shared" si="661"/>
        <v>1.00003119153889</v>
      </c>
      <c r="AK217" s="1">
        <f t="shared" si="662"/>
        <v>1.01268553063212</v>
      </c>
      <c r="AL217" s="1">
        <f t="shared" si="663"/>
        <v>0.888809806142085</v>
      </c>
      <c r="AM217" s="27">
        <f t="shared" si="664"/>
        <v>317321</v>
      </c>
      <c r="AN217" s="27">
        <f t="shared" si="665"/>
        <v>31035</v>
      </c>
      <c r="AO217" s="27">
        <f t="shared" si="666"/>
        <v>20033</v>
      </c>
      <c r="AP217" s="1">
        <f t="shared" si="667"/>
        <v>179224</v>
      </c>
      <c r="AQ217" s="1">
        <f t="shared" si="668"/>
        <v>27584</v>
      </c>
      <c r="AR217"/>
      <c r="AS217" s="1">
        <f t="shared" ref="AS217:AY217" si="713">ROUNDUP(AS$10*$AP217,0)</f>
        <v>179224</v>
      </c>
      <c r="AT217" s="1">
        <f t="shared" si="713"/>
        <v>537672</v>
      </c>
      <c r="AU217" s="1">
        <f t="shared" si="713"/>
        <v>322604</v>
      </c>
      <c r="AV217" s="1">
        <f t="shared" si="713"/>
        <v>89612</v>
      </c>
      <c r="AW217" s="1">
        <f t="shared" si="713"/>
        <v>26884</v>
      </c>
      <c r="AX217" s="1">
        <f t="shared" si="713"/>
        <v>716896</v>
      </c>
      <c r="AY217" s="1">
        <f t="shared" si="713"/>
        <v>1613016</v>
      </c>
      <c r="AZ217" s="1">
        <f t="shared" si="670"/>
        <v>19039854</v>
      </c>
      <c r="BA217" s="1">
        <f t="shared" si="671"/>
        <v>9519927</v>
      </c>
      <c r="BC217" s="1">
        <f t="shared" si="672"/>
        <v>206</v>
      </c>
    </row>
    <row r="218" s="1" customFormat="1" spans="2:55">
      <c r="B218" s="4">
        <v>207</v>
      </c>
      <c r="C218" s="1">
        <f t="shared" ref="C218:I218" si="714">C$5+(C$6-C$5)*(POWER(C$7,$B218-1)-1)/(POWER(C$7,$B$3-1)-1)</f>
        <v>16355.3841767513</v>
      </c>
      <c r="D218" s="1">
        <f t="shared" si="714"/>
        <v>4906.61525302539</v>
      </c>
      <c r="E218" s="1">
        <f t="shared" si="714"/>
        <v>3271.07683535026</v>
      </c>
      <c r="F218" s="1">
        <f t="shared" si="714"/>
        <v>60038.752041239</v>
      </c>
      <c r="G218" s="1">
        <f t="shared" si="714"/>
        <v>18011.6256123717</v>
      </c>
      <c r="H218" s="1">
        <f t="shared" si="714"/>
        <v>12007.7504082478</v>
      </c>
      <c r="I218" s="1">
        <f t="shared" si="714"/>
        <v>0</v>
      </c>
      <c r="J218" s="1">
        <f>[1]标准模型!$I$65/1*$B218/$B$3</f>
        <v>1.4904</v>
      </c>
      <c r="K218" s="1">
        <f>J218*[1]标准模型!$J$63</f>
        <v>1.4904</v>
      </c>
      <c r="L218" s="1">
        <f t="shared" si="649"/>
        <v>76394.1362179903</v>
      </c>
      <c r="M218" s="1">
        <f t="shared" si="650"/>
        <v>30231.0602385061</v>
      </c>
      <c r="N218" s="1">
        <f t="shared" si="651"/>
        <v>20154.0401590041</v>
      </c>
      <c r="O218" s="1">
        <f t="shared" ref="O218:X218" si="715">O$5+(O$6-O$5)*(POWER(O$7,$B218-1)-1)/(POWER(O$7,$B$3-1)-1)</f>
        <v>0.706443065583716</v>
      </c>
      <c r="P218" s="1">
        <f t="shared" si="715"/>
        <v>0.130049788061304</v>
      </c>
      <c r="Q218" s="1">
        <f t="shared" si="715"/>
        <v>0.388543686071044</v>
      </c>
      <c r="R218" s="1">
        <f t="shared" si="715"/>
        <v>1.08257722623349</v>
      </c>
      <c r="S218" s="1">
        <f t="shared" si="715"/>
        <v>0.289020291817202</v>
      </c>
      <c r="T218" s="1">
        <f t="shared" si="715"/>
        <v>2.80512795577649</v>
      </c>
      <c r="U218" s="1">
        <f t="shared" si="715"/>
        <v>1</v>
      </c>
      <c r="V218" s="1">
        <f t="shared" si="715"/>
        <v>1.22514645443147</v>
      </c>
      <c r="W218" s="1">
        <f t="shared" si="715"/>
        <v>1.12704188651306</v>
      </c>
      <c r="X218" s="1">
        <f t="shared" si="715"/>
        <v>1.66061780986789</v>
      </c>
      <c r="Y218" s="1">
        <f t="shared" si="675"/>
        <v>2.57908242224299</v>
      </c>
      <c r="Z218" s="1">
        <f t="shared" si="676"/>
        <v>4.62743190706877</v>
      </c>
      <c r="AA218" s="1">
        <f t="shared" si="653"/>
        <v>353508.663448086</v>
      </c>
      <c r="AB218" s="1">
        <f t="shared" si="654"/>
        <v>30231.0602385061</v>
      </c>
      <c r="AC218" s="1">
        <f t="shared" si="655"/>
        <v>20154.0401590041</v>
      </c>
      <c r="AD218" s="1">
        <f>AC218/(AC218+[1]战斗公式!$M$27)</f>
        <v>0.456448381312943</v>
      </c>
      <c r="AE218" s="1">
        <f t="shared" si="656"/>
        <v>650368.155101777</v>
      </c>
      <c r="AF218" s="1">
        <f t="shared" si="657"/>
        <v>8.34143304094308</v>
      </c>
      <c r="AG218" s="1">
        <f t="shared" si="658"/>
        <v>4.64906750963747</v>
      </c>
      <c r="AH218" s="1">
        <f t="shared" si="659"/>
        <v>4.22710095340273</v>
      </c>
      <c r="AI218" s="1">
        <f t="shared" si="660"/>
        <v>1.03596758450615</v>
      </c>
      <c r="AJ218" s="1">
        <f t="shared" si="661"/>
        <v>1.0000296319615</v>
      </c>
      <c r="AK218" s="1">
        <f t="shared" si="662"/>
        <v>1.01243115021209</v>
      </c>
      <c r="AL218" s="1">
        <f t="shared" si="663"/>
        <v>0.889122749187019</v>
      </c>
      <c r="AM218" s="27">
        <f t="shared" si="664"/>
        <v>321423</v>
      </c>
      <c r="AN218" s="27">
        <f t="shared" si="665"/>
        <v>31318</v>
      </c>
      <c r="AO218" s="27">
        <f t="shared" si="666"/>
        <v>20154</v>
      </c>
      <c r="AP218" s="1">
        <f t="shared" si="667"/>
        <v>181371</v>
      </c>
      <c r="AQ218" s="1">
        <f t="shared" si="668"/>
        <v>27846</v>
      </c>
      <c r="AR218"/>
      <c r="AS218" s="1">
        <f t="shared" ref="AS218:AY218" si="716">ROUNDUP(AS$10*$AP218,0)</f>
        <v>181371</v>
      </c>
      <c r="AT218" s="1">
        <f t="shared" si="716"/>
        <v>544113</v>
      </c>
      <c r="AU218" s="1">
        <f t="shared" si="716"/>
        <v>326468</v>
      </c>
      <c r="AV218" s="1">
        <f t="shared" si="716"/>
        <v>90686</v>
      </c>
      <c r="AW218" s="1">
        <f t="shared" si="716"/>
        <v>27206</v>
      </c>
      <c r="AX218" s="1">
        <f t="shared" si="716"/>
        <v>725484</v>
      </c>
      <c r="AY218" s="1">
        <f t="shared" si="716"/>
        <v>1632339</v>
      </c>
      <c r="AZ218" s="1">
        <f t="shared" si="670"/>
        <v>19285951</v>
      </c>
      <c r="BA218" s="1">
        <f t="shared" si="671"/>
        <v>9642976</v>
      </c>
      <c r="BC218" s="1">
        <f t="shared" si="672"/>
        <v>207</v>
      </c>
    </row>
    <row r="219" s="1" customFormat="1" spans="2:55">
      <c r="B219" s="4">
        <v>208</v>
      </c>
      <c r="C219" s="1">
        <f t="shared" ref="C219:I219" si="717">C$5+(C$6-C$5)*(POWER(C$7,$B219-1)-1)/(POWER(C$7,$B$3-1)-1)</f>
        <v>16434.3875730053</v>
      </c>
      <c r="D219" s="1">
        <f t="shared" si="717"/>
        <v>4930.31627190158</v>
      </c>
      <c r="E219" s="1">
        <f t="shared" si="717"/>
        <v>3286.87751460105</v>
      </c>
      <c r="F219" s="1">
        <f t="shared" si="717"/>
        <v>60328.7645085003</v>
      </c>
      <c r="G219" s="1">
        <f t="shared" si="717"/>
        <v>18098.6293525501</v>
      </c>
      <c r="H219" s="1">
        <f t="shared" si="717"/>
        <v>12065.7529017001</v>
      </c>
      <c r="I219" s="1">
        <f t="shared" si="717"/>
        <v>0</v>
      </c>
      <c r="J219" s="1">
        <f>[1]标准模型!$I$65/1*$B219/$B$3</f>
        <v>1.4976</v>
      </c>
      <c r="K219" s="1">
        <f>J219*[1]标准模型!$J$63</f>
        <v>1.4976</v>
      </c>
      <c r="L219" s="1">
        <f t="shared" si="649"/>
        <v>76763.1520815056</v>
      </c>
      <c r="M219" s="1">
        <f t="shared" si="650"/>
        <v>30412.5872732515</v>
      </c>
      <c r="N219" s="1">
        <f t="shared" si="651"/>
        <v>20275.0581821677</v>
      </c>
      <c r="O219" s="1">
        <f t="shared" ref="O219:X219" si="718">O$5+(O$6-O$5)*(POWER(O$7,$B219-1)-1)/(POWER(O$7,$B$3-1)-1)</f>
        <v>0.707445112668441</v>
      </c>
      <c r="P219" s="1">
        <f t="shared" si="718"/>
        <v>0.130784119868926</v>
      </c>
      <c r="Q219" s="1">
        <f t="shared" si="718"/>
        <v>0.389094811967643</v>
      </c>
      <c r="R219" s="1">
        <f t="shared" si="718"/>
        <v>1.08297804506738</v>
      </c>
      <c r="S219" s="1">
        <f t="shared" si="718"/>
        <v>0.290423157735818</v>
      </c>
      <c r="T219" s="1">
        <f t="shared" si="718"/>
        <v>2.80903593940692</v>
      </c>
      <c r="U219" s="1">
        <f t="shared" si="718"/>
        <v>1</v>
      </c>
      <c r="V219" s="1">
        <f t="shared" si="718"/>
        <v>1.22623928526917</v>
      </c>
      <c r="W219" s="1">
        <f t="shared" si="718"/>
        <v>1.12765853087289</v>
      </c>
      <c r="X219" s="1">
        <f t="shared" si="718"/>
        <v>1.66382436053901</v>
      </c>
      <c r="Y219" s="1">
        <f t="shared" si="675"/>
        <v>2.59804865072791</v>
      </c>
      <c r="Z219" s="1">
        <f t="shared" si="676"/>
        <v>4.66464873216156</v>
      </c>
      <c r="AA219" s="1">
        <f t="shared" si="653"/>
        <v>358073.14003372</v>
      </c>
      <c r="AB219" s="1">
        <f t="shared" si="654"/>
        <v>30412.5872732515</v>
      </c>
      <c r="AC219" s="1">
        <f t="shared" si="655"/>
        <v>20275.0581821677</v>
      </c>
      <c r="AD219" s="1">
        <f>AC219/(AC219+[1]战斗公式!$M$27)</f>
        <v>0.457934083310447</v>
      </c>
      <c r="AE219" s="1">
        <f t="shared" si="656"/>
        <v>660571.212852685</v>
      </c>
      <c r="AF219" s="1">
        <f t="shared" si="657"/>
        <v>8.36024483106637</v>
      </c>
      <c r="AG219" s="1">
        <f t="shared" si="658"/>
        <v>4.65636836775101</v>
      </c>
      <c r="AH219" s="1">
        <f t="shared" si="659"/>
        <v>4.23361535048326</v>
      </c>
      <c r="AI219" s="1">
        <f t="shared" si="660"/>
        <v>1.03914460036294</v>
      </c>
      <c r="AJ219" s="1">
        <f t="shared" si="661"/>
        <v>1.00002815036299</v>
      </c>
      <c r="AK219" s="1">
        <f t="shared" si="662"/>
        <v>1.01218185740046</v>
      </c>
      <c r="AL219" s="1">
        <f t="shared" si="663"/>
        <v>0.889434753402817</v>
      </c>
      <c r="AM219" s="27">
        <f t="shared" si="664"/>
        <v>325564</v>
      </c>
      <c r="AN219" s="27">
        <f t="shared" si="665"/>
        <v>31603</v>
      </c>
      <c r="AO219" s="27">
        <f t="shared" si="666"/>
        <v>20275</v>
      </c>
      <c r="AP219" s="1">
        <f t="shared" si="667"/>
        <v>183537</v>
      </c>
      <c r="AQ219" s="1">
        <f t="shared" si="668"/>
        <v>28109</v>
      </c>
      <c r="AR219"/>
      <c r="AS219" s="1">
        <f t="shared" ref="AS219:AY219" si="719">ROUNDUP(AS$10*$AP219,0)</f>
        <v>183537</v>
      </c>
      <c r="AT219" s="1">
        <f t="shared" si="719"/>
        <v>550611</v>
      </c>
      <c r="AU219" s="1">
        <f t="shared" si="719"/>
        <v>330367</v>
      </c>
      <c r="AV219" s="1">
        <f t="shared" si="719"/>
        <v>91769</v>
      </c>
      <c r="AW219" s="1">
        <f t="shared" si="719"/>
        <v>27531</v>
      </c>
      <c r="AX219" s="1">
        <f t="shared" si="719"/>
        <v>734148</v>
      </c>
      <c r="AY219" s="1">
        <f t="shared" si="719"/>
        <v>1651833</v>
      </c>
      <c r="AZ219" s="1">
        <f t="shared" si="670"/>
        <v>19534390</v>
      </c>
      <c r="BA219" s="1">
        <f t="shared" si="671"/>
        <v>9767195</v>
      </c>
      <c r="BC219" s="1">
        <f t="shared" si="672"/>
        <v>208</v>
      </c>
    </row>
    <row r="220" s="1" customFormat="1" spans="2:55">
      <c r="B220" s="4">
        <v>209</v>
      </c>
      <c r="C220" s="1">
        <f t="shared" ref="C220:I220" si="720">C$5+(C$6-C$5)*(POWER(C$7,$B220-1)-1)/(POWER(C$7,$B$3-1)-1)</f>
        <v>16513.3908902588</v>
      </c>
      <c r="D220" s="1">
        <f t="shared" si="720"/>
        <v>4954.01726707765</v>
      </c>
      <c r="E220" s="1">
        <f t="shared" si="720"/>
        <v>3302.67817805177</v>
      </c>
      <c r="F220" s="1">
        <f t="shared" si="720"/>
        <v>60618.7766857603</v>
      </c>
      <c r="G220" s="1">
        <f t="shared" si="720"/>
        <v>18185.6330057281</v>
      </c>
      <c r="H220" s="1">
        <f t="shared" si="720"/>
        <v>12123.7553371521</v>
      </c>
      <c r="I220" s="1">
        <f t="shared" si="720"/>
        <v>0</v>
      </c>
      <c r="J220" s="1">
        <f>[1]标准模型!$I$65/1*$B220/$B$3</f>
        <v>1.5048</v>
      </c>
      <c r="K220" s="1">
        <f>J220*[1]标准模型!$J$63</f>
        <v>1.5048</v>
      </c>
      <c r="L220" s="1">
        <f t="shared" si="649"/>
        <v>77132.1675760191</v>
      </c>
      <c r="M220" s="1">
        <f t="shared" si="650"/>
        <v>30594.4554563042</v>
      </c>
      <c r="N220" s="1">
        <f t="shared" si="651"/>
        <v>20396.3036375362</v>
      </c>
      <c r="O220" s="1">
        <f t="shared" ref="O220:X220" si="721">O$5+(O$6-O$5)*(POWER(O$7,$B220-1)-1)/(POWER(O$7,$B$3-1)-1)</f>
        <v>0.708447158751158</v>
      </c>
      <c r="P220" s="1">
        <f t="shared" si="721"/>
        <v>0.131519553174259</v>
      </c>
      <c r="Q220" s="1">
        <f t="shared" si="721"/>
        <v>0.389645937313137</v>
      </c>
      <c r="R220" s="1">
        <f t="shared" si="721"/>
        <v>1.08337886350046</v>
      </c>
      <c r="S220" s="1">
        <f t="shared" si="721"/>
        <v>0.291826022251622</v>
      </c>
      <c r="T220" s="1">
        <f t="shared" si="721"/>
        <v>2.81294391912952</v>
      </c>
      <c r="U220" s="1">
        <f t="shared" si="721"/>
        <v>1</v>
      </c>
      <c r="V220" s="1">
        <f t="shared" si="721"/>
        <v>1.22733211501408</v>
      </c>
      <c r="W220" s="1">
        <f t="shared" si="721"/>
        <v>1.1282751746161</v>
      </c>
      <c r="X220" s="1">
        <f t="shared" si="721"/>
        <v>1.66703090800371</v>
      </c>
      <c r="Y220" s="1">
        <f t="shared" si="675"/>
        <v>2.61713931734902</v>
      </c>
      <c r="Z220" s="1">
        <f t="shared" si="676"/>
        <v>4.70213601237698</v>
      </c>
      <c r="AA220" s="1">
        <f t="shared" si="653"/>
        <v>362685.942871896</v>
      </c>
      <c r="AB220" s="1">
        <f t="shared" si="654"/>
        <v>30594.4554563042</v>
      </c>
      <c r="AC220" s="1">
        <f t="shared" si="655"/>
        <v>20396.3036375362</v>
      </c>
      <c r="AD220" s="1">
        <f>AC220/(AC220+[1]战斗公式!$M$27)</f>
        <v>0.459414454952315</v>
      </c>
      <c r="AE220" s="1">
        <f t="shared" si="656"/>
        <v>670913.135200283</v>
      </c>
      <c r="AF220" s="1">
        <f t="shared" si="657"/>
        <v>8.3790874878785</v>
      </c>
      <c r="AG220" s="1">
        <f t="shared" si="658"/>
        <v>4.66367609322909</v>
      </c>
      <c r="AH220" s="1">
        <f t="shared" si="659"/>
        <v>4.24008088958569</v>
      </c>
      <c r="AI220" s="1">
        <f t="shared" si="660"/>
        <v>1.04232797025144</v>
      </c>
      <c r="AJ220" s="1">
        <f t="shared" si="661"/>
        <v>1.0000267428444</v>
      </c>
      <c r="AK220" s="1">
        <f t="shared" si="662"/>
        <v>1.01193755044506</v>
      </c>
      <c r="AL220" s="1">
        <f t="shared" si="663"/>
        <v>0.889745821605969</v>
      </c>
      <c r="AM220" s="27">
        <f t="shared" si="664"/>
        <v>329744</v>
      </c>
      <c r="AN220" s="27">
        <f t="shared" si="665"/>
        <v>31889</v>
      </c>
      <c r="AO220" s="27">
        <f t="shared" si="666"/>
        <v>20396</v>
      </c>
      <c r="AP220" s="1">
        <f t="shared" si="667"/>
        <v>185721</v>
      </c>
      <c r="AQ220" s="1">
        <f t="shared" si="668"/>
        <v>28373</v>
      </c>
      <c r="AR220"/>
      <c r="AS220" s="1">
        <f t="shared" ref="AS220:AY220" si="722">ROUNDUP(AS$10*$AP220,0)</f>
        <v>185721</v>
      </c>
      <c r="AT220" s="1">
        <f t="shared" si="722"/>
        <v>557163</v>
      </c>
      <c r="AU220" s="1">
        <f t="shared" si="722"/>
        <v>334298</v>
      </c>
      <c r="AV220" s="1">
        <f t="shared" si="722"/>
        <v>92861</v>
      </c>
      <c r="AW220" s="1">
        <f t="shared" si="722"/>
        <v>27859</v>
      </c>
      <c r="AX220" s="1">
        <f t="shared" si="722"/>
        <v>742884</v>
      </c>
      <c r="AY220" s="1">
        <f t="shared" si="722"/>
        <v>1671489</v>
      </c>
      <c r="AZ220" s="1">
        <f t="shared" si="670"/>
        <v>19785169</v>
      </c>
      <c r="BA220" s="1">
        <f t="shared" si="671"/>
        <v>9892585</v>
      </c>
      <c r="BC220" s="1">
        <f t="shared" si="672"/>
        <v>209</v>
      </c>
    </row>
    <row r="221" s="1" customFormat="1" spans="2:55">
      <c r="B221" s="4">
        <v>210</v>
      </c>
      <c r="C221" s="1">
        <f t="shared" ref="C221:I221" si="723">C$5+(C$6-C$5)*(POWER(C$7,$B221-1)-1)/(POWER(C$7,$B$3-1)-1)</f>
        <v>16592.3941285032</v>
      </c>
      <c r="D221" s="1">
        <f t="shared" si="723"/>
        <v>4977.71823855098</v>
      </c>
      <c r="E221" s="1">
        <f t="shared" si="723"/>
        <v>3318.47882570065</v>
      </c>
      <c r="F221" s="1">
        <f t="shared" si="723"/>
        <v>60908.7885729866</v>
      </c>
      <c r="G221" s="1">
        <f t="shared" si="723"/>
        <v>18272.636571896</v>
      </c>
      <c r="H221" s="1">
        <f t="shared" si="723"/>
        <v>12181.7577145973</v>
      </c>
      <c r="I221" s="1">
        <f t="shared" si="723"/>
        <v>0</v>
      </c>
      <c r="J221" s="1">
        <f>[1]标准模型!$I$65/1*$B221/$B$3</f>
        <v>1.512</v>
      </c>
      <c r="K221" s="1">
        <f>J221*[1]标准模型!$J$63</f>
        <v>1.512</v>
      </c>
      <c r="L221" s="1">
        <f t="shared" si="649"/>
        <v>77501.1827014899</v>
      </c>
      <c r="M221" s="1">
        <f t="shared" si="650"/>
        <v>30776.6647871361</v>
      </c>
      <c r="N221" s="1">
        <f t="shared" si="651"/>
        <v>20517.7765247573</v>
      </c>
      <c r="O221" s="1">
        <f t="shared" ref="O221:X221" si="724">O$5+(O$6-O$5)*(POWER(O$7,$B221-1)-1)/(POWER(O$7,$B$3-1)-1)</f>
        <v>0.709449203831755</v>
      </c>
      <c r="P221" s="1">
        <f t="shared" si="724"/>
        <v>0.13225608962955</v>
      </c>
      <c r="Q221" s="1">
        <f t="shared" si="724"/>
        <v>0.390197062107465</v>
      </c>
      <c r="R221" s="1">
        <f t="shared" si="724"/>
        <v>1.0837796815327</v>
      </c>
      <c r="S221" s="1">
        <f t="shared" si="724"/>
        <v>0.293228885364457</v>
      </c>
      <c r="T221" s="1">
        <f t="shared" si="724"/>
        <v>2.81685189494385</v>
      </c>
      <c r="U221" s="1">
        <f t="shared" si="724"/>
        <v>1</v>
      </c>
      <c r="V221" s="1">
        <f t="shared" si="724"/>
        <v>1.22842494366609</v>
      </c>
      <c r="W221" s="1">
        <f t="shared" si="724"/>
        <v>1.12889181774262</v>
      </c>
      <c r="X221" s="1">
        <f t="shared" si="724"/>
        <v>1.67023745226162</v>
      </c>
      <c r="Y221" s="1">
        <f t="shared" si="675"/>
        <v>2.63635512250282</v>
      </c>
      <c r="Z221" s="1">
        <f t="shared" si="676"/>
        <v>4.7398954660245</v>
      </c>
      <c r="AA221" s="1">
        <f t="shared" si="653"/>
        <v>367347.504498328</v>
      </c>
      <c r="AB221" s="1">
        <f t="shared" si="654"/>
        <v>30776.6647871361</v>
      </c>
      <c r="AC221" s="1">
        <f t="shared" si="655"/>
        <v>20517.7765247573</v>
      </c>
      <c r="AD221" s="1">
        <f>AC221/(AC221+[1]战斗公式!$M$27)</f>
        <v>0.460889517097669</v>
      </c>
      <c r="AE221" s="1">
        <f t="shared" si="656"/>
        <v>681395.588007661</v>
      </c>
      <c r="AF221" s="1">
        <f t="shared" si="657"/>
        <v>8.3979609848024</v>
      </c>
      <c r="AG221" s="1">
        <f t="shared" si="658"/>
        <v>4.67099066204347</v>
      </c>
      <c r="AH221" s="1">
        <f t="shared" si="659"/>
        <v>4.24649793714485</v>
      </c>
      <c r="AI221" s="1">
        <f t="shared" si="660"/>
        <v>1.04551770687971</v>
      </c>
      <c r="AJ221" s="1">
        <f t="shared" si="661"/>
        <v>1.00002540570174</v>
      </c>
      <c r="AK221" s="1">
        <f t="shared" si="662"/>
        <v>1.01169812962878</v>
      </c>
      <c r="AL221" s="1">
        <f t="shared" si="663"/>
        <v>0.89005595660451</v>
      </c>
      <c r="AM221" s="27">
        <f t="shared" si="664"/>
        <v>333964</v>
      </c>
      <c r="AN221" s="27">
        <f t="shared" si="665"/>
        <v>32178</v>
      </c>
      <c r="AO221" s="27">
        <f t="shared" si="666"/>
        <v>20518</v>
      </c>
      <c r="AP221" s="1">
        <f t="shared" si="667"/>
        <v>187925</v>
      </c>
      <c r="AQ221" s="1">
        <f t="shared" si="668"/>
        <v>28640</v>
      </c>
      <c r="AR221"/>
      <c r="AS221" s="1">
        <f t="shared" ref="AS221:AY221" si="725">ROUNDUP(AS$10*$AP221,0)</f>
        <v>187925</v>
      </c>
      <c r="AT221" s="1">
        <f t="shared" si="725"/>
        <v>563775</v>
      </c>
      <c r="AU221" s="1">
        <f t="shared" si="725"/>
        <v>338265</v>
      </c>
      <c r="AV221" s="1">
        <f t="shared" si="725"/>
        <v>93963</v>
      </c>
      <c r="AW221" s="1">
        <f t="shared" si="725"/>
        <v>28189</v>
      </c>
      <c r="AX221" s="1">
        <f t="shared" si="725"/>
        <v>751700</v>
      </c>
      <c r="AY221" s="1">
        <f t="shared" si="725"/>
        <v>1691325</v>
      </c>
      <c r="AZ221" s="1">
        <f t="shared" si="670"/>
        <v>20038349</v>
      </c>
      <c r="BA221" s="1">
        <f t="shared" si="671"/>
        <v>10019175</v>
      </c>
      <c r="BC221" s="1">
        <f t="shared" si="672"/>
        <v>210</v>
      </c>
    </row>
    <row r="222" s="1" customFormat="1" spans="2:55">
      <c r="B222" s="4">
        <v>211</v>
      </c>
      <c r="C222" s="1">
        <f t="shared" ref="C222:I222" si="726">C$5+(C$6-C$5)*(POWER(C$7,$B222-1)-1)/(POWER(C$7,$B$3-1)-1)</f>
        <v>16671.3972877473</v>
      </c>
      <c r="D222" s="1">
        <f t="shared" si="726"/>
        <v>5001.41918632419</v>
      </c>
      <c r="E222" s="1">
        <f t="shared" si="726"/>
        <v>3334.27945754946</v>
      </c>
      <c r="F222" s="1">
        <f t="shared" si="726"/>
        <v>61198.8001702116</v>
      </c>
      <c r="G222" s="1">
        <f t="shared" si="726"/>
        <v>18359.6400510635</v>
      </c>
      <c r="H222" s="1">
        <f t="shared" si="726"/>
        <v>12239.7600340423</v>
      </c>
      <c r="I222" s="1">
        <f t="shared" si="726"/>
        <v>0</v>
      </c>
      <c r="J222" s="1">
        <f>[1]标准模型!$I$65/1*$B222/$B$3</f>
        <v>1.5192</v>
      </c>
      <c r="K222" s="1">
        <f>J222*[1]标准模型!$J$63</f>
        <v>1.5192</v>
      </c>
      <c r="L222" s="1">
        <f t="shared" si="649"/>
        <v>77870.1974579589</v>
      </c>
      <c r="M222" s="1">
        <f t="shared" si="650"/>
        <v>30959.2152652514</v>
      </c>
      <c r="N222" s="1">
        <f t="shared" si="651"/>
        <v>20639.4768435009</v>
      </c>
      <c r="O222" s="1">
        <f t="shared" ref="O222:X222" si="727">O$5+(O$6-O$5)*(POWER(O$7,$B222-1)-1)/(POWER(O$7,$B$3-1)-1)</f>
        <v>0.710451247910343</v>
      </c>
      <c r="P222" s="1">
        <f t="shared" si="727"/>
        <v>0.132993730889524</v>
      </c>
      <c r="Q222" s="1">
        <f t="shared" si="727"/>
        <v>0.390748186350689</v>
      </c>
      <c r="R222" s="1">
        <f t="shared" si="727"/>
        <v>1.08418049916414</v>
      </c>
      <c r="S222" s="1">
        <f t="shared" si="727"/>
        <v>0.294631747074481</v>
      </c>
      <c r="T222" s="1">
        <f t="shared" si="727"/>
        <v>2.82075986685034</v>
      </c>
      <c r="U222" s="1">
        <f t="shared" si="727"/>
        <v>1</v>
      </c>
      <c r="V222" s="1">
        <f t="shared" si="727"/>
        <v>1.2295177712253</v>
      </c>
      <c r="W222" s="1">
        <f t="shared" si="727"/>
        <v>1.12950846025252</v>
      </c>
      <c r="X222" s="1">
        <f t="shared" si="727"/>
        <v>1.6734439933131</v>
      </c>
      <c r="Y222" s="1">
        <f t="shared" si="675"/>
        <v>2.65569676970364</v>
      </c>
      <c r="Z222" s="1">
        <f t="shared" si="676"/>
        <v>4.77792882041349</v>
      </c>
      <c r="AA222" s="1">
        <f t="shared" si="653"/>
        <v>372058.260685671</v>
      </c>
      <c r="AB222" s="1">
        <f t="shared" si="654"/>
        <v>30959.2152652514</v>
      </c>
      <c r="AC222" s="1">
        <f t="shared" si="655"/>
        <v>20639.4768435009</v>
      </c>
      <c r="AD222" s="1">
        <f>AC222/(AC222+[1]战斗公式!$M$27)</f>
        <v>0.462359290541413</v>
      </c>
      <c r="AE222" s="1">
        <f t="shared" si="656"/>
        <v>692020.254679635</v>
      </c>
      <c r="AF222" s="1">
        <f t="shared" si="657"/>
        <v>8.41686529536107</v>
      </c>
      <c r="AG222" s="1">
        <f t="shared" si="658"/>
        <v>4.67831205028011</v>
      </c>
      <c r="AH222" s="1">
        <f t="shared" si="659"/>
        <v>4.25286685684732</v>
      </c>
      <c r="AI222" s="1">
        <f t="shared" si="660"/>
        <v>1.04871382298125</v>
      </c>
      <c r="AJ222" s="1">
        <f t="shared" si="661"/>
        <v>1.00002413541621</v>
      </c>
      <c r="AK222" s="1">
        <f t="shared" si="662"/>
        <v>1.01146349722881</v>
      </c>
      <c r="AL222" s="1">
        <f t="shared" si="663"/>
        <v>0.890365161198057</v>
      </c>
      <c r="AM222" s="27">
        <f t="shared" si="664"/>
        <v>338223</v>
      </c>
      <c r="AN222" s="27">
        <f t="shared" si="665"/>
        <v>32467</v>
      </c>
      <c r="AO222" s="27">
        <f t="shared" si="666"/>
        <v>20639</v>
      </c>
      <c r="AP222" s="1">
        <f t="shared" si="667"/>
        <v>190148</v>
      </c>
      <c r="AQ222" s="1">
        <f t="shared" si="668"/>
        <v>28907</v>
      </c>
      <c r="AR222"/>
      <c r="AS222" s="1">
        <f t="shared" ref="AS222:AY222" si="728">ROUNDUP(AS$10*$AP222,0)</f>
        <v>190148</v>
      </c>
      <c r="AT222" s="1">
        <f t="shared" si="728"/>
        <v>570444</v>
      </c>
      <c r="AU222" s="1">
        <f t="shared" si="728"/>
        <v>342267</v>
      </c>
      <c r="AV222" s="1">
        <f t="shared" si="728"/>
        <v>95074</v>
      </c>
      <c r="AW222" s="1">
        <f t="shared" si="728"/>
        <v>28523</v>
      </c>
      <c r="AX222" s="1">
        <f t="shared" si="728"/>
        <v>760592</v>
      </c>
      <c r="AY222" s="1">
        <f t="shared" si="728"/>
        <v>1711332</v>
      </c>
      <c r="AZ222" s="1">
        <f t="shared" si="670"/>
        <v>20293870</v>
      </c>
      <c r="BA222" s="1">
        <f t="shared" si="671"/>
        <v>10146935</v>
      </c>
      <c r="BC222" s="1">
        <f t="shared" si="672"/>
        <v>211</v>
      </c>
    </row>
    <row r="223" s="1" customFormat="1" spans="2:55">
      <c r="B223" s="4">
        <v>212</v>
      </c>
      <c r="C223" s="1">
        <f t="shared" ref="C223:I223" si="729">C$5+(C$6-C$5)*(POWER(C$7,$B223-1)-1)/(POWER(C$7,$B$3-1)-1)</f>
        <v>16750.400367991</v>
      </c>
      <c r="D223" s="1">
        <f t="shared" si="729"/>
        <v>5025.12011039729</v>
      </c>
      <c r="E223" s="1">
        <f t="shared" si="729"/>
        <v>3350.08007359819</v>
      </c>
      <c r="F223" s="1">
        <f t="shared" si="729"/>
        <v>61488.8114774352</v>
      </c>
      <c r="G223" s="1">
        <f t="shared" si="729"/>
        <v>18446.6434432306</v>
      </c>
      <c r="H223" s="1">
        <f t="shared" si="729"/>
        <v>12297.762295487</v>
      </c>
      <c r="I223" s="1">
        <f t="shared" si="729"/>
        <v>0</v>
      </c>
      <c r="J223" s="1">
        <f>[1]标准模型!$I$65/1*$B223/$B$3</f>
        <v>1.5264</v>
      </c>
      <c r="K223" s="1">
        <f>J223*[1]标准模型!$J$63</f>
        <v>1.5264</v>
      </c>
      <c r="L223" s="1">
        <f t="shared" si="649"/>
        <v>78239.2118454262</v>
      </c>
      <c r="M223" s="1">
        <f t="shared" si="650"/>
        <v>31142.1068901383</v>
      </c>
      <c r="N223" s="1">
        <f t="shared" si="651"/>
        <v>20761.4045934255</v>
      </c>
      <c r="O223" s="1">
        <f t="shared" ref="O223:X223" si="730">O$5+(O$6-O$5)*(POWER(O$7,$B223-1)-1)/(POWER(O$7,$B$3-1)-1)</f>
        <v>0.711453290986923</v>
      </c>
      <c r="P223" s="1">
        <f t="shared" si="730"/>
        <v>0.133732478611388</v>
      </c>
      <c r="Q223" s="1">
        <f t="shared" si="730"/>
        <v>0.391299310042807</v>
      </c>
      <c r="R223" s="1">
        <f t="shared" si="730"/>
        <v>1.08458131639477</v>
      </c>
      <c r="S223" s="1">
        <f t="shared" si="730"/>
        <v>0.296034607381692</v>
      </c>
      <c r="T223" s="1">
        <f t="shared" si="730"/>
        <v>2.824667834849</v>
      </c>
      <c r="U223" s="1">
        <f t="shared" si="730"/>
        <v>1</v>
      </c>
      <c r="V223" s="1">
        <f t="shared" si="730"/>
        <v>1.23061059769172</v>
      </c>
      <c r="W223" s="1">
        <f t="shared" si="730"/>
        <v>1.1301251021458</v>
      </c>
      <c r="X223" s="1">
        <f t="shared" si="730"/>
        <v>1.67665053115815</v>
      </c>
      <c r="Y223" s="1">
        <f t="shared" si="675"/>
        <v>2.67516496558832</v>
      </c>
      <c r="Z223" s="1">
        <f t="shared" si="676"/>
        <v>4.8162378118782</v>
      </c>
      <c r="AA223" s="1">
        <f t="shared" si="653"/>
        <v>376818.65046149</v>
      </c>
      <c r="AB223" s="1">
        <f t="shared" si="654"/>
        <v>31142.1068901383</v>
      </c>
      <c r="AC223" s="1">
        <f t="shared" si="655"/>
        <v>20761.4045934255</v>
      </c>
      <c r="AD223" s="1">
        <f>AC223/(AC223+[1]战斗公式!$M$27)</f>
        <v>0.463823796013651</v>
      </c>
      <c r="AE223" s="1">
        <f t="shared" si="656"/>
        <v>702788.836318972</v>
      </c>
      <c r="AF223" s="1">
        <f t="shared" si="657"/>
        <v>8.43580039316758</v>
      </c>
      <c r="AG223" s="1">
        <f t="shared" si="658"/>
        <v>4.68564023413485</v>
      </c>
      <c r="AH223" s="1">
        <f t="shared" si="659"/>
        <v>4.25918800965201</v>
      </c>
      <c r="AI223" s="1">
        <f t="shared" si="660"/>
        <v>1.05191633131498</v>
      </c>
      <c r="AJ223" s="1">
        <f t="shared" si="661"/>
        <v>1.00002292864496</v>
      </c>
      <c r="AK223" s="1">
        <f t="shared" si="662"/>
        <v>1.01123355747685</v>
      </c>
      <c r="AL223" s="1">
        <f t="shared" si="663"/>
        <v>0.890673438177822</v>
      </c>
      <c r="AM223" s="27">
        <f t="shared" si="664"/>
        <v>342523</v>
      </c>
      <c r="AN223" s="27">
        <f t="shared" si="665"/>
        <v>32759</v>
      </c>
      <c r="AO223" s="27">
        <f t="shared" si="666"/>
        <v>20761</v>
      </c>
      <c r="AP223" s="1">
        <f t="shared" si="667"/>
        <v>192391</v>
      </c>
      <c r="AQ223" s="1">
        <f t="shared" si="668"/>
        <v>29178</v>
      </c>
      <c r="AR223"/>
      <c r="AS223" s="1">
        <f t="shared" ref="AS223:AY223" si="731">ROUNDUP(AS$10*$AP223,0)</f>
        <v>192391</v>
      </c>
      <c r="AT223" s="1">
        <f t="shared" si="731"/>
        <v>577173</v>
      </c>
      <c r="AU223" s="1">
        <f t="shared" si="731"/>
        <v>346304</v>
      </c>
      <c r="AV223" s="1">
        <f t="shared" si="731"/>
        <v>96196</v>
      </c>
      <c r="AW223" s="1">
        <f t="shared" si="731"/>
        <v>28859</v>
      </c>
      <c r="AX223" s="1">
        <f t="shared" si="731"/>
        <v>769564</v>
      </c>
      <c r="AY223" s="1">
        <f t="shared" si="731"/>
        <v>1731519</v>
      </c>
      <c r="AZ223" s="1">
        <f t="shared" si="670"/>
        <v>20551851</v>
      </c>
      <c r="BA223" s="1">
        <f t="shared" si="671"/>
        <v>10275926</v>
      </c>
      <c r="BC223" s="1">
        <f t="shared" si="672"/>
        <v>212</v>
      </c>
    </row>
    <row r="224" s="1" customFormat="1" spans="2:55">
      <c r="B224" s="4">
        <v>213</v>
      </c>
      <c r="C224" s="1">
        <f t="shared" ref="C224:I224" si="732">C$5+(C$6-C$5)*(POWER(C$7,$B224-1)-1)/(POWER(C$7,$B$3-1)-1)</f>
        <v>16829.4033692342</v>
      </c>
      <c r="D224" s="1">
        <f t="shared" si="732"/>
        <v>5048.82101077027</v>
      </c>
      <c r="E224" s="1">
        <f t="shared" si="732"/>
        <v>3365.88067384685</v>
      </c>
      <c r="F224" s="1">
        <f t="shared" si="732"/>
        <v>61778.8224946574</v>
      </c>
      <c r="G224" s="1">
        <f t="shared" si="732"/>
        <v>18533.6467483972</v>
      </c>
      <c r="H224" s="1">
        <f t="shared" si="732"/>
        <v>12355.7644989315</v>
      </c>
      <c r="I224" s="1">
        <f t="shared" si="732"/>
        <v>0</v>
      </c>
      <c r="J224" s="1">
        <f>[1]标准模型!$I$65/1*$B224/$B$3</f>
        <v>1.5336</v>
      </c>
      <c r="K224" s="1">
        <f>J224*[1]标准模型!$J$63</f>
        <v>1.5336</v>
      </c>
      <c r="L224" s="1">
        <f t="shared" si="649"/>
        <v>78608.2258638916</v>
      </c>
      <c r="M224" s="1">
        <f t="shared" si="650"/>
        <v>31325.3396612848</v>
      </c>
      <c r="N224" s="1">
        <f t="shared" si="651"/>
        <v>20883.5597741899</v>
      </c>
      <c r="O224" s="1">
        <f t="shared" ref="O224:X224" si="733">O$5+(O$6-O$5)*(POWER(O$7,$B224-1)-1)/(POWER(O$7,$B$3-1)-1)</f>
        <v>0.712455333061493</v>
      </c>
      <c r="P224" s="1">
        <f t="shared" si="733"/>
        <v>0.134472334454835</v>
      </c>
      <c r="Q224" s="1">
        <f t="shared" si="733"/>
        <v>0.391850433183821</v>
      </c>
      <c r="R224" s="1">
        <f t="shared" si="733"/>
        <v>1.0849821332246</v>
      </c>
      <c r="S224" s="1">
        <f t="shared" si="733"/>
        <v>0.29743746628609</v>
      </c>
      <c r="T224" s="1">
        <f t="shared" si="733"/>
        <v>2.82857579893982</v>
      </c>
      <c r="U224" s="1">
        <f t="shared" si="733"/>
        <v>1</v>
      </c>
      <c r="V224" s="1">
        <f t="shared" si="733"/>
        <v>1.23170342306535</v>
      </c>
      <c r="W224" s="1">
        <f t="shared" si="733"/>
        <v>1.13074174342246</v>
      </c>
      <c r="X224" s="1">
        <f t="shared" si="733"/>
        <v>1.67985706579678</v>
      </c>
      <c r="Y224" s="1">
        <f t="shared" si="675"/>
        <v>2.69476041992831</v>
      </c>
      <c r="Z224" s="1">
        <f t="shared" si="676"/>
        <v>4.85482418581836</v>
      </c>
      <c r="AA224" s="1">
        <f t="shared" si="653"/>
        <v>381629.116128293</v>
      </c>
      <c r="AB224" s="1">
        <f t="shared" si="654"/>
        <v>31325.3396612848</v>
      </c>
      <c r="AC224" s="1">
        <f t="shared" si="655"/>
        <v>20883.5597741899</v>
      </c>
      <c r="AD224" s="1">
        <f>AC224/(AC224+[1]战斗公式!$M$27)</f>
        <v>0.465283054179648</v>
      </c>
      <c r="AE224" s="1">
        <f t="shared" si="656"/>
        <v>713703.051888145</v>
      </c>
      <c r="AF224" s="1">
        <f t="shared" si="657"/>
        <v>8.45476625192773</v>
      </c>
      <c r="AG224" s="1">
        <f t="shared" si="658"/>
        <v>4.6929751899141</v>
      </c>
      <c r="AH224" s="1">
        <f t="shared" si="659"/>
        <v>4.26546175381068</v>
      </c>
      <c r="AI224" s="1">
        <f t="shared" si="660"/>
        <v>1.05512524466539</v>
      </c>
      <c r="AJ224" s="1">
        <f t="shared" si="661"/>
        <v>1.00002178221227</v>
      </c>
      <c r="AK224" s="1">
        <f t="shared" si="662"/>
        <v>1.01100821651992</v>
      </c>
      <c r="AL224" s="1">
        <f t="shared" si="663"/>
        <v>0.890980790326648</v>
      </c>
      <c r="AM224" s="27">
        <f t="shared" si="664"/>
        <v>346864</v>
      </c>
      <c r="AN224" s="27">
        <f t="shared" si="665"/>
        <v>33052</v>
      </c>
      <c r="AO224" s="27">
        <f t="shared" si="666"/>
        <v>20884</v>
      </c>
      <c r="AP224" s="1">
        <f t="shared" si="667"/>
        <v>194653</v>
      </c>
      <c r="AQ224" s="1">
        <f t="shared" si="668"/>
        <v>29449</v>
      </c>
      <c r="AR224"/>
      <c r="AS224" s="1">
        <f t="shared" ref="AS224:AY224" si="734">ROUNDUP(AS$10*$AP224,0)</f>
        <v>194653</v>
      </c>
      <c r="AT224" s="1">
        <f t="shared" si="734"/>
        <v>583959</v>
      </c>
      <c r="AU224" s="1">
        <f t="shared" si="734"/>
        <v>350376</v>
      </c>
      <c r="AV224" s="1">
        <f t="shared" si="734"/>
        <v>97327</v>
      </c>
      <c r="AW224" s="1">
        <f t="shared" si="734"/>
        <v>29198</v>
      </c>
      <c r="AX224" s="1">
        <f t="shared" si="734"/>
        <v>778612</v>
      </c>
      <c r="AY224" s="1">
        <f t="shared" si="734"/>
        <v>1751877</v>
      </c>
      <c r="AZ224" s="1">
        <f t="shared" si="670"/>
        <v>20812293</v>
      </c>
      <c r="BA224" s="1">
        <f t="shared" si="671"/>
        <v>10406147</v>
      </c>
      <c r="BC224" s="1">
        <f t="shared" si="672"/>
        <v>213</v>
      </c>
    </row>
    <row r="225" s="1" customFormat="1" spans="2:55">
      <c r="B225" s="4">
        <v>214</v>
      </c>
      <c r="C225" s="1">
        <f t="shared" ref="C225:I225" si="735">C$5+(C$6-C$5)*(POWER(C$7,$B225-1)-1)/(POWER(C$7,$B$3-1)-1)</f>
        <v>16908.4062914684</v>
      </c>
      <c r="D225" s="1">
        <f t="shared" si="735"/>
        <v>5072.52188744051</v>
      </c>
      <c r="E225" s="1">
        <f t="shared" si="735"/>
        <v>3381.68125829368</v>
      </c>
      <c r="F225" s="1">
        <f t="shared" si="735"/>
        <v>62068.8332218459</v>
      </c>
      <c r="G225" s="1">
        <f t="shared" si="735"/>
        <v>18620.6499665538</v>
      </c>
      <c r="H225" s="1">
        <f t="shared" si="735"/>
        <v>12413.7666443692</v>
      </c>
      <c r="I225" s="1">
        <f t="shared" si="735"/>
        <v>0</v>
      </c>
      <c r="J225" s="1">
        <f>[1]标准模型!$I$65/1*$B225/$B$3</f>
        <v>1.5408</v>
      </c>
      <c r="K225" s="1">
        <f>J225*[1]标准模型!$J$63</f>
        <v>1.5408</v>
      </c>
      <c r="L225" s="1">
        <f t="shared" si="649"/>
        <v>78977.2395133143</v>
      </c>
      <c r="M225" s="1">
        <f t="shared" si="650"/>
        <v>31508.9135781626</v>
      </c>
      <c r="N225" s="1">
        <f t="shared" si="651"/>
        <v>21005.9423854418</v>
      </c>
      <c r="O225" s="1">
        <f t="shared" ref="O225:X225" si="736">O$5+(O$6-O$5)*(POWER(O$7,$B225-1)-1)/(POWER(O$7,$B$3-1)-1)</f>
        <v>0.713457374133944</v>
      </c>
      <c r="P225" s="1">
        <f t="shared" si="736"/>
        <v>0.135213300082046</v>
      </c>
      <c r="Q225" s="1">
        <f t="shared" si="736"/>
        <v>0.392401555773669</v>
      </c>
      <c r="R225" s="1">
        <f t="shared" si="736"/>
        <v>1.08538294965358</v>
      </c>
      <c r="S225" s="1">
        <f t="shared" si="736"/>
        <v>0.298840323787521</v>
      </c>
      <c r="T225" s="1">
        <f t="shared" si="736"/>
        <v>2.83248375912238</v>
      </c>
      <c r="U225" s="1">
        <f t="shared" si="736"/>
        <v>1</v>
      </c>
      <c r="V225" s="1">
        <f t="shared" si="736"/>
        <v>1.23279624734608</v>
      </c>
      <c r="W225" s="1">
        <f t="shared" si="736"/>
        <v>1.13135838408243</v>
      </c>
      <c r="X225" s="1">
        <f t="shared" si="736"/>
        <v>1.68306359722862</v>
      </c>
      <c r="Y225" s="1">
        <f t="shared" si="675"/>
        <v>2.71448384563812</v>
      </c>
      <c r="Z225" s="1">
        <f t="shared" si="676"/>
        <v>4.89368969673198</v>
      </c>
      <c r="AA225" s="1">
        <f t="shared" si="653"/>
        <v>386490.10328264</v>
      </c>
      <c r="AB225" s="1">
        <f t="shared" si="654"/>
        <v>31508.9135781626</v>
      </c>
      <c r="AC225" s="1">
        <f t="shared" si="655"/>
        <v>21005.9423854418</v>
      </c>
      <c r="AD225" s="1">
        <f>AC225/(AC225+[1]战斗公式!$M$27)</f>
        <v>0.466737085639532</v>
      </c>
      <c r="AE225" s="1">
        <f t="shared" si="656"/>
        <v>724764.638370081</v>
      </c>
      <c r="AF225" s="1">
        <f t="shared" si="657"/>
        <v>8.47376284543584</v>
      </c>
      <c r="AG225" s="1">
        <f t="shared" si="658"/>
        <v>4.70031689403291</v>
      </c>
      <c r="AH225" s="1">
        <f t="shared" si="659"/>
        <v>4.27168844488815</v>
      </c>
      <c r="AI225" s="1">
        <f t="shared" si="660"/>
        <v>1.05834057584249</v>
      </c>
      <c r="AJ225" s="1">
        <f t="shared" si="661"/>
        <v>1.00002069310122</v>
      </c>
      <c r="AK225" s="1">
        <f t="shared" si="662"/>
        <v>1.01078738238214</v>
      </c>
      <c r="AL225" s="1">
        <f t="shared" si="663"/>
        <v>0.891287220419028</v>
      </c>
      <c r="AM225" s="27">
        <f t="shared" si="664"/>
        <v>351246</v>
      </c>
      <c r="AN225" s="27">
        <f t="shared" si="665"/>
        <v>33347</v>
      </c>
      <c r="AO225" s="27">
        <f t="shared" si="666"/>
        <v>21006</v>
      </c>
      <c r="AP225" s="1">
        <f t="shared" si="667"/>
        <v>196934</v>
      </c>
      <c r="AQ225" s="1">
        <f t="shared" si="668"/>
        <v>29722</v>
      </c>
      <c r="AR225"/>
      <c r="AS225" s="1">
        <f t="shared" ref="AS225:AY225" si="737">ROUNDUP(AS$10*$AP225,0)</f>
        <v>196934</v>
      </c>
      <c r="AT225" s="1">
        <f t="shared" si="737"/>
        <v>590802</v>
      </c>
      <c r="AU225" s="1">
        <f t="shared" si="737"/>
        <v>354482</v>
      </c>
      <c r="AV225" s="1">
        <f t="shared" si="737"/>
        <v>98467</v>
      </c>
      <c r="AW225" s="1">
        <f t="shared" si="737"/>
        <v>29541</v>
      </c>
      <c r="AX225" s="1">
        <f t="shared" si="737"/>
        <v>787736</v>
      </c>
      <c r="AY225" s="1">
        <f t="shared" si="737"/>
        <v>1772406</v>
      </c>
      <c r="AZ225" s="1">
        <f t="shared" si="670"/>
        <v>21075196</v>
      </c>
      <c r="BA225" s="1">
        <f t="shared" si="671"/>
        <v>10537598</v>
      </c>
      <c r="BC225" s="1">
        <f t="shared" si="672"/>
        <v>214</v>
      </c>
    </row>
    <row r="226" s="1" customFormat="1" spans="2:55">
      <c r="B226" s="4">
        <v>215</v>
      </c>
      <c r="C226" s="1">
        <f t="shared" ref="C226:I226" si="738">C$5+(C$6-C$5)*(POWER(C$7,$B226-1)-1)/(POWER(C$7,$B$3-1)-1)</f>
        <v>16987.4091347021</v>
      </c>
      <c r="D226" s="1">
        <f t="shared" si="738"/>
        <v>5096.22274041064</v>
      </c>
      <c r="E226" s="1">
        <f t="shared" si="738"/>
        <v>3397.48182694043</v>
      </c>
      <c r="F226" s="1">
        <f t="shared" si="738"/>
        <v>62358.8436590331</v>
      </c>
      <c r="G226" s="1">
        <f t="shared" si="738"/>
        <v>18707.6530977099</v>
      </c>
      <c r="H226" s="1">
        <f t="shared" si="738"/>
        <v>12471.7687318066</v>
      </c>
      <c r="I226" s="1">
        <f t="shared" si="738"/>
        <v>0</v>
      </c>
      <c r="J226" s="1">
        <f>[1]标准模型!$I$65/1*$B226/$B$3</f>
        <v>1.548</v>
      </c>
      <c r="K226" s="1">
        <f>J226*[1]标准模型!$J$63</f>
        <v>1.548</v>
      </c>
      <c r="L226" s="1">
        <f t="shared" si="649"/>
        <v>79346.2527937352</v>
      </c>
      <c r="M226" s="1">
        <f t="shared" si="650"/>
        <v>31692.8286402762</v>
      </c>
      <c r="N226" s="1">
        <f t="shared" si="651"/>
        <v>21128.5524268508</v>
      </c>
      <c r="O226" s="1">
        <f t="shared" ref="O226:X226" si="739">O$5+(O$6-O$5)*(POWER(O$7,$B226-1)-1)/(POWER(O$7,$B$3-1)-1)</f>
        <v>0.714459414204385</v>
      </c>
      <c r="P226" s="1">
        <f t="shared" si="739"/>
        <v>0.135955377157699</v>
      </c>
      <c r="Q226" s="1">
        <f t="shared" si="739"/>
        <v>0.392952677812412</v>
      </c>
      <c r="R226" s="1">
        <f t="shared" si="739"/>
        <v>1.08578376568175</v>
      </c>
      <c r="S226" s="1">
        <f t="shared" si="739"/>
        <v>0.300243179886139</v>
      </c>
      <c r="T226" s="1">
        <f t="shared" si="739"/>
        <v>2.8363917153971</v>
      </c>
      <c r="U226" s="1">
        <f t="shared" si="739"/>
        <v>1</v>
      </c>
      <c r="V226" s="1">
        <f t="shared" si="739"/>
        <v>1.23388907053401</v>
      </c>
      <c r="W226" s="1">
        <f t="shared" si="739"/>
        <v>1.13197502412578</v>
      </c>
      <c r="X226" s="1">
        <f t="shared" si="739"/>
        <v>1.68627012545403</v>
      </c>
      <c r="Y226" s="1">
        <f t="shared" si="675"/>
        <v>2.73433595879137</v>
      </c>
      <c r="Z226" s="1">
        <f t="shared" si="676"/>
        <v>4.93283610826428</v>
      </c>
      <c r="AA226" s="1">
        <f t="shared" si="653"/>
        <v>391402.060836403</v>
      </c>
      <c r="AB226" s="1">
        <f t="shared" si="654"/>
        <v>31692.8286402762</v>
      </c>
      <c r="AC226" s="1">
        <f t="shared" si="655"/>
        <v>21128.5524268508</v>
      </c>
      <c r="AD226" s="1">
        <f>AC226/(AC226+[1]战斗公式!$M$27)</f>
        <v>0.468185910928524</v>
      </c>
      <c r="AE226" s="1">
        <f t="shared" si="656"/>
        <v>735975.350934711</v>
      </c>
      <c r="AF226" s="1">
        <f t="shared" si="657"/>
        <v>8.49279014758338</v>
      </c>
      <c r="AG226" s="1">
        <f t="shared" si="658"/>
        <v>4.7076653230179</v>
      </c>
      <c r="AH226" s="1">
        <f t="shared" si="659"/>
        <v>4.27786843578254</v>
      </c>
      <c r="AI226" s="1">
        <f t="shared" si="660"/>
        <v>1.06156233768195</v>
      </c>
      <c r="AJ226" s="1">
        <f t="shared" si="661"/>
        <v>1.00001965844572</v>
      </c>
      <c r="AK226" s="1">
        <f t="shared" si="662"/>
        <v>1.0105709649271</v>
      </c>
      <c r="AL226" s="1">
        <f t="shared" si="663"/>
        <v>0.891592731221131</v>
      </c>
      <c r="AM226" s="27">
        <f t="shared" si="664"/>
        <v>355668</v>
      </c>
      <c r="AN226" s="27">
        <f t="shared" si="665"/>
        <v>33644</v>
      </c>
      <c r="AO226" s="27">
        <f t="shared" si="666"/>
        <v>21129</v>
      </c>
      <c r="AP226" s="1">
        <f t="shared" si="667"/>
        <v>199236</v>
      </c>
      <c r="AQ226" s="1">
        <f t="shared" si="668"/>
        <v>29997</v>
      </c>
      <c r="AR226"/>
      <c r="AS226" s="1">
        <f t="shared" ref="AS226:AY226" si="740">ROUNDUP(AS$10*$AP226,0)</f>
        <v>199236</v>
      </c>
      <c r="AT226" s="1">
        <f t="shared" si="740"/>
        <v>597708</v>
      </c>
      <c r="AU226" s="1">
        <f t="shared" si="740"/>
        <v>358625</v>
      </c>
      <c r="AV226" s="1">
        <f t="shared" si="740"/>
        <v>99618</v>
      </c>
      <c r="AW226" s="1">
        <f t="shared" si="740"/>
        <v>29886</v>
      </c>
      <c r="AX226" s="1">
        <f t="shared" si="740"/>
        <v>796944</v>
      </c>
      <c r="AY226" s="1">
        <f t="shared" si="740"/>
        <v>1793124</v>
      </c>
      <c r="AZ226" s="1">
        <f t="shared" si="670"/>
        <v>21340500</v>
      </c>
      <c r="BA226" s="1">
        <f t="shared" si="671"/>
        <v>10670250</v>
      </c>
      <c r="BC226" s="1">
        <f t="shared" si="672"/>
        <v>215</v>
      </c>
    </row>
    <row r="227" s="1" customFormat="1" spans="2:55">
      <c r="B227" s="4">
        <v>216</v>
      </c>
      <c r="C227" s="1">
        <f t="shared" ref="C227:I227" si="741">C$5+(C$6-C$5)*(POWER(C$7,$B227-1)-1)/(POWER(C$7,$B$3-1)-1)</f>
        <v>17066.4118989267</v>
      </c>
      <c r="D227" s="1">
        <f t="shared" si="741"/>
        <v>5119.92356967802</v>
      </c>
      <c r="E227" s="1">
        <f t="shared" si="741"/>
        <v>3413.28237978535</v>
      </c>
      <c r="F227" s="1">
        <f t="shared" si="741"/>
        <v>62648.8538061868</v>
      </c>
      <c r="G227" s="1">
        <f t="shared" si="741"/>
        <v>18794.656141856</v>
      </c>
      <c r="H227" s="1">
        <f t="shared" si="741"/>
        <v>12529.7707612374</v>
      </c>
      <c r="I227" s="1">
        <f t="shared" si="741"/>
        <v>0</v>
      </c>
      <c r="J227" s="1">
        <f>[1]标准模型!$I$65/1*$B227/$B$3</f>
        <v>1.5552</v>
      </c>
      <c r="K227" s="1">
        <f>J227*[1]标准模型!$J$63</f>
        <v>1.5552</v>
      </c>
      <c r="L227" s="1">
        <f t="shared" si="649"/>
        <v>79715.2657051135</v>
      </c>
      <c r="M227" s="1">
        <f t="shared" si="650"/>
        <v>31877.0848470973</v>
      </c>
      <c r="N227" s="1">
        <f t="shared" si="651"/>
        <v>21251.3898980649</v>
      </c>
      <c r="O227" s="1">
        <f t="shared" ref="O227:X227" si="742">O$5+(O$6-O$5)*(POWER(O$7,$B227-1)-1)/(POWER(O$7,$B$3-1)-1)</f>
        <v>0.715461453272707</v>
      </c>
      <c r="P227" s="1">
        <f t="shared" si="742"/>
        <v>0.136698567348965</v>
      </c>
      <c r="Q227" s="1">
        <f t="shared" si="742"/>
        <v>0.393503799299989</v>
      </c>
      <c r="R227" s="1">
        <f t="shared" si="742"/>
        <v>1.08618458130908</v>
      </c>
      <c r="S227" s="1">
        <f t="shared" si="742"/>
        <v>0.301646034581789</v>
      </c>
      <c r="T227" s="1">
        <f t="shared" si="742"/>
        <v>2.84029966776356</v>
      </c>
      <c r="U227" s="1">
        <f t="shared" si="742"/>
        <v>1</v>
      </c>
      <c r="V227" s="1">
        <f t="shared" si="742"/>
        <v>1.23498189262904</v>
      </c>
      <c r="W227" s="1">
        <f t="shared" si="742"/>
        <v>1.13259166355243</v>
      </c>
      <c r="X227" s="1">
        <f t="shared" si="742"/>
        <v>1.68947665047266</v>
      </c>
      <c r="Y227" s="1">
        <f t="shared" si="675"/>
        <v>2.75431747862352</v>
      </c>
      <c r="Z227" s="1">
        <f t="shared" si="676"/>
        <v>4.97226519322883</v>
      </c>
      <c r="AA227" s="1">
        <f t="shared" si="653"/>
        <v>396365.441034524</v>
      </c>
      <c r="AB227" s="1">
        <f t="shared" si="654"/>
        <v>31877.0848470973</v>
      </c>
      <c r="AC227" s="1">
        <f t="shared" si="655"/>
        <v>21251.3898980649</v>
      </c>
      <c r="AD227" s="1">
        <f>AC227/(AC227+[1]战斗公式!$M$27)</f>
        <v>0.469629550516275</v>
      </c>
      <c r="AE227" s="1">
        <f t="shared" si="656"/>
        <v>747336.963098821</v>
      </c>
      <c r="AF227" s="1">
        <f t="shared" si="657"/>
        <v>8.51184813234607</v>
      </c>
      <c r="AG227" s="1">
        <f t="shared" si="658"/>
        <v>4.71502045350195</v>
      </c>
      <c r="AH227" s="1">
        <f t="shared" si="659"/>
        <v>4.28400207674522</v>
      </c>
      <c r="AI227" s="1">
        <f t="shared" si="660"/>
        <v>1.06479054304508</v>
      </c>
      <c r="AJ227" s="1">
        <f t="shared" si="661"/>
        <v>1.00001867552299</v>
      </c>
      <c r="AK227" s="1">
        <f t="shared" si="662"/>
        <v>1.01035887582117</v>
      </c>
      <c r="AL227" s="1">
        <f t="shared" si="663"/>
        <v>0.891897325490827</v>
      </c>
      <c r="AM227" s="27">
        <f t="shared" si="664"/>
        <v>360132</v>
      </c>
      <c r="AN227" s="27">
        <f t="shared" si="665"/>
        <v>33942</v>
      </c>
      <c r="AO227" s="27">
        <f t="shared" si="666"/>
        <v>21251</v>
      </c>
      <c r="AP227" s="1">
        <f t="shared" si="667"/>
        <v>201557</v>
      </c>
      <c r="AQ227" s="1">
        <f t="shared" si="668"/>
        <v>30273</v>
      </c>
      <c r="AR227"/>
      <c r="AS227" s="1">
        <f t="shared" ref="AS227:AY227" si="743">ROUNDUP(AS$10*$AP227,0)</f>
        <v>201557</v>
      </c>
      <c r="AT227" s="1">
        <f t="shared" si="743"/>
        <v>604671</v>
      </c>
      <c r="AU227" s="1">
        <f t="shared" si="743"/>
        <v>362803</v>
      </c>
      <c r="AV227" s="1">
        <f t="shared" si="743"/>
        <v>100779</v>
      </c>
      <c r="AW227" s="1">
        <f t="shared" si="743"/>
        <v>30234</v>
      </c>
      <c r="AX227" s="1">
        <f t="shared" si="743"/>
        <v>806228</v>
      </c>
      <c r="AY227" s="1">
        <f t="shared" si="743"/>
        <v>1814013</v>
      </c>
      <c r="AZ227" s="1">
        <f t="shared" si="670"/>
        <v>21608324</v>
      </c>
      <c r="BA227" s="1">
        <f t="shared" si="671"/>
        <v>10804162</v>
      </c>
      <c r="BC227" s="1">
        <f t="shared" si="672"/>
        <v>216</v>
      </c>
    </row>
    <row r="228" s="1" customFormat="1" spans="2:55">
      <c r="B228" s="4">
        <v>217</v>
      </c>
      <c r="C228" s="1">
        <f t="shared" ref="C228:I228" si="744">C$5+(C$6-C$5)*(POWER(C$7,$B228-1)-1)/(POWER(C$7,$B$3-1)-1)</f>
        <v>17145.4145841597</v>
      </c>
      <c r="D228" s="1">
        <f t="shared" si="744"/>
        <v>5143.62437524792</v>
      </c>
      <c r="E228" s="1">
        <f t="shared" si="744"/>
        <v>3429.08291683195</v>
      </c>
      <c r="F228" s="1">
        <f t="shared" si="744"/>
        <v>62938.8636633712</v>
      </c>
      <c r="G228" s="1">
        <f t="shared" si="744"/>
        <v>18881.6590990114</v>
      </c>
      <c r="H228" s="1">
        <f t="shared" si="744"/>
        <v>12587.7727326742</v>
      </c>
      <c r="I228" s="1">
        <f t="shared" si="744"/>
        <v>0</v>
      </c>
      <c r="J228" s="1">
        <f>[1]标准模型!$I$65/1*$B228/$B$3</f>
        <v>1.5624</v>
      </c>
      <c r="K228" s="1">
        <f>J228*[1]标准模型!$J$63</f>
        <v>1.5624</v>
      </c>
      <c r="L228" s="1">
        <f t="shared" si="649"/>
        <v>80084.2782475309</v>
      </c>
      <c r="M228" s="1">
        <f t="shared" si="650"/>
        <v>32061.6821981467</v>
      </c>
      <c r="N228" s="1">
        <f t="shared" si="651"/>
        <v>21374.4547987644</v>
      </c>
      <c r="O228" s="1">
        <f t="shared" ref="O228:X228" si="745">O$5+(O$6-O$5)*(POWER(O$7,$B228-1)-1)/(POWER(O$7,$B$3-1)-1)</f>
        <v>0.716463491339131</v>
      </c>
      <c r="P228" s="1">
        <f t="shared" si="745"/>
        <v>0.137442872325518</v>
      </c>
      <c r="Q228" s="1">
        <f t="shared" si="745"/>
        <v>0.394054920236522</v>
      </c>
      <c r="R228" s="1">
        <f t="shared" si="745"/>
        <v>1.08658539653565</v>
      </c>
      <c r="S228" s="1">
        <f t="shared" si="745"/>
        <v>0.303048887874783</v>
      </c>
      <c r="T228" s="1">
        <f t="shared" si="745"/>
        <v>2.84420761622261</v>
      </c>
      <c r="U228" s="1">
        <f t="shared" si="745"/>
        <v>1</v>
      </c>
      <c r="V228" s="1">
        <f t="shared" si="745"/>
        <v>1.23607471363139</v>
      </c>
      <c r="W228" s="1">
        <f t="shared" si="745"/>
        <v>1.13320830236254</v>
      </c>
      <c r="X228" s="1">
        <f t="shared" si="745"/>
        <v>1.69268317228522</v>
      </c>
      <c r="Y228" s="1">
        <f t="shared" si="675"/>
        <v>2.77442912755194</v>
      </c>
      <c r="Z228" s="1">
        <f t="shared" si="676"/>
        <v>5.01197873366486</v>
      </c>
      <c r="AA228" s="1">
        <f t="shared" si="653"/>
        <v>401380.699477524</v>
      </c>
      <c r="AB228" s="1">
        <f t="shared" si="654"/>
        <v>32061.6821981467</v>
      </c>
      <c r="AC228" s="1">
        <f t="shared" si="655"/>
        <v>21374.4547987644</v>
      </c>
      <c r="AD228" s="1">
        <f>AC228/(AC228+[1]战斗公式!$M$27)</f>
        <v>0.471068024807351</v>
      </c>
      <c r="AE228" s="1">
        <f t="shared" si="656"/>
        <v>758851.266897473</v>
      </c>
      <c r="AF228" s="1">
        <f t="shared" si="657"/>
        <v>8.53093677379809</v>
      </c>
      <c r="AG228" s="1">
        <f t="shared" si="658"/>
        <v>4.7223822622293</v>
      </c>
      <c r="AH228" s="1">
        <f t="shared" si="659"/>
        <v>4.29008971540069</v>
      </c>
      <c r="AI228" s="1">
        <f t="shared" si="660"/>
        <v>1.06802520481895</v>
      </c>
      <c r="AJ228" s="1">
        <f t="shared" si="661"/>
        <v>1.0000177417464</v>
      </c>
      <c r="AK228" s="1">
        <f t="shared" si="662"/>
        <v>1.01015102849736</v>
      </c>
      <c r="AL228" s="1">
        <f t="shared" si="663"/>
        <v>0.892201005977714</v>
      </c>
      <c r="AM228" s="27">
        <f t="shared" si="664"/>
        <v>364638</v>
      </c>
      <c r="AN228" s="27">
        <f t="shared" si="665"/>
        <v>34243</v>
      </c>
      <c r="AO228" s="27">
        <f t="shared" si="666"/>
        <v>21374</v>
      </c>
      <c r="AP228" s="1">
        <f t="shared" si="667"/>
        <v>203898</v>
      </c>
      <c r="AQ228" s="1">
        <f t="shared" si="668"/>
        <v>30552</v>
      </c>
      <c r="AR228"/>
      <c r="AS228" s="1">
        <f t="shared" ref="AS228:AY228" si="746">ROUNDUP(AS$10*$AP228,0)</f>
        <v>203898</v>
      </c>
      <c r="AT228" s="1">
        <f t="shared" si="746"/>
        <v>611694</v>
      </c>
      <c r="AU228" s="1">
        <f t="shared" si="746"/>
        <v>367017</v>
      </c>
      <c r="AV228" s="1">
        <f t="shared" si="746"/>
        <v>101949</v>
      </c>
      <c r="AW228" s="1">
        <f t="shared" si="746"/>
        <v>30585</v>
      </c>
      <c r="AX228" s="1">
        <f t="shared" si="746"/>
        <v>815592</v>
      </c>
      <c r="AY228" s="1">
        <f t="shared" si="746"/>
        <v>1835082</v>
      </c>
      <c r="AZ228" s="1">
        <f t="shared" si="670"/>
        <v>21878668</v>
      </c>
      <c r="BA228" s="1">
        <f t="shared" si="671"/>
        <v>10939334</v>
      </c>
      <c r="BC228" s="1">
        <f t="shared" si="672"/>
        <v>217</v>
      </c>
    </row>
    <row r="229" s="1" customFormat="1" spans="2:55">
      <c r="B229" s="4">
        <v>218</v>
      </c>
      <c r="C229" s="1">
        <f t="shared" ref="C229:I229" si="747">C$5+(C$6-C$5)*(POWER(C$7,$B229-1)-1)/(POWER(C$7,$B$3-1)-1)</f>
        <v>17224.4171903836</v>
      </c>
      <c r="D229" s="1">
        <f t="shared" si="747"/>
        <v>5167.32515711507</v>
      </c>
      <c r="E229" s="1">
        <f t="shared" si="747"/>
        <v>3444.88343807672</v>
      </c>
      <c r="F229" s="1">
        <f t="shared" si="747"/>
        <v>63228.873230522</v>
      </c>
      <c r="G229" s="1">
        <f t="shared" si="747"/>
        <v>18968.6619691566</v>
      </c>
      <c r="H229" s="1">
        <f t="shared" si="747"/>
        <v>12645.7746461044</v>
      </c>
      <c r="I229" s="1">
        <f t="shared" si="747"/>
        <v>0</v>
      </c>
      <c r="J229" s="1">
        <f>[1]标准模型!$I$65/1*$B229/$B$3</f>
        <v>1.5696</v>
      </c>
      <c r="K229" s="1">
        <f>J229*[1]标准模型!$J$63</f>
        <v>1.5696</v>
      </c>
      <c r="L229" s="1">
        <f t="shared" si="649"/>
        <v>80453.2904209056</v>
      </c>
      <c r="M229" s="1">
        <f t="shared" si="650"/>
        <v>32246.6206928795</v>
      </c>
      <c r="N229" s="1">
        <f t="shared" si="651"/>
        <v>21497.7471285863</v>
      </c>
      <c r="O229" s="1">
        <f t="shared" ref="O229:X229" si="748">O$5+(O$6-O$5)*(POWER(O$7,$B229-1)-1)/(POWER(O$7,$B$3-1)-1)</f>
        <v>0.717465528403434</v>
      </c>
      <c r="P229" s="1">
        <f t="shared" si="748"/>
        <v>0.138188293759536</v>
      </c>
      <c r="Q229" s="1">
        <f t="shared" si="748"/>
        <v>0.394606040621889</v>
      </c>
      <c r="R229" s="1">
        <f t="shared" si="748"/>
        <v>1.08698621136137</v>
      </c>
      <c r="S229" s="1">
        <f t="shared" si="748"/>
        <v>0.304451739764808</v>
      </c>
      <c r="T229" s="1">
        <f t="shared" si="748"/>
        <v>2.84811556077339</v>
      </c>
      <c r="U229" s="1">
        <f t="shared" si="748"/>
        <v>1</v>
      </c>
      <c r="V229" s="1">
        <f t="shared" si="748"/>
        <v>1.23716753354084</v>
      </c>
      <c r="W229" s="1">
        <f t="shared" si="748"/>
        <v>1.13382494055596</v>
      </c>
      <c r="X229" s="1">
        <f t="shared" si="748"/>
        <v>1.69588969089099</v>
      </c>
      <c r="Y229" s="1">
        <f t="shared" si="675"/>
        <v>2.79467163117271</v>
      </c>
      <c r="Z229" s="1">
        <f t="shared" si="676"/>
        <v>5.05197852084618</v>
      </c>
      <c r="AA229" s="1">
        <f t="shared" si="653"/>
        <v>406448.295137815</v>
      </c>
      <c r="AB229" s="1">
        <f t="shared" si="654"/>
        <v>32246.6206928795</v>
      </c>
      <c r="AC229" s="1">
        <f t="shared" si="655"/>
        <v>21497.7471285863</v>
      </c>
      <c r="AD229" s="1">
        <f>AC229/(AC229+[1]战斗公式!$M$27)</f>
        <v>0.47250135414022</v>
      </c>
      <c r="AE229" s="1">
        <f t="shared" si="656"/>
        <v>770520.073042722</v>
      </c>
      <c r="AF229" s="1">
        <f t="shared" si="657"/>
        <v>8.55005604609075</v>
      </c>
      <c r="AG229" s="1">
        <f t="shared" si="658"/>
        <v>4.72975072604709</v>
      </c>
      <c r="AH229" s="1">
        <f t="shared" si="659"/>
        <v>4.29613169676623</v>
      </c>
      <c r="AI229" s="1">
        <f t="shared" si="660"/>
        <v>1.07126633591636</v>
      </c>
      <c r="AJ229" s="1">
        <f t="shared" si="661"/>
        <v>1.00001685465864</v>
      </c>
      <c r="AK229" s="1">
        <f t="shared" si="662"/>
        <v>1.00994733812003</v>
      </c>
      <c r="AL229" s="1">
        <f t="shared" si="663"/>
        <v>0.892503775423141</v>
      </c>
      <c r="AM229" s="27">
        <f t="shared" si="664"/>
        <v>369186</v>
      </c>
      <c r="AN229" s="27">
        <f t="shared" si="665"/>
        <v>34545</v>
      </c>
      <c r="AO229" s="27">
        <f t="shared" si="666"/>
        <v>21498</v>
      </c>
      <c r="AP229" s="1">
        <f t="shared" si="667"/>
        <v>206259</v>
      </c>
      <c r="AQ229" s="1">
        <f t="shared" si="668"/>
        <v>30832</v>
      </c>
      <c r="AR229"/>
      <c r="AS229" s="1">
        <f t="shared" ref="AS229:AY229" si="749">ROUNDUP(AS$10*$AP229,0)</f>
        <v>206259</v>
      </c>
      <c r="AT229" s="1">
        <f t="shared" si="749"/>
        <v>618777</v>
      </c>
      <c r="AU229" s="1">
        <f t="shared" si="749"/>
        <v>371267</v>
      </c>
      <c r="AV229" s="1">
        <f t="shared" si="749"/>
        <v>103130</v>
      </c>
      <c r="AW229" s="1">
        <f t="shared" si="749"/>
        <v>30939</v>
      </c>
      <c r="AX229" s="1">
        <f t="shared" si="749"/>
        <v>825036</v>
      </c>
      <c r="AY229" s="1">
        <f t="shared" si="749"/>
        <v>1856331</v>
      </c>
      <c r="AZ229" s="1">
        <f t="shared" si="670"/>
        <v>22151533</v>
      </c>
      <c r="BA229" s="1">
        <f t="shared" si="671"/>
        <v>11075767</v>
      </c>
      <c r="BC229" s="1">
        <f t="shared" si="672"/>
        <v>218</v>
      </c>
    </row>
    <row r="230" s="1" customFormat="1" spans="2:55">
      <c r="B230" s="4">
        <v>219</v>
      </c>
      <c r="C230" s="1">
        <f t="shared" ref="C230:I230" si="750">C$5+(C$6-C$5)*(POWER(C$7,$B230-1)-1)/(POWER(C$7,$B$3-1)-1)</f>
        <v>17303.419717607</v>
      </c>
      <c r="D230" s="1">
        <f t="shared" si="750"/>
        <v>5191.02591528211</v>
      </c>
      <c r="E230" s="1">
        <f t="shared" si="750"/>
        <v>3460.68394352141</v>
      </c>
      <c r="F230" s="1">
        <f t="shared" si="750"/>
        <v>63518.8825076714</v>
      </c>
      <c r="G230" s="1">
        <f t="shared" si="750"/>
        <v>19055.6647523014</v>
      </c>
      <c r="H230" s="1">
        <f t="shared" si="750"/>
        <v>12703.7765015343</v>
      </c>
      <c r="I230" s="1">
        <f t="shared" si="750"/>
        <v>0</v>
      </c>
      <c r="J230" s="1">
        <f>[1]标准模型!$I$65/1*$B230/$B$3</f>
        <v>1.5768</v>
      </c>
      <c r="K230" s="1">
        <f>J230*[1]标准模型!$J$63</f>
        <v>1.5768</v>
      </c>
      <c r="L230" s="1">
        <f t="shared" si="649"/>
        <v>80822.3022252784</v>
      </c>
      <c r="M230" s="1">
        <f t="shared" si="650"/>
        <v>32431.9003308003</v>
      </c>
      <c r="N230" s="1">
        <f t="shared" si="651"/>
        <v>21621.2668872003</v>
      </c>
      <c r="O230" s="1">
        <f t="shared" ref="O230:X230" si="751">O$5+(O$6-O$5)*(POWER(O$7,$B230-1)-1)/(POWER(O$7,$B$3-1)-1)</f>
        <v>0.718467564465729</v>
      </c>
      <c r="P230" s="1">
        <f t="shared" si="751"/>
        <v>0.138934833325705</v>
      </c>
      <c r="Q230" s="1">
        <f t="shared" si="751"/>
        <v>0.395157160456151</v>
      </c>
      <c r="R230" s="1">
        <f t="shared" si="751"/>
        <v>1.08738702578629</v>
      </c>
      <c r="S230" s="1">
        <f t="shared" si="751"/>
        <v>0.305854590252021</v>
      </c>
      <c r="T230" s="1">
        <f t="shared" si="751"/>
        <v>2.85202350141635</v>
      </c>
      <c r="U230" s="1">
        <f t="shared" si="751"/>
        <v>1</v>
      </c>
      <c r="V230" s="1">
        <f t="shared" si="751"/>
        <v>1.2382603523575</v>
      </c>
      <c r="W230" s="1">
        <f t="shared" si="751"/>
        <v>1.13444157813276</v>
      </c>
      <c r="X230" s="1">
        <f t="shared" si="751"/>
        <v>1.69909620629033</v>
      </c>
      <c r="Y230" s="1">
        <f t="shared" si="675"/>
        <v>2.81504571828475</v>
      </c>
      <c r="Z230" s="1">
        <f t="shared" si="676"/>
        <v>5.09226635534708</v>
      </c>
      <c r="AA230" s="1">
        <f t="shared" si="653"/>
        <v>411568.690383479</v>
      </c>
      <c r="AB230" s="1">
        <f t="shared" si="654"/>
        <v>32431.9003308003</v>
      </c>
      <c r="AC230" s="1">
        <f t="shared" si="655"/>
        <v>21621.2668872003</v>
      </c>
      <c r="AD230" s="1">
        <f>AC230/(AC230+[1]战斗公式!$M$27)</f>
        <v>0.473929558787997</v>
      </c>
      <c r="AE230" s="1">
        <f t="shared" si="656"/>
        <v>782345.211100008</v>
      </c>
      <c r="AF230" s="1">
        <f t="shared" si="657"/>
        <v>8.56920592347213</v>
      </c>
      <c r="AG230" s="1">
        <f t="shared" si="658"/>
        <v>4.73712582191243</v>
      </c>
      <c r="AH230" s="1">
        <f t="shared" si="659"/>
        <v>4.30212836327154</v>
      </c>
      <c r="AI230" s="1">
        <f t="shared" si="660"/>
        <v>1.07451394927596</v>
      </c>
      <c r="AJ230" s="1">
        <f t="shared" si="661"/>
        <v>1.00001601192527</v>
      </c>
      <c r="AK230" s="1">
        <f t="shared" si="662"/>
        <v>1.00974772155024</v>
      </c>
      <c r="AL230" s="1">
        <f t="shared" si="663"/>
        <v>0.892805636560231</v>
      </c>
      <c r="AM230" s="27">
        <f t="shared" si="664"/>
        <v>373775</v>
      </c>
      <c r="AN230" s="27">
        <f t="shared" si="665"/>
        <v>34849</v>
      </c>
      <c r="AO230" s="27">
        <f t="shared" si="666"/>
        <v>21621</v>
      </c>
      <c r="AP230" s="1">
        <f t="shared" si="667"/>
        <v>208640</v>
      </c>
      <c r="AQ230" s="1">
        <f t="shared" si="668"/>
        <v>31113</v>
      </c>
      <c r="AR230"/>
      <c r="AS230" s="1">
        <f t="shared" ref="AS230:AY230" si="752">ROUNDUP(AS$10*$AP230,0)</f>
        <v>208640</v>
      </c>
      <c r="AT230" s="1">
        <f t="shared" si="752"/>
        <v>625920</v>
      </c>
      <c r="AU230" s="1">
        <f t="shared" si="752"/>
        <v>375552</v>
      </c>
      <c r="AV230" s="1">
        <f t="shared" si="752"/>
        <v>104320</v>
      </c>
      <c r="AW230" s="1">
        <f t="shared" si="752"/>
        <v>31296</v>
      </c>
      <c r="AX230" s="1">
        <f t="shared" si="752"/>
        <v>834560</v>
      </c>
      <c r="AY230" s="1">
        <f t="shared" si="752"/>
        <v>1877760</v>
      </c>
      <c r="AZ230" s="1">
        <f t="shared" si="670"/>
        <v>22426859</v>
      </c>
      <c r="BA230" s="1">
        <f t="shared" si="671"/>
        <v>11213430</v>
      </c>
      <c r="BC230" s="1">
        <f t="shared" si="672"/>
        <v>219</v>
      </c>
    </row>
    <row r="231" s="1" customFormat="1" spans="2:55">
      <c r="B231" s="4">
        <v>220</v>
      </c>
      <c r="C231" s="1">
        <f t="shared" ref="C231:I231" si="753">C$5+(C$6-C$5)*(POWER(C$7,$B231-1)-1)/(POWER(C$7,$B$3-1)-1)</f>
        <v>17382.4221658214</v>
      </c>
      <c r="D231" s="1">
        <f t="shared" si="753"/>
        <v>5214.72664974641</v>
      </c>
      <c r="E231" s="1">
        <f t="shared" si="753"/>
        <v>3476.48443316427</v>
      </c>
      <c r="F231" s="1">
        <f t="shared" si="753"/>
        <v>63808.8914947873</v>
      </c>
      <c r="G231" s="1">
        <f t="shared" si="753"/>
        <v>19142.6674484362</v>
      </c>
      <c r="H231" s="1">
        <f t="shared" si="753"/>
        <v>12761.7782989575</v>
      </c>
      <c r="I231" s="1">
        <f t="shared" si="753"/>
        <v>0</v>
      </c>
      <c r="J231" s="1">
        <f>[1]标准模型!$I$65/1*$B231/$B$3</f>
        <v>1.584</v>
      </c>
      <c r="K231" s="1">
        <f>J231*[1]标准模型!$J$63</f>
        <v>1.584</v>
      </c>
      <c r="L231" s="1">
        <f t="shared" si="649"/>
        <v>81191.3136606087</v>
      </c>
      <c r="M231" s="1">
        <f t="shared" si="650"/>
        <v>32617.5211113809</v>
      </c>
      <c r="N231" s="1">
        <f t="shared" si="651"/>
        <v>21745.014074254</v>
      </c>
      <c r="O231" s="1">
        <f t="shared" ref="O231:X231" si="754">O$5+(O$6-O$5)*(POWER(O$7,$B231-1)-1)/(POWER(O$7,$B$3-1)-1)</f>
        <v>0.719469599525905</v>
      </c>
      <c r="P231" s="1">
        <f t="shared" si="754"/>
        <v>0.139682492701223</v>
      </c>
      <c r="Q231" s="1">
        <f t="shared" si="754"/>
        <v>0.395708279739247</v>
      </c>
      <c r="R231" s="1">
        <f t="shared" si="754"/>
        <v>1.08778783981036</v>
      </c>
      <c r="S231" s="1">
        <f t="shared" si="754"/>
        <v>0.307257439336266</v>
      </c>
      <c r="T231" s="1">
        <f t="shared" si="754"/>
        <v>2.85593143815103</v>
      </c>
      <c r="U231" s="1">
        <f t="shared" si="754"/>
        <v>1</v>
      </c>
      <c r="V231" s="1">
        <f t="shared" si="754"/>
        <v>1.23935317008124</v>
      </c>
      <c r="W231" s="1">
        <f t="shared" si="754"/>
        <v>1.13505821509286</v>
      </c>
      <c r="X231" s="1">
        <f t="shared" si="754"/>
        <v>1.70230271848289</v>
      </c>
      <c r="Y231" s="1">
        <f t="shared" si="675"/>
        <v>2.83555212089046</v>
      </c>
      <c r="Z231" s="1">
        <f t="shared" si="676"/>
        <v>5.1328440470594</v>
      </c>
      <c r="AA231" s="1">
        <f t="shared" si="653"/>
        <v>416742.350995788</v>
      </c>
      <c r="AB231" s="1">
        <f t="shared" si="654"/>
        <v>32617.5211113809</v>
      </c>
      <c r="AC231" s="1">
        <f t="shared" si="655"/>
        <v>21745.014074254</v>
      </c>
      <c r="AD231" s="1">
        <f>AC231/(AC231+[1]战斗公式!$M$27)</f>
        <v>0.475352658957699</v>
      </c>
      <c r="AE231" s="1">
        <f t="shared" si="656"/>
        <v>794328.529651667</v>
      </c>
      <c r="AF231" s="1">
        <f t="shared" si="657"/>
        <v>8.58838638027205</v>
      </c>
      <c r="AG231" s="1">
        <f t="shared" si="658"/>
        <v>4.74450752688636</v>
      </c>
      <c r="AH231" s="1">
        <f t="shared" si="659"/>
        <v>4.30808005477806</v>
      </c>
      <c r="AI231" s="1">
        <f t="shared" si="660"/>
        <v>1.07776805786229</v>
      </c>
      <c r="AJ231" s="1">
        <f t="shared" si="661"/>
        <v>1.00001521132856</v>
      </c>
      <c r="AK231" s="1">
        <f t="shared" si="662"/>
        <v>1.00955209731184</v>
      </c>
      <c r="AL231" s="1">
        <f t="shared" si="663"/>
        <v>0.89310659211391</v>
      </c>
      <c r="AM231" s="27">
        <f t="shared" si="664"/>
        <v>378408</v>
      </c>
      <c r="AN231" s="27">
        <f t="shared" si="665"/>
        <v>35154</v>
      </c>
      <c r="AO231" s="27">
        <f t="shared" si="666"/>
        <v>21745</v>
      </c>
      <c r="AP231" s="1">
        <f t="shared" si="667"/>
        <v>211042</v>
      </c>
      <c r="AQ231" s="1">
        <f t="shared" si="668"/>
        <v>31396</v>
      </c>
      <c r="AR231"/>
      <c r="AS231" s="1">
        <f t="shared" ref="AS231:AY231" si="755">ROUNDUP(AS$10*$AP231,0)</f>
        <v>211042</v>
      </c>
      <c r="AT231" s="1">
        <f t="shared" si="755"/>
        <v>633126</v>
      </c>
      <c r="AU231" s="1">
        <f t="shared" si="755"/>
        <v>379876</v>
      </c>
      <c r="AV231" s="1">
        <f t="shared" si="755"/>
        <v>105521</v>
      </c>
      <c r="AW231" s="1">
        <f t="shared" si="755"/>
        <v>31657</v>
      </c>
      <c r="AX231" s="1">
        <f t="shared" si="755"/>
        <v>844168</v>
      </c>
      <c r="AY231" s="1">
        <f t="shared" si="755"/>
        <v>1899378</v>
      </c>
      <c r="AZ231" s="1">
        <f t="shared" si="670"/>
        <v>22704825</v>
      </c>
      <c r="BA231" s="1">
        <f t="shared" si="671"/>
        <v>11352413</v>
      </c>
      <c r="BC231" s="1">
        <f t="shared" si="672"/>
        <v>220</v>
      </c>
    </row>
    <row r="232" s="1" customFormat="1" spans="2:55">
      <c r="B232" s="4">
        <v>221</v>
      </c>
      <c r="C232" s="1">
        <f t="shared" ref="C232:I232" si="756">C$5+(C$6-C$5)*(POWER(C$7,$B232-1)-1)/(POWER(C$7,$B$3-1)-1)</f>
        <v>17461.4245350441</v>
      </c>
      <c r="D232" s="1">
        <f t="shared" si="756"/>
        <v>5238.42736051322</v>
      </c>
      <c r="E232" s="1">
        <f t="shared" si="756"/>
        <v>3492.28490700882</v>
      </c>
      <c r="F232" s="1">
        <f t="shared" si="756"/>
        <v>64098.9001919339</v>
      </c>
      <c r="G232" s="1">
        <f t="shared" si="756"/>
        <v>19229.6700575802</v>
      </c>
      <c r="H232" s="1">
        <f t="shared" si="756"/>
        <v>12819.7800383868</v>
      </c>
      <c r="I232" s="1">
        <f t="shared" si="756"/>
        <v>0</v>
      </c>
      <c r="J232" s="1">
        <f>[1]标准模型!$I$65/1*$B232/$B$3</f>
        <v>1.5912</v>
      </c>
      <c r="K232" s="1">
        <f>J232*[1]标准模型!$J$63</f>
        <v>1.5912</v>
      </c>
      <c r="L232" s="1">
        <f t="shared" si="649"/>
        <v>81560.324726978</v>
      </c>
      <c r="M232" s="1">
        <f t="shared" si="650"/>
        <v>32803.4830341421</v>
      </c>
      <c r="N232" s="1">
        <f t="shared" si="651"/>
        <v>21868.9886894281</v>
      </c>
      <c r="O232" s="1">
        <f t="shared" ref="O232:X232" si="757">O$5+(O$6-O$5)*(POWER(O$7,$B232-1)-1)/(POWER(O$7,$B$3-1)-1)</f>
        <v>0.720471633584182</v>
      </c>
      <c r="P232" s="1">
        <f t="shared" si="757"/>
        <v>0.140431273565805</v>
      </c>
      <c r="Q232" s="1">
        <f t="shared" si="757"/>
        <v>0.3962593984713</v>
      </c>
      <c r="R232" s="1">
        <f t="shared" si="757"/>
        <v>1.08818865343367</v>
      </c>
      <c r="S232" s="1">
        <f t="shared" si="757"/>
        <v>0.308660287017855</v>
      </c>
      <c r="T232" s="1">
        <f t="shared" si="757"/>
        <v>2.85983937097831</v>
      </c>
      <c r="U232" s="1">
        <f t="shared" si="757"/>
        <v>1</v>
      </c>
      <c r="V232" s="1">
        <f t="shared" si="757"/>
        <v>1.24044598671232</v>
      </c>
      <c r="W232" s="1">
        <f t="shared" si="757"/>
        <v>1.13567485143642</v>
      </c>
      <c r="X232" s="1">
        <f t="shared" si="757"/>
        <v>1.70550922746938</v>
      </c>
      <c r="Y232" s="1">
        <f t="shared" si="675"/>
        <v>2.85619157421625</v>
      </c>
      <c r="Z232" s="1">
        <f t="shared" si="676"/>
        <v>5.17371341525097</v>
      </c>
      <c r="AA232" s="1">
        <f t="shared" si="653"/>
        <v>421969.746192191</v>
      </c>
      <c r="AB232" s="1">
        <f t="shared" si="654"/>
        <v>32803.4830341421</v>
      </c>
      <c r="AC232" s="1">
        <f t="shared" si="655"/>
        <v>21868.9886894281</v>
      </c>
      <c r="AD232" s="1">
        <f>AC232/(AC232+[1]战斗公式!$M$27)</f>
        <v>0.476770674790754</v>
      </c>
      <c r="AE232" s="1">
        <f t="shared" si="656"/>
        <v>806471.896473768</v>
      </c>
      <c r="AF232" s="1">
        <f t="shared" si="657"/>
        <v>8.60759739091585</v>
      </c>
      <c r="AG232" s="1">
        <f t="shared" si="658"/>
        <v>4.75189581813879</v>
      </c>
      <c r="AH232" s="1">
        <f t="shared" si="659"/>
        <v>4.31398710859827</v>
      </c>
      <c r="AI232" s="1">
        <f t="shared" si="660"/>
        <v>1.08102867466579</v>
      </c>
      <c r="AJ232" s="1">
        <f t="shared" si="661"/>
        <v>1.0000144507617</v>
      </c>
      <c r="AK232" s="1">
        <f t="shared" si="662"/>
        <v>1.00936038555822</v>
      </c>
      <c r="AL232" s="1">
        <f t="shared" si="663"/>
        <v>0.893406644800928</v>
      </c>
      <c r="AM232" s="27">
        <f t="shared" si="664"/>
        <v>383083</v>
      </c>
      <c r="AN232" s="27">
        <f t="shared" si="665"/>
        <v>35462</v>
      </c>
      <c r="AO232" s="27">
        <f t="shared" si="666"/>
        <v>21869</v>
      </c>
      <c r="AP232" s="1">
        <f t="shared" si="667"/>
        <v>213464</v>
      </c>
      <c r="AQ232" s="1">
        <f t="shared" si="668"/>
        <v>31682</v>
      </c>
      <c r="AR232"/>
      <c r="AS232" s="1">
        <f t="shared" ref="AS232:AY232" si="758">ROUNDUP(AS$10*$AP232,0)</f>
        <v>213464</v>
      </c>
      <c r="AT232" s="1">
        <f t="shared" si="758"/>
        <v>640392</v>
      </c>
      <c r="AU232" s="1">
        <f t="shared" si="758"/>
        <v>384236</v>
      </c>
      <c r="AV232" s="1">
        <f t="shared" si="758"/>
        <v>106732</v>
      </c>
      <c r="AW232" s="1">
        <f t="shared" si="758"/>
        <v>32020</v>
      </c>
      <c r="AX232" s="1">
        <f t="shared" si="758"/>
        <v>853856</v>
      </c>
      <c r="AY232" s="1">
        <f t="shared" si="758"/>
        <v>1921176</v>
      </c>
      <c r="AZ232" s="1">
        <f t="shared" si="670"/>
        <v>22985312</v>
      </c>
      <c r="BA232" s="1">
        <f t="shared" si="671"/>
        <v>11492656</v>
      </c>
      <c r="BC232" s="1">
        <f t="shared" si="672"/>
        <v>221</v>
      </c>
    </row>
    <row r="233" s="1" customFormat="1" spans="2:55">
      <c r="B233" s="4">
        <v>222</v>
      </c>
      <c r="C233" s="1">
        <f t="shared" ref="C233:I233" si="759">C$5+(C$6-C$5)*(POWER(C$7,$B233-1)-1)/(POWER(C$7,$B$3-1)-1)</f>
        <v>17540.4268252576</v>
      </c>
      <c r="D233" s="1">
        <f t="shared" si="759"/>
        <v>5262.12804757729</v>
      </c>
      <c r="E233" s="1">
        <f t="shared" si="759"/>
        <v>3508.08536505153</v>
      </c>
      <c r="F233" s="1">
        <f t="shared" si="759"/>
        <v>64388.908599047</v>
      </c>
      <c r="G233" s="1">
        <f t="shared" si="759"/>
        <v>19316.6725797141</v>
      </c>
      <c r="H233" s="1">
        <f t="shared" si="759"/>
        <v>12877.7817198094</v>
      </c>
      <c r="I233" s="1">
        <f t="shared" si="759"/>
        <v>0</v>
      </c>
      <c r="J233" s="1">
        <f>[1]标准模型!$I$65/1*$B233/$B$3</f>
        <v>1.5984</v>
      </c>
      <c r="K233" s="1">
        <f>J233*[1]标准模型!$J$63</f>
        <v>1.5984</v>
      </c>
      <c r="L233" s="1">
        <f t="shared" si="649"/>
        <v>81929.3354243046</v>
      </c>
      <c r="M233" s="1">
        <f t="shared" si="650"/>
        <v>32989.7860985389</v>
      </c>
      <c r="N233" s="1">
        <f t="shared" si="651"/>
        <v>21993.1907323593</v>
      </c>
      <c r="O233" s="1">
        <f t="shared" ref="O233:X233" si="760">O$5+(O$6-O$5)*(POWER(O$7,$B233-1)-1)/(POWER(O$7,$B$3-1)-1)</f>
        <v>0.721473666640339</v>
      </c>
      <c r="P233" s="1">
        <f t="shared" si="760"/>
        <v>0.141181177601683</v>
      </c>
      <c r="Q233" s="1">
        <f t="shared" si="760"/>
        <v>0.396810516652187</v>
      </c>
      <c r="R233" s="1">
        <f t="shared" si="760"/>
        <v>1.08858946665614</v>
      </c>
      <c r="S233" s="1">
        <f t="shared" si="760"/>
        <v>0.310063133296475</v>
      </c>
      <c r="T233" s="1">
        <f t="shared" si="760"/>
        <v>2.86374729989732</v>
      </c>
      <c r="U233" s="1">
        <f t="shared" si="760"/>
        <v>1</v>
      </c>
      <c r="V233" s="1">
        <f t="shared" si="760"/>
        <v>1.24153880225049</v>
      </c>
      <c r="W233" s="1">
        <f t="shared" si="760"/>
        <v>1.13629148716329</v>
      </c>
      <c r="X233" s="1">
        <f t="shared" si="760"/>
        <v>1.70871573324909</v>
      </c>
      <c r="Y233" s="1">
        <f t="shared" si="675"/>
        <v>2.876964816709</v>
      </c>
      <c r="Z233" s="1">
        <f t="shared" si="676"/>
        <v>5.21487628857412</v>
      </c>
      <c r="AA233" s="1">
        <f t="shared" si="653"/>
        <v>427251.348642842</v>
      </c>
      <c r="AB233" s="1">
        <f t="shared" si="654"/>
        <v>32989.7860985389</v>
      </c>
      <c r="AC233" s="1">
        <f t="shared" si="655"/>
        <v>21993.1907323593</v>
      </c>
      <c r="AD233" s="1">
        <f>AC233/(AC233+[1]战斗公式!$M$27)</f>
        <v>0.478183626362013</v>
      </c>
      <c r="AE233" s="1">
        <f t="shared" si="656"/>
        <v>818777.198699499</v>
      </c>
      <c r="AF233" s="1">
        <f t="shared" si="657"/>
        <v>8.6268389299031</v>
      </c>
      <c r="AG233" s="1">
        <f t="shared" si="658"/>
        <v>4.75929067294</v>
      </c>
      <c r="AH233" s="1">
        <f t="shared" si="659"/>
        <v>4.31984985951484</v>
      </c>
      <c r="AI233" s="1">
        <f t="shared" si="660"/>
        <v>1.08429581270289</v>
      </c>
      <c r="AJ233" s="1">
        <f t="shared" si="661"/>
        <v>1.00001372822317</v>
      </c>
      <c r="AK233" s="1">
        <f t="shared" si="662"/>
        <v>1.00917250803967</v>
      </c>
      <c r="AL233" s="1">
        <f t="shared" si="663"/>
        <v>0.893705797329885</v>
      </c>
      <c r="AM233" s="27">
        <f t="shared" si="664"/>
        <v>387802</v>
      </c>
      <c r="AN233" s="27">
        <f t="shared" si="665"/>
        <v>35771</v>
      </c>
      <c r="AO233" s="27">
        <f t="shared" si="666"/>
        <v>21993</v>
      </c>
      <c r="AP233" s="1">
        <f t="shared" si="667"/>
        <v>215907</v>
      </c>
      <c r="AQ233" s="1">
        <f t="shared" si="668"/>
        <v>31969</v>
      </c>
      <c r="AR233"/>
      <c r="AS233" s="1">
        <f t="shared" ref="AS233:AY233" si="761">ROUNDUP(AS$10*$AP233,0)</f>
        <v>215907</v>
      </c>
      <c r="AT233" s="1">
        <f t="shared" si="761"/>
        <v>647721</v>
      </c>
      <c r="AU233" s="1">
        <f t="shared" si="761"/>
        <v>388633</v>
      </c>
      <c r="AV233" s="1">
        <f t="shared" si="761"/>
        <v>107954</v>
      </c>
      <c r="AW233" s="1">
        <f t="shared" si="761"/>
        <v>32387</v>
      </c>
      <c r="AX233" s="1">
        <f t="shared" si="761"/>
        <v>863628</v>
      </c>
      <c r="AY233" s="1">
        <f t="shared" si="761"/>
        <v>1943163</v>
      </c>
      <c r="AZ233" s="1">
        <f t="shared" si="670"/>
        <v>23268439</v>
      </c>
      <c r="BA233" s="1">
        <f t="shared" si="671"/>
        <v>11634220</v>
      </c>
      <c r="BC233" s="1">
        <f t="shared" si="672"/>
        <v>222</v>
      </c>
    </row>
    <row r="234" s="1" customFormat="1" spans="2:55">
      <c r="B234" s="4">
        <v>223</v>
      </c>
      <c r="C234" s="1">
        <f t="shared" ref="C234:I234" si="762">C$5+(C$6-C$5)*(POWER(C$7,$B234-1)-1)/(POWER(C$7,$B$3-1)-1)</f>
        <v>17619.4290364708</v>
      </c>
      <c r="D234" s="1">
        <f t="shared" si="762"/>
        <v>5285.82871094124</v>
      </c>
      <c r="E234" s="1">
        <f t="shared" si="762"/>
        <v>3523.88580729416</v>
      </c>
      <c r="F234" s="1">
        <f t="shared" si="762"/>
        <v>64678.9167161587</v>
      </c>
      <c r="G234" s="1">
        <f t="shared" si="762"/>
        <v>19403.6750148476</v>
      </c>
      <c r="H234" s="1">
        <f t="shared" si="762"/>
        <v>12935.7833432317</v>
      </c>
      <c r="I234" s="1">
        <f t="shared" si="762"/>
        <v>0</v>
      </c>
      <c r="J234" s="1">
        <f>[1]标准模型!$I$65/1*$B234/$B$3</f>
        <v>1.6056</v>
      </c>
      <c r="K234" s="1">
        <f>J234*[1]标准模型!$J$63</f>
        <v>1.6056</v>
      </c>
      <c r="L234" s="1">
        <f t="shared" si="649"/>
        <v>82298.3457526295</v>
      </c>
      <c r="M234" s="1">
        <f t="shared" si="650"/>
        <v>33176.4303040761</v>
      </c>
      <c r="N234" s="1">
        <f t="shared" si="651"/>
        <v>22117.6202027174</v>
      </c>
      <c r="O234" s="1">
        <f t="shared" ref="O234:X234" si="763">O$5+(O$6-O$5)*(POWER(O$7,$B234-1)-1)/(POWER(O$7,$B$3-1)-1)</f>
        <v>0.722475698694488</v>
      </c>
      <c r="P234" s="1">
        <f t="shared" si="763"/>
        <v>0.141932206493615</v>
      </c>
      <c r="Q234" s="1">
        <f t="shared" si="763"/>
        <v>0.397361634281968</v>
      </c>
      <c r="R234" s="1">
        <f t="shared" si="763"/>
        <v>1.0889902794778</v>
      </c>
      <c r="S234" s="1">
        <f t="shared" si="763"/>
        <v>0.311465978172283</v>
      </c>
      <c r="T234" s="1">
        <f t="shared" si="763"/>
        <v>2.8676552249085</v>
      </c>
      <c r="U234" s="1">
        <f t="shared" si="763"/>
        <v>1</v>
      </c>
      <c r="V234" s="1">
        <f t="shared" si="763"/>
        <v>1.24263161669587</v>
      </c>
      <c r="W234" s="1">
        <f t="shared" si="763"/>
        <v>1.13690812227353</v>
      </c>
      <c r="X234" s="1">
        <f t="shared" si="763"/>
        <v>1.71192223582236</v>
      </c>
      <c r="Y234" s="1">
        <f t="shared" si="675"/>
        <v>2.89787259006073</v>
      </c>
      <c r="Z234" s="1">
        <f t="shared" si="676"/>
        <v>5.25633450513292</v>
      </c>
      <c r="AA234" s="1">
        <f t="shared" si="653"/>
        <v>432587.634494906</v>
      </c>
      <c r="AB234" s="1">
        <f t="shared" si="654"/>
        <v>33176.4303040761</v>
      </c>
      <c r="AC234" s="1">
        <f t="shared" si="655"/>
        <v>22117.6202027174</v>
      </c>
      <c r="AD234" s="1">
        <f>AC234/(AC234+[1]战斗公式!$M$27)</f>
        <v>0.479591533680529</v>
      </c>
      <c r="AE234" s="1">
        <f t="shared" si="656"/>
        <v>831246.343001166</v>
      </c>
      <c r="AF234" s="1">
        <f t="shared" si="657"/>
        <v>8.64611097182763</v>
      </c>
      <c r="AG234" s="1">
        <f t="shared" si="658"/>
        <v>4.76669206866792</v>
      </c>
      <c r="AH234" s="1">
        <f t="shared" si="659"/>
        <v>4.32566863979953</v>
      </c>
      <c r="AI234" s="1">
        <f t="shared" si="660"/>
        <v>1.08756948501607</v>
      </c>
      <c r="AJ234" s="1">
        <f t="shared" si="661"/>
        <v>1.00001304181157</v>
      </c>
      <c r="AK234" s="1">
        <f t="shared" si="662"/>
        <v>1.00898838807149</v>
      </c>
      <c r="AL234" s="1">
        <f t="shared" si="663"/>
        <v>0.894004052401255</v>
      </c>
      <c r="AM234" s="27">
        <f t="shared" si="664"/>
        <v>392564</v>
      </c>
      <c r="AN234" s="27">
        <f t="shared" si="665"/>
        <v>36082</v>
      </c>
      <c r="AO234" s="27">
        <f t="shared" si="666"/>
        <v>22118</v>
      </c>
      <c r="AP234" s="1">
        <f t="shared" si="667"/>
        <v>218370</v>
      </c>
      <c r="AQ234" s="1">
        <f t="shared" si="668"/>
        <v>32257</v>
      </c>
      <c r="AR234"/>
      <c r="AS234" s="1">
        <f t="shared" ref="AS234:AY234" si="764">ROUNDUP(AS$10*$AP234,0)</f>
        <v>218370</v>
      </c>
      <c r="AT234" s="1">
        <f t="shared" si="764"/>
        <v>655110</v>
      </c>
      <c r="AU234" s="1">
        <f t="shared" si="764"/>
        <v>393066</v>
      </c>
      <c r="AV234" s="1">
        <f t="shared" si="764"/>
        <v>109185</v>
      </c>
      <c r="AW234" s="1">
        <f t="shared" si="764"/>
        <v>32756</v>
      </c>
      <c r="AX234" s="1">
        <f t="shared" si="764"/>
        <v>873480</v>
      </c>
      <c r="AY234" s="1">
        <f t="shared" si="764"/>
        <v>1965330</v>
      </c>
      <c r="AZ234" s="1">
        <f t="shared" si="670"/>
        <v>23554147</v>
      </c>
      <c r="BA234" s="1">
        <f t="shared" si="671"/>
        <v>11777074</v>
      </c>
      <c r="BC234" s="1">
        <f t="shared" si="672"/>
        <v>223</v>
      </c>
    </row>
    <row r="235" s="1" customFormat="1" spans="2:55">
      <c r="B235" s="4">
        <v>224</v>
      </c>
      <c r="C235" s="1">
        <f t="shared" ref="C235:I235" si="765">C$5+(C$6-C$5)*(POWER(C$7,$B235-1)-1)/(POWER(C$7,$B$3-1)-1)</f>
        <v>17698.4311686748</v>
      </c>
      <c r="D235" s="1">
        <f t="shared" si="765"/>
        <v>5309.52935060245</v>
      </c>
      <c r="E235" s="1">
        <f t="shared" si="765"/>
        <v>3539.68623373497</v>
      </c>
      <c r="F235" s="1">
        <f t="shared" si="765"/>
        <v>64968.9245432367</v>
      </c>
      <c r="G235" s="1">
        <f t="shared" si="765"/>
        <v>19490.677362971</v>
      </c>
      <c r="H235" s="1">
        <f t="shared" si="765"/>
        <v>12993.7849086474</v>
      </c>
      <c r="I235" s="1">
        <f t="shared" si="765"/>
        <v>0</v>
      </c>
      <c r="J235" s="1">
        <f>[1]标准模型!$I$65/1*$B235/$B$3</f>
        <v>1.6128</v>
      </c>
      <c r="K235" s="1">
        <f>J235*[1]标准模型!$J$63</f>
        <v>1.6128</v>
      </c>
      <c r="L235" s="1">
        <f t="shared" si="649"/>
        <v>82667.3557119115</v>
      </c>
      <c r="M235" s="1">
        <f t="shared" si="650"/>
        <v>33363.4156502251</v>
      </c>
      <c r="N235" s="1">
        <f t="shared" si="651"/>
        <v>22242.2771001501</v>
      </c>
      <c r="O235" s="1">
        <f t="shared" ref="O235:X235" si="766">O$5+(O$6-O$5)*(POWER(O$7,$B235-1)-1)/(POWER(O$7,$B$3-1)-1)</f>
        <v>0.723477729746516</v>
      </c>
      <c r="P235" s="1">
        <f t="shared" si="766"/>
        <v>0.142684361928885</v>
      </c>
      <c r="Q235" s="1">
        <f t="shared" si="766"/>
        <v>0.397912751360584</v>
      </c>
      <c r="R235" s="1">
        <f t="shared" si="766"/>
        <v>1.08939109189861</v>
      </c>
      <c r="S235" s="1">
        <f t="shared" si="766"/>
        <v>0.312868821645123</v>
      </c>
      <c r="T235" s="1">
        <f t="shared" si="766"/>
        <v>2.87156314601141</v>
      </c>
      <c r="U235" s="1">
        <f t="shared" si="766"/>
        <v>1</v>
      </c>
      <c r="V235" s="1">
        <f t="shared" si="766"/>
        <v>1.24372443004834</v>
      </c>
      <c r="W235" s="1">
        <f t="shared" si="766"/>
        <v>1.13752475676709</v>
      </c>
      <c r="X235" s="1">
        <f t="shared" si="766"/>
        <v>1.71512873518885</v>
      </c>
      <c r="Y235" s="1">
        <f t="shared" si="675"/>
        <v>2.91891563920905</v>
      </c>
      <c r="Z235" s="1">
        <f t="shared" si="676"/>
        <v>5.2980899125001</v>
      </c>
      <c r="AA235" s="1">
        <f t="shared" si="653"/>
        <v>437979.083390336</v>
      </c>
      <c r="AB235" s="1">
        <f t="shared" si="654"/>
        <v>33363.4156502251</v>
      </c>
      <c r="AC235" s="1">
        <f t="shared" si="655"/>
        <v>22242.2771001501</v>
      </c>
      <c r="AD235" s="1">
        <f>AC235/(AC235+[1]战斗公式!$M$27)</f>
        <v>0.480994416688834</v>
      </c>
      <c r="AE235" s="1">
        <f t="shared" si="656"/>
        <v>843881.25575857</v>
      </c>
      <c r="AF235" s="1">
        <f t="shared" si="657"/>
        <v>8.66541349136209</v>
      </c>
      <c r="AG235" s="1">
        <f t="shared" si="658"/>
        <v>4.77409998280195</v>
      </c>
      <c r="AH235" s="1">
        <f t="shared" si="659"/>
        <v>4.33144377923209</v>
      </c>
      <c r="AI235" s="1">
        <f t="shared" si="660"/>
        <v>1.09084970467388</v>
      </c>
      <c r="AJ235" s="1">
        <f t="shared" si="661"/>
        <v>1.00001238972055</v>
      </c>
      <c r="AK235" s="1">
        <f t="shared" si="662"/>
        <v>1.00880795050267</v>
      </c>
      <c r="AL235" s="1">
        <f t="shared" si="663"/>
        <v>0.894301412707411</v>
      </c>
      <c r="AM235" s="27">
        <f t="shared" si="664"/>
        <v>397370</v>
      </c>
      <c r="AN235" s="27">
        <f t="shared" si="665"/>
        <v>36394</v>
      </c>
      <c r="AO235" s="27">
        <f t="shared" si="666"/>
        <v>22242</v>
      </c>
      <c r="AP235" s="1">
        <f t="shared" si="667"/>
        <v>220854</v>
      </c>
      <c r="AQ235" s="1">
        <f t="shared" si="668"/>
        <v>32547</v>
      </c>
      <c r="AR235"/>
      <c r="AS235" s="1">
        <f t="shared" ref="AS235:AY235" si="767">ROUNDUP(AS$10*$AP235,0)</f>
        <v>220854</v>
      </c>
      <c r="AT235" s="1">
        <f t="shared" si="767"/>
        <v>662562</v>
      </c>
      <c r="AU235" s="1">
        <f t="shared" si="767"/>
        <v>397538</v>
      </c>
      <c r="AV235" s="1">
        <f t="shared" si="767"/>
        <v>110427</v>
      </c>
      <c r="AW235" s="1">
        <f t="shared" si="767"/>
        <v>33129</v>
      </c>
      <c r="AX235" s="1">
        <f t="shared" si="767"/>
        <v>883416</v>
      </c>
      <c r="AY235" s="1">
        <f t="shared" si="767"/>
        <v>1987686</v>
      </c>
      <c r="AZ235" s="1">
        <f t="shared" si="670"/>
        <v>23842495</v>
      </c>
      <c r="BA235" s="1">
        <f t="shared" si="671"/>
        <v>11921248</v>
      </c>
      <c r="BC235" s="1">
        <f t="shared" si="672"/>
        <v>224</v>
      </c>
    </row>
    <row r="236" s="1" customFormat="1" spans="2:55">
      <c r="B236" s="4">
        <v>225</v>
      </c>
      <c r="C236" s="1">
        <f t="shared" ref="C236:I236" si="768">C$5+(C$6-C$5)*(POWER(C$7,$B236-1)-1)/(POWER(C$7,$B$3-1)-1)</f>
        <v>17777.4332218873</v>
      </c>
      <c r="D236" s="1">
        <f t="shared" si="768"/>
        <v>5333.22996656618</v>
      </c>
      <c r="E236" s="1">
        <f t="shared" si="768"/>
        <v>3555.48664437745</v>
      </c>
      <c r="F236" s="1">
        <f t="shared" si="768"/>
        <v>65258.9320803456</v>
      </c>
      <c r="G236" s="1">
        <f t="shared" si="768"/>
        <v>19577.6796241037</v>
      </c>
      <c r="H236" s="1">
        <f t="shared" si="768"/>
        <v>13051.7864160691</v>
      </c>
      <c r="I236" s="1">
        <f t="shared" si="768"/>
        <v>0</v>
      </c>
      <c r="J236" s="1">
        <f>[1]标准模型!$I$65/1*$B236/$B$3</f>
        <v>1.62</v>
      </c>
      <c r="K236" s="1">
        <f>J236*[1]标准模型!$J$63</f>
        <v>1.62</v>
      </c>
      <c r="L236" s="1">
        <f t="shared" si="649"/>
        <v>83036.3653022329</v>
      </c>
      <c r="M236" s="1">
        <f t="shared" si="650"/>
        <v>33550.7421365071</v>
      </c>
      <c r="N236" s="1">
        <f t="shared" si="651"/>
        <v>22367.161424338</v>
      </c>
      <c r="O236" s="1">
        <f t="shared" ref="O236:X236" si="769">O$5+(O$6-O$5)*(POWER(O$7,$B236-1)-1)/(POWER(O$7,$B$3-1)-1)</f>
        <v>0.724479759796647</v>
      </c>
      <c r="P236" s="1">
        <f t="shared" si="769"/>
        <v>0.143437645597308</v>
      </c>
      <c r="Q236" s="1">
        <f t="shared" si="769"/>
        <v>0.398463867888156</v>
      </c>
      <c r="R236" s="1">
        <f t="shared" si="769"/>
        <v>1.08979190391866</v>
      </c>
      <c r="S236" s="1">
        <f t="shared" si="769"/>
        <v>0.314271663715306</v>
      </c>
      <c r="T236" s="1">
        <f t="shared" si="769"/>
        <v>2.87547106320692</v>
      </c>
      <c r="U236" s="1">
        <f t="shared" si="769"/>
        <v>1</v>
      </c>
      <c r="V236" s="1">
        <f t="shared" si="769"/>
        <v>1.24481724230814</v>
      </c>
      <c r="W236" s="1">
        <f t="shared" si="769"/>
        <v>1.13814139064409</v>
      </c>
      <c r="X236" s="1">
        <f t="shared" si="769"/>
        <v>1.71833523134927</v>
      </c>
      <c r="Y236" s="1">
        <f t="shared" si="675"/>
        <v>2.94009471235812</v>
      </c>
      <c r="Z236" s="1">
        <f t="shared" si="676"/>
        <v>5.34014436777659</v>
      </c>
      <c r="AA236" s="1">
        <f t="shared" si="653"/>
        <v>443426.178489358</v>
      </c>
      <c r="AB236" s="1">
        <f t="shared" si="654"/>
        <v>33550.7421365071</v>
      </c>
      <c r="AC236" s="1">
        <f t="shared" si="655"/>
        <v>22367.161424338</v>
      </c>
      <c r="AD236" s="1">
        <f>AC236/(AC236+[1]战斗公式!$M$27)</f>
        <v>0.482392295263465</v>
      </c>
      <c r="AE236" s="1">
        <f t="shared" si="656"/>
        <v>856683.883241391</v>
      </c>
      <c r="AF236" s="1">
        <f t="shared" si="657"/>
        <v>8.68474646327196</v>
      </c>
      <c r="AG236" s="1">
        <f t="shared" si="658"/>
        <v>4.78151439292792</v>
      </c>
      <c r="AH236" s="1">
        <f t="shared" si="659"/>
        <v>4.3371756051189</v>
      </c>
      <c r="AI236" s="1">
        <f t="shared" si="660"/>
        <v>1.094136484771</v>
      </c>
      <c r="AJ236" s="1">
        <f t="shared" si="661"/>
        <v>1.00001177023409</v>
      </c>
      <c r="AK236" s="1">
        <f t="shared" si="662"/>
        <v>1.00863112168523</v>
      </c>
      <c r="AL236" s="1">
        <f t="shared" si="663"/>
        <v>0.894597880932648</v>
      </c>
      <c r="AM236" s="27">
        <f t="shared" si="664"/>
        <v>402219</v>
      </c>
      <c r="AN236" s="27">
        <f t="shared" si="665"/>
        <v>36709</v>
      </c>
      <c r="AO236" s="27">
        <f t="shared" si="666"/>
        <v>22367</v>
      </c>
      <c r="AP236" s="1">
        <f t="shared" si="667"/>
        <v>223359</v>
      </c>
      <c r="AQ236" s="1">
        <f t="shared" si="668"/>
        <v>32840</v>
      </c>
      <c r="AR236"/>
      <c r="AS236" s="1">
        <f t="shared" ref="AS236:AY236" si="770">ROUNDUP(AS$10*$AP236,0)</f>
        <v>223359</v>
      </c>
      <c r="AT236" s="1">
        <f t="shared" si="770"/>
        <v>670077</v>
      </c>
      <c r="AU236" s="1">
        <f t="shared" si="770"/>
        <v>402047</v>
      </c>
      <c r="AV236" s="1">
        <f t="shared" si="770"/>
        <v>111680</v>
      </c>
      <c r="AW236" s="1">
        <f t="shared" si="770"/>
        <v>33504</v>
      </c>
      <c r="AX236" s="1">
        <f t="shared" si="770"/>
        <v>893436</v>
      </c>
      <c r="AY236" s="1">
        <f t="shared" si="770"/>
        <v>2010231</v>
      </c>
      <c r="AZ236" s="1">
        <f t="shared" si="670"/>
        <v>24133424</v>
      </c>
      <c r="BA236" s="1">
        <f t="shared" si="671"/>
        <v>12066712</v>
      </c>
      <c r="BC236" s="1">
        <f t="shared" si="672"/>
        <v>225</v>
      </c>
    </row>
    <row r="237" s="1" customFormat="1" spans="2:55">
      <c r="B237" s="4">
        <v>226</v>
      </c>
      <c r="C237" s="1">
        <f t="shared" ref="C237:I237" si="771">C$5+(C$6-C$5)*(POWER(C$7,$B237-1)-1)/(POWER(C$7,$B$3-1)-1)</f>
        <v>17856.4351960905</v>
      </c>
      <c r="D237" s="1">
        <f t="shared" si="771"/>
        <v>5356.93055882716</v>
      </c>
      <c r="E237" s="1">
        <f t="shared" si="771"/>
        <v>3571.28703921811</v>
      </c>
      <c r="F237" s="1">
        <f t="shared" si="771"/>
        <v>65548.9393274209</v>
      </c>
      <c r="G237" s="1">
        <f t="shared" si="771"/>
        <v>19664.6817982263</v>
      </c>
      <c r="H237" s="1">
        <f t="shared" si="771"/>
        <v>13109.7878654842</v>
      </c>
      <c r="I237" s="1">
        <f t="shared" si="771"/>
        <v>0</v>
      </c>
      <c r="J237" s="1">
        <f>[1]标准模型!$I$65/1*$B237/$B$3</f>
        <v>1.6272</v>
      </c>
      <c r="K237" s="1">
        <f>J237*[1]标准模型!$J$63</f>
        <v>1.6272</v>
      </c>
      <c r="L237" s="1">
        <f t="shared" si="649"/>
        <v>83405.3745235114</v>
      </c>
      <c r="M237" s="1">
        <f t="shared" si="650"/>
        <v>33738.409762377</v>
      </c>
      <c r="N237" s="1">
        <f t="shared" si="651"/>
        <v>22492.273174918</v>
      </c>
      <c r="O237" s="1">
        <f t="shared" ref="O237:X237" si="772">O$5+(O$6-O$5)*(POWER(O$7,$B237-1)-1)/(POWER(O$7,$B$3-1)-1)</f>
        <v>0.725481788844658</v>
      </c>
      <c r="P237" s="1">
        <f t="shared" si="772"/>
        <v>0.144192059191234</v>
      </c>
      <c r="Q237" s="1">
        <f t="shared" si="772"/>
        <v>0.399014983864562</v>
      </c>
      <c r="R237" s="1">
        <f t="shared" si="772"/>
        <v>1.09019271553786</v>
      </c>
      <c r="S237" s="1">
        <f t="shared" si="772"/>
        <v>0.315674504382521</v>
      </c>
      <c r="T237" s="1">
        <f t="shared" si="772"/>
        <v>2.87937897649417</v>
      </c>
      <c r="U237" s="1">
        <f t="shared" si="772"/>
        <v>1</v>
      </c>
      <c r="V237" s="1">
        <f t="shared" si="772"/>
        <v>1.24591005347503</v>
      </c>
      <c r="W237" s="1">
        <f t="shared" si="772"/>
        <v>1.13875802390441</v>
      </c>
      <c r="X237" s="1">
        <f t="shared" si="772"/>
        <v>1.72154172430291</v>
      </c>
      <c r="Y237" s="1">
        <f t="shared" si="675"/>
        <v>2.9614105609748</v>
      </c>
      <c r="Z237" s="1">
        <f t="shared" si="676"/>
        <v>5.38249973759965</v>
      </c>
      <c r="AA237" s="1">
        <f t="shared" si="653"/>
        <v>448929.406487201</v>
      </c>
      <c r="AB237" s="1">
        <f t="shared" si="654"/>
        <v>33738.409762377</v>
      </c>
      <c r="AC237" s="1">
        <f t="shared" si="655"/>
        <v>22492.273174918</v>
      </c>
      <c r="AD237" s="1">
        <f>AC237/(AC237+[1]战斗公式!$M$27)</f>
        <v>0.483785189214029</v>
      </c>
      <c r="AE237" s="1">
        <f t="shared" si="656"/>
        <v>869656.191777365</v>
      </c>
      <c r="AF237" s="1">
        <f t="shared" si="657"/>
        <v>8.70410986239434</v>
      </c>
      <c r="AG237" s="1">
        <f t="shared" si="658"/>
        <v>4.78893527672973</v>
      </c>
      <c r="AH237" s="1">
        <f t="shared" si="659"/>
        <v>4.34286444231156</v>
      </c>
      <c r="AI237" s="1">
        <f t="shared" si="660"/>
        <v>1.09742983842831</v>
      </c>
      <c r="AJ237" s="1">
        <f t="shared" si="661"/>
        <v>1.00001118172194</v>
      </c>
      <c r="AK237" s="1">
        <f t="shared" si="662"/>
        <v>1.00845782944413</v>
      </c>
      <c r="AL237" s="1">
        <f t="shared" si="663"/>
        <v>0.89489345975321</v>
      </c>
      <c r="AM237" s="27">
        <f t="shared" si="664"/>
        <v>407113</v>
      </c>
      <c r="AN237" s="27">
        <f t="shared" si="665"/>
        <v>37026</v>
      </c>
      <c r="AO237" s="27">
        <f t="shared" si="666"/>
        <v>22492</v>
      </c>
      <c r="AP237" s="1">
        <f t="shared" si="667"/>
        <v>225885</v>
      </c>
      <c r="AQ237" s="1">
        <f t="shared" si="668"/>
        <v>33134</v>
      </c>
      <c r="AR237"/>
      <c r="AS237" s="1">
        <f t="shared" ref="AS237:AY237" si="773">ROUNDUP(AS$10*$AP237,0)</f>
        <v>225885</v>
      </c>
      <c r="AT237" s="1">
        <f t="shared" si="773"/>
        <v>677655</v>
      </c>
      <c r="AU237" s="1">
        <f t="shared" si="773"/>
        <v>406593</v>
      </c>
      <c r="AV237" s="1">
        <f t="shared" si="773"/>
        <v>112943</v>
      </c>
      <c r="AW237" s="1">
        <f t="shared" si="773"/>
        <v>33883</v>
      </c>
      <c r="AX237" s="1">
        <f t="shared" si="773"/>
        <v>903540</v>
      </c>
      <c r="AY237" s="1">
        <f t="shared" si="773"/>
        <v>2032965</v>
      </c>
      <c r="AZ237" s="1">
        <f t="shared" si="670"/>
        <v>24427053</v>
      </c>
      <c r="BA237" s="1">
        <f t="shared" si="671"/>
        <v>12213527</v>
      </c>
      <c r="BC237" s="1">
        <f t="shared" si="672"/>
        <v>226</v>
      </c>
    </row>
    <row r="238" s="1" customFormat="1" spans="2:55">
      <c r="B238" s="4">
        <v>227</v>
      </c>
      <c r="C238" s="1">
        <f t="shared" ref="C238:I238" si="774">C$5+(C$6-C$5)*(POWER(C$7,$B238-1)-1)/(POWER(C$7,$B$3-1)-1)</f>
        <v>17935.4370912934</v>
      </c>
      <c r="D238" s="1">
        <f t="shared" si="774"/>
        <v>5380.63112738803</v>
      </c>
      <c r="E238" s="1">
        <f t="shared" si="774"/>
        <v>3587.08741825868</v>
      </c>
      <c r="F238" s="1">
        <f t="shared" si="774"/>
        <v>65838.9462844948</v>
      </c>
      <c r="G238" s="1">
        <f t="shared" si="774"/>
        <v>19751.6838853485</v>
      </c>
      <c r="H238" s="1">
        <f t="shared" si="774"/>
        <v>13167.789256899</v>
      </c>
      <c r="I238" s="1">
        <f t="shared" si="774"/>
        <v>0</v>
      </c>
      <c r="J238" s="1">
        <f>[1]标准模型!$I$65/1*$B238/$B$3</f>
        <v>1.6344</v>
      </c>
      <c r="K238" s="1">
        <f>J238*[1]标准模型!$J$63</f>
        <v>1.6344</v>
      </c>
      <c r="L238" s="1">
        <f t="shared" si="649"/>
        <v>83774.3833757882</v>
      </c>
      <c r="M238" s="1">
        <f t="shared" si="650"/>
        <v>33926.4185273395</v>
      </c>
      <c r="N238" s="1">
        <f t="shared" si="651"/>
        <v>22617.6123515597</v>
      </c>
      <c r="O238" s="1">
        <f t="shared" ref="O238:X238" si="775">O$5+(O$6-O$5)*(POWER(O$7,$B238-1)-1)/(POWER(O$7,$B$3-1)-1)</f>
        <v>0.72648381689066</v>
      </c>
      <c r="P238" s="1">
        <f t="shared" si="775"/>
        <v>0.14494760440555</v>
      </c>
      <c r="Q238" s="1">
        <f t="shared" si="775"/>
        <v>0.399566099289863</v>
      </c>
      <c r="R238" s="1">
        <f t="shared" si="775"/>
        <v>1.09059352675626</v>
      </c>
      <c r="S238" s="1">
        <f t="shared" si="775"/>
        <v>0.317077343646924</v>
      </c>
      <c r="T238" s="1">
        <f t="shared" si="775"/>
        <v>2.88328688587357</v>
      </c>
      <c r="U238" s="1">
        <f t="shared" si="775"/>
        <v>1</v>
      </c>
      <c r="V238" s="1">
        <f t="shared" si="775"/>
        <v>1.24700286354913</v>
      </c>
      <c r="W238" s="1">
        <f t="shared" si="775"/>
        <v>1.1393746565481</v>
      </c>
      <c r="X238" s="1">
        <f t="shared" si="775"/>
        <v>1.72474821405011</v>
      </c>
      <c r="Y238" s="1">
        <f t="shared" si="675"/>
        <v>2.98286393981385</v>
      </c>
      <c r="Z238" s="1">
        <f t="shared" si="676"/>
        <v>5.42515789821145</v>
      </c>
      <c r="AA238" s="1">
        <f t="shared" si="653"/>
        <v>454489.257638951</v>
      </c>
      <c r="AB238" s="1">
        <f t="shared" si="654"/>
        <v>33926.4185273395</v>
      </c>
      <c r="AC238" s="1">
        <f t="shared" si="655"/>
        <v>22617.6123515597</v>
      </c>
      <c r="AD238" s="1">
        <f>AC238/(AC238+[1]战斗公式!$M$27)</f>
        <v>0.485173118283973</v>
      </c>
      <c r="AE238" s="1">
        <f t="shared" si="656"/>
        <v>882800.167940031</v>
      </c>
      <c r="AF238" s="1">
        <f t="shared" si="657"/>
        <v>8.72350366365781</v>
      </c>
      <c r="AG238" s="1">
        <f t="shared" si="658"/>
        <v>4.7963626119965</v>
      </c>
      <c r="AH238" s="1">
        <f t="shared" si="659"/>
        <v>4.34851061322527</v>
      </c>
      <c r="AI238" s="1">
        <f t="shared" si="660"/>
        <v>1.10072977879294</v>
      </c>
      <c r="AJ238" s="1">
        <f t="shared" si="661"/>
        <v>1.0000106226354</v>
      </c>
      <c r="AK238" s="1">
        <f t="shared" si="662"/>
        <v>1.00828800304786</v>
      </c>
      <c r="AL238" s="1">
        <f t="shared" si="663"/>
        <v>0.89518815183731</v>
      </c>
      <c r="AM238" s="27">
        <f t="shared" si="664"/>
        <v>412052</v>
      </c>
      <c r="AN238" s="27">
        <f t="shared" si="665"/>
        <v>37344</v>
      </c>
      <c r="AO238" s="27">
        <f t="shared" si="666"/>
        <v>22618</v>
      </c>
      <c r="AP238" s="1">
        <f t="shared" si="667"/>
        <v>228432</v>
      </c>
      <c r="AQ238" s="1">
        <f t="shared" si="668"/>
        <v>33430</v>
      </c>
      <c r="AR238"/>
      <c r="AS238" s="1">
        <f t="shared" ref="AS238:AY238" si="776">ROUNDUP(AS$10*$AP238,0)</f>
        <v>228432</v>
      </c>
      <c r="AT238" s="1">
        <f t="shared" si="776"/>
        <v>685296</v>
      </c>
      <c r="AU238" s="1">
        <f t="shared" si="776"/>
        <v>411178</v>
      </c>
      <c r="AV238" s="1">
        <f t="shared" si="776"/>
        <v>114216</v>
      </c>
      <c r="AW238" s="1">
        <f t="shared" si="776"/>
        <v>34265</v>
      </c>
      <c r="AX238" s="1">
        <f t="shared" si="776"/>
        <v>913728</v>
      </c>
      <c r="AY238" s="1">
        <f t="shared" si="776"/>
        <v>2055888</v>
      </c>
      <c r="AZ238" s="1">
        <f t="shared" si="670"/>
        <v>24723383</v>
      </c>
      <c r="BA238" s="1">
        <f t="shared" si="671"/>
        <v>12361691</v>
      </c>
      <c r="BC238" s="1">
        <f t="shared" si="672"/>
        <v>227</v>
      </c>
    </row>
    <row r="239" s="1" customFormat="1" spans="2:55">
      <c r="B239" s="4">
        <v>228</v>
      </c>
      <c r="C239" s="1">
        <f t="shared" ref="C239:I239" si="777">C$5+(C$6-C$5)*(POWER(C$7,$B239-1)-1)/(POWER(C$7,$B$3-1)-1)</f>
        <v>18014.4389074959</v>
      </c>
      <c r="D239" s="1">
        <f t="shared" si="777"/>
        <v>5404.33167224878</v>
      </c>
      <c r="E239" s="1">
        <f t="shared" si="777"/>
        <v>3602.88778149919</v>
      </c>
      <c r="F239" s="1">
        <f t="shared" si="777"/>
        <v>66128.9529515674</v>
      </c>
      <c r="G239" s="1">
        <f t="shared" si="777"/>
        <v>19838.6858854702</v>
      </c>
      <c r="H239" s="1">
        <f t="shared" si="777"/>
        <v>13225.7905903135</v>
      </c>
      <c r="I239" s="1">
        <f t="shared" si="777"/>
        <v>0</v>
      </c>
      <c r="J239" s="1">
        <f>[1]标准模型!$I$65/1*$B239/$B$3</f>
        <v>1.6416</v>
      </c>
      <c r="K239" s="1">
        <f>J239*[1]标准模型!$J$63</f>
        <v>1.6416</v>
      </c>
      <c r="L239" s="1">
        <f t="shared" si="649"/>
        <v>84143.3918590633</v>
      </c>
      <c r="M239" s="1">
        <f t="shared" si="650"/>
        <v>34114.7684308826</v>
      </c>
      <c r="N239" s="1">
        <f t="shared" si="651"/>
        <v>22743.1789539218</v>
      </c>
      <c r="O239" s="1">
        <f t="shared" ref="O239:X239" si="778">O$5+(O$6-O$5)*(POWER(O$7,$B239-1)-1)/(POWER(O$7,$B$3-1)-1)</f>
        <v>0.727485843934653</v>
      </c>
      <c r="P239" s="1">
        <f t="shared" si="778"/>
        <v>0.145704282937688</v>
      </c>
      <c r="Q239" s="1">
        <f t="shared" si="778"/>
        <v>0.400117214164059</v>
      </c>
      <c r="R239" s="1">
        <f t="shared" si="778"/>
        <v>1.09099433757386</v>
      </c>
      <c r="S239" s="1">
        <f t="shared" si="778"/>
        <v>0.318480181508515</v>
      </c>
      <c r="T239" s="1">
        <f t="shared" si="778"/>
        <v>2.88719479134515</v>
      </c>
      <c r="U239" s="1">
        <f t="shared" si="778"/>
        <v>1</v>
      </c>
      <c r="V239" s="1">
        <f t="shared" si="778"/>
        <v>1.24809567253044</v>
      </c>
      <c r="W239" s="1">
        <f t="shared" si="778"/>
        <v>1.13999128857517</v>
      </c>
      <c r="X239" s="1">
        <f t="shared" si="778"/>
        <v>1.72795470059089</v>
      </c>
      <c r="Y239" s="1">
        <f t="shared" si="675"/>
        <v>3.00445560692034</v>
      </c>
      <c r="Z239" s="1">
        <f t="shared" si="676"/>
        <v>5.46812073548028</v>
      </c>
      <c r="AA239" s="1">
        <f t="shared" si="653"/>
        <v>460106.225778187</v>
      </c>
      <c r="AB239" s="1">
        <f t="shared" si="654"/>
        <v>34114.7684308826</v>
      </c>
      <c r="AC239" s="1">
        <f t="shared" si="655"/>
        <v>22743.1789539218</v>
      </c>
      <c r="AD239" s="1">
        <f>AC239/(AC239+[1]战斗公式!$M$27)</f>
        <v>0.486556102150036</v>
      </c>
      <c r="AE239" s="1">
        <f t="shared" si="656"/>
        <v>896117.818723472</v>
      </c>
      <c r="AF239" s="1">
        <f t="shared" si="657"/>
        <v>8.74292784207026</v>
      </c>
      <c r="AG239" s="1">
        <f t="shared" si="658"/>
        <v>4.80379637661764</v>
      </c>
      <c r="AH239" s="1">
        <f t="shared" si="659"/>
        <v>4.35411443785714</v>
      </c>
      <c r="AI239" s="1">
        <f t="shared" si="660"/>
        <v>1.1040363190383</v>
      </c>
      <c r="AJ239" s="1">
        <f t="shared" si="661"/>
        <v>1.00001009150319</v>
      </c>
      <c r="AK239" s="1">
        <f t="shared" si="662"/>
        <v>1.00812157317952</v>
      </c>
      <c r="AL239" s="1">
        <f t="shared" si="663"/>
        <v>0.895481959845158</v>
      </c>
      <c r="AM239" s="27">
        <f t="shared" si="664"/>
        <v>417036</v>
      </c>
      <c r="AN239" s="27">
        <f t="shared" si="665"/>
        <v>37664</v>
      </c>
      <c r="AO239" s="27">
        <f t="shared" si="666"/>
        <v>22743</v>
      </c>
      <c r="AP239" s="1">
        <f t="shared" si="667"/>
        <v>231001</v>
      </c>
      <c r="AQ239" s="1">
        <f t="shared" si="668"/>
        <v>33727</v>
      </c>
      <c r="AR239"/>
      <c r="AS239" s="1">
        <f t="shared" ref="AS239:AY239" si="779">ROUNDUP(AS$10*$AP239,0)</f>
        <v>231001</v>
      </c>
      <c r="AT239" s="1">
        <f t="shared" si="779"/>
        <v>693003</v>
      </c>
      <c r="AU239" s="1">
        <f t="shared" si="779"/>
        <v>415802</v>
      </c>
      <c r="AV239" s="1">
        <f t="shared" si="779"/>
        <v>115501</v>
      </c>
      <c r="AW239" s="1">
        <f t="shared" si="779"/>
        <v>34651</v>
      </c>
      <c r="AX239" s="1">
        <f t="shared" si="779"/>
        <v>924004</v>
      </c>
      <c r="AY239" s="1">
        <f t="shared" si="779"/>
        <v>2079009</v>
      </c>
      <c r="AZ239" s="1">
        <f t="shared" si="670"/>
        <v>25022413</v>
      </c>
      <c r="BA239" s="1">
        <f t="shared" si="671"/>
        <v>12511206</v>
      </c>
      <c r="BC239" s="1">
        <f t="shared" si="672"/>
        <v>228</v>
      </c>
    </row>
    <row r="240" s="1" customFormat="1" spans="2:55">
      <c r="B240" s="4">
        <v>229</v>
      </c>
      <c r="C240" s="1">
        <f t="shared" ref="C240:I240" si="780">C$5+(C$6-C$5)*(POWER(C$7,$B240-1)-1)/(POWER(C$7,$B$3-1)-1)</f>
        <v>18093.4406446981</v>
      </c>
      <c r="D240" s="1">
        <f t="shared" si="780"/>
        <v>5428.03219340942</v>
      </c>
      <c r="E240" s="1">
        <f t="shared" si="780"/>
        <v>3618.68812893961</v>
      </c>
      <c r="F240" s="1">
        <f t="shared" si="780"/>
        <v>66418.9593286385</v>
      </c>
      <c r="G240" s="1">
        <f t="shared" si="780"/>
        <v>19925.6877985915</v>
      </c>
      <c r="H240" s="1">
        <f t="shared" si="780"/>
        <v>13283.7918657277</v>
      </c>
      <c r="I240" s="1">
        <f t="shared" si="780"/>
        <v>0</v>
      </c>
      <c r="J240" s="1">
        <f>[1]标准模型!$I$65/1*$B240/$B$3</f>
        <v>1.6488</v>
      </c>
      <c r="K240" s="1">
        <f>J240*[1]标准模型!$J$63</f>
        <v>1.6488</v>
      </c>
      <c r="L240" s="1">
        <f t="shared" si="649"/>
        <v>84512.3999733366</v>
      </c>
      <c r="M240" s="1">
        <f t="shared" si="650"/>
        <v>34303.4594724944</v>
      </c>
      <c r="N240" s="1">
        <f t="shared" si="651"/>
        <v>22868.9729816629</v>
      </c>
      <c r="O240" s="1">
        <f t="shared" ref="O240:X240" si="781">O$5+(O$6-O$5)*(POWER(O$7,$B240-1)-1)/(POWER(O$7,$B$3-1)-1)</f>
        <v>0.728487869976638</v>
      </c>
      <c r="P240" s="1">
        <f t="shared" si="781"/>
        <v>0.146462096487624</v>
      </c>
      <c r="Q240" s="1">
        <f t="shared" si="781"/>
        <v>0.400668328487151</v>
      </c>
      <c r="R240" s="1">
        <f t="shared" si="781"/>
        <v>1.09139514799065</v>
      </c>
      <c r="S240" s="1">
        <f t="shared" si="781"/>
        <v>0.319883017967293</v>
      </c>
      <c r="T240" s="1">
        <f t="shared" si="781"/>
        <v>2.89110269290889</v>
      </c>
      <c r="U240" s="1">
        <f t="shared" si="781"/>
        <v>1</v>
      </c>
      <c r="V240" s="1">
        <f t="shared" si="781"/>
        <v>1.24918848041897</v>
      </c>
      <c r="W240" s="1">
        <f t="shared" si="781"/>
        <v>1.14060791998562</v>
      </c>
      <c r="X240" s="1">
        <f t="shared" si="781"/>
        <v>1.73116118392524</v>
      </c>
      <c r="Y240" s="1">
        <f t="shared" si="675"/>
        <v>3.02618632364251</v>
      </c>
      <c r="Z240" s="1">
        <f t="shared" si="676"/>
        <v>5.5113901449435</v>
      </c>
      <c r="AA240" s="1">
        <f t="shared" si="653"/>
        <v>465780.808338571</v>
      </c>
      <c r="AB240" s="1">
        <f t="shared" si="654"/>
        <v>34303.4594724944</v>
      </c>
      <c r="AC240" s="1">
        <f t="shared" si="655"/>
        <v>22868.9729816629</v>
      </c>
      <c r="AD240" s="1">
        <f>AC240/(AC240+[1]战斗公式!$M$27)</f>
        <v>0.487934160422295</v>
      </c>
      <c r="AE240" s="1">
        <f t="shared" si="656"/>
        <v>909611.1717249</v>
      </c>
      <c r="AF240" s="1">
        <f t="shared" si="657"/>
        <v>8.76238237272071</v>
      </c>
      <c r="AG240" s="1">
        <f t="shared" si="658"/>
        <v>4.81123654858323</v>
      </c>
      <c r="AH240" s="1">
        <f t="shared" si="659"/>
        <v>4.35967623380426</v>
      </c>
      <c r="AI240" s="1">
        <f t="shared" si="660"/>
        <v>1.10734947236415</v>
      </c>
      <c r="AJ240" s="1">
        <f t="shared" si="661"/>
        <v>1.00000958692759</v>
      </c>
      <c r="AK240" s="1">
        <f t="shared" si="662"/>
        <v>1.00795847190854</v>
      </c>
      <c r="AL240" s="1">
        <f t="shared" si="663"/>
        <v>0.895774886428982</v>
      </c>
      <c r="AM240" s="27">
        <f t="shared" si="664"/>
        <v>422065</v>
      </c>
      <c r="AN240" s="27">
        <f t="shared" si="665"/>
        <v>37986</v>
      </c>
      <c r="AO240" s="27">
        <f t="shared" si="666"/>
        <v>22869</v>
      </c>
      <c r="AP240" s="1">
        <f t="shared" si="667"/>
        <v>233591</v>
      </c>
      <c r="AQ240" s="1">
        <f t="shared" si="668"/>
        <v>34027</v>
      </c>
      <c r="AR240"/>
      <c r="AS240" s="1">
        <f t="shared" ref="AS240:AY240" si="782">ROUNDUP(AS$10*$AP240,0)</f>
        <v>233591</v>
      </c>
      <c r="AT240" s="1">
        <f t="shared" si="782"/>
        <v>700773</v>
      </c>
      <c r="AU240" s="1">
        <f t="shared" si="782"/>
        <v>420464</v>
      </c>
      <c r="AV240" s="1">
        <f t="shared" si="782"/>
        <v>116796</v>
      </c>
      <c r="AW240" s="1">
        <f t="shared" si="782"/>
        <v>35039</v>
      </c>
      <c r="AX240" s="1">
        <f t="shared" si="782"/>
        <v>934364</v>
      </c>
      <c r="AY240" s="1">
        <f t="shared" si="782"/>
        <v>2102319</v>
      </c>
      <c r="AZ240" s="1">
        <f t="shared" si="670"/>
        <v>25324143</v>
      </c>
      <c r="BA240" s="1">
        <f t="shared" si="671"/>
        <v>12662071</v>
      </c>
      <c r="BC240" s="1">
        <f t="shared" si="672"/>
        <v>229</v>
      </c>
    </row>
    <row r="241" s="1" customFormat="1" spans="2:55">
      <c r="B241" s="4">
        <v>230</v>
      </c>
      <c r="C241" s="1">
        <f t="shared" ref="C241:I241" si="783">C$5+(C$6-C$5)*(POWER(C$7,$B241-1)-1)/(POWER(C$7,$B$3-1)-1)</f>
        <v>18172.4423028998</v>
      </c>
      <c r="D241" s="1">
        <f t="shared" si="783"/>
        <v>5451.73269086995</v>
      </c>
      <c r="E241" s="1">
        <f t="shared" si="783"/>
        <v>3634.48846057997</v>
      </c>
      <c r="F241" s="1">
        <f t="shared" si="783"/>
        <v>66708.9654157082</v>
      </c>
      <c r="G241" s="1">
        <f t="shared" si="783"/>
        <v>20012.6896247125</v>
      </c>
      <c r="H241" s="1">
        <f t="shared" si="783"/>
        <v>13341.7930831416</v>
      </c>
      <c r="I241" s="1">
        <f t="shared" si="783"/>
        <v>0</v>
      </c>
      <c r="J241" s="1">
        <f>[1]标准模型!$I$65/1*$B241/$B$3</f>
        <v>1.656</v>
      </c>
      <c r="K241" s="1">
        <f>J241*[1]标准模型!$J$63</f>
        <v>1.656</v>
      </c>
      <c r="L241" s="1">
        <f t="shared" si="649"/>
        <v>84881.407718608</v>
      </c>
      <c r="M241" s="1">
        <f t="shared" si="650"/>
        <v>34492.4916516631</v>
      </c>
      <c r="N241" s="1">
        <f t="shared" si="651"/>
        <v>22994.994434442</v>
      </c>
      <c r="O241" s="1">
        <f t="shared" ref="O241:X241" si="784">O$5+(O$6-O$5)*(POWER(O$7,$B241-1)-1)/(POWER(O$7,$B$3-1)-1)</f>
        <v>0.729489895016613</v>
      </c>
      <c r="P241" s="1">
        <f t="shared" si="784"/>
        <v>0.147221046757885</v>
      </c>
      <c r="Q241" s="1">
        <f t="shared" si="784"/>
        <v>0.401219442259137</v>
      </c>
      <c r="R241" s="1">
        <f t="shared" si="784"/>
        <v>1.09179595800665</v>
      </c>
      <c r="S241" s="1">
        <f t="shared" si="784"/>
        <v>0.321285853023259</v>
      </c>
      <c r="T241" s="1">
        <f t="shared" si="784"/>
        <v>2.89501059056479</v>
      </c>
      <c r="U241" s="1">
        <f t="shared" si="784"/>
        <v>1</v>
      </c>
      <c r="V241" s="1">
        <f t="shared" si="784"/>
        <v>1.2502812872147</v>
      </c>
      <c r="W241" s="1">
        <f t="shared" si="784"/>
        <v>1.14122455077945</v>
      </c>
      <c r="X241" s="1">
        <f t="shared" si="784"/>
        <v>1.73436766405316</v>
      </c>
      <c r="Y241" s="1">
        <f t="shared" si="675"/>
        <v>3.04805685464249</v>
      </c>
      <c r="Z241" s="1">
        <f t="shared" si="676"/>
        <v>5.55496803184629</v>
      </c>
      <c r="AA241" s="1">
        <f t="shared" si="653"/>
        <v>471513.506374978</v>
      </c>
      <c r="AB241" s="1">
        <f t="shared" si="654"/>
        <v>34492.4916516631</v>
      </c>
      <c r="AC241" s="1">
        <f t="shared" si="655"/>
        <v>22994.994434442</v>
      </c>
      <c r="AD241" s="1">
        <f>AC241/(AC241+[1]战斗公式!$M$27)</f>
        <v>0.489307312644116</v>
      </c>
      <c r="AE241" s="1">
        <f t="shared" si="656"/>
        <v>923282.275327347</v>
      </c>
      <c r="AF241" s="1">
        <f t="shared" si="657"/>
        <v>8.78186723077916</v>
      </c>
      <c r="AG241" s="1">
        <f t="shared" si="658"/>
        <v>4.8186831059836</v>
      </c>
      <c r="AH241" s="1">
        <f t="shared" si="659"/>
        <v>4.36519631628178</v>
      </c>
      <c r="AI241" s="1">
        <f t="shared" si="660"/>
        <v>1.11066925199665</v>
      </c>
      <c r="AJ241" s="1">
        <f t="shared" si="661"/>
        <v>1.00000910758077</v>
      </c>
      <c r="AK241" s="1">
        <f t="shared" si="662"/>
        <v>1.00779863266298</v>
      </c>
      <c r="AL241" s="1">
        <f t="shared" si="663"/>
        <v>0.896066934233055</v>
      </c>
      <c r="AM241" s="27">
        <f t="shared" si="664"/>
        <v>427139</v>
      </c>
      <c r="AN241" s="27">
        <f t="shared" si="665"/>
        <v>38310</v>
      </c>
      <c r="AO241" s="27">
        <f t="shared" si="666"/>
        <v>22995</v>
      </c>
      <c r="AP241" s="1">
        <f t="shared" si="667"/>
        <v>236203</v>
      </c>
      <c r="AQ241" s="1">
        <f t="shared" si="668"/>
        <v>34328</v>
      </c>
      <c r="AR241"/>
      <c r="AS241" s="1">
        <f t="shared" ref="AS241:AY241" si="785">ROUNDUP(AS$10*$AP241,0)</f>
        <v>236203</v>
      </c>
      <c r="AT241" s="1">
        <f t="shared" si="785"/>
        <v>708609</v>
      </c>
      <c r="AU241" s="1">
        <f t="shared" si="785"/>
        <v>425166</v>
      </c>
      <c r="AV241" s="1">
        <f t="shared" si="785"/>
        <v>118102</v>
      </c>
      <c r="AW241" s="1">
        <f t="shared" si="785"/>
        <v>35431</v>
      </c>
      <c r="AX241" s="1">
        <f t="shared" si="785"/>
        <v>944812</v>
      </c>
      <c r="AY241" s="1">
        <f t="shared" si="785"/>
        <v>2125827</v>
      </c>
      <c r="AZ241" s="1">
        <f t="shared" si="670"/>
        <v>25628573</v>
      </c>
      <c r="BA241" s="1">
        <f t="shared" si="671"/>
        <v>12814287</v>
      </c>
      <c r="BC241" s="1">
        <f t="shared" si="672"/>
        <v>230</v>
      </c>
    </row>
    <row r="242" s="1" customFormat="1" spans="2:55">
      <c r="B242" s="4">
        <v>231</v>
      </c>
      <c r="C242" s="1">
        <f t="shared" ref="C242:I242" si="786">C$5+(C$6-C$5)*(POWER(C$7,$B242-1)-1)/(POWER(C$7,$B$3-1)-1)</f>
        <v>18251.4438820924</v>
      </c>
      <c r="D242" s="1">
        <f t="shared" si="786"/>
        <v>5475.43316462773</v>
      </c>
      <c r="E242" s="1">
        <f t="shared" si="786"/>
        <v>3650.28877641849</v>
      </c>
      <c r="F242" s="1">
        <f t="shared" si="786"/>
        <v>66998.9712127444</v>
      </c>
      <c r="G242" s="1">
        <f t="shared" si="786"/>
        <v>20099.6913638233</v>
      </c>
      <c r="H242" s="1">
        <f t="shared" si="786"/>
        <v>13399.7942425489</v>
      </c>
      <c r="I242" s="1">
        <f t="shared" si="786"/>
        <v>0</v>
      </c>
      <c r="J242" s="1">
        <f>[1]标准模型!$I$65/1*$B242/$B$3</f>
        <v>1.6632</v>
      </c>
      <c r="K242" s="1">
        <f>J242*[1]标准模型!$J$63</f>
        <v>1.6632</v>
      </c>
      <c r="L242" s="1">
        <f t="shared" si="649"/>
        <v>85250.4150948368</v>
      </c>
      <c r="M242" s="1">
        <f t="shared" si="650"/>
        <v>34681.8649678599</v>
      </c>
      <c r="N242" s="1">
        <f t="shared" si="651"/>
        <v>23121.2433119066</v>
      </c>
      <c r="O242" s="1">
        <f t="shared" ref="O242:X242" si="787">O$5+(O$6-O$5)*(POWER(O$7,$B242-1)-1)/(POWER(O$7,$B$3-1)-1)</f>
        <v>0.730491919054469</v>
      </c>
      <c r="P242" s="1">
        <f t="shared" si="787"/>
        <v>0.147981135453552</v>
      </c>
      <c r="Q242" s="1">
        <f t="shared" si="787"/>
        <v>0.401770555479958</v>
      </c>
      <c r="R242" s="1">
        <f t="shared" si="787"/>
        <v>1.09219676762179</v>
      </c>
      <c r="S242" s="1">
        <f t="shared" si="787"/>
        <v>0.322688686676256</v>
      </c>
      <c r="T242" s="1">
        <f t="shared" si="787"/>
        <v>2.89891848431243</v>
      </c>
      <c r="U242" s="1">
        <f t="shared" si="787"/>
        <v>1</v>
      </c>
      <c r="V242" s="1">
        <f t="shared" si="787"/>
        <v>1.25137409291752</v>
      </c>
      <c r="W242" s="1">
        <f t="shared" si="787"/>
        <v>1.1418411809566</v>
      </c>
      <c r="X242" s="1">
        <f t="shared" si="787"/>
        <v>1.7375741409743</v>
      </c>
      <c r="Y242" s="1">
        <f t="shared" si="675"/>
        <v>3.070067967905</v>
      </c>
      <c r="Z242" s="1">
        <f t="shared" si="676"/>
        <v>5.59885631117598</v>
      </c>
      <c r="AA242" s="1">
        <f t="shared" si="653"/>
        <v>477304.824584099</v>
      </c>
      <c r="AB242" s="1">
        <f t="shared" si="654"/>
        <v>34681.8649678599</v>
      </c>
      <c r="AC242" s="1">
        <f t="shared" si="655"/>
        <v>23121.2433119066</v>
      </c>
      <c r="AD242" s="1">
        <f>AC242/(AC242+[1]战斗公式!$M$27)</f>
        <v>0.490675578291975</v>
      </c>
      <c r="AE242" s="1">
        <f t="shared" si="656"/>
        <v>937133.19888226</v>
      </c>
      <c r="AF242" s="1">
        <f t="shared" si="657"/>
        <v>8.80138239149286</v>
      </c>
      <c r="AG242" s="1">
        <f t="shared" si="658"/>
        <v>4.82613602700761</v>
      </c>
      <c r="AH242" s="1">
        <f t="shared" si="659"/>
        <v>4.37067499814072</v>
      </c>
      <c r="AI242" s="1">
        <f t="shared" si="660"/>
        <v>1.11399567118842</v>
      </c>
      <c r="AJ242" s="1">
        <f t="shared" si="661"/>
        <v>1.00000865220129</v>
      </c>
      <c r="AK242" s="1">
        <f t="shared" si="662"/>
        <v>1.00764199020233</v>
      </c>
      <c r="AL242" s="1">
        <f t="shared" si="663"/>
        <v>0.896358105893715</v>
      </c>
      <c r="AM242" s="27">
        <f t="shared" si="664"/>
        <v>432260</v>
      </c>
      <c r="AN242" s="27">
        <f t="shared" si="665"/>
        <v>38635</v>
      </c>
      <c r="AO242" s="27">
        <f t="shared" si="666"/>
        <v>23121</v>
      </c>
      <c r="AP242" s="1">
        <f t="shared" si="667"/>
        <v>238836</v>
      </c>
      <c r="AQ242" s="1">
        <f t="shared" si="668"/>
        <v>34631</v>
      </c>
      <c r="AR242"/>
      <c r="AS242" s="1">
        <f t="shared" ref="AS242:AY242" si="788">ROUNDUP(AS$10*$AP242,0)</f>
        <v>238836</v>
      </c>
      <c r="AT242" s="1">
        <f t="shared" si="788"/>
        <v>716508</v>
      </c>
      <c r="AU242" s="1">
        <f t="shared" si="788"/>
        <v>429905</v>
      </c>
      <c r="AV242" s="1">
        <f t="shared" si="788"/>
        <v>119418</v>
      </c>
      <c r="AW242" s="1">
        <f t="shared" si="788"/>
        <v>35826</v>
      </c>
      <c r="AX242" s="1">
        <f t="shared" si="788"/>
        <v>955344</v>
      </c>
      <c r="AY242" s="1">
        <f t="shared" si="788"/>
        <v>2149524</v>
      </c>
      <c r="AZ242" s="1">
        <f t="shared" si="670"/>
        <v>25935824</v>
      </c>
      <c r="BA242" s="1">
        <f t="shared" si="671"/>
        <v>12967912</v>
      </c>
      <c r="BC242" s="1">
        <f t="shared" si="672"/>
        <v>231</v>
      </c>
    </row>
    <row r="243" s="1" customFormat="1" spans="2:55">
      <c r="B243" s="4">
        <v>232</v>
      </c>
      <c r="C243" s="1">
        <f t="shared" ref="C243:I243" si="789">C$5+(C$6-C$5)*(POWER(C$7,$B243-1)-1)/(POWER(C$7,$B$3-1)-1)</f>
        <v>18330.4453822847</v>
      </c>
      <c r="D243" s="1">
        <f t="shared" si="789"/>
        <v>5499.1336146854</v>
      </c>
      <c r="E243" s="1">
        <f t="shared" si="789"/>
        <v>3666.08907645693</v>
      </c>
      <c r="F243" s="1">
        <f t="shared" si="789"/>
        <v>67288.9767197791</v>
      </c>
      <c r="G243" s="1">
        <f t="shared" si="789"/>
        <v>20186.6930159337</v>
      </c>
      <c r="H243" s="1">
        <f t="shared" si="789"/>
        <v>13457.7953439558</v>
      </c>
      <c r="I243" s="1">
        <f t="shared" si="789"/>
        <v>0</v>
      </c>
      <c r="J243" s="1">
        <f>[1]标准模型!$I$65/1*$B243/$B$3</f>
        <v>1.6704</v>
      </c>
      <c r="K243" s="1">
        <f>J243*[1]标准模型!$J$63</f>
        <v>1.6704</v>
      </c>
      <c r="L243" s="1">
        <f t="shared" si="649"/>
        <v>85619.4221020637</v>
      </c>
      <c r="M243" s="1">
        <f t="shared" si="650"/>
        <v>34871.5794205896</v>
      </c>
      <c r="N243" s="1">
        <f t="shared" si="651"/>
        <v>23247.7196137264</v>
      </c>
      <c r="O243" s="1">
        <f t="shared" ref="O243:X243" si="790">O$5+(O$6-O$5)*(POWER(O$7,$B243-1)-1)/(POWER(O$7,$B$3-1)-1)</f>
        <v>0.731493942090315</v>
      </c>
      <c r="P243" s="1">
        <f t="shared" si="790"/>
        <v>0.148742364282262</v>
      </c>
      <c r="Q243" s="1">
        <f t="shared" si="790"/>
        <v>0.402321668149674</v>
      </c>
      <c r="R243" s="1">
        <f t="shared" si="790"/>
        <v>1.09259757683613</v>
      </c>
      <c r="S243" s="1">
        <f t="shared" si="790"/>
        <v>0.324091518926442</v>
      </c>
      <c r="T243" s="1">
        <f t="shared" si="790"/>
        <v>2.90282637415223</v>
      </c>
      <c r="U243" s="1">
        <f t="shared" si="790"/>
        <v>1</v>
      </c>
      <c r="V243" s="1">
        <f t="shared" si="790"/>
        <v>1.25246689752756</v>
      </c>
      <c r="W243" s="1">
        <f t="shared" si="790"/>
        <v>1.14245781051712</v>
      </c>
      <c r="X243" s="1">
        <f t="shared" si="790"/>
        <v>1.74078061468901</v>
      </c>
      <c r="Y243" s="1">
        <f t="shared" si="675"/>
        <v>3.09222043475463</v>
      </c>
      <c r="Z243" s="1">
        <f t="shared" si="676"/>
        <v>5.64305690771454</v>
      </c>
      <c r="AA243" s="1">
        <f t="shared" si="653"/>
        <v>483155.271327578</v>
      </c>
      <c r="AB243" s="1">
        <f t="shared" si="654"/>
        <v>34871.5794205896</v>
      </c>
      <c r="AC243" s="1">
        <f t="shared" si="655"/>
        <v>23247.7196137264</v>
      </c>
      <c r="AD243" s="1">
        <f>AC243/(AC243+[1]战斗公式!$M$27)</f>
        <v>0.49203897677577</v>
      </c>
      <c r="AE243" s="1">
        <f t="shared" si="656"/>
        <v>951166.032899138</v>
      </c>
      <c r="AF243" s="1">
        <f t="shared" si="657"/>
        <v>8.82092783019426</v>
      </c>
      <c r="AG243" s="1">
        <f t="shared" si="658"/>
        <v>4.83359528994534</v>
      </c>
      <c r="AH243" s="1">
        <f t="shared" si="659"/>
        <v>4.37611258988572</v>
      </c>
      <c r="AI243" s="1">
        <f t="shared" si="660"/>
        <v>1.11732874321857</v>
      </c>
      <c r="AJ243" s="1">
        <f t="shared" si="661"/>
        <v>1.00000821959079</v>
      </c>
      <c r="AK243" s="1">
        <f t="shared" si="662"/>
        <v>1.0074884805909</v>
      </c>
      <c r="AL243" s="1">
        <f t="shared" si="663"/>
        <v>0.896648404039394</v>
      </c>
      <c r="AM243" s="27">
        <f t="shared" si="664"/>
        <v>437426</v>
      </c>
      <c r="AN243" s="27">
        <f t="shared" si="665"/>
        <v>38963</v>
      </c>
      <c r="AO243" s="27">
        <f t="shared" si="666"/>
        <v>23248</v>
      </c>
      <c r="AP243" s="1">
        <f t="shared" si="667"/>
        <v>241491</v>
      </c>
      <c r="AQ243" s="1">
        <f t="shared" si="668"/>
        <v>34936</v>
      </c>
      <c r="AR243"/>
      <c r="AS243" s="1">
        <f t="shared" ref="AS243:AY243" si="791">ROUNDUP(AS$10*$AP243,0)</f>
        <v>241491</v>
      </c>
      <c r="AT243" s="1">
        <f t="shared" si="791"/>
        <v>724473</v>
      </c>
      <c r="AU243" s="1">
        <f t="shared" si="791"/>
        <v>434684</v>
      </c>
      <c r="AV243" s="1">
        <f t="shared" si="791"/>
        <v>120746</v>
      </c>
      <c r="AW243" s="1">
        <f t="shared" si="791"/>
        <v>36224</v>
      </c>
      <c r="AX243" s="1">
        <f t="shared" si="791"/>
        <v>965964</v>
      </c>
      <c r="AY243" s="1">
        <f t="shared" si="791"/>
        <v>2173419</v>
      </c>
      <c r="AZ243" s="1">
        <f t="shared" si="670"/>
        <v>26245776</v>
      </c>
      <c r="BA243" s="1">
        <f t="shared" si="671"/>
        <v>13122888</v>
      </c>
      <c r="BC243" s="1">
        <f t="shared" si="672"/>
        <v>232</v>
      </c>
    </row>
    <row r="244" s="1" customFormat="1" spans="2:55">
      <c r="B244" s="4">
        <v>233</v>
      </c>
      <c r="C244" s="1">
        <f t="shared" ref="C244:I244" si="792">C$5+(C$6-C$5)*(POWER(C$7,$B244-1)-1)/(POWER(C$7,$B$3-1)-1)</f>
        <v>18409.4468034853</v>
      </c>
      <c r="D244" s="1">
        <f t="shared" si="792"/>
        <v>5522.83404104558</v>
      </c>
      <c r="E244" s="1">
        <f t="shared" si="792"/>
        <v>3681.88936069706</v>
      </c>
      <c r="F244" s="1">
        <f t="shared" si="792"/>
        <v>67578.9819368447</v>
      </c>
      <c r="G244" s="1">
        <f t="shared" si="792"/>
        <v>20273.6945810534</v>
      </c>
      <c r="H244" s="1">
        <f t="shared" si="792"/>
        <v>13515.7963873689</v>
      </c>
      <c r="I244" s="1">
        <f t="shared" si="792"/>
        <v>0</v>
      </c>
      <c r="J244" s="1">
        <f>[1]标准模型!$I$65/1*$B244/$B$3</f>
        <v>1.6776</v>
      </c>
      <c r="K244" s="1">
        <f>J244*[1]标准模型!$J$63</f>
        <v>1.6776</v>
      </c>
      <c r="L244" s="1">
        <f t="shared" si="649"/>
        <v>85988.42874033</v>
      </c>
      <c r="M244" s="1">
        <f t="shared" si="650"/>
        <v>35061.6350093571</v>
      </c>
      <c r="N244" s="1">
        <f t="shared" si="651"/>
        <v>23374.4233395713</v>
      </c>
      <c r="O244" s="1">
        <f t="shared" ref="O244:X244" si="793">O$5+(O$6-O$5)*(POWER(O$7,$B244-1)-1)/(POWER(O$7,$B$3-1)-1)</f>
        <v>0.732495964124265</v>
      </c>
      <c r="P244" s="1">
        <f t="shared" si="793"/>
        <v>0.149504734954215</v>
      </c>
      <c r="Q244" s="1">
        <f t="shared" si="793"/>
        <v>0.402872780268346</v>
      </c>
      <c r="R244" s="1">
        <f t="shared" si="793"/>
        <v>1.09299838564971</v>
      </c>
      <c r="S244" s="1">
        <f t="shared" si="793"/>
        <v>0.325494349773971</v>
      </c>
      <c r="T244" s="1">
        <f t="shared" si="793"/>
        <v>2.90673426008463</v>
      </c>
      <c r="U244" s="1">
        <f t="shared" si="793"/>
        <v>1</v>
      </c>
      <c r="V244" s="1">
        <f t="shared" si="793"/>
        <v>1.25355970104492</v>
      </c>
      <c r="W244" s="1">
        <f t="shared" si="793"/>
        <v>1.14307443946109</v>
      </c>
      <c r="X244" s="1">
        <f t="shared" si="793"/>
        <v>1.74398708519765</v>
      </c>
      <c r="Y244" s="1">
        <f t="shared" si="675"/>
        <v>3.1145150298624</v>
      </c>
      <c r="Z244" s="1">
        <f t="shared" si="676"/>
        <v>5.68757175606884</v>
      </c>
      <c r="AA244" s="1">
        <f t="shared" si="653"/>
        <v>489065.358652239</v>
      </c>
      <c r="AB244" s="1">
        <f t="shared" si="654"/>
        <v>35061.6350093571</v>
      </c>
      <c r="AC244" s="1">
        <f t="shared" si="655"/>
        <v>23374.4233395713</v>
      </c>
      <c r="AD244" s="1">
        <f>AC244/(AC244+[1]战斗公式!$M$27)</f>
        <v>0.493397527438544</v>
      </c>
      <c r="AE244" s="1">
        <f t="shared" si="656"/>
        <v>965382.889229603</v>
      </c>
      <c r="AF244" s="1">
        <f t="shared" si="657"/>
        <v>8.84050352229503</v>
      </c>
      <c r="AG244" s="1">
        <f t="shared" si="658"/>
        <v>4.84106087318542</v>
      </c>
      <c r="AH244" s="1">
        <f t="shared" si="659"/>
        <v>4.38150939969263</v>
      </c>
      <c r="AI244" s="1">
        <f t="shared" si="660"/>
        <v>1.12066848139278</v>
      </c>
      <c r="AJ244" s="1">
        <f t="shared" si="661"/>
        <v>1.00000780861081</v>
      </c>
      <c r="AK244" s="1">
        <f t="shared" si="662"/>
        <v>1.00733804117169</v>
      </c>
      <c r="AL244" s="1">
        <f t="shared" si="663"/>
        <v>0.896937831290635</v>
      </c>
      <c r="AM244" s="27">
        <f t="shared" si="664"/>
        <v>442639</v>
      </c>
      <c r="AN244" s="27">
        <f t="shared" si="665"/>
        <v>39292</v>
      </c>
      <c r="AO244" s="27">
        <f t="shared" si="666"/>
        <v>23374</v>
      </c>
      <c r="AP244" s="1">
        <f t="shared" si="667"/>
        <v>244168</v>
      </c>
      <c r="AQ244" s="1">
        <f t="shared" si="668"/>
        <v>35242</v>
      </c>
      <c r="AR244"/>
      <c r="AS244" s="1">
        <f t="shared" ref="AS244:AY244" si="794">ROUNDUP(AS$10*$AP244,0)</f>
        <v>244168</v>
      </c>
      <c r="AT244" s="1">
        <f t="shared" si="794"/>
        <v>732504</v>
      </c>
      <c r="AU244" s="1">
        <f t="shared" si="794"/>
        <v>439503</v>
      </c>
      <c r="AV244" s="1">
        <f t="shared" si="794"/>
        <v>122084</v>
      </c>
      <c r="AW244" s="1">
        <f t="shared" si="794"/>
        <v>36626</v>
      </c>
      <c r="AX244" s="1">
        <f t="shared" si="794"/>
        <v>976672</v>
      </c>
      <c r="AY244" s="1">
        <f t="shared" si="794"/>
        <v>2197512</v>
      </c>
      <c r="AZ244" s="1">
        <f t="shared" si="670"/>
        <v>26558547</v>
      </c>
      <c r="BA244" s="1">
        <f t="shared" si="671"/>
        <v>13279274</v>
      </c>
      <c r="BC244" s="1">
        <f t="shared" si="672"/>
        <v>233</v>
      </c>
    </row>
    <row r="245" s="1" customFormat="1" spans="2:55">
      <c r="B245" s="4">
        <v>234</v>
      </c>
      <c r="C245" s="1">
        <f t="shared" ref="C245:I245" si="795">C$5+(C$6-C$5)*(POWER(C$7,$B245-1)-1)/(POWER(C$7,$B$3-1)-1)</f>
        <v>18488.4481456767</v>
      </c>
      <c r="D245" s="1">
        <f t="shared" si="795"/>
        <v>5546.53444370302</v>
      </c>
      <c r="E245" s="1">
        <f t="shared" si="795"/>
        <v>3697.68962913535</v>
      </c>
      <c r="F245" s="1">
        <f t="shared" si="795"/>
        <v>67868.9868638767</v>
      </c>
      <c r="G245" s="1">
        <f t="shared" si="795"/>
        <v>20360.696059163</v>
      </c>
      <c r="H245" s="1">
        <f t="shared" si="795"/>
        <v>13573.7973727753</v>
      </c>
      <c r="I245" s="1">
        <f t="shared" si="795"/>
        <v>0</v>
      </c>
      <c r="J245" s="1">
        <f>[1]标准模型!$I$65/1*$B245/$B$3</f>
        <v>1.6848</v>
      </c>
      <c r="K245" s="1">
        <f>J245*[1]标准模型!$J$63</f>
        <v>1.6848</v>
      </c>
      <c r="L245" s="1">
        <f t="shared" si="649"/>
        <v>86357.4350095534</v>
      </c>
      <c r="M245" s="1">
        <f t="shared" si="650"/>
        <v>35252.0317336169</v>
      </c>
      <c r="N245" s="1">
        <f t="shared" si="651"/>
        <v>23501.3544890779</v>
      </c>
      <c r="O245" s="1">
        <f t="shared" ref="O245:X245" si="796">O$5+(O$6-O$5)*(POWER(O$7,$B245-1)-1)/(POWER(O$7,$B$3-1)-1)</f>
        <v>0.733497985156094</v>
      </c>
      <c r="P245" s="1">
        <f t="shared" si="796"/>
        <v>0.150268249182176</v>
      </c>
      <c r="Q245" s="1">
        <f t="shared" si="796"/>
        <v>0.403423891835852</v>
      </c>
      <c r="R245" s="1">
        <f t="shared" si="796"/>
        <v>1.09339919406244</v>
      </c>
      <c r="S245" s="1">
        <f t="shared" si="796"/>
        <v>0.326897179218531</v>
      </c>
      <c r="T245" s="1">
        <f t="shared" si="796"/>
        <v>2.91064214210877</v>
      </c>
      <c r="U245" s="1">
        <f t="shared" si="796"/>
        <v>1</v>
      </c>
      <c r="V245" s="1">
        <f t="shared" si="796"/>
        <v>1.25465250346938</v>
      </c>
      <c r="W245" s="1">
        <f t="shared" si="796"/>
        <v>1.14369106778837</v>
      </c>
      <c r="X245" s="1">
        <f t="shared" si="796"/>
        <v>1.7471935524995</v>
      </c>
      <c r="Y245" s="1">
        <f t="shared" si="675"/>
        <v>3.13695253125018</v>
      </c>
      <c r="Z245" s="1">
        <f t="shared" si="676"/>
        <v>5.73240280069604</v>
      </c>
      <c r="AA245" s="1">
        <f t="shared" si="653"/>
        <v>495035.60230969</v>
      </c>
      <c r="AB245" s="1">
        <f t="shared" si="654"/>
        <v>35252.0317336169</v>
      </c>
      <c r="AC245" s="1">
        <f t="shared" si="655"/>
        <v>23501.3544890779</v>
      </c>
      <c r="AD245" s="1">
        <f>AC245/(AC245+[1]战斗公式!$M$27)</f>
        <v>0.494751249556086</v>
      </c>
      <c r="AE245" s="1">
        <f t="shared" si="656"/>
        <v>979785.901251115</v>
      </c>
      <c r="AF245" s="1">
        <f t="shared" si="657"/>
        <v>8.86010944327593</v>
      </c>
      <c r="AG245" s="1">
        <f t="shared" si="658"/>
        <v>4.84853275521101</v>
      </c>
      <c r="AH245" s="1">
        <f t="shared" si="659"/>
        <v>4.38686573342599</v>
      </c>
      <c r="AI245" s="1">
        <f t="shared" si="660"/>
        <v>1.12401489904334</v>
      </c>
      <c r="AJ245" s="1">
        <f t="shared" si="661"/>
        <v>1.00000741817983</v>
      </c>
      <c r="AK245" s="1">
        <f t="shared" si="662"/>
        <v>1.00719061054087</v>
      </c>
      <c r="AL245" s="1">
        <f t="shared" si="663"/>
        <v>0.897226390260123</v>
      </c>
      <c r="AM245" s="27">
        <f t="shared" si="664"/>
        <v>447899</v>
      </c>
      <c r="AN245" s="27">
        <f t="shared" si="665"/>
        <v>39624</v>
      </c>
      <c r="AO245" s="27">
        <f t="shared" si="666"/>
        <v>23501</v>
      </c>
      <c r="AP245" s="1">
        <f t="shared" si="667"/>
        <v>246867</v>
      </c>
      <c r="AQ245" s="1">
        <f t="shared" si="668"/>
        <v>35552</v>
      </c>
      <c r="AR245"/>
      <c r="AS245" s="1">
        <f t="shared" ref="AS245:AY245" si="797">ROUNDUP(AS$10*$AP245,0)</f>
        <v>246867</v>
      </c>
      <c r="AT245" s="1">
        <f t="shared" si="797"/>
        <v>740601</v>
      </c>
      <c r="AU245" s="1">
        <f t="shared" si="797"/>
        <v>444361</v>
      </c>
      <c r="AV245" s="1">
        <f t="shared" si="797"/>
        <v>123434</v>
      </c>
      <c r="AW245" s="1">
        <f t="shared" si="797"/>
        <v>37031</v>
      </c>
      <c r="AX245" s="1">
        <f t="shared" si="797"/>
        <v>987468</v>
      </c>
      <c r="AY245" s="1">
        <f t="shared" si="797"/>
        <v>2221803</v>
      </c>
      <c r="AZ245" s="1">
        <f t="shared" si="670"/>
        <v>26874139</v>
      </c>
      <c r="BA245" s="1">
        <f t="shared" si="671"/>
        <v>13437070</v>
      </c>
      <c r="BC245" s="1">
        <f t="shared" si="672"/>
        <v>234</v>
      </c>
    </row>
    <row r="246" s="1" customFormat="1" spans="2:55">
      <c r="B246" s="4">
        <v>235</v>
      </c>
      <c r="C246" s="1">
        <f t="shared" ref="C246:I246" si="798">C$5+(C$6-C$5)*(POWER(C$7,$B246-1)-1)/(POWER(C$7,$B$3-1)-1)</f>
        <v>18567.4494088678</v>
      </c>
      <c r="D246" s="1">
        <f t="shared" si="798"/>
        <v>5570.23482266035</v>
      </c>
      <c r="E246" s="1">
        <f t="shared" si="798"/>
        <v>3713.48988177357</v>
      </c>
      <c r="F246" s="1">
        <f t="shared" si="798"/>
        <v>68158.9915009072</v>
      </c>
      <c r="G246" s="1">
        <f t="shared" si="798"/>
        <v>20447.6974502722</v>
      </c>
      <c r="H246" s="1">
        <f t="shared" si="798"/>
        <v>13631.7983001814</v>
      </c>
      <c r="I246" s="1">
        <f t="shared" si="798"/>
        <v>0</v>
      </c>
      <c r="J246" s="1">
        <f>[1]标准模型!$I$65/1*$B246/$B$3</f>
        <v>1.692</v>
      </c>
      <c r="K246" s="1">
        <f>J246*[1]标准模型!$J$63</f>
        <v>1.692</v>
      </c>
      <c r="L246" s="1">
        <f t="shared" si="649"/>
        <v>86726.440909775</v>
      </c>
      <c r="M246" s="1">
        <f t="shared" si="650"/>
        <v>35442.7695928739</v>
      </c>
      <c r="N246" s="1">
        <f t="shared" si="651"/>
        <v>23628.5130619159</v>
      </c>
      <c r="O246" s="1">
        <f t="shared" ref="O246:X246" si="799">O$5+(O$6-O$5)*(POWER(O$7,$B246-1)-1)/(POWER(O$7,$B$3-1)-1)</f>
        <v>0.734500005185914</v>
      </c>
      <c r="P246" s="1">
        <f t="shared" si="799"/>
        <v>0.151032908681479</v>
      </c>
      <c r="Q246" s="1">
        <f t="shared" si="799"/>
        <v>0.403975002852253</v>
      </c>
      <c r="R246" s="1">
        <f t="shared" si="799"/>
        <v>1.09380000207437</v>
      </c>
      <c r="S246" s="1">
        <f t="shared" si="799"/>
        <v>0.32830000726028</v>
      </c>
      <c r="T246" s="1">
        <f t="shared" si="799"/>
        <v>2.91455002022506</v>
      </c>
      <c r="U246" s="1">
        <f t="shared" si="799"/>
        <v>1</v>
      </c>
      <c r="V246" s="1">
        <f t="shared" si="799"/>
        <v>1.25574530480105</v>
      </c>
      <c r="W246" s="1">
        <f t="shared" si="799"/>
        <v>1.14430769549902</v>
      </c>
      <c r="X246" s="1">
        <f t="shared" si="799"/>
        <v>1.75040001659492</v>
      </c>
      <c r="Y246" s="1">
        <f t="shared" si="675"/>
        <v>3.15953372031457</v>
      </c>
      <c r="Z246" s="1">
        <f t="shared" si="676"/>
        <v>5.77755199597034</v>
      </c>
      <c r="AA246" s="1">
        <f t="shared" si="653"/>
        <v>501066.521781674</v>
      </c>
      <c r="AB246" s="1">
        <f t="shared" si="654"/>
        <v>35442.7695928739</v>
      </c>
      <c r="AC246" s="1">
        <f t="shared" si="655"/>
        <v>23628.5130619159</v>
      </c>
      <c r="AD246" s="1">
        <f>AC246/(AC246+[1]战斗公式!$M$27)</f>
        <v>0.496100162337619</v>
      </c>
      <c r="AE246" s="1">
        <f t="shared" si="656"/>
        <v>994377.2240653</v>
      </c>
      <c r="AF246" s="1">
        <f t="shared" si="657"/>
        <v>8.87974556870452</v>
      </c>
      <c r="AG246" s="1">
        <f t="shared" si="658"/>
        <v>4.85601091460603</v>
      </c>
      <c r="AH246" s="1">
        <f t="shared" si="659"/>
        <v>4.39218189465634</v>
      </c>
      <c r="AI246" s="1">
        <f t="shared" si="660"/>
        <v>1.1273680095292</v>
      </c>
      <c r="AJ246" s="1">
        <f t="shared" si="661"/>
        <v>1.0000070472704</v>
      </c>
      <c r="AK246" s="1">
        <f t="shared" si="662"/>
        <v>1.00704612852266</v>
      </c>
      <c r="AL246" s="1">
        <f t="shared" si="663"/>
        <v>0.897514083552702</v>
      </c>
      <c r="AM246" s="27">
        <f t="shared" si="664"/>
        <v>453206</v>
      </c>
      <c r="AN246" s="27">
        <f t="shared" si="665"/>
        <v>39957</v>
      </c>
      <c r="AO246" s="27">
        <f t="shared" si="666"/>
        <v>23629</v>
      </c>
      <c r="AP246" s="1">
        <f t="shared" si="667"/>
        <v>249588</v>
      </c>
      <c r="AQ246" s="1">
        <f t="shared" si="668"/>
        <v>35862</v>
      </c>
      <c r="AR246"/>
      <c r="AS246" s="1">
        <f t="shared" ref="AS246:AY246" si="800">ROUNDUP(AS$10*$AP246,0)</f>
        <v>249588</v>
      </c>
      <c r="AT246" s="1">
        <f t="shared" si="800"/>
        <v>748764</v>
      </c>
      <c r="AU246" s="1">
        <f t="shared" si="800"/>
        <v>449259</v>
      </c>
      <c r="AV246" s="1">
        <f t="shared" si="800"/>
        <v>124794</v>
      </c>
      <c r="AW246" s="1">
        <f t="shared" si="800"/>
        <v>37439</v>
      </c>
      <c r="AX246" s="1">
        <f t="shared" si="800"/>
        <v>998352</v>
      </c>
      <c r="AY246" s="1">
        <f t="shared" si="800"/>
        <v>2246292</v>
      </c>
      <c r="AZ246" s="1">
        <f t="shared" si="670"/>
        <v>27192552</v>
      </c>
      <c r="BA246" s="1">
        <f t="shared" si="671"/>
        <v>13596276</v>
      </c>
      <c r="BC246" s="1">
        <f t="shared" si="672"/>
        <v>235</v>
      </c>
    </row>
    <row r="247" s="1" customFormat="1" spans="2:55">
      <c r="B247" s="4">
        <v>236</v>
      </c>
      <c r="C247" s="1">
        <f t="shared" ref="C247:I247" si="801">C$5+(C$6-C$5)*(POWER(C$7,$B247-1)-1)/(POWER(C$7,$B$3-1)-1)</f>
        <v>18646.4505930585</v>
      </c>
      <c r="D247" s="1">
        <f t="shared" si="801"/>
        <v>5593.93517791756</v>
      </c>
      <c r="E247" s="1">
        <f t="shared" si="801"/>
        <v>3729.29011861171</v>
      </c>
      <c r="F247" s="1">
        <f t="shared" si="801"/>
        <v>68448.9958479364</v>
      </c>
      <c r="G247" s="1">
        <f t="shared" si="801"/>
        <v>20534.6987543809</v>
      </c>
      <c r="H247" s="1">
        <f t="shared" si="801"/>
        <v>13689.7991695873</v>
      </c>
      <c r="I247" s="1">
        <f t="shared" si="801"/>
        <v>0</v>
      </c>
      <c r="J247" s="1">
        <f>[1]标准模型!$I$65/1*$B247/$B$3</f>
        <v>1.6992</v>
      </c>
      <c r="K247" s="1">
        <f>J247*[1]标准模型!$J$63</f>
        <v>1.6992</v>
      </c>
      <c r="L247" s="1">
        <f t="shared" si="649"/>
        <v>87095.4464409949</v>
      </c>
      <c r="M247" s="1">
        <f t="shared" si="650"/>
        <v>35633.848586616</v>
      </c>
      <c r="N247" s="1">
        <f t="shared" si="651"/>
        <v>23755.899057744</v>
      </c>
      <c r="O247" s="1">
        <f t="shared" ref="O247:X247" si="802">O$5+(O$6-O$5)*(POWER(O$7,$B247-1)-1)/(POWER(O$7,$B$3-1)-1)</f>
        <v>0.735502024213725</v>
      </c>
      <c r="P247" s="1">
        <f t="shared" si="802"/>
        <v>0.151798715170031</v>
      </c>
      <c r="Q247" s="1">
        <f t="shared" si="802"/>
        <v>0.404526113317549</v>
      </c>
      <c r="R247" s="1">
        <f t="shared" si="802"/>
        <v>1.09420080968549</v>
      </c>
      <c r="S247" s="1">
        <f t="shared" si="802"/>
        <v>0.329702833899216</v>
      </c>
      <c r="T247" s="1">
        <f t="shared" si="802"/>
        <v>2.91845789443353</v>
      </c>
      <c r="U247" s="1">
        <f t="shared" si="802"/>
        <v>1</v>
      </c>
      <c r="V247" s="1">
        <f t="shared" si="802"/>
        <v>1.25683810503993</v>
      </c>
      <c r="W247" s="1">
        <f t="shared" si="802"/>
        <v>1.14492432259306</v>
      </c>
      <c r="X247" s="1">
        <f t="shared" si="802"/>
        <v>1.75360647748392</v>
      </c>
      <c r="Y247" s="1">
        <f t="shared" si="675"/>
        <v>3.18225938182923</v>
      </c>
      <c r="Z247" s="1">
        <f t="shared" si="676"/>
        <v>5.82302130620425</v>
      </c>
      <c r="AA247" s="1">
        <f t="shared" si="653"/>
        <v>507158.640299285</v>
      </c>
      <c r="AB247" s="1">
        <f t="shared" si="654"/>
        <v>35633.848586616</v>
      </c>
      <c r="AC247" s="1">
        <f t="shared" si="655"/>
        <v>23755.899057744</v>
      </c>
      <c r="AD247" s="1">
        <f>AC247/(AC247+[1]战斗公式!$M$27)</f>
        <v>0.497444284925295</v>
      </c>
      <c r="AE247" s="1">
        <f t="shared" si="656"/>
        <v>1009159.03468314</v>
      </c>
      <c r="AF247" s="1">
        <f t="shared" si="657"/>
        <v>8.89941187422248</v>
      </c>
      <c r="AG247" s="1">
        <f t="shared" si="658"/>
        <v>4.86349533005016</v>
      </c>
      <c r="AH247" s="1">
        <f t="shared" si="659"/>
        <v>4.39745818467747</v>
      </c>
      <c r="AI247" s="1">
        <f t="shared" si="660"/>
        <v>1.13072782623603</v>
      </c>
      <c r="AJ247" s="1">
        <f t="shared" si="661"/>
        <v>1.00000669490644</v>
      </c>
      <c r="AK247" s="1">
        <f t="shared" si="662"/>
        <v>1.00690453614482</v>
      </c>
      <c r="AL247" s="1">
        <f t="shared" si="663"/>
        <v>0.897800913765404</v>
      </c>
      <c r="AM247" s="27">
        <f t="shared" si="664"/>
        <v>458561</v>
      </c>
      <c r="AN247" s="27">
        <f t="shared" si="665"/>
        <v>40292</v>
      </c>
      <c r="AO247" s="27">
        <f t="shared" si="666"/>
        <v>23756</v>
      </c>
      <c r="AP247" s="1">
        <f t="shared" si="667"/>
        <v>252332</v>
      </c>
      <c r="AQ247" s="1">
        <f t="shared" si="668"/>
        <v>36174</v>
      </c>
      <c r="AR247"/>
      <c r="AS247" s="1">
        <f t="shared" ref="AS247:AY247" si="803">ROUNDUP(AS$10*$AP247,0)</f>
        <v>252332</v>
      </c>
      <c r="AT247" s="1">
        <f t="shared" si="803"/>
        <v>756996</v>
      </c>
      <c r="AU247" s="1">
        <f t="shared" si="803"/>
        <v>454198</v>
      </c>
      <c r="AV247" s="1">
        <f t="shared" si="803"/>
        <v>126166</v>
      </c>
      <c r="AW247" s="1">
        <f t="shared" si="803"/>
        <v>37850</v>
      </c>
      <c r="AX247" s="1">
        <f t="shared" si="803"/>
        <v>1009328</v>
      </c>
      <c r="AY247" s="1">
        <f t="shared" si="803"/>
        <v>2270988</v>
      </c>
      <c r="AZ247" s="1">
        <f t="shared" si="670"/>
        <v>27513844</v>
      </c>
      <c r="BA247" s="1">
        <f t="shared" si="671"/>
        <v>13756922</v>
      </c>
      <c r="BC247" s="1">
        <f t="shared" si="672"/>
        <v>236</v>
      </c>
    </row>
    <row r="248" s="1" customFormat="1" spans="2:55">
      <c r="B248" s="4">
        <v>237</v>
      </c>
      <c r="C248" s="1">
        <f t="shared" ref="C248:I248" si="804">C$5+(C$6-C$5)*(POWER(C$7,$B248-1)-1)/(POWER(C$7,$B$3-1)-1)</f>
        <v>18725.4516982489</v>
      </c>
      <c r="D248" s="1">
        <f t="shared" si="804"/>
        <v>5617.63550947466</v>
      </c>
      <c r="E248" s="1">
        <f t="shared" si="804"/>
        <v>3745.09033964978</v>
      </c>
      <c r="F248" s="1">
        <f t="shared" si="804"/>
        <v>68738.9999049642</v>
      </c>
      <c r="G248" s="1">
        <f t="shared" si="804"/>
        <v>20621.6999714893</v>
      </c>
      <c r="H248" s="1">
        <f t="shared" si="804"/>
        <v>13747.7999809928</v>
      </c>
      <c r="I248" s="1">
        <f t="shared" si="804"/>
        <v>0</v>
      </c>
      <c r="J248" s="1">
        <f>[1]标准模型!$I$65/1*$B248/$B$3</f>
        <v>1.7064</v>
      </c>
      <c r="K248" s="1">
        <f>J248*[1]标准模型!$J$63</f>
        <v>1.7064</v>
      </c>
      <c r="L248" s="1">
        <f t="shared" si="649"/>
        <v>87464.4516032131</v>
      </c>
      <c r="M248" s="1">
        <f t="shared" si="650"/>
        <v>35825.2687143315</v>
      </c>
      <c r="N248" s="1">
        <f t="shared" si="651"/>
        <v>23883.512476221</v>
      </c>
      <c r="O248" s="1">
        <f t="shared" ref="O248:X248" si="805">O$5+(O$6-O$5)*(POWER(O$7,$B248-1)-1)/(POWER(O$7,$B$3-1)-1)</f>
        <v>0.736504042239528</v>
      </c>
      <c r="P248" s="1">
        <f t="shared" si="805"/>
        <v>0.152565670368315</v>
      </c>
      <c r="Q248" s="1">
        <f t="shared" si="805"/>
        <v>0.405077223231741</v>
      </c>
      <c r="R248" s="1">
        <f t="shared" si="805"/>
        <v>1.09460161689581</v>
      </c>
      <c r="S248" s="1">
        <f t="shared" si="805"/>
        <v>0.331105659135339</v>
      </c>
      <c r="T248" s="1">
        <f t="shared" si="805"/>
        <v>2.92236576473416</v>
      </c>
      <c r="U248" s="1">
        <f t="shared" si="805"/>
        <v>1</v>
      </c>
      <c r="V248" s="1">
        <f t="shared" si="805"/>
        <v>1.25793090418602</v>
      </c>
      <c r="W248" s="1">
        <f t="shared" si="805"/>
        <v>1.14554094907048</v>
      </c>
      <c r="X248" s="1">
        <f t="shared" si="805"/>
        <v>1.75681293516649</v>
      </c>
      <c r="Y248" s="1">
        <f t="shared" si="675"/>
        <v>3.20513030395801</v>
      </c>
      <c r="Z248" s="1">
        <f t="shared" si="676"/>
        <v>5.8688127056927</v>
      </c>
      <c r="AA248" s="1">
        <f t="shared" si="653"/>
        <v>513312.484865381</v>
      </c>
      <c r="AB248" s="1">
        <f t="shared" si="654"/>
        <v>35825.2687143315</v>
      </c>
      <c r="AC248" s="1">
        <f t="shared" si="655"/>
        <v>23883.512476221</v>
      </c>
      <c r="AD248" s="1">
        <f>AC248/(AC248+[1]战斗公式!$M$27)</f>
        <v>0.498783636394293</v>
      </c>
      <c r="AE248" s="1">
        <f t="shared" si="656"/>
        <v>1024133.53221881</v>
      </c>
      <c r="AF248" s="1">
        <f t="shared" si="657"/>
        <v>8.91910833554774</v>
      </c>
      <c r="AG248" s="1">
        <f t="shared" si="658"/>
        <v>4.87098598031924</v>
      </c>
      <c r="AH248" s="1">
        <f t="shared" si="659"/>
        <v>4.40269490252344</v>
      </c>
      <c r="AI248" s="1">
        <f t="shared" si="660"/>
        <v>1.13409436257628</v>
      </c>
      <c r="AJ248" s="1">
        <f t="shared" si="661"/>
        <v>1.00000636016067</v>
      </c>
      <c r="AK248" s="1">
        <f t="shared" si="662"/>
        <v>1.00676577561454</v>
      </c>
      <c r="AL248" s="1">
        <f t="shared" si="663"/>
        <v>0.898086883487467</v>
      </c>
      <c r="AM248" s="27">
        <f t="shared" si="664"/>
        <v>463963</v>
      </c>
      <c r="AN248" s="27">
        <f t="shared" si="665"/>
        <v>40629</v>
      </c>
      <c r="AO248" s="27">
        <f t="shared" si="666"/>
        <v>23884</v>
      </c>
      <c r="AP248" s="1">
        <f t="shared" si="667"/>
        <v>255098</v>
      </c>
      <c r="AQ248" s="1">
        <f t="shared" si="668"/>
        <v>36488</v>
      </c>
      <c r="AR248"/>
      <c r="AS248" s="1">
        <f t="shared" ref="AS248:AY248" si="806">ROUNDUP(AS$10*$AP248,0)</f>
        <v>255098</v>
      </c>
      <c r="AT248" s="1">
        <f t="shared" si="806"/>
        <v>765294</v>
      </c>
      <c r="AU248" s="1">
        <f t="shared" si="806"/>
        <v>459177</v>
      </c>
      <c r="AV248" s="1">
        <f t="shared" si="806"/>
        <v>127549</v>
      </c>
      <c r="AW248" s="1">
        <f t="shared" si="806"/>
        <v>38265</v>
      </c>
      <c r="AX248" s="1">
        <f t="shared" si="806"/>
        <v>1020392</v>
      </c>
      <c r="AY248" s="1">
        <f t="shared" si="806"/>
        <v>2295882</v>
      </c>
      <c r="AZ248" s="1">
        <f t="shared" si="670"/>
        <v>27837957</v>
      </c>
      <c r="BA248" s="1">
        <f t="shared" si="671"/>
        <v>13918979</v>
      </c>
      <c r="BC248" s="1">
        <f t="shared" si="672"/>
        <v>237</v>
      </c>
    </row>
    <row r="249" s="1" customFormat="1" spans="2:55">
      <c r="B249" s="4">
        <v>238</v>
      </c>
      <c r="C249" s="1">
        <f t="shared" ref="C249:I249" si="807">C$5+(C$6-C$5)*(POWER(C$7,$B249-1)-1)/(POWER(C$7,$B$3-1)-1)</f>
        <v>18804.4527244301</v>
      </c>
      <c r="D249" s="1">
        <f t="shared" si="807"/>
        <v>5641.33581732902</v>
      </c>
      <c r="E249" s="1">
        <f t="shared" si="807"/>
        <v>3760.89054488601</v>
      </c>
      <c r="F249" s="1">
        <f t="shared" si="807"/>
        <v>69029.0036719584</v>
      </c>
      <c r="G249" s="1">
        <f t="shared" si="807"/>
        <v>20708.7011015875</v>
      </c>
      <c r="H249" s="1">
        <f t="shared" si="807"/>
        <v>13805.8007343917</v>
      </c>
      <c r="I249" s="1">
        <f t="shared" si="807"/>
        <v>0</v>
      </c>
      <c r="J249" s="1">
        <f>[1]标准模型!$I$65/1*$B249/$B$3</f>
        <v>1.7136</v>
      </c>
      <c r="K249" s="1">
        <f>J249*[1]标准模型!$J$63</f>
        <v>1.7136</v>
      </c>
      <c r="L249" s="1">
        <f t="shared" si="649"/>
        <v>87833.4563963885</v>
      </c>
      <c r="M249" s="1">
        <f t="shared" si="650"/>
        <v>36017.0299754915</v>
      </c>
      <c r="N249" s="1">
        <f t="shared" si="651"/>
        <v>24011.3533169944</v>
      </c>
      <c r="O249" s="1">
        <f t="shared" ref="O249:X249" si="808">O$5+(O$6-O$5)*(POWER(O$7,$B249-1)-1)/(POWER(O$7,$B$3-1)-1)</f>
        <v>0.737506059263211</v>
      </c>
      <c r="P249" s="1">
        <f t="shared" si="808"/>
        <v>0.153333775999397</v>
      </c>
      <c r="Q249" s="1">
        <f t="shared" si="808"/>
        <v>0.405628332594766</v>
      </c>
      <c r="R249" s="1">
        <f t="shared" si="808"/>
        <v>1.09500242370528</v>
      </c>
      <c r="S249" s="1">
        <f t="shared" si="808"/>
        <v>0.332508482968495</v>
      </c>
      <c r="T249" s="1">
        <f t="shared" si="808"/>
        <v>2.92627363112652</v>
      </c>
      <c r="U249" s="1">
        <f t="shared" si="808"/>
        <v>1</v>
      </c>
      <c r="V249" s="1">
        <f t="shared" si="808"/>
        <v>1.25902370223919</v>
      </c>
      <c r="W249" s="1">
        <f t="shared" si="808"/>
        <v>1.14615757493121</v>
      </c>
      <c r="X249" s="1">
        <f t="shared" si="808"/>
        <v>1.76001938964227</v>
      </c>
      <c r="Y249" s="1">
        <f t="shared" si="675"/>
        <v>3.22814727826369</v>
      </c>
      <c r="Z249" s="1">
        <f t="shared" si="676"/>
        <v>5.91492817874807</v>
      </c>
      <c r="AA249" s="1">
        <f t="shared" si="653"/>
        <v>519528.586275838</v>
      </c>
      <c r="AB249" s="1">
        <f t="shared" si="654"/>
        <v>36017.0299754915</v>
      </c>
      <c r="AC249" s="1">
        <f t="shared" si="655"/>
        <v>24011.3533169944</v>
      </c>
      <c r="AD249" s="1">
        <f>AC249/(AC249+[1]战斗公式!$M$27)</f>
        <v>0.500118235752692</v>
      </c>
      <c r="AE249" s="1">
        <f t="shared" si="656"/>
        <v>1039302.93808199</v>
      </c>
      <c r="AF249" s="1">
        <f t="shared" si="657"/>
        <v>8.93883492847148</v>
      </c>
      <c r="AG249" s="1">
        <f t="shared" si="658"/>
        <v>4.87848284428385</v>
      </c>
      <c r="AH249" s="1">
        <f t="shared" si="659"/>
        <v>4.40789234498557</v>
      </c>
      <c r="AI249" s="1">
        <f t="shared" si="660"/>
        <v>1.1374676319892</v>
      </c>
      <c r="AJ249" s="1">
        <f t="shared" si="661"/>
        <v>1.0000060421522</v>
      </c>
      <c r="AK249" s="1">
        <f t="shared" si="662"/>
        <v>1.00662979029486</v>
      </c>
      <c r="AL249" s="1">
        <f t="shared" si="663"/>
        <v>0.898371995300365</v>
      </c>
      <c r="AM249" s="27">
        <f t="shared" si="664"/>
        <v>469414</v>
      </c>
      <c r="AN249" s="27">
        <f t="shared" si="665"/>
        <v>40968</v>
      </c>
      <c r="AO249" s="27">
        <f t="shared" si="666"/>
        <v>24011</v>
      </c>
      <c r="AP249" s="1">
        <f t="shared" si="667"/>
        <v>257887</v>
      </c>
      <c r="AQ249" s="1">
        <f t="shared" si="668"/>
        <v>36805</v>
      </c>
      <c r="AR249"/>
      <c r="AS249" s="1">
        <f t="shared" ref="AS249:AY249" si="809">ROUNDUP(AS$10*$AP249,0)</f>
        <v>257887</v>
      </c>
      <c r="AT249" s="1">
        <f t="shared" si="809"/>
        <v>773661</v>
      </c>
      <c r="AU249" s="1">
        <f t="shared" si="809"/>
        <v>464197</v>
      </c>
      <c r="AV249" s="1">
        <f t="shared" si="809"/>
        <v>128944</v>
      </c>
      <c r="AW249" s="1">
        <f t="shared" si="809"/>
        <v>38684</v>
      </c>
      <c r="AX249" s="1">
        <f t="shared" si="809"/>
        <v>1031548</v>
      </c>
      <c r="AY249" s="1">
        <f t="shared" si="809"/>
        <v>2320983</v>
      </c>
      <c r="AZ249" s="1">
        <f t="shared" si="670"/>
        <v>28165010</v>
      </c>
      <c r="BA249" s="1">
        <f t="shared" si="671"/>
        <v>14082505</v>
      </c>
      <c r="BC249" s="1">
        <f t="shared" si="672"/>
        <v>238</v>
      </c>
    </row>
    <row r="250" s="1" customFormat="1" spans="2:55">
      <c r="B250" s="4">
        <v>239</v>
      </c>
      <c r="C250" s="1">
        <f t="shared" ref="C250:I250" si="810">C$5+(C$6-C$5)*(POWER(C$7,$B250-1)-1)/(POWER(C$7,$B$3-1)-1)</f>
        <v>18883.4536716196</v>
      </c>
      <c r="D250" s="1">
        <f t="shared" si="810"/>
        <v>5665.03610148589</v>
      </c>
      <c r="E250" s="1">
        <f t="shared" si="810"/>
        <v>3776.69073432393</v>
      </c>
      <c r="F250" s="1">
        <f t="shared" si="810"/>
        <v>69319.0071489835</v>
      </c>
      <c r="G250" s="1">
        <f t="shared" si="810"/>
        <v>20795.702144695</v>
      </c>
      <c r="H250" s="1">
        <f t="shared" si="810"/>
        <v>13863.8014297967</v>
      </c>
      <c r="I250" s="1">
        <f t="shared" si="810"/>
        <v>0</v>
      </c>
      <c r="J250" s="1">
        <f>[1]标准模型!$I$65/1*$B250/$B$3</f>
        <v>1.7208</v>
      </c>
      <c r="K250" s="1">
        <f>J250*[1]标准模型!$J$63</f>
        <v>1.7208</v>
      </c>
      <c r="L250" s="1">
        <f t="shared" si="649"/>
        <v>88202.4608206031</v>
      </c>
      <c r="M250" s="1">
        <f t="shared" si="650"/>
        <v>36209.1323696178</v>
      </c>
      <c r="N250" s="1">
        <f t="shared" si="651"/>
        <v>24139.4215797452</v>
      </c>
      <c r="O250" s="1">
        <f t="shared" ref="O250:X250" si="811">O$5+(O$6-O$5)*(POWER(O$7,$B250-1)-1)/(POWER(O$7,$B$3-1)-1)</f>
        <v>0.738508075284996</v>
      </c>
      <c r="P250" s="1">
        <f t="shared" si="811"/>
        <v>0.154103033788926</v>
      </c>
      <c r="Q250" s="1">
        <f t="shared" si="811"/>
        <v>0.406179441406748</v>
      </c>
      <c r="R250" s="1">
        <f t="shared" si="811"/>
        <v>1.095403230114</v>
      </c>
      <c r="S250" s="1">
        <f t="shared" si="811"/>
        <v>0.333911305398994</v>
      </c>
      <c r="T250" s="1">
        <f t="shared" si="811"/>
        <v>2.93018149361148</v>
      </c>
      <c r="U250" s="1">
        <f t="shared" si="811"/>
        <v>1</v>
      </c>
      <c r="V250" s="1">
        <f t="shared" si="811"/>
        <v>1.2601164991997</v>
      </c>
      <c r="W250" s="1">
        <f t="shared" si="811"/>
        <v>1.14677420017538</v>
      </c>
      <c r="X250" s="1">
        <f t="shared" si="811"/>
        <v>1.76322584091199</v>
      </c>
      <c r="Y250" s="1">
        <f t="shared" si="675"/>
        <v>3.2513110997281</v>
      </c>
      <c r="Z250" s="1">
        <f t="shared" si="676"/>
        <v>5.96136971975896</v>
      </c>
      <c r="AA250" s="1">
        <f t="shared" si="653"/>
        <v>525807.479144169</v>
      </c>
      <c r="AB250" s="1">
        <f t="shared" si="654"/>
        <v>36209.1323696178</v>
      </c>
      <c r="AC250" s="1">
        <f t="shared" si="655"/>
        <v>24139.4215797452</v>
      </c>
      <c r="AD250" s="1">
        <f>AC250/(AC250+[1]战斗公式!$M$27)</f>
        <v>0.501448101941922</v>
      </c>
      <c r="AE250" s="1">
        <f t="shared" si="656"/>
        <v>1054669.49617934</v>
      </c>
      <c r="AF250" s="1">
        <f t="shared" si="657"/>
        <v>8.95859162886886</v>
      </c>
      <c r="AG250" s="1">
        <f t="shared" si="658"/>
        <v>4.8859859009131</v>
      </c>
      <c r="AH250" s="1">
        <f t="shared" si="659"/>
        <v>4.41305080662923</v>
      </c>
      <c r="AI250" s="1">
        <f t="shared" si="660"/>
        <v>1.14084764794095</v>
      </c>
      <c r="AJ250" s="1">
        <f t="shared" si="661"/>
        <v>1.00000574004415</v>
      </c>
      <c r="AK250" s="1">
        <f t="shared" si="662"/>
        <v>1.00649652468157</v>
      </c>
      <c r="AL250" s="1">
        <f t="shared" si="663"/>
        <v>0.898656251777823</v>
      </c>
      <c r="AM250" s="27">
        <f t="shared" si="664"/>
        <v>474912</v>
      </c>
      <c r="AN250" s="27">
        <f t="shared" si="665"/>
        <v>41309</v>
      </c>
      <c r="AO250" s="27">
        <f t="shared" si="666"/>
        <v>24139</v>
      </c>
      <c r="AP250" s="1">
        <f t="shared" si="667"/>
        <v>260698</v>
      </c>
      <c r="AQ250" s="1">
        <f t="shared" si="668"/>
        <v>37123</v>
      </c>
      <c r="AR250"/>
      <c r="AS250" s="1">
        <f t="shared" ref="AS250:AY250" si="812">ROUNDUP(AS$10*$AP250,0)</f>
        <v>260698</v>
      </c>
      <c r="AT250" s="1">
        <f t="shared" si="812"/>
        <v>782094</v>
      </c>
      <c r="AU250" s="1">
        <f t="shared" si="812"/>
        <v>469257</v>
      </c>
      <c r="AV250" s="1">
        <f t="shared" si="812"/>
        <v>130349</v>
      </c>
      <c r="AW250" s="1">
        <f t="shared" si="812"/>
        <v>39105</v>
      </c>
      <c r="AX250" s="1">
        <f t="shared" si="812"/>
        <v>1042792</v>
      </c>
      <c r="AY250" s="1">
        <f t="shared" si="812"/>
        <v>2346282</v>
      </c>
      <c r="AZ250" s="1">
        <f t="shared" si="670"/>
        <v>28494884</v>
      </c>
      <c r="BA250" s="1">
        <f t="shared" si="671"/>
        <v>14247442</v>
      </c>
      <c r="BC250" s="1">
        <f t="shared" si="672"/>
        <v>239</v>
      </c>
    </row>
    <row r="251" s="1" customFormat="1" spans="2:55">
      <c r="B251" s="4">
        <v>240</v>
      </c>
      <c r="C251" s="1">
        <f t="shared" ref="C251:I251" si="813">C$5+(C$6-C$5)*(POWER(C$7,$B251-1)-1)/(POWER(C$7,$B$3-1)-1)</f>
        <v>18962.4545398088</v>
      </c>
      <c r="D251" s="1">
        <f t="shared" si="813"/>
        <v>5688.73636194265</v>
      </c>
      <c r="E251" s="1">
        <f t="shared" si="813"/>
        <v>3792.49090796177</v>
      </c>
      <c r="F251" s="1">
        <f t="shared" si="813"/>
        <v>69609.0103360071</v>
      </c>
      <c r="G251" s="1">
        <f t="shared" si="813"/>
        <v>20882.7031008021</v>
      </c>
      <c r="H251" s="1">
        <f t="shared" si="813"/>
        <v>13921.8020672014</v>
      </c>
      <c r="I251" s="1">
        <f t="shared" si="813"/>
        <v>0</v>
      </c>
      <c r="J251" s="1">
        <f>[1]标准模型!$I$65/1*$B251/$B$3</f>
        <v>1.728</v>
      </c>
      <c r="K251" s="1">
        <f>J251*[1]标准模型!$J$63</f>
        <v>1.728</v>
      </c>
      <c r="L251" s="1">
        <f t="shared" si="649"/>
        <v>88571.4648758159</v>
      </c>
      <c r="M251" s="1">
        <f t="shared" si="650"/>
        <v>36401.5758961816</v>
      </c>
      <c r="N251" s="1">
        <f t="shared" si="651"/>
        <v>24267.7172641211</v>
      </c>
      <c r="O251" s="1">
        <f t="shared" ref="O251:X251" si="814">O$5+(O$6-O$5)*(POWER(O$7,$B251-1)-1)/(POWER(O$7,$B$3-1)-1)</f>
        <v>0.739510090304772</v>
      </c>
      <c r="P251" s="1">
        <f t="shared" si="814"/>
        <v>0.154873445465139</v>
      </c>
      <c r="Q251" s="1">
        <f t="shared" si="814"/>
        <v>0.406730549667625</v>
      </c>
      <c r="R251" s="1">
        <f t="shared" si="814"/>
        <v>1.09580403612191</v>
      </c>
      <c r="S251" s="1">
        <f t="shared" si="814"/>
        <v>0.335314126426681</v>
      </c>
      <c r="T251" s="1">
        <f t="shared" si="814"/>
        <v>2.93408935218861</v>
      </c>
      <c r="U251" s="1">
        <f t="shared" si="814"/>
        <v>1</v>
      </c>
      <c r="V251" s="1">
        <f t="shared" si="814"/>
        <v>1.26120929506743</v>
      </c>
      <c r="W251" s="1">
        <f t="shared" si="814"/>
        <v>1.14739082480294</v>
      </c>
      <c r="X251" s="1">
        <f t="shared" si="814"/>
        <v>1.76643228897527</v>
      </c>
      <c r="Y251" s="1">
        <f t="shared" si="675"/>
        <v>3.27462256674961</v>
      </c>
      <c r="Z251" s="1">
        <f t="shared" si="676"/>
        <v>6.0081393332018</v>
      </c>
      <c r="AA251" s="1">
        <f t="shared" si="653"/>
        <v>532149.701919691</v>
      </c>
      <c r="AB251" s="1">
        <f t="shared" si="654"/>
        <v>36401.5758961816</v>
      </c>
      <c r="AC251" s="1">
        <f t="shared" si="655"/>
        <v>24267.7172641211</v>
      </c>
      <c r="AD251" s="1">
        <f>AC251/(AC251+[1]战斗公式!$M$27)</f>
        <v>0.502773253836059</v>
      </c>
      <c r="AE251" s="1">
        <f t="shared" si="656"/>
        <v>1070235.47310192</v>
      </c>
      <c r="AF251" s="1">
        <f t="shared" si="657"/>
        <v>8.97837841268099</v>
      </c>
      <c r="AG251" s="1">
        <f t="shared" si="658"/>
        <v>4.89349512926737</v>
      </c>
      <c r="AH251" s="1">
        <f t="shared" si="659"/>
        <v>4.41817057981057</v>
      </c>
      <c r="AI251" s="1">
        <f t="shared" si="660"/>
        <v>1.14423442392461</v>
      </c>
      <c r="AJ251" s="1">
        <f t="shared" si="661"/>
        <v>1.0000054530415</v>
      </c>
      <c r="AK251" s="1">
        <f t="shared" si="662"/>
        <v>1.00636592438055</v>
      </c>
      <c r="AL251" s="1">
        <f t="shared" si="663"/>
        <v>0.89893965548585</v>
      </c>
      <c r="AM251" s="27">
        <f t="shared" si="664"/>
        <v>480460</v>
      </c>
      <c r="AN251" s="27">
        <f t="shared" si="665"/>
        <v>41652</v>
      </c>
      <c r="AO251" s="27">
        <f t="shared" si="666"/>
        <v>24268</v>
      </c>
      <c r="AP251" s="1">
        <f t="shared" si="667"/>
        <v>263533</v>
      </c>
      <c r="AQ251" s="1">
        <f t="shared" si="668"/>
        <v>37443</v>
      </c>
      <c r="AR251"/>
      <c r="AS251" s="1">
        <f t="shared" ref="AS251:AY251" si="815">ROUNDUP(AS$10*$AP251,0)</f>
        <v>263533</v>
      </c>
      <c r="AT251" s="1">
        <f t="shared" si="815"/>
        <v>790599</v>
      </c>
      <c r="AU251" s="1">
        <f t="shared" si="815"/>
        <v>474360</v>
      </c>
      <c r="AV251" s="1">
        <f t="shared" si="815"/>
        <v>131767</v>
      </c>
      <c r="AW251" s="1">
        <f t="shared" si="815"/>
        <v>39530</v>
      </c>
      <c r="AX251" s="1">
        <f t="shared" si="815"/>
        <v>1054132</v>
      </c>
      <c r="AY251" s="1">
        <f t="shared" si="815"/>
        <v>2371797</v>
      </c>
      <c r="AZ251" s="1">
        <f t="shared" si="670"/>
        <v>28827757</v>
      </c>
      <c r="BA251" s="1">
        <f t="shared" si="671"/>
        <v>14413879</v>
      </c>
      <c r="BC251" s="1">
        <f t="shared" si="672"/>
        <v>240</v>
      </c>
    </row>
    <row r="252" s="1" customFormat="1" spans="2:55">
      <c r="B252" s="4">
        <v>241</v>
      </c>
      <c r="C252" s="1">
        <f t="shared" ref="C252:I252" si="816">C$5+(C$6-C$5)*(POWER(C$7,$B252-1)-1)/(POWER(C$7,$B$3-1)-1)</f>
        <v>19041.4553289889</v>
      </c>
      <c r="D252" s="1">
        <f t="shared" si="816"/>
        <v>5712.43659869666</v>
      </c>
      <c r="E252" s="1">
        <f t="shared" si="816"/>
        <v>3808.29106579777</v>
      </c>
      <c r="F252" s="1">
        <f t="shared" si="816"/>
        <v>69899.0132329971</v>
      </c>
      <c r="G252" s="1">
        <f t="shared" si="816"/>
        <v>20969.7039698991</v>
      </c>
      <c r="H252" s="1">
        <f t="shared" si="816"/>
        <v>13979.8026465994</v>
      </c>
      <c r="I252" s="1">
        <f t="shared" si="816"/>
        <v>0</v>
      </c>
      <c r="J252" s="1">
        <f>[1]标准模型!$I$65/1*$B252/$B$3</f>
        <v>1.7352</v>
      </c>
      <c r="K252" s="1">
        <f>J252*[1]标准模型!$J$63</f>
        <v>1.7352</v>
      </c>
      <c r="L252" s="1">
        <f t="shared" si="649"/>
        <v>88940.468561986</v>
      </c>
      <c r="M252" s="1">
        <f t="shared" si="650"/>
        <v>36594.3605546542</v>
      </c>
      <c r="N252" s="1">
        <f t="shared" si="651"/>
        <v>24396.2403697695</v>
      </c>
      <c r="O252" s="1">
        <f t="shared" ref="O252:X252" si="817">O$5+(O$6-O$5)*(POWER(O$7,$B252-1)-1)/(POWER(O$7,$B$3-1)-1)</f>
        <v>0.740512104322428</v>
      </c>
      <c r="P252" s="1">
        <f t="shared" si="817"/>
        <v>0.155645012758866</v>
      </c>
      <c r="Q252" s="1">
        <f t="shared" si="817"/>
        <v>0.407281657377335</v>
      </c>
      <c r="R252" s="1">
        <f t="shared" si="817"/>
        <v>1.09620484172897</v>
      </c>
      <c r="S252" s="1">
        <f t="shared" si="817"/>
        <v>0.336716946051399</v>
      </c>
      <c r="T252" s="1">
        <f t="shared" si="817"/>
        <v>2.93799720685747</v>
      </c>
      <c r="U252" s="1">
        <f t="shared" si="817"/>
        <v>1</v>
      </c>
      <c r="V252" s="1">
        <f t="shared" si="817"/>
        <v>1.26230208984224</v>
      </c>
      <c r="W252" s="1">
        <f t="shared" si="817"/>
        <v>1.1480074488138</v>
      </c>
      <c r="X252" s="1">
        <f t="shared" si="817"/>
        <v>1.76963873383177</v>
      </c>
      <c r="Y252" s="1">
        <f t="shared" si="675"/>
        <v>3.29808248116101</v>
      </c>
      <c r="Z252" s="1">
        <f t="shared" si="676"/>
        <v>6.05523903369499</v>
      </c>
      <c r="AA252" s="1">
        <f t="shared" si="653"/>
        <v>538555.79691166</v>
      </c>
      <c r="AB252" s="1">
        <f t="shared" si="654"/>
        <v>36594.3605546542</v>
      </c>
      <c r="AC252" s="1">
        <f t="shared" si="655"/>
        <v>24396.2403697695</v>
      </c>
      <c r="AD252" s="1">
        <f>AC252/(AC252+[1]战斗公式!$M$27)</f>
        <v>0.50409371024218</v>
      </c>
      <c r="AE252" s="1">
        <f t="shared" si="656"/>
        <v>1086003.15832789</v>
      </c>
      <c r="AF252" s="1">
        <f t="shared" si="657"/>
        <v>8.99819525592299</v>
      </c>
      <c r="AG252" s="1">
        <f t="shared" si="658"/>
        <v>4.90101050850119</v>
      </c>
      <c r="AH252" s="1">
        <f t="shared" si="659"/>
        <v>4.42325195469304</v>
      </c>
      <c r="AI252" s="1">
        <f t="shared" si="660"/>
        <v>1.14762797346023</v>
      </c>
      <c r="AJ252" s="1">
        <f t="shared" si="661"/>
        <v>1.00000518038899</v>
      </c>
      <c r="AK252" s="1">
        <f t="shared" si="662"/>
        <v>1.00623793608555</v>
      </c>
      <c r="AL252" s="1">
        <f t="shared" si="663"/>
        <v>0.899222208982752</v>
      </c>
      <c r="AM252" s="27">
        <f t="shared" si="664"/>
        <v>486056</v>
      </c>
      <c r="AN252" s="27">
        <f t="shared" si="665"/>
        <v>41997</v>
      </c>
      <c r="AO252" s="27">
        <f t="shared" si="666"/>
        <v>24396</v>
      </c>
      <c r="AP252" s="1">
        <f t="shared" si="667"/>
        <v>266390</v>
      </c>
      <c r="AQ252" s="1">
        <f t="shared" si="668"/>
        <v>37765</v>
      </c>
      <c r="AR252"/>
      <c r="AS252" s="1">
        <f t="shared" ref="AS252:AY252" si="818">ROUNDUP(AS$10*$AP252,0)</f>
        <v>266390</v>
      </c>
      <c r="AT252" s="1">
        <f t="shared" si="818"/>
        <v>799170</v>
      </c>
      <c r="AU252" s="1">
        <f t="shared" si="818"/>
        <v>479502</v>
      </c>
      <c r="AV252" s="1">
        <f t="shared" si="818"/>
        <v>133195</v>
      </c>
      <c r="AW252" s="1">
        <f t="shared" si="818"/>
        <v>39959</v>
      </c>
      <c r="AX252" s="1">
        <f t="shared" si="818"/>
        <v>1065560</v>
      </c>
      <c r="AY252" s="1">
        <f t="shared" si="818"/>
        <v>2397510</v>
      </c>
      <c r="AZ252" s="1">
        <f t="shared" si="670"/>
        <v>29163511</v>
      </c>
      <c r="BA252" s="1">
        <f t="shared" si="671"/>
        <v>14581756</v>
      </c>
      <c r="BC252" s="1">
        <f t="shared" si="672"/>
        <v>241</v>
      </c>
    </row>
    <row r="253" s="1" customFormat="1" spans="2:55">
      <c r="B253" s="4">
        <v>242</v>
      </c>
      <c r="C253" s="1">
        <f t="shared" ref="C253:I253" si="819">C$5+(C$6-C$5)*(POWER(C$7,$B253-1)-1)/(POWER(C$7,$B$3-1)-1)</f>
        <v>19120.4560391773</v>
      </c>
      <c r="D253" s="1">
        <f t="shared" si="819"/>
        <v>5736.13681175319</v>
      </c>
      <c r="E253" s="1">
        <f t="shared" si="819"/>
        <v>3824.09120783546</v>
      </c>
      <c r="F253" s="1">
        <f t="shared" si="819"/>
        <v>70189.015840018</v>
      </c>
      <c r="G253" s="1">
        <f t="shared" si="819"/>
        <v>21056.7047520054</v>
      </c>
      <c r="H253" s="1">
        <f t="shared" si="819"/>
        <v>14037.8031680036</v>
      </c>
      <c r="I253" s="1">
        <f t="shared" si="819"/>
        <v>0</v>
      </c>
      <c r="J253" s="1">
        <f>[1]标准模型!$I$65/1*$B253/$B$3</f>
        <v>1.7424</v>
      </c>
      <c r="K253" s="1">
        <f>J253*[1]标准模型!$J$63</f>
        <v>1.7424</v>
      </c>
      <c r="L253" s="1">
        <f t="shared" si="649"/>
        <v>89309.4718791953</v>
      </c>
      <c r="M253" s="1">
        <f t="shared" si="650"/>
        <v>36787.4863445574</v>
      </c>
      <c r="N253" s="1">
        <f t="shared" si="651"/>
        <v>24524.9908963716</v>
      </c>
      <c r="O253" s="1">
        <f t="shared" ref="O253:X253" si="820">O$5+(O$6-O$5)*(POWER(O$7,$B253-1)-1)/(POWER(O$7,$B$3-1)-1)</f>
        <v>0.741514117338187</v>
      </c>
      <c r="P253" s="1">
        <f t="shared" si="820"/>
        <v>0.156417737403534</v>
      </c>
      <c r="Q253" s="1">
        <f t="shared" si="820"/>
        <v>0.407832764536003</v>
      </c>
      <c r="R253" s="1">
        <f t="shared" si="820"/>
        <v>1.09660564693527</v>
      </c>
      <c r="S253" s="1">
        <f t="shared" si="820"/>
        <v>0.338119764273461</v>
      </c>
      <c r="T253" s="1">
        <f t="shared" si="820"/>
        <v>2.94190505761893</v>
      </c>
      <c r="U253" s="1">
        <f t="shared" si="820"/>
        <v>1</v>
      </c>
      <c r="V253" s="1">
        <f t="shared" si="820"/>
        <v>1.26339488352438</v>
      </c>
      <c r="W253" s="1">
        <f t="shared" si="820"/>
        <v>1.14862407220811</v>
      </c>
      <c r="X253" s="1">
        <f t="shared" si="820"/>
        <v>1.7728451754822</v>
      </c>
      <c r="Y253" s="1">
        <f t="shared" si="675"/>
        <v>3.32169164824751</v>
      </c>
      <c r="Z253" s="1">
        <f t="shared" si="676"/>
        <v>6.10267084605378</v>
      </c>
      <c r="AA253" s="1">
        <f t="shared" si="653"/>
        <v>545026.310313625</v>
      </c>
      <c r="AB253" s="1">
        <f t="shared" si="654"/>
        <v>36787.4863445574</v>
      </c>
      <c r="AC253" s="1">
        <f t="shared" si="655"/>
        <v>24524.9908963716</v>
      </c>
      <c r="AD253" s="1">
        <f>AC253/(AC253+[1]战斗公式!$M$27)</f>
        <v>0.505409489900706</v>
      </c>
      <c r="AE253" s="1">
        <f t="shared" si="656"/>
        <v>1101974.86442715</v>
      </c>
      <c r="AF253" s="1">
        <f t="shared" si="657"/>
        <v>9.01804213469269</v>
      </c>
      <c r="AG253" s="1">
        <f t="shared" si="658"/>
        <v>4.90853201786608</v>
      </c>
      <c r="AH253" s="1">
        <f t="shared" si="659"/>
        <v>4.42829521926389</v>
      </c>
      <c r="AI253" s="1">
        <f t="shared" si="660"/>
        <v>1.15102831009492</v>
      </c>
      <c r="AJ253" s="1">
        <f t="shared" si="661"/>
        <v>1.0000049213691</v>
      </c>
      <c r="AK253" s="1">
        <f t="shared" si="662"/>
        <v>1.00611250755645</v>
      </c>
      <c r="AL253" s="1">
        <f t="shared" si="663"/>
        <v>0.899503914819163</v>
      </c>
      <c r="AM253" s="27">
        <f t="shared" si="664"/>
        <v>491702</v>
      </c>
      <c r="AN253" s="27">
        <f t="shared" si="665"/>
        <v>42343</v>
      </c>
      <c r="AO253" s="27">
        <f t="shared" si="666"/>
        <v>24525</v>
      </c>
      <c r="AP253" s="1">
        <f t="shared" si="667"/>
        <v>269270</v>
      </c>
      <c r="AQ253" s="1">
        <f t="shared" si="668"/>
        <v>38088</v>
      </c>
      <c r="AR253"/>
      <c r="AS253" s="1">
        <f t="shared" ref="AS253:AY253" si="821">ROUNDUP(AS$10*$AP253,0)</f>
        <v>269270</v>
      </c>
      <c r="AT253" s="1">
        <f t="shared" si="821"/>
        <v>807810</v>
      </c>
      <c r="AU253" s="1">
        <f t="shared" si="821"/>
        <v>484686</v>
      </c>
      <c r="AV253" s="1">
        <f t="shared" si="821"/>
        <v>134635</v>
      </c>
      <c r="AW253" s="1">
        <f t="shared" si="821"/>
        <v>40391</v>
      </c>
      <c r="AX253" s="1">
        <f t="shared" si="821"/>
        <v>1077080</v>
      </c>
      <c r="AY253" s="1">
        <f t="shared" si="821"/>
        <v>2423430</v>
      </c>
      <c r="AZ253" s="1">
        <f t="shared" si="670"/>
        <v>29502265</v>
      </c>
      <c r="BA253" s="1">
        <f t="shared" si="671"/>
        <v>14751133</v>
      </c>
      <c r="BC253" s="1">
        <f t="shared" si="672"/>
        <v>242</v>
      </c>
    </row>
    <row r="254" s="1" customFormat="1" spans="2:55">
      <c r="B254" s="4">
        <v>243</v>
      </c>
      <c r="C254" s="1">
        <f t="shared" ref="C254:I254" si="822">C$5+(C$6-C$5)*(POWER(C$7,$B254-1)-1)/(POWER(C$7,$B$3-1)-1)</f>
        <v>19199.4566703566</v>
      </c>
      <c r="D254" s="1">
        <f t="shared" si="822"/>
        <v>5759.83700110698</v>
      </c>
      <c r="E254" s="1">
        <f t="shared" si="822"/>
        <v>3839.89133407132</v>
      </c>
      <c r="F254" s="1">
        <f t="shared" si="822"/>
        <v>70479.0181570052</v>
      </c>
      <c r="G254" s="1">
        <f t="shared" si="822"/>
        <v>21143.7054471016</v>
      </c>
      <c r="H254" s="1">
        <f t="shared" si="822"/>
        <v>14095.803631401</v>
      </c>
      <c r="I254" s="1">
        <f t="shared" si="822"/>
        <v>0</v>
      </c>
      <c r="J254" s="1">
        <f>[1]标准模型!$I$65/1*$B254/$B$3</f>
        <v>1.7496</v>
      </c>
      <c r="K254" s="1">
        <f>J254*[1]标准模型!$J$63</f>
        <v>1.7496</v>
      </c>
      <c r="L254" s="1">
        <f t="shared" si="649"/>
        <v>89678.4748273618</v>
      </c>
      <c r="M254" s="1">
        <f t="shared" si="650"/>
        <v>36980.9532653454</v>
      </c>
      <c r="N254" s="1">
        <f t="shared" si="651"/>
        <v>24653.9688435635</v>
      </c>
      <c r="O254" s="1">
        <f t="shared" ref="O254:X254" si="823">O$5+(O$6-O$5)*(POWER(O$7,$B254-1)-1)/(POWER(O$7,$B$3-1)-1)</f>
        <v>0.742516129351825</v>
      </c>
      <c r="P254" s="1">
        <f t="shared" si="823"/>
        <v>0.157191621135169</v>
      </c>
      <c r="Q254" s="1">
        <f t="shared" si="823"/>
        <v>0.408383871143504</v>
      </c>
      <c r="R254" s="1">
        <f t="shared" si="823"/>
        <v>1.09700645174073</v>
      </c>
      <c r="S254" s="1">
        <f t="shared" si="823"/>
        <v>0.339522581092555</v>
      </c>
      <c r="T254" s="1">
        <f t="shared" si="823"/>
        <v>2.94581290447212</v>
      </c>
      <c r="U254" s="1">
        <f t="shared" si="823"/>
        <v>1</v>
      </c>
      <c r="V254" s="1">
        <f t="shared" si="823"/>
        <v>1.26448767611361</v>
      </c>
      <c r="W254" s="1">
        <f t="shared" si="823"/>
        <v>1.14924069498574</v>
      </c>
      <c r="X254" s="1">
        <f t="shared" si="823"/>
        <v>1.77605161392584</v>
      </c>
      <c r="Y254" s="1">
        <f t="shared" si="675"/>
        <v>3.34545087674189</v>
      </c>
      <c r="Z254" s="1">
        <f t="shared" si="676"/>
        <v>6.15043680529671</v>
      </c>
      <c r="AA254" s="1">
        <f t="shared" si="653"/>
        <v>551561.792221081</v>
      </c>
      <c r="AB254" s="1">
        <f t="shared" si="654"/>
        <v>36980.9532653454</v>
      </c>
      <c r="AC254" s="1">
        <f t="shared" si="655"/>
        <v>24653.9688435635</v>
      </c>
      <c r="AD254" s="1">
        <f>AC254/(AC254+[1]战斗公式!$M$27)</f>
        <v>0.506720611484607</v>
      </c>
      <c r="AE254" s="1">
        <f t="shared" si="656"/>
        <v>1118152.92725102</v>
      </c>
      <c r="AF254" s="1">
        <f t="shared" si="657"/>
        <v>9.0379190251488</v>
      </c>
      <c r="AG254" s="1">
        <f t="shared" si="658"/>
        <v>4.91605963670212</v>
      </c>
      <c r="AH254" s="1">
        <f t="shared" si="659"/>
        <v>4.43330065935047</v>
      </c>
      <c r="AI254" s="1">
        <f t="shared" si="660"/>
        <v>1.15443544740289</v>
      </c>
      <c r="AJ254" s="1">
        <f t="shared" si="661"/>
        <v>1.0000046753002</v>
      </c>
      <c r="AK254" s="1">
        <f t="shared" si="662"/>
        <v>1.00598958759794</v>
      </c>
      <c r="AL254" s="1">
        <f t="shared" si="663"/>
        <v>0.899784775538065</v>
      </c>
      <c r="AM254" s="27">
        <f t="shared" si="664"/>
        <v>497398</v>
      </c>
      <c r="AN254" s="27">
        <f t="shared" si="665"/>
        <v>42692</v>
      </c>
      <c r="AO254" s="27">
        <f t="shared" si="666"/>
        <v>24654</v>
      </c>
      <c r="AP254" s="1">
        <f t="shared" si="667"/>
        <v>272174</v>
      </c>
      <c r="AQ254" s="1">
        <f t="shared" si="668"/>
        <v>38414</v>
      </c>
      <c r="AR254"/>
      <c r="AS254" s="1">
        <f t="shared" ref="AS254:AY254" si="824">ROUNDUP(AS$10*$AP254,0)</f>
        <v>272174</v>
      </c>
      <c r="AT254" s="1">
        <f t="shared" si="824"/>
        <v>816522</v>
      </c>
      <c r="AU254" s="1">
        <f t="shared" si="824"/>
        <v>489914</v>
      </c>
      <c r="AV254" s="1">
        <f t="shared" si="824"/>
        <v>136087</v>
      </c>
      <c r="AW254" s="1">
        <f t="shared" si="824"/>
        <v>40827</v>
      </c>
      <c r="AX254" s="1">
        <f t="shared" si="824"/>
        <v>1088696</v>
      </c>
      <c r="AY254" s="1">
        <f t="shared" si="824"/>
        <v>2449566</v>
      </c>
      <c r="AZ254" s="1">
        <f t="shared" si="670"/>
        <v>29844020</v>
      </c>
      <c r="BA254" s="1">
        <f t="shared" si="671"/>
        <v>14922010</v>
      </c>
      <c r="BC254" s="1">
        <f t="shared" si="672"/>
        <v>243</v>
      </c>
    </row>
    <row r="255" s="1" customFormat="1" spans="2:55">
      <c r="B255" s="4">
        <v>244</v>
      </c>
      <c r="C255" s="1">
        <f t="shared" ref="C255:I255" si="825">C$5+(C$6-C$5)*(POWER(C$7,$B255-1)-1)/(POWER(C$7,$B$3-1)-1)</f>
        <v>19278.4572225355</v>
      </c>
      <c r="D255" s="1">
        <f t="shared" si="825"/>
        <v>5783.53716676065</v>
      </c>
      <c r="E255" s="1">
        <f t="shared" si="825"/>
        <v>3855.6914445071</v>
      </c>
      <c r="F255" s="1">
        <f t="shared" si="825"/>
        <v>70769.0201839911</v>
      </c>
      <c r="G255" s="1">
        <f t="shared" si="825"/>
        <v>21230.7060551973</v>
      </c>
      <c r="H255" s="1">
        <f t="shared" si="825"/>
        <v>14153.8040367982</v>
      </c>
      <c r="I255" s="1">
        <f t="shared" si="825"/>
        <v>0</v>
      </c>
      <c r="J255" s="1">
        <f>[1]标准模型!$I$65/1*$B255/$B$3</f>
        <v>1.7568</v>
      </c>
      <c r="K255" s="1">
        <f>J255*[1]标准模型!$J$63</f>
        <v>1.7568</v>
      </c>
      <c r="L255" s="1">
        <f t="shared" si="649"/>
        <v>90047.4774065266</v>
      </c>
      <c r="M255" s="1">
        <f t="shared" si="650"/>
        <v>37174.7613165231</v>
      </c>
      <c r="N255" s="1">
        <f t="shared" si="651"/>
        <v>24783.1742110154</v>
      </c>
      <c r="O255" s="1">
        <f t="shared" ref="O255:X255" si="826">O$5+(O$6-O$5)*(POWER(O$7,$B255-1)-1)/(POWER(O$7,$B$3-1)-1)</f>
        <v>0.743518140363455</v>
      </c>
      <c r="P255" s="1">
        <f t="shared" si="826"/>
        <v>0.157966665692402</v>
      </c>
      <c r="Q255" s="1">
        <f t="shared" si="826"/>
        <v>0.4089349771999</v>
      </c>
      <c r="R255" s="1">
        <f t="shared" si="826"/>
        <v>1.09740725614538</v>
      </c>
      <c r="S255" s="1">
        <f t="shared" si="826"/>
        <v>0.340925396508837</v>
      </c>
      <c r="T255" s="1">
        <f t="shared" si="826"/>
        <v>2.94972074741747</v>
      </c>
      <c r="U255" s="1">
        <f t="shared" si="826"/>
        <v>1</v>
      </c>
      <c r="V255" s="1">
        <f t="shared" si="826"/>
        <v>1.26558046761006</v>
      </c>
      <c r="W255" s="1">
        <f t="shared" si="826"/>
        <v>1.14985731714674</v>
      </c>
      <c r="X255" s="1">
        <f t="shared" si="826"/>
        <v>1.77925804916306</v>
      </c>
      <c r="Y255" s="1">
        <f t="shared" si="675"/>
        <v>3.36936097885174</v>
      </c>
      <c r="Z255" s="1">
        <f t="shared" si="676"/>
        <v>6.19853895672007</v>
      </c>
      <c r="AA255" s="1">
        <f t="shared" si="653"/>
        <v>558162.796658726</v>
      </c>
      <c r="AB255" s="1">
        <f t="shared" si="654"/>
        <v>37174.7613165231</v>
      </c>
      <c r="AC255" s="1">
        <f t="shared" si="655"/>
        <v>24783.1742110154</v>
      </c>
      <c r="AD255" s="1">
        <f>AC255/(AC255+[1]战斗公式!$M$27)</f>
        <v>0.508027093600221</v>
      </c>
      <c r="AE255" s="1">
        <f t="shared" si="656"/>
        <v>1134539.70614626</v>
      </c>
      <c r="AF255" s="1">
        <f t="shared" si="657"/>
        <v>9.05782590353169</v>
      </c>
      <c r="AG255" s="1">
        <f t="shared" si="658"/>
        <v>4.92359334444536</v>
      </c>
      <c r="AH255" s="1">
        <f t="shared" si="659"/>
        <v>4.43826855863639</v>
      </c>
      <c r="AI255" s="1">
        <f t="shared" si="660"/>
        <v>1.15784939898547</v>
      </c>
      <c r="AJ255" s="1">
        <f t="shared" si="661"/>
        <v>1.00000444153475</v>
      </c>
      <c r="AK255" s="1">
        <f t="shared" si="662"/>
        <v>1.00586912603859</v>
      </c>
      <c r="AL255" s="1">
        <f t="shared" si="663"/>
        <v>0.900064793674811</v>
      </c>
      <c r="AM255" s="27">
        <f t="shared" si="664"/>
        <v>503144</v>
      </c>
      <c r="AN255" s="27">
        <f t="shared" si="665"/>
        <v>43043</v>
      </c>
      <c r="AO255" s="27">
        <f t="shared" si="666"/>
        <v>24783</v>
      </c>
      <c r="AP255" s="1">
        <f t="shared" si="667"/>
        <v>275101</v>
      </c>
      <c r="AQ255" s="1">
        <f t="shared" si="668"/>
        <v>38741</v>
      </c>
      <c r="AR255"/>
      <c r="AS255" s="1">
        <f t="shared" ref="AS255:AY255" si="827">ROUNDUP(AS$10*$AP255,0)</f>
        <v>275101</v>
      </c>
      <c r="AT255" s="1">
        <f t="shared" si="827"/>
        <v>825303</v>
      </c>
      <c r="AU255" s="1">
        <f t="shared" si="827"/>
        <v>495182</v>
      </c>
      <c r="AV255" s="1">
        <f t="shared" si="827"/>
        <v>137551</v>
      </c>
      <c r="AW255" s="1">
        <f t="shared" si="827"/>
        <v>41266</v>
      </c>
      <c r="AX255" s="1">
        <f t="shared" si="827"/>
        <v>1100404</v>
      </c>
      <c r="AY255" s="1">
        <f t="shared" si="827"/>
        <v>2475909</v>
      </c>
      <c r="AZ255" s="1">
        <f t="shared" si="670"/>
        <v>30188774</v>
      </c>
      <c r="BA255" s="1">
        <f t="shared" si="671"/>
        <v>15094387</v>
      </c>
      <c r="BC255" s="1">
        <f t="shared" si="672"/>
        <v>244</v>
      </c>
    </row>
    <row r="256" s="1" customFormat="1" spans="2:55">
      <c r="B256" s="4">
        <v>245</v>
      </c>
      <c r="C256" s="1">
        <f t="shared" ref="C256:I256" si="828">C$5+(C$6-C$5)*(POWER(C$7,$B256-1)-1)/(POWER(C$7,$B$3-1)-1)</f>
        <v>19357.4576957228</v>
      </c>
      <c r="D256" s="1">
        <f t="shared" si="828"/>
        <v>5807.23730871684</v>
      </c>
      <c r="E256" s="1">
        <f t="shared" si="828"/>
        <v>3871.49153914456</v>
      </c>
      <c r="F256" s="1">
        <f t="shared" si="828"/>
        <v>71059.0219210078</v>
      </c>
      <c r="G256" s="1">
        <f t="shared" si="828"/>
        <v>21317.7065763023</v>
      </c>
      <c r="H256" s="1">
        <f t="shared" si="828"/>
        <v>14211.8043842016</v>
      </c>
      <c r="I256" s="1">
        <f t="shared" si="828"/>
        <v>0</v>
      </c>
      <c r="J256" s="1">
        <f>[1]标准模型!$I$65/1*$B256/$B$3</f>
        <v>1.764</v>
      </c>
      <c r="K256" s="1">
        <f>J256*[1]标准模型!$J$63</f>
        <v>1.764</v>
      </c>
      <c r="L256" s="1">
        <f t="shared" si="649"/>
        <v>90416.4796167306</v>
      </c>
      <c r="M256" s="1">
        <f t="shared" si="650"/>
        <v>37368.9104975956</v>
      </c>
      <c r="N256" s="1">
        <f t="shared" si="651"/>
        <v>24912.6069983972</v>
      </c>
      <c r="O256" s="1">
        <f t="shared" ref="O256:X256" si="829">O$5+(O$6-O$5)*(POWER(O$7,$B256-1)-1)/(POWER(O$7,$B$3-1)-1)</f>
        <v>0.744520150373187</v>
      </c>
      <c r="P256" s="1">
        <f t="shared" si="829"/>
        <v>0.15874287281647</v>
      </c>
      <c r="Q256" s="1">
        <f t="shared" si="829"/>
        <v>0.409486082705253</v>
      </c>
      <c r="R256" s="1">
        <f t="shared" si="829"/>
        <v>1.09780806014927</v>
      </c>
      <c r="S256" s="1">
        <f t="shared" si="829"/>
        <v>0.342328210522462</v>
      </c>
      <c r="T256" s="1">
        <f t="shared" si="829"/>
        <v>2.95362858645543</v>
      </c>
      <c r="U256" s="1">
        <f t="shared" si="829"/>
        <v>1</v>
      </c>
      <c r="V256" s="1">
        <f t="shared" si="829"/>
        <v>1.26667325801383</v>
      </c>
      <c r="W256" s="1">
        <f t="shared" si="829"/>
        <v>1.15047393869119</v>
      </c>
      <c r="X256" s="1">
        <f t="shared" si="829"/>
        <v>1.7824644811942</v>
      </c>
      <c r="Y256" s="1">
        <f t="shared" si="675"/>
        <v>3.39342277026391</v>
      </c>
      <c r="Z256" s="1">
        <f t="shared" si="676"/>
        <v>6.24697935592405</v>
      </c>
      <c r="AA256" s="1">
        <f t="shared" si="653"/>
        <v>564829.881601044</v>
      </c>
      <c r="AB256" s="1">
        <f t="shared" si="654"/>
        <v>37368.9104975956</v>
      </c>
      <c r="AC256" s="1">
        <f t="shared" si="655"/>
        <v>24912.6069983972</v>
      </c>
      <c r="AD256" s="1">
        <f>AC256/(AC256+[1]战斗公式!$M$27)</f>
        <v>0.509328954786923</v>
      </c>
      <c r="AE256" s="1">
        <f t="shared" si="656"/>
        <v>1151137.58415429</v>
      </c>
      <c r="AF256" s="1">
        <f t="shared" si="657"/>
        <v>9.07776274615344</v>
      </c>
      <c r="AG256" s="1">
        <f t="shared" si="658"/>
        <v>4.93113312062385</v>
      </c>
      <c r="AH256" s="1">
        <f t="shared" si="659"/>
        <v>4.44319919867767</v>
      </c>
      <c r="AI256" s="1">
        <f t="shared" si="660"/>
        <v>1.16127017847121</v>
      </c>
      <c r="AJ256" s="1">
        <f t="shared" si="661"/>
        <v>1.00000421945757</v>
      </c>
      <c r="AK256" s="1">
        <f t="shared" si="662"/>
        <v>1.00575107371043</v>
      </c>
      <c r="AL256" s="1">
        <f t="shared" si="663"/>
        <v>0.900343971757146</v>
      </c>
      <c r="AM256" s="27">
        <f t="shared" si="664"/>
        <v>508940</v>
      </c>
      <c r="AN256" s="27">
        <f t="shared" si="665"/>
        <v>43395</v>
      </c>
      <c r="AO256" s="27">
        <f t="shared" si="666"/>
        <v>24913</v>
      </c>
      <c r="AP256" s="1">
        <f t="shared" si="667"/>
        <v>278051</v>
      </c>
      <c r="AQ256" s="1">
        <f t="shared" si="668"/>
        <v>39070</v>
      </c>
      <c r="AR256"/>
      <c r="AS256" s="1">
        <f t="shared" ref="AS256:AY256" si="830">ROUNDUP(AS$10*$AP256,0)</f>
        <v>278051</v>
      </c>
      <c r="AT256" s="1">
        <f t="shared" si="830"/>
        <v>834153</v>
      </c>
      <c r="AU256" s="1">
        <f t="shared" si="830"/>
        <v>500492</v>
      </c>
      <c r="AV256" s="1">
        <f t="shared" si="830"/>
        <v>139026</v>
      </c>
      <c r="AW256" s="1">
        <f t="shared" si="830"/>
        <v>41708</v>
      </c>
      <c r="AX256" s="1">
        <f t="shared" si="830"/>
        <v>1112204</v>
      </c>
      <c r="AY256" s="1">
        <f t="shared" si="830"/>
        <v>2502459</v>
      </c>
      <c r="AZ256" s="1">
        <f t="shared" si="670"/>
        <v>30536529</v>
      </c>
      <c r="BA256" s="1">
        <f t="shared" si="671"/>
        <v>15268264</v>
      </c>
      <c r="BC256" s="1">
        <f t="shared" si="672"/>
        <v>245</v>
      </c>
    </row>
    <row r="257" s="1" customFormat="1" spans="2:55">
      <c r="B257" s="4">
        <v>246</v>
      </c>
      <c r="C257" s="1">
        <f t="shared" ref="C257:I257" si="831">C$5+(C$6-C$5)*(POWER(C$7,$B257-1)-1)/(POWER(C$7,$B$3-1)-1)</f>
        <v>19436.458089901</v>
      </c>
      <c r="D257" s="1">
        <f t="shared" si="831"/>
        <v>5830.93742697029</v>
      </c>
      <c r="E257" s="1">
        <f t="shared" si="831"/>
        <v>3887.29161798019</v>
      </c>
      <c r="F257" s="1">
        <f t="shared" si="831"/>
        <v>71349.0233679909</v>
      </c>
      <c r="G257" s="1">
        <f t="shared" si="831"/>
        <v>21404.7070103973</v>
      </c>
      <c r="H257" s="1">
        <f t="shared" si="831"/>
        <v>14269.8046735982</v>
      </c>
      <c r="I257" s="1">
        <f t="shared" si="831"/>
        <v>0</v>
      </c>
      <c r="J257" s="1">
        <f>[1]标准模型!$I$65/1*$B257/$B$3</f>
        <v>1.7712</v>
      </c>
      <c r="K257" s="1">
        <f>J257*[1]标准模型!$J$63</f>
        <v>1.7712</v>
      </c>
      <c r="L257" s="1">
        <f t="shared" si="649"/>
        <v>90785.4814578919</v>
      </c>
      <c r="M257" s="1">
        <f t="shared" si="650"/>
        <v>37563.4008080174</v>
      </c>
      <c r="N257" s="1">
        <f t="shared" si="651"/>
        <v>25042.2672053449</v>
      </c>
      <c r="O257" s="1">
        <f t="shared" ref="O257:X257" si="832">O$5+(O$6-O$5)*(POWER(O$7,$B257-1)-1)/(POWER(O$7,$B$3-1)-1)</f>
        <v>0.745522159380799</v>
      </c>
      <c r="P257" s="1">
        <f t="shared" si="832"/>
        <v>0.159520244251224</v>
      </c>
      <c r="Q257" s="1">
        <f t="shared" si="832"/>
        <v>0.41003718765944</v>
      </c>
      <c r="R257" s="1">
        <f t="shared" si="832"/>
        <v>1.09820886375232</v>
      </c>
      <c r="S257" s="1">
        <f t="shared" si="832"/>
        <v>0.343731023133119</v>
      </c>
      <c r="T257" s="1">
        <f t="shared" si="832"/>
        <v>2.95753642158512</v>
      </c>
      <c r="U257" s="1">
        <f t="shared" si="832"/>
        <v>1</v>
      </c>
      <c r="V257" s="1">
        <f t="shared" si="832"/>
        <v>1.2677660473247</v>
      </c>
      <c r="W257" s="1">
        <f t="shared" si="832"/>
        <v>1.15109055961895</v>
      </c>
      <c r="X257" s="1">
        <f t="shared" si="832"/>
        <v>1.78567091001856</v>
      </c>
      <c r="Y257" s="1">
        <f t="shared" si="675"/>
        <v>3.41763707014859</v>
      </c>
      <c r="Z257" s="1">
        <f t="shared" si="676"/>
        <v>6.29576006883846</v>
      </c>
      <c r="AA257" s="1">
        <f t="shared" si="653"/>
        <v>571563.60899287</v>
      </c>
      <c r="AB257" s="1">
        <f t="shared" si="654"/>
        <v>37563.4008080174</v>
      </c>
      <c r="AC257" s="1">
        <f t="shared" si="655"/>
        <v>25042.2672053449</v>
      </c>
      <c r="AD257" s="1">
        <f>AC257/(AC257+[1]战斗公式!$M$27)</f>
        <v>0.51062621351681</v>
      </c>
      <c r="AE257" s="1">
        <f t="shared" si="656"/>
        <v>1167948.96821165</v>
      </c>
      <c r="AF257" s="1">
        <f t="shared" si="657"/>
        <v>9.09772952938853</v>
      </c>
      <c r="AG257" s="1">
        <f t="shared" si="658"/>
        <v>4.93867894485379</v>
      </c>
      <c r="AH257" s="1">
        <f t="shared" si="659"/>
        <v>4.44809285891864</v>
      </c>
      <c r="AI257" s="1">
        <f t="shared" si="660"/>
        <v>1.16469779951593</v>
      </c>
      <c r="AJ257" s="1">
        <f t="shared" si="661"/>
        <v>1.00000400848425</v>
      </c>
      <c r="AK257" s="1">
        <f t="shared" si="662"/>
        <v>1.00563538242883</v>
      </c>
      <c r="AL257" s="1">
        <f t="shared" si="663"/>
        <v>0.900622312305234</v>
      </c>
      <c r="AM257" s="27">
        <f t="shared" si="664"/>
        <v>514787</v>
      </c>
      <c r="AN257" s="27">
        <f t="shared" si="665"/>
        <v>43750</v>
      </c>
      <c r="AO257" s="27">
        <f t="shared" si="666"/>
        <v>25042</v>
      </c>
      <c r="AP257" s="1">
        <f t="shared" si="667"/>
        <v>281026</v>
      </c>
      <c r="AQ257" s="1">
        <f t="shared" si="668"/>
        <v>39402</v>
      </c>
      <c r="AR257"/>
      <c r="AS257" s="1">
        <f t="shared" ref="AS257:AY257" si="833">ROUNDUP(AS$10*$AP257,0)</f>
        <v>281026</v>
      </c>
      <c r="AT257" s="1">
        <f t="shared" si="833"/>
        <v>843078</v>
      </c>
      <c r="AU257" s="1">
        <f t="shared" si="833"/>
        <v>505847</v>
      </c>
      <c r="AV257" s="1">
        <f t="shared" si="833"/>
        <v>140513</v>
      </c>
      <c r="AW257" s="1">
        <f t="shared" si="833"/>
        <v>42154</v>
      </c>
      <c r="AX257" s="1">
        <f t="shared" si="833"/>
        <v>1124104</v>
      </c>
      <c r="AY257" s="1">
        <f t="shared" si="833"/>
        <v>2529234</v>
      </c>
      <c r="AZ257" s="1">
        <f t="shared" si="670"/>
        <v>30887344</v>
      </c>
      <c r="BA257" s="1">
        <f t="shared" si="671"/>
        <v>15443672</v>
      </c>
      <c r="BC257" s="1">
        <f t="shared" si="672"/>
        <v>246</v>
      </c>
    </row>
    <row r="258" s="1" customFormat="1" spans="2:55">
      <c r="B258" s="4">
        <v>247</v>
      </c>
      <c r="C258" s="1">
        <f t="shared" ref="C258:I258" si="834">C$5+(C$6-C$5)*(POWER(C$7,$B258-1)-1)/(POWER(C$7,$B$3-1)-1)</f>
        <v>19515.4584050875</v>
      </c>
      <c r="D258" s="1">
        <f t="shared" si="834"/>
        <v>5854.63752152625</v>
      </c>
      <c r="E258" s="1">
        <f t="shared" si="834"/>
        <v>3903.0916810175</v>
      </c>
      <c r="F258" s="1">
        <f t="shared" si="834"/>
        <v>71639.0245250048</v>
      </c>
      <c r="G258" s="1">
        <f t="shared" si="834"/>
        <v>21491.7073575014</v>
      </c>
      <c r="H258" s="1">
        <f t="shared" si="834"/>
        <v>14327.804905001</v>
      </c>
      <c r="I258" s="1">
        <f t="shared" si="834"/>
        <v>0</v>
      </c>
      <c r="J258" s="1">
        <f>[1]标准模型!$I$65/1*$B258/$B$3</f>
        <v>1.7784</v>
      </c>
      <c r="K258" s="1">
        <f>J258*[1]标准模型!$J$63</f>
        <v>1.7784</v>
      </c>
      <c r="L258" s="1">
        <f t="shared" si="649"/>
        <v>91154.4829300923</v>
      </c>
      <c r="M258" s="1">
        <f t="shared" si="650"/>
        <v>37758.2322473099</v>
      </c>
      <c r="N258" s="1">
        <f t="shared" si="651"/>
        <v>25172.15483154</v>
      </c>
      <c r="O258" s="1">
        <f t="shared" ref="O258:X258" si="835">O$5+(O$6-O$5)*(POWER(O$7,$B258-1)-1)/(POWER(O$7,$B$3-1)-1)</f>
        <v>0.746524167386514</v>
      </c>
      <c r="P258" s="1">
        <f t="shared" si="835"/>
        <v>0.160298781743131</v>
      </c>
      <c r="Q258" s="1">
        <f t="shared" si="835"/>
        <v>0.410588292062583</v>
      </c>
      <c r="R258" s="1">
        <f t="shared" si="835"/>
        <v>1.09860966695461</v>
      </c>
      <c r="S258" s="1">
        <f t="shared" si="835"/>
        <v>0.345133834341119</v>
      </c>
      <c r="T258" s="1">
        <f t="shared" si="835"/>
        <v>2.9614442528074</v>
      </c>
      <c r="U258" s="1">
        <f t="shared" si="835"/>
        <v>1</v>
      </c>
      <c r="V258" s="1">
        <f t="shared" si="835"/>
        <v>1.2688588355429</v>
      </c>
      <c r="W258" s="1">
        <f t="shared" si="835"/>
        <v>1.15170717993016</v>
      </c>
      <c r="X258" s="1">
        <f t="shared" si="835"/>
        <v>1.78887733563684</v>
      </c>
      <c r="Y258" s="1">
        <f t="shared" si="675"/>
        <v>3.44200470118711</v>
      </c>
      <c r="Z258" s="1">
        <f t="shared" si="676"/>
        <v>6.34488317179838</v>
      </c>
      <c r="AA258" s="1">
        <f t="shared" si="653"/>
        <v>578364.544777125</v>
      </c>
      <c r="AB258" s="1">
        <f t="shared" si="654"/>
        <v>37758.2322473099</v>
      </c>
      <c r="AC258" s="1">
        <f t="shared" si="655"/>
        <v>25172.15483154</v>
      </c>
      <c r="AD258" s="1">
        <f>AC258/(AC258+[1]战斗公式!$M$27)</f>
        <v>0.511918888195522</v>
      </c>
      <c r="AE258" s="1">
        <f t="shared" si="656"/>
        <v>1184976.28936891</v>
      </c>
      <c r="AF258" s="1">
        <f t="shared" si="657"/>
        <v>9.11772622969441</v>
      </c>
      <c r="AG258" s="1">
        <f t="shared" si="658"/>
        <v>4.94623079684696</v>
      </c>
      <c r="AH258" s="1">
        <f t="shared" si="659"/>
        <v>4.4529498167078</v>
      </c>
      <c r="AI258" s="1">
        <f t="shared" si="660"/>
        <v>1.16813227580273</v>
      </c>
      <c r="AJ258" s="1">
        <f t="shared" si="661"/>
        <v>1.0000038080596</v>
      </c>
      <c r="AK258" s="1">
        <f t="shared" si="662"/>
        <v>1.00552200497287</v>
      </c>
      <c r="AL258" s="1">
        <f t="shared" si="663"/>
        <v>0.900899817831678</v>
      </c>
      <c r="AM258" s="27">
        <f t="shared" si="664"/>
        <v>520685</v>
      </c>
      <c r="AN258" s="27">
        <f t="shared" si="665"/>
        <v>44107</v>
      </c>
      <c r="AO258" s="27">
        <f t="shared" si="666"/>
        <v>25172</v>
      </c>
      <c r="AP258" s="1">
        <f t="shared" si="667"/>
        <v>284024</v>
      </c>
      <c r="AQ258" s="1">
        <f t="shared" si="668"/>
        <v>39736</v>
      </c>
      <c r="AR258"/>
      <c r="AS258" s="1">
        <f t="shared" ref="AS258:AY258" si="836">ROUNDUP(AS$10*$AP258,0)</f>
        <v>284024</v>
      </c>
      <c r="AT258" s="1">
        <f t="shared" si="836"/>
        <v>852072</v>
      </c>
      <c r="AU258" s="1">
        <f t="shared" si="836"/>
        <v>511244</v>
      </c>
      <c r="AV258" s="1">
        <f t="shared" si="836"/>
        <v>142012</v>
      </c>
      <c r="AW258" s="1">
        <f t="shared" si="836"/>
        <v>42604</v>
      </c>
      <c r="AX258" s="1">
        <f t="shared" si="836"/>
        <v>1136096</v>
      </c>
      <c r="AY258" s="1">
        <f t="shared" si="836"/>
        <v>2556216</v>
      </c>
      <c r="AZ258" s="1">
        <f t="shared" si="670"/>
        <v>31241219</v>
      </c>
      <c r="BA258" s="1">
        <f t="shared" si="671"/>
        <v>15620609</v>
      </c>
      <c r="BC258" s="1">
        <f t="shared" si="672"/>
        <v>247</v>
      </c>
    </row>
    <row r="259" s="1" customFormat="1" spans="2:55">
      <c r="B259" s="4">
        <v>248</v>
      </c>
      <c r="C259" s="1">
        <f t="shared" ref="C259:I259" si="837">C$5+(C$6-C$5)*(POWER(C$7,$B259-1)-1)/(POWER(C$7,$B$3-1)-1)</f>
        <v>19594.4586412649</v>
      </c>
      <c r="D259" s="1">
        <f t="shared" si="837"/>
        <v>5878.33759237947</v>
      </c>
      <c r="E259" s="1">
        <f t="shared" si="837"/>
        <v>3918.89172825298</v>
      </c>
      <c r="F259" s="1">
        <f t="shared" si="837"/>
        <v>71929.0253919851</v>
      </c>
      <c r="G259" s="1">
        <f t="shared" si="837"/>
        <v>21578.7076175955</v>
      </c>
      <c r="H259" s="1">
        <f t="shared" si="837"/>
        <v>14385.805078397</v>
      </c>
      <c r="I259" s="1">
        <f t="shared" si="837"/>
        <v>0</v>
      </c>
      <c r="J259" s="1">
        <f>[1]标准模型!$I$65/1*$B259/$B$3</f>
        <v>1.7856</v>
      </c>
      <c r="K259" s="1">
        <f>J259*[1]标准模型!$J$63</f>
        <v>1.7856</v>
      </c>
      <c r="L259" s="1">
        <f t="shared" si="649"/>
        <v>91523.48403325</v>
      </c>
      <c r="M259" s="1">
        <f t="shared" si="650"/>
        <v>37953.4048149278</v>
      </c>
      <c r="N259" s="1">
        <f t="shared" si="651"/>
        <v>25302.2698766185</v>
      </c>
      <c r="O259" s="1">
        <f t="shared" ref="O259:X259" si="838">O$5+(O$6-O$5)*(POWER(O$7,$B259-1)-1)/(POWER(O$7,$B$3-1)-1)</f>
        <v>0.747526174390108</v>
      </c>
      <c r="P259" s="1">
        <f t="shared" si="838"/>
        <v>0.161078487041275</v>
      </c>
      <c r="Q259" s="1">
        <f t="shared" si="838"/>
        <v>0.411139395914559</v>
      </c>
      <c r="R259" s="1">
        <f t="shared" si="838"/>
        <v>1.09901046975604</v>
      </c>
      <c r="S259" s="1">
        <f t="shared" si="838"/>
        <v>0.346536644146151</v>
      </c>
      <c r="T259" s="1">
        <f t="shared" si="838"/>
        <v>2.96535208012142</v>
      </c>
      <c r="U259" s="1">
        <f t="shared" si="838"/>
        <v>1</v>
      </c>
      <c r="V259" s="1">
        <f t="shared" si="838"/>
        <v>1.26995162266819</v>
      </c>
      <c r="W259" s="1">
        <f t="shared" si="838"/>
        <v>1.15232379962468</v>
      </c>
      <c r="X259" s="1">
        <f t="shared" si="838"/>
        <v>1.79208375804835</v>
      </c>
      <c r="Y259" s="1">
        <f t="shared" si="675"/>
        <v>3.46652648956435</v>
      </c>
      <c r="Z259" s="1">
        <f t="shared" si="676"/>
        <v>6.3943507515452</v>
      </c>
      <c r="AA259" s="1">
        <f t="shared" si="653"/>
        <v>585233.258912047</v>
      </c>
      <c r="AB259" s="1">
        <f t="shared" si="654"/>
        <v>37953.4048149278</v>
      </c>
      <c r="AC259" s="1">
        <f t="shared" si="655"/>
        <v>25302.2698766185</v>
      </c>
      <c r="AD259" s="1">
        <f>AC259/(AC259+[1]战斗公式!$M$27)</f>
        <v>0.513206997161363</v>
      </c>
      <c r="AE259" s="1">
        <f t="shared" si="656"/>
        <v>1202222.00298561</v>
      </c>
      <c r="AF259" s="1">
        <f t="shared" si="657"/>
        <v>9.13775282358655</v>
      </c>
      <c r="AG259" s="1">
        <f t="shared" si="658"/>
        <v>4.95378865640106</v>
      </c>
      <c r="AH259" s="1">
        <f t="shared" si="659"/>
        <v>4.45777034731355</v>
      </c>
      <c r="AI259" s="1">
        <f t="shared" si="660"/>
        <v>1.17157362104211</v>
      </c>
      <c r="AJ259" s="1">
        <f t="shared" si="661"/>
        <v>1.00000361765618</v>
      </c>
      <c r="AK259" s="1">
        <f t="shared" si="662"/>
        <v>1.00541089506602</v>
      </c>
      <c r="AL259" s="1">
        <f t="shared" si="663"/>
        <v>0.901176490841543</v>
      </c>
      <c r="AM259" s="27">
        <f t="shared" si="664"/>
        <v>526634</v>
      </c>
      <c r="AN259" s="27">
        <f t="shared" si="665"/>
        <v>44465</v>
      </c>
      <c r="AO259" s="27">
        <f t="shared" si="666"/>
        <v>25302</v>
      </c>
      <c r="AP259" s="1">
        <f t="shared" si="667"/>
        <v>287046</v>
      </c>
      <c r="AQ259" s="1">
        <f t="shared" si="668"/>
        <v>40071</v>
      </c>
      <c r="AR259"/>
      <c r="AS259" s="1">
        <f t="shared" ref="AS259:AY259" si="839">ROUNDUP(AS$10*$AP259,0)</f>
        <v>287046</v>
      </c>
      <c r="AT259" s="1">
        <f t="shared" si="839"/>
        <v>861138</v>
      </c>
      <c r="AU259" s="1">
        <f t="shared" si="839"/>
        <v>516683</v>
      </c>
      <c r="AV259" s="1">
        <f t="shared" si="839"/>
        <v>143523</v>
      </c>
      <c r="AW259" s="1">
        <f t="shared" si="839"/>
        <v>43057</v>
      </c>
      <c r="AX259" s="1">
        <f t="shared" si="839"/>
        <v>1148184</v>
      </c>
      <c r="AY259" s="1">
        <f t="shared" si="839"/>
        <v>2583414</v>
      </c>
      <c r="AZ259" s="1">
        <f t="shared" si="670"/>
        <v>31598154</v>
      </c>
      <c r="BA259" s="1">
        <f t="shared" si="671"/>
        <v>15799077</v>
      </c>
      <c r="BC259" s="1">
        <f t="shared" si="672"/>
        <v>248</v>
      </c>
    </row>
    <row r="260" s="1" customFormat="1" spans="2:55">
      <c r="B260" s="4">
        <v>249</v>
      </c>
      <c r="C260" s="1">
        <f t="shared" ref="C260:I260" si="840">C$5+(C$6-C$5)*(POWER(C$7,$B260-1)-1)/(POWER(C$7,$B$3-1)-1)</f>
        <v>19673.4587984419</v>
      </c>
      <c r="D260" s="1">
        <f t="shared" si="840"/>
        <v>5902.03763953257</v>
      </c>
      <c r="E260" s="1">
        <f t="shared" si="840"/>
        <v>3934.69175968838</v>
      </c>
      <c r="F260" s="1">
        <f t="shared" si="840"/>
        <v>72219.025968964</v>
      </c>
      <c r="G260" s="1">
        <f t="shared" si="840"/>
        <v>21665.7077906892</v>
      </c>
      <c r="H260" s="1">
        <f t="shared" si="840"/>
        <v>14443.8051937928</v>
      </c>
      <c r="I260" s="1">
        <f t="shared" si="840"/>
        <v>0</v>
      </c>
      <c r="J260" s="1">
        <f>[1]标准模型!$I$65/1*$B260/$B$3</f>
        <v>1.7928</v>
      </c>
      <c r="K260" s="1">
        <f>J260*[1]标准模型!$J$63</f>
        <v>1.7928</v>
      </c>
      <c r="L260" s="1">
        <f t="shared" si="649"/>
        <v>91892.4847674059</v>
      </c>
      <c r="M260" s="1">
        <f t="shared" si="650"/>
        <v>38148.9185103758</v>
      </c>
      <c r="N260" s="1">
        <f t="shared" si="651"/>
        <v>25432.6123402505</v>
      </c>
      <c r="O260" s="1">
        <f t="shared" ref="O260:X260" si="841">O$5+(O$6-O$5)*(POWER(O$7,$B260-1)-1)/(POWER(O$7,$B$3-1)-1)</f>
        <v>0.748528180391694</v>
      </c>
      <c r="P260" s="1">
        <f t="shared" si="841"/>
        <v>0.161859361897366</v>
      </c>
      <c r="Q260" s="1">
        <f t="shared" si="841"/>
        <v>0.411690499215432</v>
      </c>
      <c r="R260" s="1">
        <f t="shared" si="841"/>
        <v>1.09941127215668</v>
      </c>
      <c r="S260" s="1">
        <f t="shared" si="841"/>
        <v>0.347939452548371</v>
      </c>
      <c r="T260" s="1">
        <f t="shared" si="841"/>
        <v>2.96925990352761</v>
      </c>
      <c r="U260" s="1">
        <f t="shared" si="841"/>
        <v>1</v>
      </c>
      <c r="V260" s="1">
        <f t="shared" si="841"/>
        <v>1.27104440870068</v>
      </c>
      <c r="W260" s="1">
        <f t="shared" si="841"/>
        <v>1.15294041870258</v>
      </c>
      <c r="X260" s="1">
        <f t="shared" si="841"/>
        <v>1.79529017725342</v>
      </c>
      <c r="Y260" s="1">
        <f t="shared" si="675"/>
        <v>3.4912032649967</v>
      </c>
      <c r="Z260" s="1">
        <f t="shared" si="676"/>
        <v>6.44416490530286</v>
      </c>
      <c r="AA260" s="1">
        <f t="shared" si="653"/>
        <v>592170.325399195</v>
      </c>
      <c r="AB260" s="1">
        <f t="shared" si="654"/>
        <v>38148.9185103758</v>
      </c>
      <c r="AC260" s="1">
        <f t="shared" si="655"/>
        <v>25432.6123402505</v>
      </c>
      <c r="AD260" s="1">
        <f>AC260/(AC260+[1]战斗公式!$M$27)</f>
        <v>0.514490558686133</v>
      </c>
      <c r="AE260" s="1">
        <f t="shared" si="656"/>
        <v>1219688.58895243</v>
      </c>
      <c r="AF260" s="1">
        <f t="shared" si="657"/>
        <v>9.15780928765933</v>
      </c>
      <c r="AG260" s="1">
        <f t="shared" si="658"/>
        <v>4.96135250340723</v>
      </c>
      <c r="AH260" s="1">
        <f t="shared" si="659"/>
        <v>4.46255472393975</v>
      </c>
      <c r="AI260" s="1">
        <f t="shared" si="660"/>
        <v>1.17502184897197</v>
      </c>
      <c r="AJ260" s="1">
        <f t="shared" si="661"/>
        <v>1.00000343677293</v>
      </c>
      <c r="AK260" s="1">
        <f t="shared" si="662"/>
        <v>1.00530200735731</v>
      </c>
      <c r="AL260" s="1">
        <f t="shared" si="663"/>
        <v>0.901452333832378</v>
      </c>
      <c r="AM260" s="27">
        <f t="shared" si="664"/>
        <v>532636</v>
      </c>
      <c r="AN260" s="27">
        <f t="shared" si="665"/>
        <v>44826</v>
      </c>
      <c r="AO260" s="27">
        <f t="shared" si="666"/>
        <v>25433</v>
      </c>
      <c r="AP260" s="1">
        <f t="shared" si="667"/>
        <v>290092</v>
      </c>
      <c r="AQ260" s="1">
        <f t="shared" si="668"/>
        <v>40409</v>
      </c>
      <c r="AR260"/>
      <c r="AS260" s="1">
        <f t="shared" ref="AS260:AY260" si="842">ROUNDUP(AS$10*$AP260,0)</f>
        <v>290092</v>
      </c>
      <c r="AT260" s="1">
        <f t="shared" si="842"/>
        <v>870276</v>
      </c>
      <c r="AU260" s="1">
        <f t="shared" si="842"/>
        <v>522166</v>
      </c>
      <c r="AV260" s="1">
        <f t="shared" si="842"/>
        <v>145046</v>
      </c>
      <c r="AW260" s="1">
        <f t="shared" si="842"/>
        <v>43514</v>
      </c>
      <c r="AX260" s="1">
        <f t="shared" si="842"/>
        <v>1160368</v>
      </c>
      <c r="AY260" s="1">
        <f t="shared" si="842"/>
        <v>2610828</v>
      </c>
      <c r="AZ260" s="1">
        <f t="shared" si="670"/>
        <v>31958270</v>
      </c>
      <c r="BA260" s="1">
        <f t="shared" si="671"/>
        <v>15979135</v>
      </c>
      <c r="BC260" s="1">
        <f t="shared" si="672"/>
        <v>249</v>
      </c>
    </row>
    <row r="261" s="1" customFormat="1" spans="2:55">
      <c r="B261" s="4">
        <v>250</v>
      </c>
      <c r="C261" s="1">
        <f t="shared" ref="C261:I261" si="843">C$5+(C$6-C$5)*(POWER(C$7,$B261-1)-1)/(POWER(C$7,$B$3-1)-1)</f>
        <v>19752.4588766273</v>
      </c>
      <c r="D261" s="1">
        <f t="shared" si="843"/>
        <v>5925.73766298819</v>
      </c>
      <c r="E261" s="1">
        <f t="shared" si="843"/>
        <v>3950.49177532546</v>
      </c>
      <c r="F261" s="1">
        <f t="shared" si="843"/>
        <v>72509.0262559737</v>
      </c>
      <c r="G261" s="1">
        <f t="shared" si="843"/>
        <v>21752.7078767921</v>
      </c>
      <c r="H261" s="1">
        <f t="shared" si="843"/>
        <v>14501.8052511947</v>
      </c>
      <c r="I261" s="1">
        <f t="shared" si="843"/>
        <v>0</v>
      </c>
      <c r="J261" s="1">
        <f>[1]标准模型!$I$65/1*$B261/$B$3</f>
        <v>1.8</v>
      </c>
      <c r="K261" s="1">
        <f>J261*[1]标准模型!$J$63</f>
        <v>1.8</v>
      </c>
      <c r="L261" s="1">
        <f t="shared" si="649"/>
        <v>92261.485132601</v>
      </c>
      <c r="M261" s="1">
        <f t="shared" si="650"/>
        <v>38344.773333159</v>
      </c>
      <c r="N261" s="1">
        <f t="shared" si="651"/>
        <v>25563.182222106</v>
      </c>
      <c r="O261" s="1">
        <f t="shared" ref="O261:X261" si="844">O$5+(O$6-O$5)*(POWER(O$7,$B261-1)-1)/(POWER(O$7,$B$3-1)-1)</f>
        <v>0.749530185391382</v>
      </c>
      <c r="P261" s="1">
        <f t="shared" si="844"/>
        <v>0.162641408065742</v>
      </c>
      <c r="Q261" s="1">
        <f t="shared" si="844"/>
        <v>0.41224160196526</v>
      </c>
      <c r="R261" s="1">
        <f t="shared" si="844"/>
        <v>1.09981207415655</v>
      </c>
      <c r="S261" s="1">
        <f t="shared" si="844"/>
        <v>0.349342259547934</v>
      </c>
      <c r="T261" s="1">
        <f t="shared" si="844"/>
        <v>2.97316772302639</v>
      </c>
      <c r="U261" s="1">
        <f t="shared" si="844"/>
        <v>1</v>
      </c>
      <c r="V261" s="1">
        <f t="shared" si="844"/>
        <v>1.27213719364052</v>
      </c>
      <c r="W261" s="1">
        <f t="shared" si="844"/>
        <v>1.15355703716393</v>
      </c>
      <c r="X261" s="1">
        <f t="shared" si="844"/>
        <v>1.79849659325242</v>
      </c>
      <c r="Y261" s="1">
        <f t="shared" si="675"/>
        <v>3.51603586073637</v>
      </c>
      <c r="Z261" s="1">
        <f t="shared" si="676"/>
        <v>6.4943277408042</v>
      </c>
      <c r="AA261" s="1">
        <f t="shared" si="653"/>
        <v>599176.322304445</v>
      </c>
      <c r="AB261" s="1">
        <f t="shared" si="654"/>
        <v>38344.773333159</v>
      </c>
      <c r="AC261" s="1">
        <f t="shared" si="655"/>
        <v>25563.182222106</v>
      </c>
      <c r="AD261" s="1">
        <f>AC261/(AC261+[1]战斗公式!$M$27)</f>
        <v>0.515769590974818</v>
      </c>
      <c r="AE261" s="1">
        <f t="shared" si="656"/>
        <v>1237378.55189777</v>
      </c>
      <c r="AF261" s="1">
        <f t="shared" si="657"/>
        <v>9.1778955985764</v>
      </c>
      <c r="AG261" s="1">
        <f t="shared" si="658"/>
        <v>4.96892231784611</v>
      </c>
      <c r="AH261" s="1">
        <f t="shared" si="659"/>
        <v>4.46730321774125</v>
      </c>
      <c r="AI261" s="1">
        <f t="shared" si="660"/>
        <v>1.17847697335768</v>
      </c>
      <c r="AJ261" s="1">
        <f t="shared" si="661"/>
        <v>1.00000326493385</v>
      </c>
      <c r="AK261" s="1">
        <f t="shared" si="662"/>
        <v>1.00519529740278</v>
      </c>
      <c r="AL261" s="1">
        <f t="shared" si="663"/>
        <v>0.901727349294241</v>
      </c>
      <c r="AM261" s="27">
        <f t="shared" si="664"/>
        <v>538689</v>
      </c>
      <c r="AN261" s="27">
        <f t="shared" si="665"/>
        <v>45188</v>
      </c>
      <c r="AO261" s="27">
        <f t="shared" si="666"/>
        <v>25563</v>
      </c>
      <c r="AP261" s="1">
        <f t="shared" si="667"/>
        <v>293162</v>
      </c>
      <c r="AQ261" s="1">
        <f t="shared" si="668"/>
        <v>40747</v>
      </c>
      <c r="AR261"/>
      <c r="AS261" s="1">
        <f t="shared" ref="AS261:AY261" si="845">ROUNDUP(AS$10*$AP261,0)</f>
        <v>293162</v>
      </c>
      <c r="AT261" s="1">
        <f t="shared" si="845"/>
        <v>879486</v>
      </c>
      <c r="AU261" s="1">
        <f t="shared" si="845"/>
        <v>527692</v>
      </c>
      <c r="AV261" s="1">
        <f t="shared" si="845"/>
        <v>146581</v>
      </c>
      <c r="AW261" s="1">
        <f t="shared" si="845"/>
        <v>43975</v>
      </c>
      <c r="AX261" s="1">
        <f t="shared" si="845"/>
        <v>1172648</v>
      </c>
      <c r="AY261" s="1">
        <f t="shared" si="845"/>
        <v>2638458</v>
      </c>
      <c r="AZ261" s="1">
        <f t="shared" si="670"/>
        <v>32321446</v>
      </c>
      <c r="BA261" s="1">
        <f t="shared" si="671"/>
        <v>16160723</v>
      </c>
      <c r="BC261" s="1">
        <f t="shared" si="672"/>
        <v>250</v>
      </c>
    </row>
    <row r="262" s="1" customFormat="1" spans="2:55">
      <c r="B262" s="4">
        <v>251</v>
      </c>
      <c r="C262" s="1">
        <f t="shared" ref="C262:I262" si="846">C$5+(C$6-C$5)*(POWER(C$7,$B262-1)-1)/(POWER(C$7,$B$3-1)-1)</f>
        <v>19831.4588758036</v>
      </c>
      <c r="D262" s="1">
        <f t="shared" si="846"/>
        <v>5949.43766274107</v>
      </c>
      <c r="E262" s="1">
        <f t="shared" si="846"/>
        <v>3966.29177516072</v>
      </c>
      <c r="F262" s="1">
        <f t="shared" si="846"/>
        <v>72799.0262529498</v>
      </c>
      <c r="G262" s="1">
        <f t="shared" si="846"/>
        <v>21839.7078758849</v>
      </c>
      <c r="H262" s="1">
        <f t="shared" si="846"/>
        <v>14559.80525059</v>
      </c>
      <c r="I262" s="1">
        <f t="shared" si="846"/>
        <v>0</v>
      </c>
      <c r="J262" s="1">
        <f>[1]标准模型!$I$65/1*$B262/$B$3</f>
        <v>1.8072</v>
      </c>
      <c r="K262" s="1">
        <f>J262*[1]标准模型!$J$63</f>
        <v>1.8072</v>
      </c>
      <c r="L262" s="1">
        <f t="shared" si="649"/>
        <v>92630.4851287534</v>
      </c>
      <c r="M262" s="1">
        <f t="shared" si="650"/>
        <v>38540.9692827316</v>
      </c>
      <c r="N262" s="1">
        <f t="shared" si="651"/>
        <v>25693.9795218212</v>
      </c>
      <c r="O262" s="1">
        <f t="shared" ref="O262:X262" si="847">O$5+(O$6-O$5)*(POWER(O$7,$B262-1)-1)/(POWER(O$7,$B$3-1)-1)</f>
        <v>0.75053218938895</v>
      </c>
      <c r="P262" s="1">
        <f t="shared" si="847"/>
        <v>0.16342462730337</v>
      </c>
      <c r="Q262" s="1">
        <f t="shared" si="847"/>
        <v>0.412792704163922</v>
      </c>
      <c r="R262" s="1">
        <f t="shared" si="847"/>
        <v>1.10021287575558</v>
      </c>
      <c r="S262" s="1">
        <f t="shared" si="847"/>
        <v>0.35074506514453</v>
      </c>
      <c r="T262" s="1">
        <f t="shared" si="847"/>
        <v>2.9770755386169</v>
      </c>
      <c r="U262" s="1">
        <f t="shared" si="847"/>
        <v>1</v>
      </c>
      <c r="V262" s="1">
        <f t="shared" si="847"/>
        <v>1.27322997748744</v>
      </c>
      <c r="W262" s="1">
        <f t="shared" si="847"/>
        <v>1.15417365500858</v>
      </c>
      <c r="X262" s="1">
        <f t="shared" si="847"/>
        <v>1.80170300604464</v>
      </c>
      <c r="Y262" s="1">
        <f t="shared" si="675"/>
        <v>3.54102511357546</v>
      </c>
      <c r="Z262" s="1">
        <f t="shared" si="676"/>
        <v>6.54484137631667</v>
      </c>
      <c r="AA262" s="1">
        <f t="shared" si="653"/>
        <v>606251.831778951</v>
      </c>
      <c r="AB262" s="1">
        <f t="shared" si="654"/>
        <v>38540.9692827316</v>
      </c>
      <c r="AC262" s="1">
        <f t="shared" si="655"/>
        <v>25693.9795218212</v>
      </c>
      <c r="AD262" s="1">
        <f>AC262/(AC262+[1]战斗公式!$M$27)</f>
        <v>0.517044112165311</v>
      </c>
      <c r="AE262" s="1">
        <f t="shared" si="656"/>
        <v>1255294.42139541</v>
      </c>
      <c r="AF262" s="1">
        <f t="shared" si="657"/>
        <v>9.19801173306092</v>
      </c>
      <c r="AG262" s="1">
        <f t="shared" si="658"/>
        <v>4.97649807978395</v>
      </c>
      <c r="AH262" s="1">
        <f t="shared" si="659"/>
        <v>4.47201609783925</v>
      </c>
      <c r="AI262" s="1">
        <f t="shared" si="660"/>
        <v>1.18193900799217</v>
      </c>
      <c r="AJ262" s="1">
        <f t="shared" si="661"/>
        <v>1.00000310168671</v>
      </c>
      <c r="AK262" s="1">
        <f t="shared" si="662"/>
        <v>1.00509072164733</v>
      </c>
      <c r="AL262" s="1">
        <f t="shared" si="663"/>
        <v>0.902001539709718</v>
      </c>
      <c r="AM262" s="27">
        <f t="shared" si="664"/>
        <v>544794</v>
      </c>
      <c r="AN262" s="27">
        <f t="shared" si="665"/>
        <v>45553</v>
      </c>
      <c r="AO262" s="27">
        <f t="shared" si="666"/>
        <v>25694</v>
      </c>
      <c r="AP262" s="1">
        <f t="shared" si="667"/>
        <v>296256</v>
      </c>
      <c r="AQ262" s="1">
        <f t="shared" si="668"/>
        <v>41089</v>
      </c>
      <c r="AR262"/>
      <c r="AS262" s="1">
        <f t="shared" ref="AS262:AY262" si="848">ROUNDUP(AS$10*$AP262,0)</f>
        <v>296256</v>
      </c>
      <c r="AT262" s="1">
        <f t="shared" si="848"/>
        <v>888768</v>
      </c>
      <c r="AU262" s="1">
        <f t="shared" si="848"/>
        <v>533261</v>
      </c>
      <c r="AV262" s="1">
        <f t="shared" si="848"/>
        <v>148128</v>
      </c>
      <c r="AW262" s="1">
        <f t="shared" si="848"/>
        <v>44439</v>
      </c>
      <c r="AX262" s="1">
        <f t="shared" si="848"/>
        <v>1185024</v>
      </c>
      <c r="AY262" s="1">
        <f t="shared" si="848"/>
        <v>2666304</v>
      </c>
      <c r="AZ262" s="1">
        <f t="shared" si="670"/>
        <v>32687741</v>
      </c>
      <c r="BA262" s="1">
        <f t="shared" si="671"/>
        <v>16343871</v>
      </c>
      <c r="BC262" s="1">
        <f t="shared" si="672"/>
        <v>251</v>
      </c>
    </row>
    <row r="263" s="1" customFormat="1" spans="2:55">
      <c r="B263" s="4">
        <v>252</v>
      </c>
      <c r="C263" s="1">
        <f t="shared" ref="C263:I263" si="849">C$5+(C$6-C$5)*(POWER(C$7,$B263-1)-1)/(POWER(C$7,$B$3-1)-1)</f>
        <v>19910.4587959882</v>
      </c>
      <c r="D263" s="1">
        <f t="shared" si="849"/>
        <v>5973.13763879647</v>
      </c>
      <c r="E263" s="1">
        <f t="shared" si="849"/>
        <v>3982.09175919765</v>
      </c>
      <c r="F263" s="1">
        <f t="shared" si="849"/>
        <v>73089.0259599568</v>
      </c>
      <c r="G263" s="1">
        <f t="shared" si="849"/>
        <v>21926.707787987</v>
      </c>
      <c r="H263" s="1">
        <f t="shared" si="849"/>
        <v>14617.8051919914</v>
      </c>
      <c r="I263" s="1">
        <f t="shared" si="849"/>
        <v>0</v>
      </c>
      <c r="J263" s="1">
        <f>[1]标准模型!$I$65/1*$B263/$B$3</f>
        <v>1.8144</v>
      </c>
      <c r="K263" s="1">
        <f>J263*[1]标准模型!$J$63</f>
        <v>1.8144</v>
      </c>
      <c r="L263" s="1">
        <f t="shared" si="649"/>
        <v>92999.484755945</v>
      </c>
      <c r="M263" s="1">
        <f t="shared" si="650"/>
        <v>38737.5063586158</v>
      </c>
      <c r="N263" s="1">
        <f t="shared" si="651"/>
        <v>25825.0042390773</v>
      </c>
      <c r="O263" s="1">
        <f t="shared" ref="O263:X263" si="850">O$5+(O$6-O$5)*(POWER(O$7,$B263-1)-1)/(POWER(O$7,$B$3-1)-1)</f>
        <v>0.75153419238462</v>
      </c>
      <c r="P263" s="1">
        <f t="shared" si="850"/>
        <v>0.164209021369855</v>
      </c>
      <c r="Q263" s="1">
        <f t="shared" si="850"/>
        <v>0.413343805811541</v>
      </c>
      <c r="R263" s="1">
        <f t="shared" si="850"/>
        <v>1.10061367695385</v>
      </c>
      <c r="S263" s="1">
        <f t="shared" si="850"/>
        <v>0.352147869338468</v>
      </c>
      <c r="T263" s="1">
        <f t="shared" si="850"/>
        <v>2.98098335030002</v>
      </c>
      <c r="U263" s="1">
        <f t="shared" si="850"/>
        <v>1</v>
      </c>
      <c r="V263" s="1">
        <f t="shared" si="850"/>
        <v>1.27432276024169</v>
      </c>
      <c r="W263" s="1">
        <f t="shared" si="850"/>
        <v>1.15479027223669</v>
      </c>
      <c r="X263" s="1">
        <f t="shared" si="850"/>
        <v>1.80490941563078</v>
      </c>
      <c r="Y263" s="1">
        <f t="shared" si="675"/>
        <v>3.56617186387444</v>
      </c>
      <c r="Z263" s="1">
        <f t="shared" si="676"/>
        <v>6.59570794072</v>
      </c>
      <c r="AA263" s="1">
        <f t="shared" si="653"/>
        <v>613397.440087655</v>
      </c>
      <c r="AB263" s="1">
        <f t="shared" si="654"/>
        <v>38737.5063586158</v>
      </c>
      <c r="AC263" s="1">
        <f t="shared" si="655"/>
        <v>25825.0042390773</v>
      </c>
      <c r="AD263" s="1">
        <f>AC263/(AC263+[1]战斗公式!$M$27)</f>
        <v>0.518314140329224</v>
      </c>
      <c r="AE263" s="1">
        <f t="shared" si="656"/>
        <v>1273438.75219194</v>
      </c>
      <c r="AF263" s="1">
        <f t="shared" si="657"/>
        <v>9.21815766791634</v>
      </c>
      <c r="AG263" s="1">
        <f t="shared" si="658"/>
        <v>4.98407976938002</v>
      </c>
      <c r="AH263" s="1">
        <f t="shared" si="659"/>
        <v>4.4766936313365</v>
      </c>
      <c r="AI263" s="1">
        <f t="shared" si="660"/>
        <v>1.18540796669593</v>
      </c>
      <c r="AJ263" s="1">
        <f t="shared" si="661"/>
        <v>1.00000294660194</v>
      </c>
      <c r="AK263" s="1">
        <f t="shared" si="662"/>
        <v>1.004988237407</v>
      </c>
      <c r="AL263" s="1">
        <f t="shared" si="663"/>
        <v>0.902274907553948</v>
      </c>
      <c r="AM263" s="27">
        <f t="shared" si="664"/>
        <v>550953</v>
      </c>
      <c r="AN263" s="27">
        <f t="shared" si="665"/>
        <v>45920</v>
      </c>
      <c r="AO263" s="27">
        <f t="shared" si="666"/>
        <v>25825</v>
      </c>
      <c r="AP263" s="1">
        <f t="shared" si="667"/>
        <v>299375</v>
      </c>
      <c r="AQ263" s="1">
        <f t="shared" si="668"/>
        <v>41432</v>
      </c>
      <c r="AR263"/>
      <c r="AS263" s="1">
        <f t="shared" ref="AS263:AY263" si="851">ROUNDUP(AS$10*$AP263,0)</f>
        <v>299375</v>
      </c>
      <c r="AT263" s="1">
        <f t="shared" si="851"/>
        <v>898125</v>
      </c>
      <c r="AU263" s="1">
        <f t="shared" si="851"/>
        <v>538875</v>
      </c>
      <c r="AV263" s="1">
        <f t="shared" si="851"/>
        <v>149688</v>
      </c>
      <c r="AW263" s="1">
        <f t="shared" si="851"/>
        <v>44907</v>
      </c>
      <c r="AX263" s="1">
        <f t="shared" si="851"/>
        <v>1197500</v>
      </c>
      <c r="AY263" s="1">
        <f t="shared" si="851"/>
        <v>2694375</v>
      </c>
      <c r="AZ263" s="1">
        <f t="shared" si="670"/>
        <v>33057277</v>
      </c>
      <c r="BA263" s="1">
        <f t="shared" si="671"/>
        <v>16528639</v>
      </c>
      <c r="BC263" s="1">
        <f t="shared" si="672"/>
        <v>252</v>
      </c>
    </row>
    <row r="264" s="1" customFormat="1" spans="2:55">
      <c r="B264" s="4">
        <v>253</v>
      </c>
      <c r="C264" s="1">
        <f t="shared" ref="C264:I264" si="852">C$5+(C$6-C$5)*(POWER(C$7,$B264-1)-1)/(POWER(C$7,$B$3-1)-1)</f>
        <v>19989.4586371637</v>
      </c>
      <c r="D264" s="1">
        <f t="shared" si="852"/>
        <v>5996.83759114912</v>
      </c>
      <c r="E264" s="1">
        <f t="shared" si="852"/>
        <v>3997.89172743275</v>
      </c>
      <c r="F264" s="1">
        <f t="shared" si="852"/>
        <v>73379.0253769301</v>
      </c>
      <c r="G264" s="1">
        <f t="shared" si="852"/>
        <v>22013.707613079</v>
      </c>
      <c r="H264" s="1">
        <f t="shared" si="852"/>
        <v>14675.805075386</v>
      </c>
      <c r="I264" s="1">
        <f t="shared" si="852"/>
        <v>0</v>
      </c>
      <c r="J264" s="1">
        <f>[1]标准模型!$I$65/1*$B264/$B$3</f>
        <v>1.8216</v>
      </c>
      <c r="K264" s="1">
        <f>J264*[1]标准模型!$J$63</f>
        <v>1.8216</v>
      </c>
      <c r="L264" s="1">
        <f t="shared" si="649"/>
        <v>93368.4840140938</v>
      </c>
      <c r="M264" s="1">
        <f t="shared" si="650"/>
        <v>38934.3845602654</v>
      </c>
      <c r="N264" s="1">
        <f t="shared" si="651"/>
        <v>25956.2563735102</v>
      </c>
      <c r="O264" s="1">
        <f t="shared" ref="O264:X264" si="853">O$5+(O$6-O$5)*(POWER(O$7,$B264-1)-1)/(POWER(O$7,$B$3-1)-1)</f>
        <v>0.752536194378171</v>
      </c>
      <c r="P264" s="1">
        <f t="shared" si="853"/>
        <v>0.164994592027439</v>
      </c>
      <c r="Q264" s="1">
        <f t="shared" si="853"/>
        <v>0.413894906907994</v>
      </c>
      <c r="R264" s="1">
        <f t="shared" si="853"/>
        <v>1.10101447775127</v>
      </c>
      <c r="S264" s="1">
        <f t="shared" si="853"/>
        <v>0.353550672129439</v>
      </c>
      <c r="T264" s="1">
        <f t="shared" si="853"/>
        <v>2.98489115807487</v>
      </c>
      <c r="U264" s="1">
        <f t="shared" si="853"/>
        <v>1</v>
      </c>
      <c r="V264" s="1">
        <f t="shared" si="853"/>
        <v>1.27541554190303</v>
      </c>
      <c r="W264" s="1">
        <f t="shared" si="853"/>
        <v>1.15540688884811</v>
      </c>
      <c r="X264" s="1">
        <f t="shared" si="853"/>
        <v>1.80811582201015</v>
      </c>
      <c r="Y264" s="1">
        <f t="shared" si="675"/>
        <v>3.59147695555406</v>
      </c>
      <c r="Z264" s="1">
        <f t="shared" si="676"/>
        <v>6.64692957350634</v>
      </c>
      <c r="AA264" s="1">
        <f t="shared" si="653"/>
        <v>620613.737626734</v>
      </c>
      <c r="AB264" s="1">
        <f t="shared" si="654"/>
        <v>38934.3845602654</v>
      </c>
      <c r="AC264" s="1">
        <f t="shared" si="655"/>
        <v>25956.2563735102</v>
      </c>
      <c r="AD264" s="1">
        <f>AC264/(AC264+[1]战斗公式!$M$27)</f>
        <v>0.519579693471062</v>
      </c>
      <c r="AE264" s="1">
        <f t="shared" si="656"/>
        <v>1291814.12440848</v>
      </c>
      <c r="AF264" s="1">
        <f t="shared" si="657"/>
        <v>9.23833338000165</v>
      </c>
      <c r="AG264" s="1">
        <f t="shared" si="658"/>
        <v>4.99166736687708</v>
      </c>
      <c r="AH264" s="1">
        <f t="shared" si="659"/>
        <v>4.48133608333253</v>
      </c>
      <c r="AI264" s="1">
        <f t="shared" si="660"/>
        <v>1.18888386331709</v>
      </c>
      <c r="AJ264" s="1">
        <f t="shared" si="661"/>
        <v>1.0000027992714</v>
      </c>
      <c r="AK264" s="1">
        <f t="shared" si="662"/>
        <v>1.00488780285147</v>
      </c>
      <c r="AL264" s="1">
        <f t="shared" si="663"/>
        <v>0.902547455294646</v>
      </c>
      <c r="AM264" s="27">
        <f t="shared" si="664"/>
        <v>557164</v>
      </c>
      <c r="AN264" s="27">
        <f t="shared" si="665"/>
        <v>46288</v>
      </c>
      <c r="AO264" s="27">
        <f t="shared" si="666"/>
        <v>25956</v>
      </c>
      <c r="AP264" s="1">
        <f t="shared" si="667"/>
        <v>302519</v>
      </c>
      <c r="AQ264" s="1">
        <f t="shared" si="668"/>
        <v>41777</v>
      </c>
      <c r="AR264"/>
      <c r="AS264" s="1">
        <f t="shared" ref="AS264:AY264" si="854">ROUNDUP(AS$10*$AP264,0)</f>
        <v>302519</v>
      </c>
      <c r="AT264" s="1">
        <f t="shared" si="854"/>
        <v>907557</v>
      </c>
      <c r="AU264" s="1">
        <f t="shared" si="854"/>
        <v>544535</v>
      </c>
      <c r="AV264" s="1">
        <f t="shared" si="854"/>
        <v>151260</v>
      </c>
      <c r="AW264" s="1">
        <f t="shared" si="854"/>
        <v>45378</v>
      </c>
      <c r="AX264" s="1">
        <f t="shared" si="854"/>
        <v>1210076</v>
      </c>
      <c r="AY264" s="1">
        <f t="shared" si="854"/>
        <v>2722671</v>
      </c>
      <c r="AZ264" s="1">
        <f t="shared" si="670"/>
        <v>33429934</v>
      </c>
      <c r="BA264" s="1">
        <f t="shared" si="671"/>
        <v>16714967</v>
      </c>
      <c r="BC264" s="1">
        <f t="shared" si="672"/>
        <v>253</v>
      </c>
    </row>
    <row r="265" s="1" customFormat="1" spans="2:55">
      <c r="B265" s="4">
        <v>254</v>
      </c>
      <c r="C265" s="1">
        <f t="shared" ref="C265:I265" si="855">C$5+(C$6-C$5)*(POWER(C$7,$B265-1)-1)/(POWER(C$7,$B$3-1)-1)</f>
        <v>20068.4583993476</v>
      </c>
      <c r="D265" s="1">
        <f t="shared" si="855"/>
        <v>6020.53751980429</v>
      </c>
      <c r="E265" s="1">
        <f t="shared" si="855"/>
        <v>4013.69167986952</v>
      </c>
      <c r="F265" s="1">
        <f t="shared" si="855"/>
        <v>73669.0245039343</v>
      </c>
      <c r="G265" s="1">
        <f t="shared" si="855"/>
        <v>22100.7073511803</v>
      </c>
      <c r="H265" s="1">
        <f t="shared" si="855"/>
        <v>14733.8049007869</v>
      </c>
      <c r="I265" s="1">
        <f t="shared" si="855"/>
        <v>0</v>
      </c>
      <c r="J265" s="1">
        <f>[1]标准模型!$I$65/1*$B265/$B$3</f>
        <v>1.8288</v>
      </c>
      <c r="K265" s="1">
        <f>J265*[1]标准模型!$J$63</f>
        <v>1.8288</v>
      </c>
      <c r="L265" s="1">
        <f t="shared" si="649"/>
        <v>93737.4829032819</v>
      </c>
      <c r="M265" s="1">
        <f t="shared" si="650"/>
        <v>39131.6038872027</v>
      </c>
      <c r="N265" s="1">
        <f t="shared" si="651"/>
        <v>26087.7359248018</v>
      </c>
      <c r="O265" s="1">
        <f t="shared" ref="O265:X265" si="856">O$5+(O$6-O$5)*(POWER(O$7,$B265-1)-1)/(POWER(O$7,$B$3-1)-1)</f>
        <v>0.753538195369823</v>
      </c>
      <c r="P265" s="1">
        <f t="shared" si="856"/>
        <v>0.16578134104101</v>
      </c>
      <c r="Q265" s="1">
        <f t="shared" si="856"/>
        <v>0.414446007453403</v>
      </c>
      <c r="R265" s="1">
        <f t="shared" si="856"/>
        <v>1.10141527814793</v>
      </c>
      <c r="S265" s="1">
        <f t="shared" si="856"/>
        <v>0.354953473517753</v>
      </c>
      <c r="T265" s="1">
        <f t="shared" si="856"/>
        <v>2.98879896194231</v>
      </c>
      <c r="U265" s="1">
        <f t="shared" si="856"/>
        <v>1</v>
      </c>
      <c r="V265" s="1">
        <f t="shared" si="856"/>
        <v>1.2765083224717</v>
      </c>
      <c r="W265" s="1">
        <f t="shared" si="856"/>
        <v>1.15602350484297</v>
      </c>
      <c r="X265" s="1">
        <f t="shared" si="856"/>
        <v>1.81132222518344</v>
      </c>
      <c r="Y265" s="1">
        <f t="shared" si="675"/>
        <v>3.61694123612654</v>
      </c>
      <c r="Z265" s="1">
        <f t="shared" si="676"/>
        <v>6.6985084248638</v>
      </c>
      <c r="AA265" s="1">
        <f t="shared" si="653"/>
        <v>627901.31895316</v>
      </c>
      <c r="AB265" s="1">
        <f t="shared" si="654"/>
        <v>39131.6038872027</v>
      </c>
      <c r="AC265" s="1">
        <f t="shared" si="655"/>
        <v>26087.7359248018</v>
      </c>
      <c r="AD265" s="1">
        <f>AC265/(AC265+[1]战斗公式!$M$27)</f>
        <v>0.520840789529159</v>
      </c>
      <c r="AE265" s="1">
        <f t="shared" si="656"/>
        <v>1310423.14377336</v>
      </c>
      <c r="AF265" s="1">
        <f t="shared" si="657"/>
        <v>9.25853884625519</v>
      </c>
      <c r="AG265" s="1">
        <f t="shared" si="658"/>
        <v>4.99926085261</v>
      </c>
      <c r="AH265" s="1">
        <f t="shared" si="659"/>
        <v>4.48594371693859</v>
      </c>
      <c r="AI265" s="1">
        <f t="shared" si="660"/>
        <v>1.1923667117315</v>
      </c>
      <c r="AJ265" s="1">
        <f t="shared" si="661"/>
        <v>1.00000265930739</v>
      </c>
      <c r="AK265" s="1">
        <f t="shared" si="662"/>
        <v>1.00478937698705</v>
      </c>
      <c r="AL265" s="1">
        <f t="shared" si="663"/>
        <v>0.902819185392122</v>
      </c>
      <c r="AM265" s="27">
        <f t="shared" si="664"/>
        <v>563429</v>
      </c>
      <c r="AN265" s="27">
        <f t="shared" si="665"/>
        <v>46659</v>
      </c>
      <c r="AO265" s="27">
        <f t="shared" si="666"/>
        <v>26088</v>
      </c>
      <c r="AP265" s="1">
        <f t="shared" si="667"/>
        <v>305688</v>
      </c>
      <c r="AQ265" s="1">
        <f t="shared" si="668"/>
        <v>42125</v>
      </c>
      <c r="AR265"/>
      <c r="AS265" s="1">
        <f t="shared" ref="AS265:AY265" si="857">ROUNDUP(AS$10*$AP265,0)</f>
        <v>305688</v>
      </c>
      <c r="AT265" s="1">
        <f t="shared" si="857"/>
        <v>917064</v>
      </c>
      <c r="AU265" s="1">
        <f t="shared" si="857"/>
        <v>550239</v>
      </c>
      <c r="AV265" s="1">
        <f t="shared" si="857"/>
        <v>152844</v>
      </c>
      <c r="AW265" s="1">
        <f t="shared" si="857"/>
        <v>45854</v>
      </c>
      <c r="AX265" s="1">
        <f t="shared" si="857"/>
        <v>1222752</v>
      </c>
      <c r="AY265" s="1">
        <f t="shared" si="857"/>
        <v>2751192</v>
      </c>
      <c r="AZ265" s="1">
        <f t="shared" si="670"/>
        <v>33805830</v>
      </c>
      <c r="BA265" s="1">
        <f t="shared" si="671"/>
        <v>16902915</v>
      </c>
      <c r="BC265" s="1">
        <f t="shared" si="672"/>
        <v>254</v>
      </c>
    </row>
    <row r="266" s="1" customFormat="1" spans="2:55">
      <c r="B266" s="4">
        <v>255</v>
      </c>
      <c r="C266" s="1">
        <f t="shared" ref="C266:I266" si="858">C$5+(C$6-C$5)*(POWER(C$7,$B266-1)-1)/(POWER(C$7,$B$3-1)-1)</f>
        <v>20147.4580825311</v>
      </c>
      <c r="D266" s="1">
        <f t="shared" si="858"/>
        <v>6044.23742475934</v>
      </c>
      <c r="E266" s="1">
        <f t="shared" si="858"/>
        <v>4029.49161650623</v>
      </c>
      <c r="F266" s="1">
        <f t="shared" si="858"/>
        <v>73959.0233409371</v>
      </c>
      <c r="G266" s="1">
        <f t="shared" si="858"/>
        <v>22187.7070022811</v>
      </c>
      <c r="H266" s="1">
        <f t="shared" si="858"/>
        <v>14791.8046681874</v>
      </c>
      <c r="I266" s="1">
        <f t="shared" si="858"/>
        <v>0</v>
      </c>
      <c r="J266" s="1">
        <f>[1]标准模型!$I$65/1*$B266/$B$3</f>
        <v>1.836</v>
      </c>
      <c r="K266" s="1">
        <f>J266*[1]标准模型!$J$63</f>
        <v>1.836</v>
      </c>
      <c r="L266" s="1">
        <f t="shared" si="649"/>
        <v>94106.4814234682</v>
      </c>
      <c r="M266" s="1">
        <f t="shared" si="650"/>
        <v>39329.1643388986</v>
      </c>
      <c r="N266" s="1">
        <f t="shared" si="651"/>
        <v>26219.4428925991</v>
      </c>
      <c r="O266" s="1">
        <f t="shared" ref="O266:X266" si="859">O$5+(O$6-O$5)*(POWER(O$7,$B266-1)-1)/(POWER(O$7,$B$3-1)-1)</f>
        <v>0.754540195359467</v>
      </c>
      <c r="P266" s="1">
        <f t="shared" si="859"/>
        <v>0.166569270178101</v>
      </c>
      <c r="Q266" s="1">
        <f t="shared" si="859"/>
        <v>0.414997107447707</v>
      </c>
      <c r="R266" s="1">
        <f t="shared" si="859"/>
        <v>1.10181607814379</v>
      </c>
      <c r="S266" s="1">
        <f t="shared" si="859"/>
        <v>0.356356273503254</v>
      </c>
      <c r="T266" s="1">
        <f t="shared" si="859"/>
        <v>2.99270676190192</v>
      </c>
      <c r="U266" s="1">
        <f t="shared" si="859"/>
        <v>1</v>
      </c>
      <c r="V266" s="1">
        <f t="shared" si="859"/>
        <v>1.27760110194759</v>
      </c>
      <c r="W266" s="1">
        <f t="shared" si="859"/>
        <v>1.15664012022121</v>
      </c>
      <c r="X266" s="1">
        <f t="shared" si="859"/>
        <v>1.8145286251503</v>
      </c>
      <c r="Y266" s="1">
        <f t="shared" si="675"/>
        <v>3.64256555668984</v>
      </c>
      <c r="Z266" s="1">
        <f t="shared" si="676"/>
        <v>6.75044665568161</v>
      </c>
      <c r="AA266" s="1">
        <f t="shared" si="653"/>
        <v>635260.782803015</v>
      </c>
      <c r="AB266" s="1">
        <f t="shared" si="654"/>
        <v>39329.1643388986</v>
      </c>
      <c r="AC266" s="1">
        <f t="shared" si="655"/>
        <v>26219.4428925991</v>
      </c>
      <c r="AD266" s="1">
        <f>AC266/(AC266+[1]战斗公式!$M$27)</f>
        <v>0.522097446374959</v>
      </c>
      <c r="AE266" s="1">
        <f t="shared" si="656"/>
        <v>1329268.44182849</v>
      </c>
      <c r="AF266" s="1">
        <f t="shared" si="657"/>
        <v>9.27877404367275</v>
      </c>
      <c r="AG266" s="1">
        <f t="shared" si="658"/>
        <v>5.00686020699727</v>
      </c>
      <c r="AH266" s="1">
        <f t="shared" si="659"/>
        <v>4.4905167932926</v>
      </c>
      <c r="AI266" s="1">
        <f t="shared" si="660"/>
        <v>1.19585652584274</v>
      </c>
      <c r="AJ266" s="1">
        <f t="shared" si="661"/>
        <v>1.00000252634158</v>
      </c>
      <c r="AK266" s="1">
        <f t="shared" si="662"/>
        <v>1.00469291963992</v>
      </c>
      <c r="AL266" s="1">
        <f t="shared" si="663"/>
        <v>0.903090100299305</v>
      </c>
      <c r="AM266" s="27">
        <f t="shared" si="664"/>
        <v>569748</v>
      </c>
      <c r="AN266" s="27">
        <f t="shared" si="665"/>
        <v>47032</v>
      </c>
      <c r="AO266" s="27">
        <f t="shared" si="666"/>
        <v>26219</v>
      </c>
      <c r="AP266" s="1">
        <f t="shared" si="667"/>
        <v>308881</v>
      </c>
      <c r="AQ266" s="1">
        <f t="shared" si="668"/>
        <v>42474</v>
      </c>
      <c r="AR266"/>
      <c r="AS266" s="1">
        <f t="shared" ref="AS266:AY266" si="860">ROUNDUP(AS$10*$AP266,0)</f>
        <v>308881</v>
      </c>
      <c r="AT266" s="1">
        <f t="shared" si="860"/>
        <v>926643</v>
      </c>
      <c r="AU266" s="1">
        <f t="shared" si="860"/>
        <v>555986</v>
      </c>
      <c r="AV266" s="1">
        <f t="shared" si="860"/>
        <v>154441</v>
      </c>
      <c r="AW266" s="1">
        <f t="shared" si="860"/>
        <v>46333</v>
      </c>
      <c r="AX266" s="1">
        <f t="shared" si="860"/>
        <v>1235524</v>
      </c>
      <c r="AY266" s="1">
        <f t="shared" si="860"/>
        <v>2779929</v>
      </c>
      <c r="AZ266" s="1">
        <f t="shared" si="670"/>
        <v>34184966</v>
      </c>
      <c r="BA266" s="1">
        <f t="shared" si="671"/>
        <v>17092483</v>
      </c>
      <c r="BC266" s="1">
        <f t="shared" si="672"/>
        <v>255</v>
      </c>
    </row>
    <row r="267" s="1" customFormat="1" spans="2:55">
      <c r="B267" s="4">
        <v>256</v>
      </c>
      <c r="C267" s="1">
        <f t="shared" ref="C267:I267" si="861">C$5+(C$6-C$5)*(POWER(C$7,$B267-1)-1)/(POWER(C$7,$B$3-1)-1)</f>
        <v>20226.4576867055</v>
      </c>
      <c r="D267" s="1">
        <f t="shared" si="861"/>
        <v>6067.93730601165</v>
      </c>
      <c r="E267" s="1">
        <f t="shared" si="861"/>
        <v>4045.2915373411</v>
      </c>
      <c r="F267" s="1">
        <f t="shared" si="861"/>
        <v>74249.0218879063</v>
      </c>
      <c r="G267" s="1">
        <f t="shared" si="861"/>
        <v>22274.7065663719</v>
      </c>
      <c r="H267" s="1">
        <f t="shared" si="861"/>
        <v>14849.8043775813</v>
      </c>
      <c r="I267" s="1">
        <f t="shared" si="861"/>
        <v>0</v>
      </c>
      <c r="J267" s="1">
        <f>[1]标准模型!$I$65/1*$B267/$B$3</f>
        <v>1.8432</v>
      </c>
      <c r="K267" s="1">
        <f>J267*[1]标准模型!$J$63</f>
        <v>1.8432</v>
      </c>
      <c r="L267" s="1">
        <f t="shared" si="649"/>
        <v>94475.4795746118</v>
      </c>
      <c r="M267" s="1">
        <f t="shared" si="650"/>
        <v>39527.0659148242</v>
      </c>
      <c r="N267" s="1">
        <f t="shared" si="651"/>
        <v>26351.3772765495</v>
      </c>
      <c r="O267" s="1">
        <f t="shared" ref="O267:X267" si="862">O$5+(O$6-O$5)*(POWER(O$7,$B267-1)-1)/(POWER(O$7,$B$3-1)-1)</f>
        <v>0.755542194346992</v>
      </c>
      <c r="P267" s="1">
        <f t="shared" si="862"/>
        <v>0.167358381208898</v>
      </c>
      <c r="Q267" s="1">
        <f t="shared" si="862"/>
        <v>0.415548206890845</v>
      </c>
      <c r="R267" s="1">
        <f t="shared" si="862"/>
        <v>1.1022168777388</v>
      </c>
      <c r="S267" s="1">
        <f t="shared" si="862"/>
        <v>0.357759072085788</v>
      </c>
      <c r="T267" s="1">
        <f t="shared" si="862"/>
        <v>2.99661455795327</v>
      </c>
      <c r="U267" s="1">
        <f t="shared" si="862"/>
        <v>1</v>
      </c>
      <c r="V267" s="1">
        <f t="shared" si="862"/>
        <v>1.27869388033056</v>
      </c>
      <c r="W267" s="1">
        <f t="shared" si="862"/>
        <v>1.15725673498276</v>
      </c>
      <c r="X267" s="1">
        <f t="shared" si="862"/>
        <v>1.81773502191037</v>
      </c>
      <c r="Y267" s="1">
        <f t="shared" si="675"/>
        <v>3.66835077194658</v>
      </c>
      <c r="Z267" s="1">
        <f t="shared" si="676"/>
        <v>6.80274643760782</v>
      </c>
      <c r="AA267" s="1">
        <f t="shared" si="653"/>
        <v>642692.732117481</v>
      </c>
      <c r="AB267" s="1">
        <f t="shared" si="654"/>
        <v>39527.0659148242</v>
      </c>
      <c r="AC267" s="1">
        <f t="shared" si="655"/>
        <v>26351.3772765495</v>
      </c>
      <c r="AD267" s="1">
        <f>AC267/(AC267+[1]战斗公式!$M$27)</f>
        <v>0.523349681813417</v>
      </c>
      <c r="AE267" s="1">
        <f t="shared" si="656"/>
        <v>1348352.67615599</v>
      </c>
      <c r="AF267" s="1">
        <f t="shared" si="657"/>
        <v>9.29903894931619</v>
      </c>
      <c r="AG267" s="1">
        <f t="shared" si="658"/>
        <v>5.01446541054393</v>
      </c>
      <c r="AH267" s="1">
        <f t="shared" si="659"/>
        <v>4.49505557157396</v>
      </c>
      <c r="AI267" s="1">
        <f t="shared" si="660"/>
        <v>1.1993533195822</v>
      </c>
      <c r="AJ267" s="1">
        <f t="shared" si="661"/>
        <v>1.00000240002406</v>
      </c>
      <c r="AK267" s="1">
        <f t="shared" si="662"/>
        <v>1.00459839143974</v>
      </c>
      <c r="AL267" s="1">
        <f t="shared" si="663"/>
        <v>0.903360202461767</v>
      </c>
      <c r="AM267" s="27">
        <f t="shared" si="664"/>
        <v>576121</v>
      </c>
      <c r="AN267" s="27">
        <f t="shared" si="665"/>
        <v>47407</v>
      </c>
      <c r="AO267" s="27">
        <f t="shared" si="666"/>
        <v>26351</v>
      </c>
      <c r="AP267" s="1">
        <f t="shared" si="667"/>
        <v>312099</v>
      </c>
      <c r="AQ267" s="1">
        <f t="shared" si="668"/>
        <v>42826</v>
      </c>
      <c r="AR267"/>
      <c r="AS267" s="1">
        <f t="shared" ref="AS267:AY267" si="863">ROUNDUP(AS$10*$AP267,0)</f>
        <v>312099</v>
      </c>
      <c r="AT267" s="1">
        <f t="shared" si="863"/>
        <v>936297</v>
      </c>
      <c r="AU267" s="1">
        <f t="shared" si="863"/>
        <v>561779</v>
      </c>
      <c r="AV267" s="1">
        <f t="shared" si="863"/>
        <v>156050</v>
      </c>
      <c r="AW267" s="1">
        <f t="shared" si="863"/>
        <v>46815</v>
      </c>
      <c r="AX267" s="1">
        <f t="shared" si="863"/>
        <v>1248396</v>
      </c>
      <c r="AY267" s="1">
        <f t="shared" si="863"/>
        <v>2808891</v>
      </c>
      <c r="AZ267" s="1">
        <f t="shared" si="670"/>
        <v>34567343</v>
      </c>
      <c r="BA267" s="1">
        <f t="shared" si="671"/>
        <v>17283671</v>
      </c>
      <c r="BC267" s="1">
        <f t="shared" si="672"/>
        <v>256</v>
      </c>
    </row>
    <row r="268" s="1" customFormat="1" spans="2:55">
      <c r="B268" s="4">
        <v>257</v>
      </c>
      <c r="C268" s="1">
        <f t="shared" ref="C268:I268" si="864">C$5+(C$6-C$5)*(POWER(C$7,$B268-1)-1)/(POWER(C$7,$B$3-1)-1)</f>
        <v>20305.4572118883</v>
      </c>
      <c r="D268" s="1">
        <f t="shared" si="864"/>
        <v>6091.63716356648</v>
      </c>
      <c r="E268" s="1">
        <f t="shared" si="864"/>
        <v>4061.09144237765</v>
      </c>
      <c r="F268" s="1">
        <f t="shared" si="864"/>
        <v>74539.0201449063</v>
      </c>
      <c r="G268" s="1">
        <f t="shared" si="864"/>
        <v>22361.7060434719</v>
      </c>
      <c r="H268" s="1">
        <f t="shared" si="864"/>
        <v>14907.8040289813</v>
      </c>
      <c r="I268" s="1">
        <f t="shared" si="864"/>
        <v>0</v>
      </c>
      <c r="J268" s="1">
        <f>[1]标准模型!$I$65/1*$B268/$B$3</f>
        <v>1.8504</v>
      </c>
      <c r="K268" s="1">
        <f>J268*[1]标准模型!$J$63</f>
        <v>1.8504</v>
      </c>
      <c r="L268" s="1">
        <f t="shared" ref="L268:L331" si="865">C268*(1+I268)+F268</f>
        <v>94844.4773567946</v>
      </c>
      <c r="M268" s="1">
        <f t="shared" ref="M268:M331" si="866">D268*(1+J268)+G268</f>
        <v>39725.3086145018</v>
      </c>
      <c r="N268" s="1">
        <f t="shared" ref="N268:N331" si="867">E268*(1+K268)+H268</f>
        <v>26483.5390763346</v>
      </c>
      <c r="O268" s="1">
        <f t="shared" ref="O268:X268" si="868">O$5+(O$6-O$5)*(POWER(O$7,$B268-1)-1)/(POWER(O$7,$B$3-1)-1)</f>
        <v>0.756544192332618</v>
      </c>
      <c r="P268" s="1">
        <f t="shared" si="868"/>
        <v>0.168148675906241</v>
      </c>
      <c r="Q268" s="1">
        <f t="shared" si="868"/>
        <v>0.41609930578294</v>
      </c>
      <c r="R268" s="1">
        <f t="shared" si="868"/>
        <v>1.10261767693305</v>
      </c>
      <c r="S268" s="1">
        <f t="shared" si="868"/>
        <v>0.359161869265665</v>
      </c>
      <c r="T268" s="1">
        <f t="shared" si="868"/>
        <v>3.00052235009721</v>
      </c>
      <c r="U268" s="1">
        <f t="shared" si="868"/>
        <v>1</v>
      </c>
      <c r="V268" s="1">
        <f t="shared" si="868"/>
        <v>1.27978665762087</v>
      </c>
      <c r="W268" s="1">
        <f t="shared" si="868"/>
        <v>1.15787334912776</v>
      </c>
      <c r="X268" s="1">
        <f t="shared" si="868"/>
        <v>1.82094141546438</v>
      </c>
      <c r="Y268" s="1">
        <f t="shared" si="675"/>
        <v>3.69429774022322</v>
      </c>
      <c r="Z268" s="1">
        <f t="shared" si="676"/>
        <v>6.85540995310761</v>
      </c>
      <c r="AA268" s="1">
        <f t="shared" ref="AA268:AA331" si="869">Z268*L268</f>
        <v>650197.774069059</v>
      </c>
      <c r="AB268" s="1">
        <f t="shared" ref="AB268:AB331" si="870">M268</f>
        <v>39725.3086145018</v>
      </c>
      <c r="AC268" s="1">
        <f t="shared" ref="AC268:AC331" si="871">N268</f>
        <v>26483.5390763346</v>
      </c>
      <c r="AD268" s="1">
        <f>AC268/(AC268+[1]战斗公式!$M$27)</f>
        <v>0.524597513583381</v>
      </c>
      <c r="AE268" s="1">
        <f t="shared" ref="AE268:AE331" si="872">AA268/(1-AD268)</f>
        <v>1367678.53060671</v>
      </c>
      <c r="AF268" s="1">
        <f t="shared" ref="AF268:AF331" si="873">AE268/AB268/Y268</f>
        <v>9.31933354032232</v>
      </c>
      <c r="AG268" s="1">
        <f t="shared" ref="AG268:AG331" si="874">AE268/AB268/Z268</f>
        <v>5.02207644384455</v>
      </c>
      <c r="AH268" s="1">
        <f t="shared" ref="AH268:AH331" si="875">AH$5+(AH$6-AH$5)*(POWER(AH$7,$B268-1)-1)/(POWER(AH$7,$B$3-1)-1)</f>
        <v>4.49956030901821</v>
      </c>
      <c r="AI268" s="1">
        <f t="shared" ref="AI268:AI331" si="876">$AI$5+($AI$6-$AI$5)*(POWER($AI$7,$B268-1)-1)/(POWER($AI$7,$B$3-1)-1)</f>
        <v>1.20285710690913</v>
      </c>
      <c r="AJ268" s="1">
        <f t="shared" ref="AJ268:AJ331" si="877">$AJ$5+($AJ$6-$AJ$5)*(POWER($AJ$7,$B268-1)-1)/(POWER($AJ$7,$B$3-1)-1)</f>
        <v>1.00000228002242</v>
      </c>
      <c r="AK268" s="1">
        <f t="shared" ref="AK268:AK331" si="878">$AK$5+($AK$6-$AK$5)*(POWER($AK$7,$B268-1)-1)/(POWER($AK$7,$B$3-1)-1)</f>
        <v>1.00450575380355</v>
      </c>
      <c r="AL268" s="1">
        <f t="shared" ref="AL268:AL331" si="879">$AL$5+($AL$6-$AL$5)*(POWER($AL$7,$B268-1)-1)/(POWER($AL$7,$B$3-1)-1)</f>
        <v>0.903629494317741</v>
      </c>
      <c r="AM268" s="27">
        <f t="shared" ref="AM268:AM331" si="880">ROUND(AA268/AG268*AH268,0)</f>
        <v>582549</v>
      </c>
      <c r="AN268" s="27">
        <f t="shared" ref="AN268:AN331" si="881">ROUND(AB268*AI268,0)</f>
        <v>47784</v>
      </c>
      <c r="AO268" s="27">
        <f t="shared" ref="AO268:AO331" si="882">ROUND(AC268,0)</f>
        <v>26484</v>
      </c>
      <c r="AP268" s="1">
        <f t="shared" ref="AP268:AP331" si="883">ROUND(AA268/$AF268*AH268*AK268,0)</f>
        <v>315343</v>
      </c>
      <c r="AQ268" s="1">
        <f t="shared" ref="AQ268:AQ331" si="884">ROUND(AN268*AL268,0)</f>
        <v>43179</v>
      </c>
      <c r="AR268"/>
      <c r="AS268" s="1">
        <f t="shared" ref="AS268:AY268" si="885">ROUNDUP(AS$10*$AP268,0)</f>
        <v>315343</v>
      </c>
      <c r="AT268" s="1">
        <f t="shared" si="885"/>
        <v>946029</v>
      </c>
      <c r="AU268" s="1">
        <f t="shared" si="885"/>
        <v>567618</v>
      </c>
      <c r="AV268" s="1">
        <f t="shared" si="885"/>
        <v>157672</v>
      </c>
      <c r="AW268" s="1">
        <f t="shared" si="885"/>
        <v>47302</v>
      </c>
      <c r="AX268" s="1">
        <f t="shared" si="885"/>
        <v>1261372</v>
      </c>
      <c r="AY268" s="1">
        <f t="shared" si="885"/>
        <v>2838087</v>
      </c>
      <c r="AZ268" s="1">
        <f t="shared" ref="AZ268:AZ331" si="886">ROUND(AM268*$AZ$10*AJ268,0)</f>
        <v>34953020</v>
      </c>
      <c r="BA268" s="1">
        <f t="shared" ref="BA268:BA331" si="887">ROUND(AM268*$BA$10*AJ268,0)</f>
        <v>17476510</v>
      </c>
      <c r="BC268" s="1">
        <f t="shared" ref="BC268:BC331" si="888">B268</f>
        <v>257</v>
      </c>
    </row>
    <row r="269" s="1" customFormat="1" spans="2:55">
      <c r="B269" s="4">
        <v>258</v>
      </c>
      <c r="C269" s="1">
        <f t="shared" ref="C269:I269" si="889">C$5+(C$6-C$5)*(POWER(C$7,$B269-1)-1)/(POWER(C$7,$B$3-1)-1)</f>
        <v>20384.4566580706</v>
      </c>
      <c r="D269" s="1">
        <f t="shared" si="889"/>
        <v>6115.33699742119</v>
      </c>
      <c r="E269" s="1">
        <f t="shared" si="889"/>
        <v>4076.89133161413</v>
      </c>
      <c r="F269" s="1">
        <f t="shared" si="889"/>
        <v>74829.0181119049</v>
      </c>
      <c r="G269" s="1">
        <f t="shared" si="889"/>
        <v>22448.7054335715</v>
      </c>
      <c r="H269" s="1">
        <f t="shared" si="889"/>
        <v>14965.803622381</v>
      </c>
      <c r="I269" s="1">
        <f t="shared" si="889"/>
        <v>0</v>
      </c>
      <c r="J269" s="1">
        <f>[1]标准模型!$I$65/1*$B269/$B$3</f>
        <v>1.8576</v>
      </c>
      <c r="K269" s="1">
        <f>J269*[1]标准模型!$J$63</f>
        <v>1.8576</v>
      </c>
      <c r="L269" s="1">
        <f t="shared" si="865"/>
        <v>95213.4747699755</v>
      </c>
      <c r="M269" s="1">
        <f t="shared" si="866"/>
        <v>39923.8924374023</v>
      </c>
      <c r="N269" s="1">
        <f t="shared" si="867"/>
        <v>26615.9282916015</v>
      </c>
      <c r="O269" s="1">
        <f t="shared" ref="O269:X269" si="890">O$5+(O$6-O$5)*(POWER(O$7,$B269-1)-1)/(POWER(O$7,$B$3-1)-1)</f>
        <v>0.757546189316236</v>
      </c>
      <c r="P269" s="1">
        <f t="shared" si="890"/>
        <v>0.16894015604563</v>
      </c>
      <c r="Q269" s="1">
        <f t="shared" si="890"/>
        <v>0.41665040412393</v>
      </c>
      <c r="R269" s="1">
        <f t="shared" si="890"/>
        <v>1.10301847572649</v>
      </c>
      <c r="S269" s="1">
        <f t="shared" si="890"/>
        <v>0.36056466504273</v>
      </c>
      <c r="T269" s="1">
        <f t="shared" si="890"/>
        <v>3.00443013833332</v>
      </c>
      <c r="U269" s="1">
        <f t="shared" si="890"/>
        <v>1</v>
      </c>
      <c r="V269" s="1">
        <f t="shared" si="890"/>
        <v>1.28087943381839</v>
      </c>
      <c r="W269" s="1">
        <f t="shared" si="890"/>
        <v>1.15848996265614</v>
      </c>
      <c r="X269" s="1">
        <f t="shared" si="890"/>
        <v>1.82414780581195</v>
      </c>
      <c r="Y269" s="1">
        <f t="shared" ref="Y269:Y332" si="891">(1+S269*(T269-1))*U269*X269*(O269+P269)*R269*W269</f>
        <v>3.72040732346665</v>
      </c>
      <c r="Z269" s="1">
        <f t="shared" ref="Z269:Z332" si="892">(1+S269*(T269-1))*(O269+P269+Q269)*U269*V269*X269*R269*W269</f>
        <v>6.90843939547348</v>
      </c>
      <c r="AA269" s="1">
        <f t="shared" si="869"/>
        <v>657776.520080819</v>
      </c>
      <c r="AB269" s="1">
        <f t="shared" si="870"/>
        <v>39923.8924374023</v>
      </c>
      <c r="AC269" s="1">
        <f t="shared" si="871"/>
        <v>26615.9282916015</v>
      </c>
      <c r="AD269" s="1">
        <f>AC269/(AC269+[1]战斗公式!$M$27)</f>
        <v>0.525840959357013</v>
      </c>
      <c r="AE269" s="1">
        <f t="shared" si="872"/>
        <v>1387248.71551291</v>
      </c>
      <c r="AF269" s="1">
        <f t="shared" si="873"/>
        <v>9.33965779388382</v>
      </c>
      <c r="AG269" s="1">
        <f t="shared" si="874"/>
        <v>5.02969328757588</v>
      </c>
      <c r="AH269" s="1">
        <f t="shared" si="875"/>
        <v>4.50403126093163</v>
      </c>
      <c r="AI269" s="1">
        <f t="shared" si="876"/>
        <v>1.20636790181073</v>
      </c>
      <c r="AJ269" s="1">
        <f t="shared" si="877"/>
        <v>1.00000216602086</v>
      </c>
      <c r="AK269" s="1">
        <f t="shared" si="878"/>
        <v>1.0044149689201</v>
      </c>
      <c r="AL269" s="1">
        <f t="shared" si="879"/>
        <v>0.903897978298148</v>
      </c>
      <c r="AM269" s="27">
        <f t="shared" si="880"/>
        <v>589031</v>
      </c>
      <c r="AN269" s="27">
        <f t="shared" si="881"/>
        <v>48163</v>
      </c>
      <c r="AO269" s="27">
        <f t="shared" si="882"/>
        <v>26616</v>
      </c>
      <c r="AP269" s="1">
        <f t="shared" si="883"/>
        <v>318612</v>
      </c>
      <c r="AQ269" s="1">
        <f t="shared" si="884"/>
        <v>43534</v>
      </c>
      <c r="AR269"/>
      <c r="AS269" s="1">
        <f t="shared" ref="AS269:AY269" si="893">ROUNDUP(AS$10*$AP269,0)</f>
        <v>318612</v>
      </c>
      <c r="AT269" s="1">
        <f t="shared" si="893"/>
        <v>955836</v>
      </c>
      <c r="AU269" s="1">
        <f t="shared" si="893"/>
        <v>573502</v>
      </c>
      <c r="AV269" s="1">
        <f t="shared" si="893"/>
        <v>159306</v>
      </c>
      <c r="AW269" s="1">
        <f t="shared" si="893"/>
        <v>47792</v>
      </c>
      <c r="AX269" s="1">
        <f t="shared" si="893"/>
        <v>1274448</v>
      </c>
      <c r="AY269" s="1">
        <f t="shared" si="893"/>
        <v>2867508</v>
      </c>
      <c r="AZ269" s="1">
        <f t="shared" si="886"/>
        <v>35341937</v>
      </c>
      <c r="BA269" s="1">
        <f t="shared" si="887"/>
        <v>17670968</v>
      </c>
      <c r="BC269" s="1">
        <f t="shared" si="888"/>
        <v>258</v>
      </c>
    </row>
    <row r="270" s="1" customFormat="1" spans="2:55">
      <c r="B270" s="4">
        <v>259</v>
      </c>
      <c r="C270" s="1">
        <f t="shared" ref="C270:I270" si="894">C$5+(C$6-C$5)*(POWER(C$7,$B270-1)-1)/(POWER(C$7,$B$3-1)-1)</f>
        <v>20463.4560252526</v>
      </c>
      <c r="D270" s="1">
        <f t="shared" si="894"/>
        <v>6139.03680757579</v>
      </c>
      <c r="E270" s="1">
        <f t="shared" si="894"/>
        <v>4092.69120505053</v>
      </c>
      <c r="F270" s="1">
        <f t="shared" si="894"/>
        <v>75119.0157889021</v>
      </c>
      <c r="G270" s="1">
        <f t="shared" si="894"/>
        <v>22535.7047366706</v>
      </c>
      <c r="H270" s="1">
        <f t="shared" si="894"/>
        <v>15023.8031577804</v>
      </c>
      <c r="I270" s="1">
        <f t="shared" si="894"/>
        <v>0</v>
      </c>
      <c r="J270" s="1">
        <f>[1]标准模型!$I$65/1*$B270/$B$3</f>
        <v>1.8648</v>
      </c>
      <c r="K270" s="1">
        <f>J270*[1]标准模型!$J$63</f>
        <v>1.8648</v>
      </c>
      <c r="L270" s="1">
        <f t="shared" si="865"/>
        <v>95582.4718141547</v>
      </c>
      <c r="M270" s="1">
        <f t="shared" si="866"/>
        <v>40122.8173830137</v>
      </c>
      <c r="N270" s="1">
        <f t="shared" si="867"/>
        <v>26748.5449220092</v>
      </c>
      <c r="O270" s="1">
        <f t="shared" ref="O270:X270" si="895">O$5+(O$6-O$5)*(POWER(O$7,$B270-1)-1)/(POWER(O$7,$B$3-1)-1)</f>
        <v>0.758548185297844</v>
      </c>
      <c r="P270" s="1">
        <f t="shared" si="895"/>
        <v>0.169732823405228</v>
      </c>
      <c r="Q270" s="1">
        <f t="shared" si="895"/>
        <v>0.417201501913814</v>
      </c>
      <c r="R270" s="1">
        <f t="shared" si="895"/>
        <v>1.10341927411914</v>
      </c>
      <c r="S270" s="1">
        <f t="shared" si="895"/>
        <v>0.361967459416982</v>
      </c>
      <c r="T270" s="1">
        <f t="shared" si="895"/>
        <v>3.00833792266159</v>
      </c>
      <c r="U270" s="1">
        <f t="shared" si="895"/>
        <v>1</v>
      </c>
      <c r="V270" s="1">
        <f t="shared" si="895"/>
        <v>1.28197220892312</v>
      </c>
      <c r="W270" s="1">
        <f t="shared" si="895"/>
        <v>1.1591065755679</v>
      </c>
      <c r="X270" s="1">
        <f t="shared" si="895"/>
        <v>1.8273541929531</v>
      </c>
      <c r="Y270" s="1">
        <f t="shared" si="891"/>
        <v>3.74668038726589</v>
      </c>
      <c r="Z270" s="1">
        <f t="shared" si="892"/>
        <v>6.96183696888904</v>
      </c>
      <c r="AA270" s="1">
        <f t="shared" si="869"/>
        <v>665429.585853577</v>
      </c>
      <c r="AB270" s="1">
        <f t="shared" si="870"/>
        <v>40122.8173830137</v>
      </c>
      <c r="AC270" s="1">
        <f t="shared" si="871"/>
        <v>26748.5449220092</v>
      </c>
      <c r="AD270" s="1">
        <f>AC270/(AC270+[1]战斗公式!$M$27)</f>
        <v>0.527080036740296</v>
      </c>
      <c r="AE270" s="1">
        <f t="shared" si="872"/>
        <v>1407065.96792184</v>
      </c>
      <c r="AF270" s="1">
        <f t="shared" si="873"/>
        <v>9.36001168726112</v>
      </c>
      <c r="AG270" s="1">
        <f t="shared" si="874"/>
        <v>5.03731592250099</v>
      </c>
      <c r="AH270" s="1">
        <f t="shared" si="875"/>
        <v>4.50846868070569</v>
      </c>
      <c r="AI270" s="1">
        <f t="shared" si="876"/>
        <v>1.20988571830212</v>
      </c>
      <c r="AJ270" s="1">
        <f t="shared" si="877"/>
        <v>1.00000205771937</v>
      </c>
      <c r="AK270" s="1">
        <f t="shared" si="878"/>
        <v>1.00432599973431</v>
      </c>
      <c r="AL270" s="1">
        <f t="shared" si="879"/>
        <v>0.904165656826613</v>
      </c>
      <c r="AM270" s="27">
        <f t="shared" si="880"/>
        <v>595569</v>
      </c>
      <c r="AN270" s="27">
        <f t="shared" si="881"/>
        <v>48544</v>
      </c>
      <c r="AO270" s="27">
        <f t="shared" si="882"/>
        <v>26749</v>
      </c>
      <c r="AP270" s="1">
        <f t="shared" si="883"/>
        <v>321906</v>
      </c>
      <c r="AQ270" s="1">
        <f t="shared" si="884"/>
        <v>43892</v>
      </c>
      <c r="AR270"/>
      <c r="AS270" s="1">
        <f t="shared" ref="AS270:AY270" si="896">ROUNDUP(AS$10*$AP270,0)</f>
        <v>321906</v>
      </c>
      <c r="AT270" s="1">
        <f t="shared" si="896"/>
        <v>965718</v>
      </c>
      <c r="AU270" s="1">
        <f t="shared" si="896"/>
        <v>579431</v>
      </c>
      <c r="AV270" s="1">
        <f t="shared" si="896"/>
        <v>160953</v>
      </c>
      <c r="AW270" s="1">
        <f t="shared" si="896"/>
        <v>48286</v>
      </c>
      <c r="AX270" s="1">
        <f t="shared" si="896"/>
        <v>1287624</v>
      </c>
      <c r="AY270" s="1">
        <f t="shared" si="896"/>
        <v>2897154</v>
      </c>
      <c r="AZ270" s="1">
        <f t="shared" si="886"/>
        <v>35734214</v>
      </c>
      <c r="BA270" s="1">
        <f t="shared" si="887"/>
        <v>17867107</v>
      </c>
      <c r="BC270" s="1">
        <f t="shared" si="888"/>
        <v>259</v>
      </c>
    </row>
    <row r="271" s="1" customFormat="1" spans="2:55">
      <c r="B271" s="4">
        <v>260</v>
      </c>
      <c r="C271" s="1">
        <f t="shared" ref="C271:I271" si="897">C$5+(C$6-C$5)*(POWER(C$7,$B271-1)-1)/(POWER(C$7,$B$3-1)-1)</f>
        <v>20542.455313443</v>
      </c>
      <c r="D271" s="1">
        <f t="shared" si="897"/>
        <v>6162.73659403291</v>
      </c>
      <c r="E271" s="1">
        <f t="shared" si="897"/>
        <v>4108.49106268861</v>
      </c>
      <c r="F271" s="1">
        <f t="shared" si="897"/>
        <v>75409.0131759301</v>
      </c>
      <c r="G271" s="1">
        <f t="shared" si="897"/>
        <v>22622.703952779</v>
      </c>
      <c r="H271" s="1">
        <f t="shared" si="897"/>
        <v>15081.802635186</v>
      </c>
      <c r="I271" s="1">
        <f t="shared" si="897"/>
        <v>0</v>
      </c>
      <c r="J271" s="1">
        <f>[1]标准模型!$I$65/1*$B271/$B$3</f>
        <v>1.872</v>
      </c>
      <c r="K271" s="1">
        <f>J271*[1]标准模型!$J$63</f>
        <v>1.872</v>
      </c>
      <c r="L271" s="1">
        <f t="shared" si="865"/>
        <v>95951.4684893731</v>
      </c>
      <c r="M271" s="1">
        <f t="shared" si="866"/>
        <v>40322.0834508415</v>
      </c>
      <c r="N271" s="1">
        <f t="shared" si="867"/>
        <v>26881.3889672277</v>
      </c>
      <c r="O271" s="1">
        <f t="shared" ref="O271:X271" si="898">O$5+(O$6-O$5)*(POWER(O$7,$B271-1)-1)/(POWER(O$7,$B$3-1)-1)</f>
        <v>0.759550180277555</v>
      </c>
      <c r="P271" s="1">
        <f t="shared" si="898"/>
        <v>0.170526679765866</v>
      </c>
      <c r="Q271" s="1">
        <f t="shared" si="898"/>
        <v>0.417752599152656</v>
      </c>
      <c r="R271" s="1">
        <f t="shared" si="898"/>
        <v>1.10382007211102</v>
      </c>
      <c r="S271" s="1">
        <f t="shared" si="898"/>
        <v>0.363370252388578</v>
      </c>
      <c r="T271" s="1">
        <f t="shared" si="898"/>
        <v>3.01224570308247</v>
      </c>
      <c r="U271" s="1">
        <f t="shared" si="898"/>
        <v>1</v>
      </c>
      <c r="V271" s="1">
        <f t="shared" si="898"/>
        <v>1.28306498293518</v>
      </c>
      <c r="W271" s="1">
        <f t="shared" si="898"/>
        <v>1.15972318786311</v>
      </c>
      <c r="X271" s="1">
        <f t="shared" si="898"/>
        <v>1.83056057688818</v>
      </c>
      <c r="Y271" s="1">
        <f t="shared" si="891"/>
        <v>3.77311780086383</v>
      </c>
      <c r="Z271" s="1">
        <f t="shared" si="892"/>
        <v>7.01560488847176</v>
      </c>
      <c r="AA271" s="1">
        <f t="shared" si="869"/>
        <v>673157.59139009</v>
      </c>
      <c r="AB271" s="1">
        <f t="shared" si="870"/>
        <v>40322.0834508415</v>
      </c>
      <c r="AC271" s="1">
        <f t="shared" si="871"/>
        <v>26881.3889672277</v>
      </c>
      <c r="AD271" s="1">
        <f>AC271/(AC271+[1]战斗公式!$M$27)</f>
        <v>0.528314763273105</v>
      </c>
      <c r="AE271" s="1">
        <f t="shared" si="872"/>
        <v>1427133.05182339</v>
      </c>
      <c r="AF271" s="1">
        <f t="shared" si="873"/>
        <v>9.38039519778192</v>
      </c>
      <c r="AG271" s="1">
        <f t="shared" si="874"/>
        <v>5.04494432946871</v>
      </c>
      <c r="AH271" s="1">
        <f t="shared" si="875"/>
        <v>4.51287281983145</v>
      </c>
      <c r="AI271" s="1">
        <f t="shared" si="876"/>
        <v>1.2134105704265</v>
      </c>
      <c r="AJ271" s="1">
        <f t="shared" si="877"/>
        <v>1.00000195483296</v>
      </c>
      <c r="AK271" s="1">
        <f t="shared" si="878"/>
        <v>1.00423880993223</v>
      </c>
      <c r="AL271" s="1">
        <f t="shared" si="879"/>
        <v>0.904432532319493</v>
      </c>
      <c r="AM271" s="27">
        <f t="shared" si="880"/>
        <v>602162</v>
      </c>
      <c r="AN271" s="27">
        <f t="shared" si="881"/>
        <v>48927</v>
      </c>
      <c r="AO271" s="27">
        <f t="shared" si="882"/>
        <v>26881</v>
      </c>
      <c r="AP271" s="1">
        <f t="shared" si="883"/>
        <v>325226</v>
      </c>
      <c r="AQ271" s="1">
        <f t="shared" si="884"/>
        <v>44251</v>
      </c>
      <c r="AR271"/>
      <c r="AS271" s="1">
        <f t="shared" ref="AS271:AY271" si="899">ROUNDUP(AS$10*$AP271,0)</f>
        <v>325226</v>
      </c>
      <c r="AT271" s="1">
        <f t="shared" si="899"/>
        <v>975678</v>
      </c>
      <c r="AU271" s="1">
        <f t="shared" si="899"/>
        <v>585407</v>
      </c>
      <c r="AV271" s="1">
        <f t="shared" si="899"/>
        <v>162613</v>
      </c>
      <c r="AW271" s="1">
        <f t="shared" si="899"/>
        <v>48784</v>
      </c>
      <c r="AX271" s="1">
        <f t="shared" si="899"/>
        <v>1300904</v>
      </c>
      <c r="AY271" s="1">
        <f t="shared" si="899"/>
        <v>2927034</v>
      </c>
      <c r="AZ271" s="1">
        <f t="shared" si="886"/>
        <v>36129791</v>
      </c>
      <c r="BA271" s="1">
        <f t="shared" si="887"/>
        <v>18064895</v>
      </c>
      <c r="BC271" s="1">
        <f t="shared" si="888"/>
        <v>260</v>
      </c>
    </row>
    <row r="272" s="1" customFormat="1" spans="2:55">
      <c r="B272" s="4">
        <v>261</v>
      </c>
      <c r="C272" s="1">
        <f t="shared" ref="C272:I272" si="900">C$5+(C$6-C$5)*(POWER(C$7,$B272-1)-1)/(POWER(C$7,$B$3-1)-1)</f>
        <v>20621.4545226243</v>
      </c>
      <c r="D272" s="1">
        <f t="shared" si="900"/>
        <v>6186.43635678728</v>
      </c>
      <c r="E272" s="1">
        <f t="shared" si="900"/>
        <v>4124.29090452486</v>
      </c>
      <c r="F272" s="1">
        <f t="shared" si="900"/>
        <v>75699.0102729246</v>
      </c>
      <c r="G272" s="1">
        <f t="shared" si="900"/>
        <v>22709.7030818774</v>
      </c>
      <c r="H272" s="1">
        <f t="shared" si="900"/>
        <v>15139.8020545849</v>
      </c>
      <c r="I272" s="1">
        <f t="shared" si="900"/>
        <v>0</v>
      </c>
      <c r="J272" s="1">
        <f>[1]标准模型!$I$65/1*$B272/$B$3</f>
        <v>1.8792</v>
      </c>
      <c r="K272" s="1">
        <f>J272*[1]标准模型!$J$63</f>
        <v>1.8792</v>
      </c>
      <c r="L272" s="1">
        <f t="shared" si="865"/>
        <v>96320.4647955489</v>
      </c>
      <c r="M272" s="1">
        <f t="shared" si="866"/>
        <v>40521.6906403393</v>
      </c>
      <c r="N272" s="1">
        <f t="shared" si="867"/>
        <v>27014.4604268929</v>
      </c>
      <c r="O272" s="1">
        <f t="shared" ref="O272:X272" si="901">O$5+(O$6-O$5)*(POWER(O$7,$B272-1)-1)/(POWER(O$7,$B$3-1)-1)</f>
        <v>0.760552174255147</v>
      </c>
      <c r="P272" s="1">
        <f t="shared" si="901"/>
        <v>0.171321726911044</v>
      </c>
      <c r="Q272" s="1">
        <f t="shared" si="901"/>
        <v>0.418303695840331</v>
      </c>
      <c r="R272" s="1">
        <f t="shared" si="901"/>
        <v>1.10422086970206</v>
      </c>
      <c r="S272" s="1">
        <f t="shared" si="901"/>
        <v>0.364773043957205</v>
      </c>
      <c r="T272" s="1">
        <f t="shared" si="901"/>
        <v>3.01615347959507</v>
      </c>
      <c r="U272" s="1">
        <f t="shared" si="901"/>
        <v>1</v>
      </c>
      <c r="V272" s="1">
        <f t="shared" si="901"/>
        <v>1.28415775585433</v>
      </c>
      <c r="W272" s="1">
        <f t="shared" si="901"/>
        <v>1.16033979954163</v>
      </c>
      <c r="X272" s="1">
        <f t="shared" si="901"/>
        <v>1.83376695761647</v>
      </c>
      <c r="Y272" s="1">
        <f t="shared" si="891"/>
        <v>3.79972043715867</v>
      </c>
      <c r="Z272" s="1">
        <f t="shared" si="892"/>
        <v>7.06974538029358</v>
      </c>
      <c r="AA272" s="1">
        <f t="shared" si="869"/>
        <v>680961.161016062</v>
      </c>
      <c r="AB272" s="1">
        <f t="shared" si="870"/>
        <v>40521.6906403393</v>
      </c>
      <c r="AC272" s="1">
        <f t="shared" si="871"/>
        <v>27014.4604268929</v>
      </c>
      <c r="AD272" s="1">
        <f>AC272/(AC272+[1]战斗公式!$M$27)</f>
        <v>0.52954515642886</v>
      </c>
      <c r="AE272" s="1">
        <f t="shared" si="872"/>
        <v>1447452.75837104</v>
      </c>
      <c r="AF272" s="1">
        <f t="shared" si="873"/>
        <v>9.40080830282837</v>
      </c>
      <c r="AG272" s="1">
        <f t="shared" si="874"/>
        <v>5.0525784894087</v>
      </c>
      <c r="AH272" s="1">
        <f t="shared" si="875"/>
        <v>4.51724392791377</v>
      </c>
      <c r="AI272" s="1">
        <f t="shared" si="876"/>
        <v>1.21694247225512</v>
      </c>
      <c r="AJ272" s="1">
        <f t="shared" si="877"/>
        <v>1.00000185709088</v>
      </c>
      <c r="AK272" s="1">
        <f t="shared" si="878"/>
        <v>1.0041533639262</v>
      </c>
      <c r="AL272" s="1">
        <f t="shared" si="879"/>
        <v>0.904698607185894</v>
      </c>
      <c r="AM272" s="27">
        <f t="shared" si="880"/>
        <v>608811</v>
      </c>
      <c r="AN272" s="27">
        <f t="shared" si="881"/>
        <v>49313</v>
      </c>
      <c r="AO272" s="27">
        <f t="shared" si="882"/>
        <v>27014</v>
      </c>
      <c r="AP272" s="1">
        <f t="shared" si="883"/>
        <v>328572</v>
      </c>
      <c r="AQ272" s="1">
        <f t="shared" si="884"/>
        <v>44613</v>
      </c>
      <c r="AR272"/>
      <c r="AS272" s="1">
        <f t="shared" ref="AS272:AY272" si="902">ROUNDUP(AS$10*$AP272,0)</f>
        <v>328572</v>
      </c>
      <c r="AT272" s="1">
        <f t="shared" si="902"/>
        <v>985716</v>
      </c>
      <c r="AU272" s="1">
        <f t="shared" si="902"/>
        <v>591430</v>
      </c>
      <c r="AV272" s="1">
        <f t="shared" si="902"/>
        <v>164286</v>
      </c>
      <c r="AW272" s="1">
        <f t="shared" si="902"/>
        <v>49286</v>
      </c>
      <c r="AX272" s="1">
        <f t="shared" si="902"/>
        <v>1314288</v>
      </c>
      <c r="AY272" s="1">
        <f t="shared" si="902"/>
        <v>2957148</v>
      </c>
      <c r="AZ272" s="1">
        <f t="shared" si="886"/>
        <v>36528728</v>
      </c>
      <c r="BA272" s="1">
        <f t="shared" si="887"/>
        <v>18264364</v>
      </c>
      <c r="BC272" s="1">
        <f t="shared" si="888"/>
        <v>261</v>
      </c>
    </row>
    <row r="273" s="1" customFormat="1" spans="2:55">
      <c r="B273" s="4">
        <v>262</v>
      </c>
      <c r="C273" s="1">
        <f t="shared" ref="C273:I273" si="903">C$5+(C$6-C$5)*(POWER(C$7,$B273-1)-1)/(POWER(C$7,$B$3-1)-1)</f>
        <v>20700.4536528051</v>
      </c>
      <c r="D273" s="1">
        <f t="shared" si="903"/>
        <v>6210.13609584154</v>
      </c>
      <c r="E273" s="1">
        <f t="shared" si="903"/>
        <v>4140.09073056103</v>
      </c>
      <c r="F273" s="1">
        <f t="shared" si="903"/>
        <v>75989.0070799176</v>
      </c>
      <c r="G273" s="1">
        <f t="shared" si="903"/>
        <v>22796.7021239753</v>
      </c>
      <c r="H273" s="1">
        <f t="shared" si="903"/>
        <v>15197.8014159835</v>
      </c>
      <c r="I273" s="1">
        <f t="shared" si="903"/>
        <v>0</v>
      </c>
      <c r="J273" s="1">
        <f>[1]标准模型!$I$65/1*$B273/$B$3</f>
        <v>1.8864</v>
      </c>
      <c r="K273" s="1">
        <f>J273*[1]标准模型!$J$63</f>
        <v>1.8864</v>
      </c>
      <c r="L273" s="1">
        <f t="shared" si="865"/>
        <v>96689.4607327227</v>
      </c>
      <c r="M273" s="1">
        <f t="shared" si="866"/>
        <v>40721.6389510123</v>
      </c>
      <c r="N273" s="1">
        <f t="shared" si="867"/>
        <v>27147.7593006749</v>
      </c>
      <c r="O273" s="1">
        <f t="shared" ref="O273:X273" si="904">O$5+(O$6-O$5)*(POWER(O$7,$B273-1)-1)/(POWER(O$7,$B$3-1)-1)</f>
        <v>0.761554167230729</v>
      </c>
      <c r="P273" s="1">
        <f t="shared" si="904"/>
        <v>0.17211796662694</v>
      </c>
      <c r="Q273" s="1">
        <f t="shared" si="904"/>
        <v>0.418854791976901</v>
      </c>
      <c r="R273" s="1">
        <f t="shared" si="904"/>
        <v>1.10462166689229</v>
      </c>
      <c r="S273" s="1">
        <f t="shared" si="904"/>
        <v>0.366175834123021</v>
      </c>
      <c r="T273" s="1">
        <f t="shared" si="904"/>
        <v>3.02006125219984</v>
      </c>
      <c r="U273" s="1">
        <f t="shared" si="904"/>
        <v>1</v>
      </c>
      <c r="V273" s="1">
        <f t="shared" si="904"/>
        <v>1.28525052768069</v>
      </c>
      <c r="W273" s="1">
        <f t="shared" si="904"/>
        <v>1.16095641060353</v>
      </c>
      <c r="X273" s="1">
        <f t="shared" si="904"/>
        <v>1.83697333513833</v>
      </c>
      <c r="Y273" s="1">
        <f t="shared" si="891"/>
        <v>3.82648917273116</v>
      </c>
      <c r="Z273" s="1">
        <f t="shared" si="892"/>
        <v>7.12426068145676</v>
      </c>
      <c r="AA273" s="1">
        <f t="shared" si="869"/>
        <v>688840.923409394</v>
      </c>
      <c r="AB273" s="1">
        <f t="shared" si="870"/>
        <v>40721.6389510123</v>
      </c>
      <c r="AC273" s="1">
        <f t="shared" si="871"/>
        <v>27147.7593006749</v>
      </c>
      <c r="AD273" s="1">
        <f>AC273/(AC273+[1]战斗公式!$M$27)</f>
        <v>0.530771233615246</v>
      </c>
      <c r="AE273" s="1">
        <f t="shared" si="872"/>
        <v>1468027.90612493</v>
      </c>
      <c r="AF273" s="1">
        <f t="shared" si="873"/>
        <v>9.42125097985502</v>
      </c>
      <c r="AG273" s="1">
        <f t="shared" si="874"/>
        <v>5.06021838333778</v>
      </c>
      <c r="AH273" s="1">
        <f t="shared" si="875"/>
        <v>4.52158225268547</v>
      </c>
      <c r="AI273" s="1">
        <f t="shared" si="876"/>
        <v>1.22048143788741</v>
      </c>
      <c r="AJ273" s="1">
        <f t="shared" si="877"/>
        <v>1.00000176423589</v>
      </c>
      <c r="AK273" s="1">
        <f t="shared" si="878"/>
        <v>1.00406962684029</v>
      </c>
      <c r="AL273" s="1">
        <f t="shared" si="879"/>
        <v>0.904963883827696</v>
      </c>
      <c r="AM273" s="27">
        <f t="shared" si="880"/>
        <v>615517</v>
      </c>
      <c r="AN273" s="27">
        <f t="shared" si="881"/>
        <v>49700</v>
      </c>
      <c r="AO273" s="27">
        <f t="shared" si="882"/>
        <v>27148</v>
      </c>
      <c r="AP273" s="1">
        <f t="shared" si="883"/>
        <v>331944</v>
      </c>
      <c r="AQ273" s="1">
        <f t="shared" si="884"/>
        <v>44977</v>
      </c>
      <c r="AR273"/>
      <c r="AS273" s="1">
        <f t="shared" ref="AS273:AY273" si="905">ROUNDUP(AS$10*$AP273,0)</f>
        <v>331944</v>
      </c>
      <c r="AT273" s="1">
        <f t="shared" si="905"/>
        <v>995832</v>
      </c>
      <c r="AU273" s="1">
        <f t="shared" si="905"/>
        <v>597500</v>
      </c>
      <c r="AV273" s="1">
        <f t="shared" si="905"/>
        <v>165972</v>
      </c>
      <c r="AW273" s="1">
        <f t="shared" si="905"/>
        <v>49792</v>
      </c>
      <c r="AX273" s="1">
        <f t="shared" si="905"/>
        <v>1327776</v>
      </c>
      <c r="AY273" s="1">
        <f t="shared" si="905"/>
        <v>2987496</v>
      </c>
      <c r="AZ273" s="1">
        <f t="shared" si="886"/>
        <v>36931085</v>
      </c>
      <c r="BA273" s="1">
        <f t="shared" si="887"/>
        <v>18465543</v>
      </c>
      <c r="BC273" s="1">
        <f t="shared" si="888"/>
        <v>262</v>
      </c>
    </row>
    <row r="274" s="1" customFormat="1" spans="2:55">
      <c r="B274" s="4">
        <v>263</v>
      </c>
      <c r="C274" s="1">
        <f t="shared" ref="C274:I274" si="906">C$5+(C$6-C$5)*(POWER(C$7,$B274-1)-1)/(POWER(C$7,$B$3-1)-1)</f>
        <v>20779.4527039944</v>
      </c>
      <c r="D274" s="1">
        <f t="shared" si="906"/>
        <v>6233.83581119832</v>
      </c>
      <c r="E274" s="1">
        <f t="shared" si="906"/>
        <v>4155.89054079888</v>
      </c>
      <c r="F274" s="1">
        <f t="shared" si="906"/>
        <v>76279.0035969415</v>
      </c>
      <c r="G274" s="1">
        <f t="shared" si="906"/>
        <v>22883.7010790824</v>
      </c>
      <c r="H274" s="1">
        <f t="shared" si="906"/>
        <v>15255.8007193883</v>
      </c>
      <c r="I274" s="1">
        <f t="shared" si="906"/>
        <v>0</v>
      </c>
      <c r="J274" s="1">
        <f>[1]标准模型!$I$65/1*$B274/$B$3</f>
        <v>1.8936</v>
      </c>
      <c r="K274" s="1">
        <f>J274*[1]标准模型!$J$63</f>
        <v>1.8936</v>
      </c>
      <c r="L274" s="1">
        <f t="shared" si="865"/>
        <v>97058.4563009359</v>
      </c>
      <c r="M274" s="1">
        <f t="shared" si="866"/>
        <v>40921.9283823659</v>
      </c>
      <c r="N274" s="1">
        <f t="shared" si="867"/>
        <v>27281.2855882439</v>
      </c>
      <c r="O274" s="1">
        <f t="shared" ref="O274:X274" si="907">O$5+(O$6-O$5)*(POWER(O$7,$B274-1)-1)/(POWER(O$7,$B$3-1)-1)</f>
        <v>0.762556159204414</v>
      </c>
      <c r="P274" s="1">
        <f t="shared" si="907"/>
        <v>0.17291540070241</v>
      </c>
      <c r="Q274" s="1">
        <f t="shared" si="907"/>
        <v>0.419405887562428</v>
      </c>
      <c r="R274" s="1">
        <f t="shared" si="907"/>
        <v>1.10502246368177</v>
      </c>
      <c r="S274" s="1">
        <f t="shared" si="907"/>
        <v>0.367578622886179</v>
      </c>
      <c r="T274" s="1">
        <f t="shared" si="907"/>
        <v>3.02396902089721</v>
      </c>
      <c r="U274" s="1">
        <f t="shared" si="907"/>
        <v>1</v>
      </c>
      <c r="V274" s="1">
        <f t="shared" si="907"/>
        <v>1.28634329841439</v>
      </c>
      <c r="W274" s="1">
        <f t="shared" si="907"/>
        <v>1.16157302104887</v>
      </c>
      <c r="X274" s="1">
        <f t="shared" si="907"/>
        <v>1.84017970945412</v>
      </c>
      <c r="Y274" s="1">
        <f t="shared" si="891"/>
        <v>3.85342488784867</v>
      </c>
      <c r="Z274" s="1">
        <f t="shared" si="892"/>
        <v>7.17915304012051</v>
      </c>
      <c r="AA274" s="1">
        <f t="shared" si="869"/>
        <v>696797.511622268</v>
      </c>
      <c r="AB274" s="1">
        <f t="shared" si="870"/>
        <v>40921.9283823659</v>
      </c>
      <c r="AC274" s="1">
        <f t="shared" si="871"/>
        <v>27281.2855882439</v>
      </c>
      <c r="AD274" s="1">
        <f>AC274/(AC274+[1]战斗公式!$M$27)</f>
        <v>0.531993012173979</v>
      </c>
      <c r="AE274" s="1">
        <f t="shared" si="872"/>
        <v>1488861.3412783</v>
      </c>
      <c r="AF274" s="1">
        <f t="shared" si="873"/>
        <v>9.44172320637932</v>
      </c>
      <c r="AG274" s="1">
        <f t="shared" si="874"/>
        <v>5.06786399235608</v>
      </c>
      <c r="AH274" s="1">
        <f t="shared" si="875"/>
        <v>4.52588804002138</v>
      </c>
      <c r="AI274" s="1">
        <f t="shared" si="876"/>
        <v>1.22402748145096</v>
      </c>
      <c r="AJ274" s="1">
        <f t="shared" si="877"/>
        <v>1.00000167602366</v>
      </c>
      <c r="AK274" s="1">
        <f t="shared" si="878"/>
        <v>1.00398756449609</v>
      </c>
      <c r="AL274" s="1">
        <f t="shared" si="879"/>
        <v>0.905228364639572</v>
      </c>
      <c r="AM274" s="27">
        <f t="shared" si="880"/>
        <v>622279</v>
      </c>
      <c r="AN274" s="27">
        <f t="shared" si="881"/>
        <v>50090</v>
      </c>
      <c r="AO274" s="27">
        <f t="shared" si="882"/>
        <v>27281</v>
      </c>
      <c r="AP274" s="1">
        <f t="shared" si="883"/>
        <v>335342</v>
      </c>
      <c r="AQ274" s="1">
        <f t="shared" si="884"/>
        <v>45343</v>
      </c>
      <c r="AR274"/>
      <c r="AS274" s="1">
        <f t="shared" ref="AS274:AY274" si="908">ROUNDUP(AS$10*$AP274,0)</f>
        <v>335342</v>
      </c>
      <c r="AT274" s="1">
        <f t="shared" si="908"/>
        <v>1006026</v>
      </c>
      <c r="AU274" s="1">
        <f t="shared" si="908"/>
        <v>603616</v>
      </c>
      <c r="AV274" s="1">
        <f t="shared" si="908"/>
        <v>167671</v>
      </c>
      <c r="AW274" s="1">
        <f t="shared" si="908"/>
        <v>50302</v>
      </c>
      <c r="AX274" s="1">
        <f t="shared" si="908"/>
        <v>1341368</v>
      </c>
      <c r="AY274" s="1">
        <f t="shared" si="908"/>
        <v>3018078</v>
      </c>
      <c r="AZ274" s="1">
        <f t="shared" si="886"/>
        <v>37336803</v>
      </c>
      <c r="BA274" s="1">
        <f t="shared" si="887"/>
        <v>18668401</v>
      </c>
      <c r="BC274" s="1">
        <f t="shared" si="888"/>
        <v>263</v>
      </c>
    </row>
    <row r="275" s="1" customFormat="1" spans="2:55">
      <c r="B275" s="4">
        <v>264</v>
      </c>
      <c r="C275" s="1">
        <f t="shared" ref="C275:I275" si="909">C$5+(C$6-C$5)*(POWER(C$7,$B275-1)-1)/(POWER(C$7,$B$3-1)-1)</f>
        <v>20858.4516761833</v>
      </c>
      <c r="D275" s="1">
        <f t="shared" si="909"/>
        <v>6257.53550285498</v>
      </c>
      <c r="E275" s="1">
        <f t="shared" si="909"/>
        <v>4171.69033523666</v>
      </c>
      <c r="F275" s="1">
        <f t="shared" si="909"/>
        <v>76568.9998239639</v>
      </c>
      <c r="G275" s="1">
        <f t="shared" si="909"/>
        <v>22970.6999471892</v>
      </c>
      <c r="H275" s="1">
        <f t="shared" si="909"/>
        <v>15313.7999647928</v>
      </c>
      <c r="I275" s="1">
        <f t="shared" si="909"/>
        <v>0</v>
      </c>
      <c r="J275" s="1">
        <f>[1]标准模型!$I$65/1*$B275/$B$3</f>
        <v>1.9008</v>
      </c>
      <c r="K275" s="1">
        <f>J275*[1]标准模型!$J$63</f>
        <v>1.9008</v>
      </c>
      <c r="L275" s="1">
        <f t="shared" si="865"/>
        <v>97427.4515001472</v>
      </c>
      <c r="M275" s="1">
        <f t="shared" si="866"/>
        <v>41122.5589338709</v>
      </c>
      <c r="N275" s="1">
        <f t="shared" si="867"/>
        <v>27415.0392892473</v>
      </c>
      <c r="O275" s="1">
        <f t="shared" ref="O275:X275" si="910">O$5+(O$6-O$5)*(POWER(O$7,$B275-1)-1)/(POWER(O$7,$B$3-1)-1)</f>
        <v>0.76355815017609</v>
      </c>
      <c r="P275" s="1">
        <f t="shared" si="910"/>
        <v>0.173714030928993</v>
      </c>
      <c r="Q275" s="1">
        <f t="shared" si="910"/>
        <v>0.419956982596849</v>
      </c>
      <c r="R275" s="1">
        <f t="shared" si="910"/>
        <v>1.10542326007044</v>
      </c>
      <c r="S275" s="1">
        <f t="shared" si="910"/>
        <v>0.368981410246526</v>
      </c>
      <c r="T275" s="1">
        <f t="shared" si="910"/>
        <v>3.02787678568675</v>
      </c>
      <c r="U275" s="1">
        <f t="shared" si="910"/>
        <v>1</v>
      </c>
      <c r="V275" s="1">
        <f t="shared" si="910"/>
        <v>1.28743606805529</v>
      </c>
      <c r="W275" s="1">
        <f t="shared" si="910"/>
        <v>1.16218963087759</v>
      </c>
      <c r="X275" s="1">
        <f t="shared" si="910"/>
        <v>1.84338608056349</v>
      </c>
      <c r="Y275" s="1">
        <f t="shared" si="891"/>
        <v>3.88052846647177</v>
      </c>
      <c r="Z275" s="1">
        <f t="shared" si="892"/>
        <v>7.23442471553267</v>
      </c>
      <c r="AA275" s="1">
        <f t="shared" si="869"/>
        <v>704831.563104025</v>
      </c>
      <c r="AB275" s="1">
        <f t="shared" si="870"/>
        <v>41122.5589338709</v>
      </c>
      <c r="AC275" s="1">
        <f t="shared" si="871"/>
        <v>27415.0392892473</v>
      </c>
      <c r="AD275" s="1">
        <f>AC275/(AC275+[1]战斗公式!$M$27)</f>
        <v>0.533210509380681</v>
      </c>
      <c r="AE275" s="1">
        <f t="shared" si="872"/>
        <v>1509955.93788729</v>
      </c>
      <c r="AF275" s="1">
        <f t="shared" si="873"/>
        <v>9.46222495997468</v>
      </c>
      <c r="AG275" s="1">
        <f t="shared" si="874"/>
        <v>5.07551529764421</v>
      </c>
      <c r="AH275" s="1">
        <f t="shared" si="875"/>
        <v>4.53016153395227</v>
      </c>
      <c r="AI275" s="1">
        <f t="shared" si="876"/>
        <v>1.22758061710163</v>
      </c>
      <c r="AJ275" s="1">
        <f t="shared" si="877"/>
        <v>1.00000159222203</v>
      </c>
      <c r="AK275" s="1">
        <f t="shared" si="878"/>
        <v>1.00390714339878</v>
      </c>
      <c r="AL275" s="1">
        <f t="shared" si="879"/>
        <v>0.905492052009014</v>
      </c>
      <c r="AM275" s="27">
        <f t="shared" si="880"/>
        <v>629099</v>
      </c>
      <c r="AN275" s="27">
        <f t="shared" si="881"/>
        <v>50481</v>
      </c>
      <c r="AO275" s="27">
        <f t="shared" si="882"/>
        <v>27415</v>
      </c>
      <c r="AP275" s="1">
        <f t="shared" si="883"/>
        <v>338766</v>
      </c>
      <c r="AQ275" s="1">
        <f t="shared" si="884"/>
        <v>45710</v>
      </c>
      <c r="AR275"/>
      <c r="AS275" s="1">
        <f t="shared" ref="AS275:AY275" si="911">ROUNDUP(AS$10*$AP275,0)</f>
        <v>338766</v>
      </c>
      <c r="AT275" s="1">
        <f t="shared" si="911"/>
        <v>1016298</v>
      </c>
      <c r="AU275" s="1">
        <f t="shared" si="911"/>
        <v>609779</v>
      </c>
      <c r="AV275" s="1">
        <f t="shared" si="911"/>
        <v>169383</v>
      </c>
      <c r="AW275" s="1">
        <f t="shared" si="911"/>
        <v>50815</v>
      </c>
      <c r="AX275" s="1">
        <f t="shared" si="911"/>
        <v>1355064</v>
      </c>
      <c r="AY275" s="1">
        <f t="shared" si="911"/>
        <v>3048894</v>
      </c>
      <c r="AZ275" s="1">
        <f t="shared" si="886"/>
        <v>37746000</v>
      </c>
      <c r="BA275" s="1">
        <f t="shared" si="887"/>
        <v>18873000</v>
      </c>
      <c r="BC275" s="1">
        <f t="shared" si="888"/>
        <v>264</v>
      </c>
    </row>
    <row r="276" s="1" customFormat="1" spans="2:55">
      <c r="B276" s="4">
        <v>265</v>
      </c>
      <c r="C276" s="1">
        <f t="shared" ref="C276:I276" si="912">C$5+(C$6-C$5)*(POWER(C$7,$B276-1)-1)/(POWER(C$7,$B$3-1)-1)</f>
        <v>20937.450569363</v>
      </c>
      <c r="D276" s="1">
        <f t="shared" si="912"/>
        <v>6281.2351708089</v>
      </c>
      <c r="E276" s="1">
        <f t="shared" si="912"/>
        <v>4187.4901138726</v>
      </c>
      <c r="F276" s="1">
        <f t="shared" si="912"/>
        <v>76858.9957609528</v>
      </c>
      <c r="G276" s="1">
        <f t="shared" si="912"/>
        <v>23057.6987282858</v>
      </c>
      <c r="H276" s="1">
        <f t="shared" si="912"/>
        <v>15371.7991521906</v>
      </c>
      <c r="I276" s="1">
        <f t="shared" si="912"/>
        <v>0</v>
      </c>
      <c r="J276" s="1">
        <f>[1]标准模型!$I$65/1*$B276/$B$3</f>
        <v>1.908</v>
      </c>
      <c r="K276" s="1">
        <f>J276*[1]标准模型!$J$63</f>
        <v>1.908</v>
      </c>
      <c r="L276" s="1">
        <f t="shared" si="865"/>
        <v>97796.4463303158</v>
      </c>
      <c r="M276" s="1">
        <f t="shared" si="866"/>
        <v>41323.5306049981</v>
      </c>
      <c r="N276" s="1">
        <f t="shared" si="867"/>
        <v>27549.0204033321</v>
      </c>
      <c r="O276" s="1">
        <f t="shared" ref="O276:X276" si="913">O$5+(O$6-O$5)*(POWER(O$7,$B276-1)-1)/(POWER(O$7,$B$3-1)-1)</f>
        <v>0.764560140145646</v>
      </c>
      <c r="P276" s="1">
        <f t="shared" si="913"/>
        <v>0.174513859100917</v>
      </c>
      <c r="Q276" s="1">
        <f t="shared" si="913"/>
        <v>0.420508077080105</v>
      </c>
      <c r="R276" s="1">
        <f t="shared" si="913"/>
        <v>1.10582405605826</v>
      </c>
      <c r="S276" s="1">
        <f t="shared" si="913"/>
        <v>0.370384196203904</v>
      </c>
      <c r="T276" s="1">
        <f t="shared" si="913"/>
        <v>3.03178454656802</v>
      </c>
      <c r="U276" s="1">
        <f t="shared" si="913"/>
        <v>1</v>
      </c>
      <c r="V276" s="1">
        <f t="shared" si="913"/>
        <v>1.28852883660329</v>
      </c>
      <c r="W276" s="1">
        <f t="shared" si="913"/>
        <v>1.16280624008963</v>
      </c>
      <c r="X276" s="1">
        <f t="shared" si="913"/>
        <v>1.84659244846607</v>
      </c>
      <c r="Y276" s="1">
        <f t="shared" si="891"/>
        <v>3.90780079627126</v>
      </c>
      <c r="Z276" s="1">
        <f t="shared" si="892"/>
        <v>7.29007797808402</v>
      </c>
      <c r="AA276" s="1">
        <f t="shared" si="869"/>
        <v>712943.719727511</v>
      </c>
      <c r="AB276" s="1">
        <f t="shared" si="870"/>
        <v>41323.5306049981</v>
      </c>
      <c r="AC276" s="1">
        <f t="shared" si="871"/>
        <v>27549.0204033321</v>
      </c>
      <c r="AD276" s="1">
        <f>AC276/(AC276+[1]战斗公式!$M$27)</f>
        <v>0.534423742445188</v>
      </c>
      <c r="AE276" s="1">
        <f t="shared" si="872"/>
        <v>1531314.59811087</v>
      </c>
      <c r="AF276" s="1">
        <f t="shared" si="873"/>
        <v>9.48275621827646</v>
      </c>
      <c r="AG276" s="1">
        <f t="shared" si="874"/>
        <v>5.08317228046527</v>
      </c>
      <c r="AH276" s="1">
        <f t="shared" si="875"/>
        <v>4.53440297667868</v>
      </c>
      <c r="AI276" s="1">
        <f t="shared" si="876"/>
        <v>1.23114085902361</v>
      </c>
      <c r="AJ276" s="1">
        <f t="shared" si="877"/>
        <v>1.00000151261049</v>
      </c>
      <c r="AK276" s="1">
        <f t="shared" si="878"/>
        <v>1.00382833072342</v>
      </c>
      <c r="AL276" s="1">
        <f t="shared" si="879"/>
        <v>0.905754948316346</v>
      </c>
      <c r="AM276" s="27">
        <f t="shared" si="880"/>
        <v>635976</v>
      </c>
      <c r="AN276" s="27">
        <f t="shared" si="881"/>
        <v>50875</v>
      </c>
      <c r="AO276" s="27">
        <f t="shared" si="882"/>
        <v>27549</v>
      </c>
      <c r="AP276" s="1">
        <f t="shared" si="883"/>
        <v>342216</v>
      </c>
      <c r="AQ276" s="1">
        <f t="shared" si="884"/>
        <v>46080</v>
      </c>
      <c r="AR276"/>
      <c r="AS276" s="1">
        <f t="shared" ref="AS276:AY276" si="914">ROUNDUP(AS$10*$AP276,0)</f>
        <v>342216</v>
      </c>
      <c r="AT276" s="1">
        <f t="shared" si="914"/>
        <v>1026648</v>
      </c>
      <c r="AU276" s="1">
        <f t="shared" si="914"/>
        <v>615989</v>
      </c>
      <c r="AV276" s="1">
        <f t="shared" si="914"/>
        <v>171108</v>
      </c>
      <c r="AW276" s="1">
        <f t="shared" si="914"/>
        <v>51333</v>
      </c>
      <c r="AX276" s="1">
        <f t="shared" si="914"/>
        <v>1368864</v>
      </c>
      <c r="AY276" s="1">
        <f t="shared" si="914"/>
        <v>3079944</v>
      </c>
      <c r="AZ276" s="1">
        <f t="shared" si="886"/>
        <v>38158618</v>
      </c>
      <c r="BA276" s="1">
        <f t="shared" si="887"/>
        <v>19079309</v>
      </c>
      <c r="BC276" s="1">
        <f t="shared" si="888"/>
        <v>265</v>
      </c>
    </row>
    <row r="277" s="1" customFormat="1" spans="2:55">
      <c r="B277" s="4">
        <v>266</v>
      </c>
      <c r="C277" s="1">
        <f t="shared" ref="C277:I277" si="915">C$5+(C$6-C$5)*(POWER(C$7,$B277-1)-1)/(POWER(C$7,$B$3-1)-1)</f>
        <v>21016.4493835599</v>
      </c>
      <c r="D277" s="1">
        <f t="shared" si="915"/>
        <v>6304.93481506797</v>
      </c>
      <c r="E277" s="1">
        <f t="shared" si="915"/>
        <v>4203.28987671198</v>
      </c>
      <c r="F277" s="1">
        <f t="shared" si="915"/>
        <v>77148.9914080047</v>
      </c>
      <c r="G277" s="1">
        <f t="shared" si="915"/>
        <v>23144.6974224014</v>
      </c>
      <c r="H277" s="1">
        <f t="shared" si="915"/>
        <v>15429.7982816009</v>
      </c>
      <c r="I277" s="1">
        <f t="shared" si="915"/>
        <v>0</v>
      </c>
      <c r="J277" s="1">
        <f>[1]标准模型!$I$65/1*$B277/$B$3</f>
        <v>1.9152</v>
      </c>
      <c r="K277" s="1">
        <f>J277*[1]标准模型!$J$63</f>
        <v>1.9152</v>
      </c>
      <c r="L277" s="1">
        <f t="shared" si="865"/>
        <v>98165.4407915646</v>
      </c>
      <c r="M277" s="1">
        <f t="shared" si="866"/>
        <v>41524.8433952875</v>
      </c>
      <c r="N277" s="1">
        <f t="shared" si="867"/>
        <v>27683.2289301917</v>
      </c>
      <c r="O277" s="1">
        <f t="shared" ref="O277:X277" si="916">O$5+(O$6-O$5)*(POWER(O$7,$B277-1)-1)/(POWER(O$7,$B$3-1)-1)</f>
        <v>0.765562129113416</v>
      </c>
      <c r="P277" s="1">
        <f t="shared" si="916"/>
        <v>0.175314887015098</v>
      </c>
      <c r="Q277" s="1">
        <f t="shared" si="916"/>
        <v>0.421059171012379</v>
      </c>
      <c r="R277" s="1">
        <f t="shared" si="916"/>
        <v>1.10622485164537</v>
      </c>
      <c r="S277" s="1">
        <f t="shared" si="916"/>
        <v>0.371786980758782</v>
      </c>
      <c r="T277" s="1">
        <f t="shared" si="916"/>
        <v>3.03569230354232</v>
      </c>
      <c r="U277" s="1">
        <f t="shared" si="916"/>
        <v>1</v>
      </c>
      <c r="V277" s="1">
        <f t="shared" si="916"/>
        <v>1.28962160405873</v>
      </c>
      <c r="W277" s="1">
        <f t="shared" si="916"/>
        <v>1.16342284868518</v>
      </c>
      <c r="X277" s="1">
        <f t="shared" si="916"/>
        <v>1.84979881316293</v>
      </c>
      <c r="Y277" s="1">
        <f t="shared" si="891"/>
        <v>3.93524276865075</v>
      </c>
      <c r="Z277" s="1">
        <f t="shared" si="892"/>
        <v>7.34611510937466</v>
      </c>
      <c r="AA277" s="1">
        <f t="shared" si="869"/>
        <v>721134.627817336</v>
      </c>
      <c r="AB277" s="1">
        <f t="shared" si="870"/>
        <v>41524.8433952875</v>
      </c>
      <c r="AC277" s="1">
        <f t="shared" si="871"/>
        <v>27683.2289301917</v>
      </c>
      <c r="AD277" s="1">
        <f>AC277/(AC277+[1]战斗公式!$M$27)</f>
        <v>0.535632728512054</v>
      </c>
      <c r="AE277" s="1">
        <f t="shared" si="872"/>
        <v>1552940.25245716</v>
      </c>
      <c r="AF277" s="1">
        <f t="shared" si="873"/>
        <v>9.50331695899365</v>
      </c>
      <c r="AG277" s="1">
        <f t="shared" si="874"/>
        <v>5.09083492216872</v>
      </c>
      <c r="AH277" s="1">
        <f t="shared" si="875"/>
        <v>4.53861260858464</v>
      </c>
      <c r="AI277" s="1">
        <f t="shared" si="876"/>
        <v>1.23470822142943</v>
      </c>
      <c r="AJ277" s="1">
        <f t="shared" si="877"/>
        <v>1.00000143697953</v>
      </c>
      <c r="AK277" s="1">
        <f t="shared" si="878"/>
        <v>1.00375109430156</v>
      </c>
      <c r="AL277" s="1">
        <f t="shared" si="879"/>
        <v>0.906017055934757</v>
      </c>
      <c r="AM277" s="27">
        <f t="shared" si="880"/>
        <v>642910</v>
      </c>
      <c r="AN277" s="27">
        <f t="shared" si="881"/>
        <v>51271</v>
      </c>
      <c r="AO277" s="27">
        <f t="shared" si="882"/>
        <v>27683</v>
      </c>
      <c r="AP277" s="1">
        <f t="shared" si="883"/>
        <v>345693</v>
      </c>
      <c r="AQ277" s="1">
        <f t="shared" si="884"/>
        <v>46452</v>
      </c>
      <c r="AR277"/>
      <c r="AS277" s="1">
        <f t="shared" ref="AS277:AY277" si="917">ROUNDUP(AS$10*$AP277,0)</f>
        <v>345693</v>
      </c>
      <c r="AT277" s="1">
        <f t="shared" si="917"/>
        <v>1037079</v>
      </c>
      <c r="AU277" s="1">
        <f t="shared" si="917"/>
        <v>622248</v>
      </c>
      <c r="AV277" s="1">
        <f t="shared" si="917"/>
        <v>172847</v>
      </c>
      <c r="AW277" s="1">
        <f t="shared" si="917"/>
        <v>51854</v>
      </c>
      <c r="AX277" s="1">
        <f t="shared" si="917"/>
        <v>1382772</v>
      </c>
      <c r="AY277" s="1">
        <f t="shared" si="917"/>
        <v>3111237</v>
      </c>
      <c r="AZ277" s="1">
        <f t="shared" si="886"/>
        <v>38574655</v>
      </c>
      <c r="BA277" s="1">
        <f t="shared" si="887"/>
        <v>19287328</v>
      </c>
      <c r="BC277" s="1">
        <f t="shared" si="888"/>
        <v>266</v>
      </c>
    </row>
    <row r="278" s="1" customFormat="1" spans="2:55">
      <c r="B278" s="4">
        <v>267</v>
      </c>
      <c r="C278" s="1">
        <f t="shared" ref="C278:I278" si="918">C$5+(C$6-C$5)*(POWER(C$7,$B278-1)-1)/(POWER(C$7,$B$3-1)-1)</f>
        <v>21095.4481187476</v>
      </c>
      <c r="D278" s="1">
        <f t="shared" si="918"/>
        <v>6328.63443562429</v>
      </c>
      <c r="E278" s="1">
        <f t="shared" si="918"/>
        <v>4219.08962374953</v>
      </c>
      <c r="F278" s="1">
        <f t="shared" si="918"/>
        <v>77438.986765023</v>
      </c>
      <c r="G278" s="1">
        <f t="shared" si="918"/>
        <v>23231.6960295069</v>
      </c>
      <c r="H278" s="1">
        <f t="shared" si="918"/>
        <v>15487.7973530046</v>
      </c>
      <c r="I278" s="1">
        <f t="shared" si="918"/>
        <v>0</v>
      </c>
      <c r="J278" s="1">
        <f>[1]标准模型!$I$65/1*$B278/$B$3</f>
        <v>1.9224</v>
      </c>
      <c r="K278" s="1">
        <f>J278*[1]标准模型!$J$63</f>
        <v>1.9224</v>
      </c>
      <c r="L278" s="1">
        <f t="shared" si="865"/>
        <v>98534.4348837706</v>
      </c>
      <c r="M278" s="1">
        <f t="shared" si="866"/>
        <v>41726.4973041753</v>
      </c>
      <c r="N278" s="1">
        <f t="shared" si="867"/>
        <v>27817.6648694502</v>
      </c>
      <c r="O278" s="1">
        <f t="shared" ref="O278:X278" si="919">O$5+(O$6-O$5)*(POWER(O$7,$B278-1)-1)/(POWER(O$7,$B$3-1)-1)</f>
        <v>0.766564117079065</v>
      </c>
      <c r="P278" s="1">
        <f t="shared" si="919"/>
        <v>0.17611711647115</v>
      </c>
      <c r="Q278" s="1">
        <f t="shared" si="919"/>
        <v>0.421610264393486</v>
      </c>
      <c r="R278" s="1">
        <f t="shared" si="919"/>
        <v>1.10662564683163</v>
      </c>
      <c r="S278" s="1">
        <f t="shared" si="919"/>
        <v>0.373189763910691</v>
      </c>
      <c r="T278" s="1">
        <f t="shared" si="919"/>
        <v>3.03960005660835</v>
      </c>
      <c r="U278" s="1">
        <f t="shared" si="919"/>
        <v>1</v>
      </c>
      <c r="V278" s="1">
        <f t="shared" si="919"/>
        <v>1.29071437042127</v>
      </c>
      <c r="W278" s="1">
        <f t="shared" si="919"/>
        <v>1.16403945666404</v>
      </c>
      <c r="X278" s="1">
        <f t="shared" si="919"/>
        <v>1.85300517465301</v>
      </c>
      <c r="Y278" s="1">
        <f t="shared" si="891"/>
        <v>3.96285527873197</v>
      </c>
      <c r="Z278" s="1">
        <f t="shared" si="892"/>
        <v>7.40253840220024</v>
      </c>
      <c r="AA278" s="1">
        <f t="shared" si="869"/>
        <v>729404.938166211</v>
      </c>
      <c r="AB278" s="1">
        <f t="shared" si="870"/>
        <v>41726.4973041753</v>
      </c>
      <c r="AC278" s="1">
        <f t="shared" si="871"/>
        <v>27817.6648694502</v>
      </c>
      <c r="AD278" s="1">
        <f>AC278/(AC278+[1]战斗公式!$M$27)</f>
        <v>0.536837484659609</v>
      </c>
      <c r="AE278" s="1">
        <f t="shared" si="872"/>
        <v>1574835.86000078</v>
      </c>
      <c r="AF278" s="1">
        <f t="shared" si="873"/>
        <v>9.52390715987768</v>
      </c>
      <c r="AG278" s="1">
        <f t="shared" si="874"/>
        <v>5.09850320417879</v>
      </c>
      <c r="AH278" s="1">
        <f t="shared" si="875"/>
        <v>4.54279066825131</v>
      </c>
      <c r="AI278" s="1">
        <f t="shared" si="876"/>
        <v>1.23828271856006</v>
      </c>
      <c r="AJ278" s="1">
        <f t="shared" si="877"/>
        <v>1.00000136513011</v>
      </c>
      <c r="AK278" s="1">
        <f t="shared" si="878"/>
        <v>1.00367540260814</v>
      </c>
      <c r="AL278" s="1">
        <f t="shared" si="879"/>
        <v>0.906278377230312</v>
      </c>
      <c r="AM278" s="27">
        <f t="shared" si="880"/>
        <v>649903</v>
      </c>
      <c r="AN278" s="27">
        <f t="shared" si="881"/>
        <v>51669</v>
      </c>
      <c r="AO278" s="27">
        <f t="shared" si="882"/>
        <v>27818</v>
      </c>
      <c r="AP278" s="1">
        <f t="shared" si="883"/>
        <v>349196</v>
      </c>
      <c r="AQ278" s="1">
        <f t="shared" si="884"/>
        <v>46826</v>
      </c>
      <c r="AR278"/>
      <c r="AS278" s="1">
        <f t="shared" ref="AS278:AY278" si="920">ROUNDUP(AS$10*$AP278,0)</f>
        <v>349196</v>
      </c>
      <c r="AT278" s="1">
        <f t="shared" si="920"/>
        <v>1047588</v>
      </c>
      <c r="AU278" s="1">
        <f t="shared" si="920"/>
        <v>628553</v>
      </c>
      <c r="AV278" s="1">
        <f t="shared" si="920"/>
        <v>174598</v>
      </c>
      <c r="AW278" s="1">
        <f t="shared" si="920"/>
        <v>52380</v>
      </c>
      <c r="AX278" s="1">
        <f t="shared" si="920"/>
        <v>1396784</v>
      </c>
      <c r="AY278" s="1">
        <f t="shared" si="920"/>
        <v>3142764</v>
      </c>
      <c r="AZ278" s="1">
        <f t="shared" si="886"/>
        <v>38994233</v>
      </c>
      <c r="BA278" s="1">
        <f t="shared" si="887"/>
        <v>19497117</v>
      </c>
      <c r="BC278" s="1">
        <f t="shared" si="888"/>
        <v>267</v>
      </c>
    </row>
    <row r="279" s="1" customFormat="1" spans="2:55">
      <c r="B279" s="4">
        <v>268</v>
      </c>
      <c r="C279" s="1">
        <f t="shared" ref="C279:I279" si="921">C$5+(C$6-C$5)*(POWER(C$7,$B279-1)-1)/(POWER(C$7,$B$3-1)-1)</f>
        <v>21174.446774935</v>
      </c>
      <c r="D279" s="1">
        <f t="shared" si="921"/>
        <v>6352.3340324805</v>
      </c>
      <c r="E279" s="1">
        <f t="shared" si="921"/>
        <v>4234.889354987</v>
      </c>
      <c r="F279" s="1">
        <f t="shared" si="921"/>
        <v>77728.9818320399</v>
      </c>
      <c r="G279" s="1">
        <f t="shared" si="921"/>
        <v>23318.694549612</v>
      </c>
      <c r="H279" s="1">
        <f t="shared" si="921"/>
        <v>15545.796366408</v>
      </c>
      <c r="I279" s="1">
        <f t="shared" si="921"/>
        <v>0</v>
      </c>
      <c r="J279" s="1">
        <f>[1]标准模型!$I$65/1*$B279/$B$3</f>
        <v>1.9296</v>
      </c>
      <c r="K279" s="1">
        <f>J279*[1]标准模型!$J$63</f>
        <v>1.9296</v>
      </c>
      <c r="L279" s="1">
        <f t="shared" si="865"/>
        <v>98903.4286069749</v>
      </c>
      <c r="M279" s="1">
        <f t="shared" si="866"/>
        <v>41928.4923311669</v>
      </c>
      <c r="N279" s="1">
        <f t="shared" si="867"/>
        <v>27952.3282207779</v>
      </c>
      <c r="O279" s="1">
        <f t="shared" ref="O279:X279" si="922">O$5+(O$6-O$5)*(POWER(O$7,$B279-1)-1)/(POWER(O$7,$B$3-1)-1)</f>
        <v>0.767566104042706</v>
      </c>
      <c r="P279" s="1">
        <f t="shared" si="922"/>
        <v>0.176920549271386</v>
      </c>
      <c r="Q279" s="1">
        <f t="shared" si="922"/>
        <v>0.422161357223488</v>
      </c>
      <c r="R279" s="1">
        <f t="shared" si="922"/>
        <v>1.10702644161708</v>
      </c>
      <c r="S279" s="1">
        <f t="shared" si="922"/>
        <v>0.374592545659788</v>
      </c>
      <c r="T279" s="1">
        <f t="shared" si="922"/>
        <v>3.04350780576655</v>
      </c>
      <c r="U279" s="1">
        <f t="shared" si="922"/>
        <v>1</v>
      </c>
      <c r="V279" s="1">
        <f t="shared" si="922"/>
        <v>1.29180713569102</v>
      </c>
      <c r="W279" s="1">
        <f t="shared" si="922"/>
        <v>1.16465606402628</v>
      </c>
      <c r="X279" s="1">
        <f t="shared" si="922"/>
        <v>1.85621153293666</v>
      </c>
      <c r="Y279" s="1">
        <f t="shared" si="891"/>
        <v>3.99063922539335</v>
      </c>
      <c r="Z279" s="1">
        <f t="shared" si="892"/>
        <v>7.45935016065286</v>
      </c>
      <c r="AA279" s="1">
        <f t="shared" si="869"/>
        <v>737755.306068557</v>
      </c>
      <c r="AB279" s="1">
        <f t="shared" si="870"/>
        <v>41928.4923311669</v>
      </c>
      <c r="AC279" s="1">
        <f t="shared" si="871"/>
        <v>27952.3282207779</v>
      </c>
      <c r="AD279" s="1">
        <f>AC279/(AC279+[1]战斗公式!$M$27)</f>
        <v>0.538038027901098</v>
      </c>
      <c r="AE279" s="1">
        <f t="shared" si="872"/>
        <v>1597004.40864559</v>
      </c>
      <c r="AF279" s="1">
        <f t="shared" si="873"/>
        <v>9.54452679875273</v>
      </c>
      <c r="AG279" s="1">
        <f t="shared" si="874"/>
        <v>5.10617710800522</v>
      </c>
      <c r="AH279" s="1">
        <f t="shared" si="875"/>
        <v>4.54693739247048</v>
      </c>
      <c r="AI279" s="1">
        <f t="shared" si="876"/>
        <v>1.24186436468495</v>
      </c>
      <c r="AJ279" s="1">
        <f t="shared" si="877"/>
        <v>1.00000129687316</v>
      </c>
      <c r="AK279" s="1">
        <f t="shared" si="878"/>
        <v>1.00360122474859</v>
      </c>
      <c r="AL279" s="1">
        <f t="shared" si="879"/>
        <v>0.906538914561981</v>
      </c>
      <c r="AM279" s="27">
        <f t="shared" si="880"/>
        <v>656955</v>
      </c>
      <c r="AN279" s="27">
        <f t="shared" si="881"/>
        <v>52070</v>
      </c>
      <c r="AO279" s="27">
        <f t="shared" si="882"/>
        <v>27952</v>
      </c>
      <c r="AP279" s="1">
        <f t="shared" si="883"/>
        <v>352727</v>
      </c>
      <c r="AQ279" s="1">
        <f t="shared" si="884"/>
        <v>47203</v>
      </c>
      <c r="AR279"/>
      <c r="AS279" s="1">
        <f t="shared" ref="AS279:AY279" si="923">ROUNDUP(AS$10*$AP279,0)</f>
        <v>352727</v>
      </c>
      <c r="AT279" s="1">
        <f t="shared" si="923"/>
        <v>1058181</v>
      </c>
      <c r="AU279" s="1">
        <f t="shared" si="923"/>
        <v>634909</v>
      </c>
      <c r="AV279" s="1">
        <f t="shared" si="923"/>
        <v>176364</v>
      </c>
      <c r="AW279" s="1">
        <f t="shared" si="923"/>
        <v>52910</v>
      </c>
      <c r="AX279" s="1">
        <f t="shared" si="923"/>
        <v>1410908</v>
      </c>
      <c r="AY279" s="1">
        <f t="shared" si="923"/>
        <v>3174543</v>
      </c>
      <c r="AZ279" s="1">
        <f t="shared" si="886"/>
        <v>39417351</v>
      </c>
      <c r="BA279" s="1">
        <f t="shared" si="887"/>
        <v>19708676</v>
      </c>
      <c r="BC279" s="1">
        <f t="shared" si="888"/>
        <v>268</v>
      </c>
    </row>
    <row r="280" s="1" customFormat="1" spans="2:55">
      <c r="B280" s="4">
        <v>269</v>
      </c>
      <c r="C280" s="1">
        <f t="shared" ref="C280:I280" si="924">C$5+(C$6-C$5)*(POWER(C$7,$B280-1)-1)/(POWER(C$7,$B$3-1)-1)</f>
        <v>21253.4453521308</v>
      </c>
      <c r="D280" s="1">
        <f t="shared" si="924"/>
        <v>6376.03360563923</v>
      </c>
      <c r="E280" s="1">
        <f t="shared" si="924"/>
        <v>4250.68907042616</v>
      </c>
      <c r="F280" s="1">
        <f t="shared" si="924"/>
        <v>78018.9766090877</v>
      </c>
      <c r="G280" s="1">
        <f t="shared" si="924"/>
        <v>23405.6929827263</v>
      </c>
      <c r="H280" s="1">
        <f t="shared" si="924"/>
        <v>15603.7953218175</v>
      </c>
      <c r="I280" s="1">
        <f t="shared" si="924"/>
        <v>0</v>
      </c>
      <c r="J280" s="1">
        <f>[1]标准模型!$I$65/1*$B280/$B$3</f>
        <v>1.9368</v>
      </c>
      <c r="K280" s="1">
        <f>J280*[1]标准模型!$J$63</f>
        <v>1.9368</v>
      </c>
      <c r="L280" s="1">
        <f t="shared" si="865"/>
        <v>99272.4219612185</v>
      </c>
      <c r="M280" s="1">
        <f t="shared" si="866"/>
        <v>42130.8284757676</v>
      </c>
      <c r="N280" s="1">
        <f t="shared" si="867"/>
        <v>28087.218983845</v>
      </c>
      <c r="O280" s="1">
        <f t="shared" ref="O280:X280" si="925">O$5+(O$6-O$5)*(POWER(O$7,$B280-1)-1)/(POWER(O$7,$B$3-1)-1)</f>
        <v>0.768568090004449</v>
      </c>
      <c r="P280" s="1">
        <f t="shared" si="925"/>
        <v>0.177725187220823</v>
      </c>
      <c r="Q280" s="1">
        <f t="shared" si="925"/>
        <v>0.422712449502447</v>
      </c>
      <c r="R280" s="1">
        <f t="shared" si="925"/>
        <v>1.10742723600178</v>
      </c>
      <c r="S280" s="1">
        <f t="shared" si="925"/>
        <v>0.375995326006229</v>
      </c>
      <c r="T280" s="1">
        <f t="shared" si="925"/>
        <v>3.04741555101735</v>
      </c>
      <c r="U280" s="1">
        <f t="shared" si="925"/>
        <v>1</v>
      </c>
      <c r="V280" s="1">
        <f t="shared" si="925"/>
        <v>1.2928998998681</v>
      </c>
      <c r="W280" s="1">
        <f t="shared" si="925"/>
        <v>1.16527267077197</v>
      </c>
      <c r="X280" s="1">
        <f t="shared" si="925"/>
        <v>1.85941788801424</v>
      </c>
      <c r="Y280" s="1">
        <f t="shared" si="891"/>
        <v>4.01859551127142</v>
      </c>
      <c r="Z280" s="1">
        <f t="shared" si="892"/>
        <v>7.51655270014206</v>
      </c>
      <c r="AA280" s="1">
        <f t="shared" si="869"/>
        <v>746186.391342239</v>
      </c>
      <c r="AB280" s="1">
        <f t="shared" si="870"/>
        <v>42130.8284757676</v>
      </c>
      <c r="AC280" s="1">
        <f t="shared" si="871"/>
        <v>28087.218983845</v>
      </c>
      <c r="AD280" s="1">
        <f>AC280/(AC280+[1]战斗公式!$M$27)</f>
        <v>0.539234375184368</v>
      </c>
      <c r="AE280" s="1">
        <f t="shared" si="872"/>
        <v>1619448.91535868</v>
      </c>
      <c r="AF280" s="1">
        <f t="shared" si="873"/>
        <v>9.5651758535031</v>
      </c>
      <c r="AG280" s="1">
        <f t="shared" si="874"/>
        <v>5.11385661523838</v>
      </c>
      <c r="AH280" s="1">
        <f t="shared" si="875"/>
        <v>4.551053016258</v>
      </c>
      <c r="AI280" s="1">
        <f t="shared" si="876"/>
        <v>1.2454531741021</v>
      </c>
      <c r="AJ280" s="1">
        <f t="shared" si="877"/>
        <v>1.00000123202907</v>
      </c>
      <c r="AK280" s="1">
        <f t="shared" si="878"/>
        <v>1.00352853044623</v>
      </c>
      <c r="AL280" s="1">
        <f t="shared" si="879"/>
        <v>0.906798670281655</v>
      </c>
      <c r="AM280" s="27">
        <f t="shared" si="880"/>
        <v>664065</v>
      </c>
      <c r="AN280" s="27">
        <f t="shared" si="881"/>
        <v>52472</v>
      </c>
      <c r="AO280" s="27">
        <f t="shared" si="882"/>
        <v>28087</v>
      </c>
      <c r="AP280" s="1">
        <f t="shared" si="883"/>
        <v>356284</v>
      </c>
      <c r="AQ280" s="1">
        <f t="shared" si="884"/>
        <v>47582</v>
      </c>
      <c r="AR280"/>
      <c r="AS280" s="1">
        <f t="shared" ref="AS280:AY280" si="926">ROUNDUP(AS$10*$AP280,0)</f>
        <v>356284</v>
      </c>
      <c r="AT280" s="1">
        <f t="shared" si="926"/>
        <v>1068852</v>
      </c>
      <c r="AU280" s="1">
        <f t="shared" si="926"/>
        <v>641312</v>
      </c>
      <c r="AV280" s="1">
        <f t="shared" si="926"/>
        <v>178142</v>
      </c>
      <c r="AW280" s="1">
        <f t="shared" si="926"/>
        <v>53443</v>
      </c>
      <c r="AX280" s="1">
        <f t="shared" si="926"/>
        <v>1425136</v>
      </c>
      <c r="AY280" s="1">
        <f t="shared" si="926"/>
        <v>3206556</v>
      </c>
      <c r="AZ280" s="1">
        <f t="shared" si="886"/>
        <v>39843949</v>
      </c>
      <c r="BA280" s="1">
        <f t="shared" si="887"/>
        <v>19921975</v>
      </c>
      <c r="BC280" s="1">
        <f t="shared" si="888"/>
        <v>269</v>
      </c>
    </row>
    <row r="281" s="1" customFormat="1" spans="2:55">
      <c r="B281" s="4">
        <v>270</v>
      </c>
      <c r="C281" s="1">
        <f t="shared" ref="C281:I281" si="927">C$5+(C$6-C$5)*(POWER(C$7,$B281-1)-1)/(POWER(C$7,$B$3-1)-1)</f>
        <v>21332.4438503262</v>
      </c>
      <c r="D281" s="1">
        <f t="shared" si="927"/>
        <v>6399.73315509785</v>
      </c>
      <c r="E281" s="1">
        <f t="shared" si="927"/>
        <v>4266.48877006523</v>
      </c>
      <c r="F281" s="1">
        <f t="shared" si="927"/>
        <v>78308.971096134</v>
      </c>
      <c r="G281" s="1">
        <f t="shared" si="927"/>
        <v>23492.6913288402</v>
      </c>
      <c r="H281" s="1">
        <f t="shared" si="927"/>
        <v>15661.7942192268</v>
      </c>
      <c r="I281" s="1">
        <f t="shared" si="927"/>
        <v>0</v>
      </c>
      <c r="J281" s="1">
        <f>[1]标准模型!$I$65/1*$B281/$B$3</f>
        <v>1.944</v>
      </c>
      <c r="K281" s="1">
        <f>J281*[1]标准模型!$J$63</f>
        <v>1.944</v>
      </c>
      <c r="L281" s="1">
        <f t="shared" si="865"/>
        <v>99641.4149464602</v>
      </c>
      <c r="M281" s="1">
        <f t="shared" si="866"/>
        <v>42333.5057374483</v>
      </c>
      <c r="N281" s="1">
        <f t="shared" si="867"/>
        <v>28222.3371582988</v>
      </c>
      <c r="O281" s="1">
        <f t="shared" ref="O281:X281" si="928">O$5+(O$6-O$5)*(POWER(O$7,$B281-1)-1)/(POWER(O$7,$B$3-1)-1)</f>
        <v>0.769570074964184</v>
      </c>
      <c r="P281" s="1">
        <f t="shared" si="928"/>
        <v>0.178531032127184</v>
      </c>
      <c r="Q281" s="1">
        <f t="shared" si="928"/>
        <v>0.423263541230301</v>
      </c>
      <c r="R281" s="1">
        <f t="shared" si="928"/>
        <v>1.10782802998567</v>
      </c>
      <c r="S281" s="1">
        <f t="shared" si="928"/>
        <v>0.377398104949857</v>
      </c>
      <c r="T281" s="1">
        <f t="shared" si="928"/>
        <v>3.05132329236032</v>
      </c>
      <c r="U281" s="1">
        <f t="shared" si="928"/>
        <v>1</v>
      </c>
      <c r="V281" s="1">
        <f t="shared" si="928"/>
        <v>1.29399266295239</v>
      </c>
      <c r="W281" s="1">
        <f t="shared" si="928"/>
        <v>1.16588927690104</v>
      </c>
      <c r="X281" s="1">
        <f t="shared" si="928"/>
        <v>1.86262423988539</v>
      </c>
      <c r="Y281" s="1">
        <f t="shared" si="891"/>
        <v>4.04672504276733</v>
      </c>
      <c r="Z281" s="1">
        <f t="shared" si="892"/>
        <v>7.5741483474269</v>
      </c>
      <c r="AA281" s="1">
        <f t="shared" si="869"/>
        <v>754698.858352009</v>
      </c>
      <c r="AB281" s="1">
        <f t="shared" si="870"/>
        <v>42333.5057374483</v>
      </c>
      <c r="AC281" s="1">
        <f t="shared" si="871"/>
        <v>28222.3371582988</v>
      </c>
      <c r="AD281" s="1">
        <f>AC281/(AC281+[1]战斗公式!$M$27)</f>
        <v>0.540426543391766</v>
      </c>
      <c r="AE281" s="1">
        <f t="shared" si="872"/>
        <v>1642172.42641008</v>
      </c>
      <c r="AF281" s="1">
        <f t="shared" si="873"/>
        <v>9.58585430206644</v>
      </c>
      <c r="AG281" s="1">
        <f t="shared" si="874"/>
        <v>5.12154170754649</v>
      </c>
      <c r="AH281" s="1">
        <f t="shared" si="875"/>
        <v>4.55513777286712</v>
      </c>
      <c r="AI281" s="1">
        <f t="shared" si="876"/>
        <v>1.24904916113807</v>
      </c>
      <c r="AJ281" s="1">
        <f t="shared" si="877"/>
        <v>1.00000117042717</v>
      </c>
      <c r="AK281" s="1">
        <f t="shared" si="878"/>
        <v>1.00345729002992</v>
      </c>
      <c r="AL281" s="1">
        <f t="shared" si="879"/>
        <v>0.907057646734169</v>
      </c>
      <c r="AM281" s="27">
        <f t="shared" si="880"/>
        <v>671235</v>
      </c>
      <c r="AN281" s="27">
        <f t="shared" si="881"/>
        <v>52877</v>
      </c>
      <c r="AO281" s="27">
        <f t="shared" si="882"/>
        <v>28222</v>
      </c>
      <c r="AP281" s="1">
        <f t="shared" si="883"/>
        <v>359868</v>
      </c>
      <c r="AQ281" s="1">
        <f t="shared" si="884"/>
        <v>47962</v>
      </c>
      <c r="AR281"/>
      <c r="AS281" s="1">
        <f t="shared" ref="AS281:AY281" si="929">ROUNDUP(AS$10*$AP281,0)</f>
        <v>359868</v>
      </c>
      <c r="AT281" s="1">
        <f t="shared" si="929"/>
        <v>1079604</v>
      </c>
      <c r="AU281" s="1">
        <f t="shared" si="929"/>
        <v>647763</v>
      </c>
      <c r="AV281" s="1">
        <f t="shared" si="929"/>
        <v>179934</v>
      </c>
      <c r="AW281" s="1">
        <f t="shared" si="929"/>
        <v>53981</v>
      </c>
      <c r="AX281" s="1">
        <f t="shared" si="929"/>
        <v>1439472</v>
      </c>
      <c r="AY281" s="1">
        <f t="shared" si="929"/>
        <v>3238812</v>
      </c>
      <c r="AZ281" s="1">
        <f t="shared" si="886"/>
        <v>40274147</v>
      </c>
      <c r="BA281" s="1">
        <f t="shared" si="887"/>
        <v>20137074</v>
      </c>
      <c r="BC281" s="1">
        <f t="shared" si="888"/>
        <v>270</v>
      </c>
    </row>
    <row r="282" s="1" customFormat="1" spans="2:55">
      <c r="B282" s="4">
        <v>271</v>
      </c>
      <c r="C282" s="1">
        <f t="shared" ref="C282:I282" si="930">C$5+(C$6-C$5)*(POWER(C$7,$B282-1)-1)/(POWER(C$7,$B$3-1)-1)</f>
        <v>21411.4422695212</v>
      </c>
      <c r="D282" s="1">
        <f t="shared" si="930"/>
        <v>6423.43268085635</v>
      </c>
      <c r="E282" s="1">
        <f t="shared" si="930"/>
        <v>4282.28845390423</v>
      </c>
      <c r="F282" s="1">
        <f t="shared" si="930"/>
        <v>78598.9652931789</v>
      </c>
      <c r="G282" s="1">
        <f t="shared" si="930"/>
        <v>23579.6895879537</v>
      </c>
      <c r="H282" s="1">
        <f t="shared" si="930"/>
        <v>15719.7930586358</v>
      </c>
      <c r="I282" s="1">
        <f t="shared" si="930"/>
        <v>0</v>
      </c>
      <c r="J282" s="1">
        <f>[1]标准模型!$I$65/1*$B282/$B$3</f>
        <v>1.9512</v>
      </c>
      <c r="K282" s="1">
        <f>J282*[1]标准模型!$J$63</f>
        <v>1.9512</v>
      </c>
      <c r="L282" s="1">
        <f t="shared" si="865"/>
        <v>100010.4075627</v>
      </c>
      <c r="M282" s="1">
        <f t="shared" si="866"/>
        <v>42536.524115697</v>
      </c>
      <c r="N282" s="1">
        <f t="shared" si="867"/>
        <v>28357.682743798</v>
      </c>
      <c r="O282" s="1">
        <f t="shared" ref="O282:X282" si="931">O$5+(O$6-O$5)*(POWER(O$7,$B282-1)-1)/(POWER(O$7,$B$3-1)-1)</f>
        <v>0.770572058921909</v>
      </c>
      <c r="P282" s="1">
        <f t="shared" si="931"/>
        <v>0.179338085800904</v>
      </c>
      <c r="Q282" s="1">
        <f t="shared" si="931"/>
        <v>0.42381463240705</v>
      </c>
      <c r="R282" s="1">
        <f t="shared" si="931"/>
        <v>1.10822882356876</v>
      </c>
      <c r="S282" s="1">
        <f t="shared" si="931"/>
        <v>0.378800882490673</v>
      </c>
      <c r="T282" s="1">
        <f t="shared" si="931"/>
        <v>3.05523102979545</v>
      </c>
      <c r="U282" s="1">
        <f t="shared" si="931"/>
        <v>1</v>
      </c>
      <c r="V282" s="1">
        <f t="shared" si="931"/>
        <v>1.29508542494389</v>
      </c>
      <c r="W282" s="1">
        <f t="shared" si="931"/>
        <v>1.16650588241348</v>
      </c>
      <c r="X282" s="1">
        <f t="shared" si="931"/>
        <v>1.86583058855011</v>
      </c>
      <c r="Y282" s="1">
        <f t="shared" si="891"/>
        <v>4.07502873006708</v>
      </c>
      <c r="Z282" s="1">
        <f t="shared" si="892"/>
        <v>7.63213944067742</v>
      </c>
      <c r="AA282" s="1">
        <f t="shared" si="869"/>
        <v>763293.376037507</v>
      </c>
      <c r="AB282" s="1">
        <f t="shared" si="870"/>
        <v>42536.524115697</v>
      </c>
      <c r="AC282" s="1">
        <f t="shared" si="871"/>
        <v>28357.682743798</v>
      </c>
      <c r="AD282" s="1">
        <f>AC282/(AC282+[1]战斗公式!$M$27)</f>
        <v>0.541614549340556</v>
      </c>
      <c r="AE282" s="1">
        <f t="shared" si="872"/>
        <v>1665178.01762559</v>
      </c>
      <c r="AF282" s="1">
        <f t="shared" si="873"/>
        <v>9.60656212244254</v>
      </c>
      <c r="AG282" s="1">
        <f t="shared" si="874"/>
        <v>5.12923236667868</v>
      </c>
      <c r="AH282" s="1">
        <f t="shared" si="875"/>
        <v>4.55919189380167</v>
      </c>
      <c r="AI282" s="1">
        <f t="shared" si="876"/>
        <v>1.25265234014812</v>
      </c>
      <c r="AJ282" s="1">
        <f t="shared" si="877"/>
        <v>1.00000111190537</v>
      </c>
      <c r="AK282" s="1">
        <f t="shared" si="878"/>
        <v>1.00338747442193</v>
      </c>
      <c r="AL282" s="1">
        <f t="shared" si="879"/>
        <v>0.907315846257327</v>
      </c>
      <c r="AM282" s="27">
        <f t="shared" si="880"/>
        <v>678464</v>
      </c>
      <c r="AN282" s="27">
        <f t="shared" si="881"/>
        <v>53283</v>
      </c>
      <c r="AO282" s="27">
        <f t="shared" si="882"/>
        <v>28358</v>
      </c>
      <c r="AP282" s="1">
        <f t="shared" si="883"/>
        <v>363480</v>
      </c>
      <c r="AQ282" s="1">
        <f t="shared" si="884"/>
        <v>48345</v>
      </c>
      <c r="AR282"/>
      <c r="AS282" s="1">
        <f t="shared" ref="AS282:AY282" si="932">ROUNDUP(AS$10*$AP282,0)</f>
        <v>363480</v>
      </c>
      <c r="AT282" s="1">
        <f t="shared" si="932"/>
        <v>1090440</v>
      </c>
      <c r="AU282" s="1">
        <f t="shared" si="932"/>
        <v>654264</v>
      </c>
      <c r="AV282" s="1">
        <f t="shared" si="932"/>
        <v>181740</v>
      </c>
      <c r="AW282" s="1">
        <f t="shared" si="932"/>
        <v>54522</v>
      </c>
      <c r="AX282" s="1">
        <f t="shared" si="932"/>
        <v>1453920</v>
      </c>
      <c r="AY282" s="1">
        <f t="shared" si="932"/>
        <v>3271320</v>
      </c>
      <c r="AZ282" s="1">
        <f t="shared" si="886"/>
        <v>40707885</v>
      </c>
      <c r="BA282" s="1">
        <f t="shared" si="887"/>
        <v>20353943</v>
      </c>
      <c r="BC282" s="1">
        <f t="shared" si="888"/>
        <v>271</v>
      </c>
    </row>
    <row r="283" s="1" customFormat="1" spans="2:55">
      <c r="B283" s="4">
        <v>272</v>
      </c>
      <c r="C283" s="1">
        <f t="shared" ref="C283:I283" si="933">C$5+(C$6-C$5)*(POWER(C$7,$B283-1)-1)/(POWER(C$7,$B$3-1)-1)</f>
        <v>21490.4406097158</v>
      </c>
      <c r="D283" s="1">
        <f t="shared" si="933"/>
        <v>6447.13218291473</v>
      </c>
      <c r="E283" s="1">
        <f t="shared" si="933"/>
        <v>4298.08812194316</v>
      </c>
      <c r="F283" s="1">
        <f t="shared" si="933"/>
        <v>78888.9592002225</v>
      </c>
      <c r="G283" s="1">
        <f t="shared" si="933"/>
        <v>23666.6877600667</v>
      </c>
      <c r="H283" s="1">
        <f t="shared" si="933"/>
        <v>15777.7918400445</v>
      </c>
      <c r="I283" s="1">
        <f t="shared" si="933"/>
        <v>0</v>
      </c>
      <c r="J283" s="1">
        <f>[1]标准模型!$I$65/1*$B283/$B$3</f>
        <v>1.9584</v>
      </c>
      <c r="K283" s="1">
        <f>J283*[1]标准模型!$J$63</f>
        <v>1.9584</v>
      </c>
      <c r="L283" s="1">
        <f t="shared" si="865"/>
        <v>100379.399809938</v>
      </c>
      <c r="M283" s="1">
        <f t="shared" si="866"/>
        <v>42739.8836100016</v>
      </c>
      <c r="N283" s="1">
        <f t="shared" si="867"/>
        <v>28493.2557400011</v>
      </c>
      <c r="O283" s="1">
        <f t="shared" ref="O283:X283" si="934">O$5+(O$6-O$5)*(POWER(O$7,$B283-1)-1)/(POWER(O$7,$B$3-1)-1)</f>
        <v>0.771574041877626</v>
      </c>
      <c r="P283" s="1">
        <f t="shared" si="934"/>
        <v>0.180146350055135</v>
      </c>
      <c r="Q283" s="1">
        <f t="shared" si="934"/>
        <v>0.424365723032694</v>
      </c>
      <c r="R283" s="1">
        <f t="shared" si="934"/>
        <v>1.10862961675105</v>
      </c>
      <c r="S283" s="1">
        <f t="shared" si="934"/>
        <v>0.380203658628676</v>
      </c>
      <c r="T283" s="1">
        <f t="shared" si="934"/>
        <v>3.05913876332274</v>
      </c>
      <c r="U283" s="1">
        <f t="shared" si="934"/>
        <v>1</v>
      </c>
      <c r="V283" s="1">
        <f t="shared" si="934"/>
        <v>1.29617818584261</v>
      </c>
      <c r="W283" s="1">
        <f t="shared" si="934"/>
        <v>1.16712248730931</v>
      </c>
      <c r="X283" s="1">
        <f t="shared" si="934"/>
        <v>1.8690369340084</v>
      </c>
      <c r="Y283" s="1">
        <f t="shared" si="891"/>
        <v>4.10350748715082</v>
      </c>
      <c r="Z283" s="1">
        <f t="shared" si="892"/>
        <v>7.69052832951307</v>
      </c>
      <c r="AA283" s="1">
        <f t="shared" si="869"/>
        <v>771970.617937849</v>
      </c>
      <c r="AB283" s="1">
        <f t="shared" si="870"/>
        <v>42739.8836100016</v>
      </c>
      <c r="AC283" s="1">
        <f t="shared" si="871"/>
        <v>28493.2557400011</v>
      </c>
      <c r="AD283" s="1">
        <f>AC283/(AC283+[1]战斗公式!$M$27)</f>
        <v>0.542798409782927</v>
      </c>
      <c r="AE283" s="1">
        <f t="shared" si="872"/>
        <v>1688468.79463243</v>
      </c>
      <c r="AF283" s="1">
        <f t="shared" si="873"/>
        <v>9.62729929269007</v>
      </c>
      <c r="AG283" s="1">
        <f t="shared" si="874"/>
        <v>5.13692857446334</v>
      </c>
      <c r="AH283" s="1">
        <f t="shared" si="875"/>
        <v>4.56321560882921</v>
      </c>
      <c r="AI283" s="1">
        <f t="shared" si="876"/>
        <v>1.25626272551619</v>
      </c>
      <c r="AJ283" s="1">
        <f t="shared" si="877"/>
        <v>1.00000105630966</v>
      </c>
      <c r="AK283" s="1">
        <f t="shared" si="878"/>
        <v>1.0033190551261</v>
      </c>
      <c r="AL283" s="1">
        <f t="shared" si="879"/>
        <v>0.907573271181914</v>
      </c>
      <c r="AM283" s="27">
        <f t="shared" si="880"/>
        <v>685754</v>
      </c>
      <c r="AN283" s="27">
        <f t="shared" si="881"/>
        <v>53693</v>
      </c>
      <c r="AO283" s="27">
        <f t="shared" si="882"/>
        <v>28493</v>
      </c>
      <c r="AP283" s="1">
        <f t="shared" si="883"/>
        <v>367119</v>
      </c>
      <c r="AQ283" s="1">
        <f t="shared" si="884"/>
        <v>48730</v>
      </c>
      <c r="AR283"/>
      <c r="AS283" s="1">
        <f t="shared" ref="AS283:AY283" si="935">ROUNDUP(AS$10*$AP283,0)</f>
        <v>367119</v>
      </c>
      <c r="AT283" s="1">
        <f t="shared" si="935"/>
        <v>1101357</v>
      </c>
      <c r="AU283" s="1">
        <f t="shared" si="935"/>
        <v>660815</v>
      </c>
      <c r="AV283" s="1">
        <f t="shared" si="935"/>
        <v>183560</v>
      </c>
      <c r="AW283" s="1">
        <f t="shared" si="935"/>
        <v>55068</v>
      </c>
      <c r="AX283" s="1">
        <f t="shared" si="935"/>
        <v>1468476</v>
      </c>
      <c r="AY283" s="1">
        <f t="shared" si="935"/>
        <v>3304071</v>
      </c>
      <c r="AZ283" s="1">
        <f t="shared" si="886"/>
        <v>41145283</v>
      </c>
      <c r="BA283" s="1">
        <f t="shared" si="887"/>
        <v>20572642</v>
      </c>
      <c r="BC283" s="1">
        <f t="shared" si="888"/>
        <v>272</v>
      </c>
    </row>
    <row r="284" s="1" customFormat="1" spans="2:55">
      <c r="B284" s="4">
        <v>273</v>
      </c>
      <c r="C284" s="1">
        <f t="shared" ref="C284:I284" si="936">C$5+(C$6-C$5)*(POWER(C$7,$B284-1)-1)/(POWER(C$7,$B$3-1)-1)</f>
        <v>21569.43887091</v>
      </c>
      <c r="D284" s="1">
        <f t="shared" si="936"/>
        <v>6470.83166127301</v>
      </c>
      <c r="E284" s="1">
        <f t="shared" si="936"/>
        <v>4313.88777418201</v>
      </c>
      <c r="F284" s="1">
        <f t="shared" si="936"/>
        <v>79178.9528172647</v>
      </c>
      <c r="G284" s="1">
        <f t="shared" si="936"/>
        <v>23753.6858451794</v>
      </c>
      <c r="H284" s="1">
        <f t="shared" si="936"/>
        <v>15835.7905634529</v>
      </c>
      <c r="I284" s="1">
        <f t="shared" si="936"/>
        <v>0</v>
      </c>
      <c r="J284" s="1">
        <f>[1]标准模型!$I$65/1*$B284/$B$3</f>
        <v>1.9656</v>
      </c>
      <c r="K284" s="1">
        <f>J284*[1]标准模型!$J$63</f>
        <v>1.9656</v>
      </c>
      <c r="L284" s="1">
        <f t="shared" si="865"/>
        <v>100748.391688175</v>
      </c>
      <c r="M284" s="1">
        <f t="shared" si="866"/>
        <v>42943.5842198506</v>
      </c>
      <c r="N284" s="1">
        <f t="shared" si="867"/>
        <v>28629.0561465671</v>
      </c>
      <c r="O284" s="1">
        <f t="shared" ref="O284:X284" si="937">O$5+(O$6-O$5)*(POWER(O$7,$B284-1)-1)/(POWER(O$7,$B$3-1)-1)</f>
        <v>0.772576023831334</v>
      </c>
      <c r="P284" s="1">
        <f t="shared" si="937"/>
        <v>0.180955826705747</v>
      </c>
      <c r="Q284" s="1">
        <f t="shared" si="937"/>
        <v>0.424916813107234</v>
      </c>
      <c r="R284" s="1">
        <f t="shared" si="937"/>
        <v>1.10903040953253</v>
      </c>
      <c r="S284" s="1">
        <f t="shared" si="937"/>
        <v>0.381606433363867</v>
      </c>
      <c r="T284" s="1">
        <f t="shared" si="937"/>
        <v>3.0630464929422</v>
      </c>
      <c r="U284" s="1">
        <f t="shared" si="937"/>
        <v>1</v>
      </c>
      <c r="V284" s="1">
        <f t="shared" si="937"/>
        <v>1.29727094564853</v>
      </c>
      <c r="W284" s="1">
        <f t="shared" si="937"/>
        <v>1.16773909158851</v>
      </c>
      <c r="X284" s="1">
        <f t="shared" si="937"/>
        <v>1.87224327626027</v>
      </c>
      <c r="Y284" s="1">
        <f t="shared" si="891"/>
        <v>4.13216223180506</v>
      </c>
      <c r="Z284" s="1">
        <f t="shared" si="892"/>
        <v>7.74931737504695</v>
      </c>
      <c r="AA284" s="1">
        <f t="shared" si="869"/>
        <v>780731.262217208</v>
      </c>
      <c r="AB284" s="1">
        <f t="shared" si="870"/>
        <v>42943.5842198506</v>
      </c>
      <c r="AC284" s="1">
        <f t="shared" si="871"/>
        <v>28629.0561465671</v>
      </c>
      <c r="AD284" s="1">
        <f>AC284/(AC284+[1]战斗公式!$M$27)</f>
        <v>0.543978141406104</v>
      </c>
      <c r="AE284" s="1">
        <f t="shared" si="872"/>
        <v>1712047.89310873</v>
      </c>
      <c r="AF284" s="1">
        <f t="shared" si="873"/>
        <v>9.64806579092575</v>
      </c>
      <c r="AG284" s="1">
        <f t="shared" si="874"/>
        <v>5.14463031280768</v>
      </c>
      <c r="AH284" s="1">
        <f t="shared" si="875"/>
        <v>4.56720914599404</v>
      </c>
      <c r="AI284" s="1">
        <f t="shared" si="876"/>
        <v>1.259880331655</v>
      </c>
      <c r="AJ284" s="1">
        <f t="shared" si="877"/>
        <v>1.00000100349374</v>
      </c>
      <c r="AK284" s="1">
        <f t="shared" si="878"/>
        <v>1.00325200421619</v>
      </c>
      <c r="AL284" s="1">
        <f t="shared" si="879"/>
        <v>0.907829923831728</v>
      </c>
      <c r="AM284" s="27">
        <f t="shared" si="880"/>
        <v>693104</v>
      </c>
      <c r="AN284" s="27">
        <f t="shared" si="881"/>
        <v>54104</v>
      </c>
      <c r="AO284" s="27">
        <f t="shared" si="882"/>
        <v>28629</v>
      </c>
      <c r="AP284" s="1">
        <f t="shared" si="883"/>
        <v>370785</v>
      </c>
      <c r="AQ284" s="1">
        <f t="shared" si="884"/>
        <v>49117</v>
      </c>
      <c r="AR284"/>
      <c r="AS284" s="1">
        <f t="shared" ref="AS284:AY284" si="938">ROUNDUP(AS$10*$AP284,0)</f>
        <v>370785</v>
      </c>
      <c r="AT284" s="1">
        <f t="shared" si="938"/>
        <v>1112355</v>
      </c>
      <c r="AU284" s="1">
        <f t="shared" si="938"/>
        <v>667413</v>
      </c>
      <c r="AV284" s="1">
        <f t="shared" si="938"/>
        <v>185393</v>
      </c>
      <c r="AW284" s="1">
        <f t="shared" si="938"/>
        <v>55618</v>
      </c>
      <c r="AX284" s="1">
        <f t="shared" si="938"/>
        <v>1483140</v>
      </c>
      <c r="AY284" s="1">
        <f t="shared" si="938"/>
        <v>3337065</v>
      </c>
      <c r="AZ284" s="1">
        <f t="shared" si="886"/>
        <v>41586282</v>
      </c>
      <c r="BA284" s="1">
        <f t="shared" si="887"/>
        <v>20793141</v>
      </c>
      <c r="BC284" s="1">
        <f t="shared" si="888"/>
        <v>273</v>
      </c>
    </row>
    <row r="285" s="1" customFormat="1" spans="2:55">
      <c r="B285" s="4">
        <v>274</v>
      </c>
      <c r="C285" s="1">
        <f t="shared" ref="C285:I285" si="939">C$5+(C$6-C$5)*(POWER(C$7,$B285-1)-1)/(POWER(C$7,$B$3-1)-1)</f>
        <v>21648.4370531127</v>
      </c>
      <c r="D285" s="1">
        <f t="shared" si="939"/>
        <v>6494.5311159338</v>
      </c>
      <c r="E285" s="1">
        <f t="shared" si="939"/>
        <v>4329.68741062253</v>
      </c>
      <c r="F285" s="1">
        <f t="shared" si="939"/>
        <v>79468.9461443376</v>
      </c>
      <c r="G285" s="1">
        <f t="shared" si="939"/>
        <v>23840.6838433013</v>
      </c>
      <c r="H285" s="1">
        <f t="shared" si="939"/>
        <v>15893.7892288675</v>
      </c>
      <c r="I285" s="1">
        <f t="shared" si="939"/>
        <v>0</v>
      </c>
      <c r="J285" s="1">
        <f>[1]标准模型!$I$65/1*$B285/$B$3</f>
        <v>1.9728</v>
      </c>
      <c r="K285" s="1">
        <f>J285*[1]标准模型!$J$63</f>
        <v>1.9728</v>
      </c>
      <c r="L285" s="1">
        <f t="shared" si="865"/>
        <v>101117.38319745</v>
      </c>
      <c r="M285" s="1">
        <f t="shared" si="866"/>
        <v>43147.6259447493</v>
      </c>
      <c r="N285" s="1">
        <f t="shared" si="867"/>
        <v>28765.0839631662</v>
      </c>
      <c r="O285" s="1">
        <f t="shared" ref="O285:X285" si="940">O$5+(O$6-O$5)*(POWER(O$7,$B285-1)-1)/(POWER(O$7,$B$3-1)-1)</f>
        <v>0.773578004783144</v>
      </c>
      <c r="P285" s="1">
        <f t="shared" si="940"/>
        <v>0.181766517571336</v>
      </c>
      <c r="Q285" s="1">
        <f t="shared" si="940"/>
        <v>0.425467902630729</v>
      </c>
      <c r="R285" s="1">
        <f t="shared" si="940"/>
        <v>1.10943120191326</v>
      </c>
      <c r="S285" s="1">
        <f t="shared" si="940"/>
        <v>0.383009206696402</v>
      </c>
      <c r="T285" s="1">
        <f t="shared" si="940"/>
        <v>3.06695421865426</v>
      </c>
      <c r="U285" s="1">
        <f t="shared" si="940"/>
        <v>1</v>
      </c>
      <c r="V285" s="1">
        <f t="shared" si="940"/>
        <v>1.29836370436179</v>
      </c>
      <c r="W285" s="1">
        <f t="shared" si="940"/>
        <v>1.16835569525117</v>
      </c>
      <c r="X285" s="1">
        <f t="shared" si="940"/>
        <v>1.87544961530606</v>
      </c>
      <c r="Y285" s="1">
        <f t="shared" si="891"/>
        <v>4.16099388563758</v>
      </c>
      <c r="Z285" s="1">
        <f t="shared" si="892"/>
        <v>7.80850894993641</v>
      </c>
      <c r="AA285" s="1">
        <f t="shared" si="869"/>
        <v>789575.99169144</v>
      </c>
      <c r="AB285" s="1">
        <f t="shared" si="870"/>
        <v>43147.6259447493</v>
      </c>
      <c r="AC285" s="1">
        <f t="shared" si="871"/>
        <v>28765.0839631662</v>
      </c>
      <c r="AD285" s="1">
        <f>AC285/(AC285+[1]战斗公式!$M$27)</f>
        <v>0.545153760832566</v>
      </c>
      <c r="AE285" s="1">
        <f t="shared" si="872"/>
        <v>1735918.47903746</v>
      </c>
      <c r="AF285" s="1">
        <f t="shared" si="873"/>
        <v>9.6688615953275</v>
      </c>
      <c r="AG285" s="1">
        <f t="shared" si="874"/>
        <v>5.15233756369856</v>
      </c>
      <c r="AH285" s="1">
        <f t="shared" si="875"/>
        <v>4.57117273163014</v>
      </c>
      <c r="AI285" s="1">
        <f t="shared" si="876"/>
        <v>1.26350517300608</v>
      </c>
      <c r="AJ285" s="1">
        <f t="shared" si="877"/>
        <v>1.00000095331861</v>
      </c>
      <c r="AK285" s="1">
        <f t="shared" si="878"/>
        <v>1.00318629432448</v>
      </c>
      <c r="AL285" s="1">
        <f t="shared" si="879"/>
        <v>0.908085806523593</v>
      </c>
      <c r="AM285" s="27">
        <f t="shared" si="880"/>
        <v>700515</v>
      </c>
      <c r="AN285" s="27">
        <f t="shared" si="881"/>
        <v>54517</v>
      </c>
      <c r="AO285" s="27">
        <f t="shared" si="882"/>
        <v>28765</v>
      </c>
      <c r="AP285" s="1">
        <f t="shared" si="883"/>
        <v>374479</v>
      </c>
      <c r="AQ285" s="1">
        <f t="shared" si="884"/>
        <v>49506</v>
      </c>
      <c r="AR285"/>
      <c r="AS285" s="1">
        <f t="shared" ref="AS285:AY285" si="941">ROUNDUP(AS$10*$AP285,0)</f>
        <v>374479</v>
      </c>
      <c r="AT285" s="1">
        <f t="shared" si="941"/>
        <v>1123437</v>
      </c>
      <c r="AU285" s="1">
        <f t="shared" si="941"/>
        <v>674063</v>
      </c>
      <c r="AV285" s="1">
        <f t="shared" si="941"/>
        <v>187240</v>
      </c>
      <c r="AW285" s="1">
        <f t="shared" si="941"/>
        <v>56172</v>
      </c>
      <c r="AX285" s="1">
        <f t="shared" si="941"/>
        <v>1497916</v>
      </c>
      <c r="AY285" s="1">
        <f t="shared" si="941"/>
        <v>3370311</v>
      </c>
      <c r="AZ285" s="1">
        <f t="shared" si="886"/>
        <v>42030940</v>
      </c>
      <c r="BA285" s="1">
        <f t="shared" si="887"/>
        <v>21015470</v>
      </c>
      <c r="BC285" s="1">
        <f t="shared" si="888"/>
        <v>274</v>
      </c>
    </row>
    <row r="286" s="1" customFormat="1" spans="2:55">
      <c r="B286" s="4">
        <v>275</v>
      </c>
      <c r="C286" s="1">
        <f t="shared" ref="C286:I286" si="942">C$5+(C$6-C$5)*(POWER(C$7,$B286-1)-1)/(POWER(C$7,$B$3-1)-1)</f>
        <v>21727.4351563149</v>
      </c>
      <c r="D286" s="1">
        <f t="shared" si="942"/>
        <v>6518.23054689448</v>
      </c>
      <c r="E286" s="1">
        <f t="shared" si="942"/>
        <v>4345.48703126298</v>
      </c>
      <c r="F286" s="1">
        <f t="shared" si="942"/>
        <v>79758.9391814092</v>
      </c>
      <c r="G286" s="1">
        <f t="shared" si="942"/>
        <v>23927.6817544228</v>
      </c>
      <c r="H286" s="1">
        <f t="shared" si="942"/>
        <v>15951.7878362818</v>
      </c>
      <c r="I286" s="1">
        <f t="shared" si="942"/>
        <v>0</v>
      </c>
      <c r="J286" s="1">
        <f>[1]标准模型!$I$65/1*$B286/$B$3</f>
        <v>1.98</v>
      </c>
      <c r="K286" s="1">
        <f>J286*[1]标准模型!$J$63</f>
        <v>1.98</v>
      </c>
      <c r="L286" s="1">
        <f t="shared" si="865"/>
        <v>101486.374337724</v>
      </c>
      <c r="M286" s="1">
        <f t="shared" si="866"/>
        <v>43352.0087841683</v>
      </c>
      <c r="N286" s="1">
        <f t="shared" si="867"/>
        <v>28901.3391894455</v>
      </c>
      <c r="O286" s="1">
        <f t="shared" ref="O286:X286" si="943">O$5+(O$6-O$5)*(POWER(O$7,$B286-1)-1)/(POWER(O$7,$B$3-1)-1)</f>
        <v>0.774579984732946</v>
      </c>
      <c r="P286" s="1">
        <f t="shared" si="943"/>
        <v>0.182578424473222</v>
      </c>
      <c r="Q286" s="1">
        <f t="shared" si="943"/>
        <v>0.42601899160312</v>
      </c>
      <c r="R286" s="1">
        <f t="shared" si="943"/>
        <v>1.10983199389318</v>
      </c>
      <c r="S286" s="1">
        <f t="shared" si="943"/>
        <v>0.384411978626124</v>
      </c>
      <c r="T286" s="1">
        <f t="shared" si="943"/>
        <v>3.07086194045849</v>
      </c>
      <c r="U286" s="1">
        <f t="shared" si="943"/>
        <v>1</v>
      </c>
      <c r="V286" s="1">
        <f t="shared" si="943"/>
        <v>1.29945646198226</v>
      </c>
      <c r="W286" s="1">
        <f t="shared" si="943"/>
        <v>1.1689722982972</v>
      </c>
      <c r="X286" s="1">
        <f t="shared" si="943"/>
        <v>1.87865595114543</v>
      </c>
      <c r="Y286" s="1">
        <f t="shared" si="891"/>
        <v>4.19000337408124</v>
      </c>
      <c r="Z286" s="1">
        <f t="shared" si="892"/>
        <v>7.86810543840938</v>
      </c>
      <c r="AA286" s="1">
        <f t="shared" si="869"/>
        <v>798505.493851097</v>
      </c>
      <c r="AB286" s="1">
        <f t="shared" si="870"/>
        <v>43352.0087841683</v>
      </c>
      <c r="AC286" s="1">
        <f t="shared" si="871"/>
        <v>28901.3391894455</v>
      </c>
      <c r="AD286" s="1">
        <f>AC286/(AC286+[1]战斗公式!$M$27)</f>
        <v>0.546325284619859</v>
      </c>
      <c r="AE286" s="1">
        <f t="shared" si="872"/>
        <v>1760083.74895219</v>
      </c>
      <c r="AF286" s="1">
        <f t="shared" si="873"/>
        <v>9.68968668412426</v>
      </c>
      <c r="AG286" s="1">
        <f t="shared" si="874"/>
        <v>5.1600503091985</v>
      </c>
      <c r="AH286" s="1">
        <f t="shared" si="875"/>
        <v>4.57510659037397</v>
      </c>
      <c r="AI286" s="1">
        <f t="shared" si="876"/>
        <v>1.26713726403987</v>
      </c>
      <c r="AJ286" s="1">
        <f t="shared" si="877"/>
        <v>1.00000090565224</v>
      </c>
      <c r="AK286" s="1">
        <f t="shared" si="878"/>
        <v>1.0031218986306</v>
      </c>
      <c r="AL286" s="1">
        <f t="shared" si="879"/>
        <v>0.908340921567382</v>
      </c>
      <c r="AM286" s="27">
        <f t="shared" si="880"/>
        <v>707987</v>
      </c>
      <c r="AN286" s="27">
        <f t="shared" si="881"/>
        <v>54933</v>
      </c>
      <c r="AO286" s="27">
        <f t="shared" si="882"/>
        <v>28901</v>
      </c>
      <c r="AP286" s="1">
        <f t="shared" si="883"/>
        <v>378201</v>
      </c>
      <c r="AQ286" s="1">
        <f t="shared" si="884"/>
        <v>49898</v>
      </c>
      <c r="AR286"/>
      <c r="AS286" s="1">
        <f t="shared" ref="AS286:AY286" si="944">ROUNDUP(AS$10*$AP286,0)</f>
        <v>378201</v>
      </c>
      <c r="AT286" s="1">
        <f t="shared" si="944"/>
        <v>1134603</v>
      </c>
      <c r="AU286" s="1">
        <f t="shared" si="944"/>
        <v>680762</v>
      </c>
      <c r="AV286" s="1">
        <f t="shared" si="944"/>
        <v>189101</v>
      </c>
      <c r="AW286" s="1">
        <f t="shared" si="944"/>
        <v>56731</v>
      </c>
      <c r="AX286" s="1">
        <f t="shared" si="944"/>
        <v>1512804</v>
      </c>
      <c r="AY286" s="1">
        <f t="shared" si="944"/>
        <v>3403809</v>
      </c>
      <c r="AZ286" s="1">
        <f t="shared" si="886"/>
        <v>42479258</v>
      </c>
      <c r="BA286" s="1">
        <f t="shared" si="887"/>
        <v>21239629</v>
      </c>
      <c r="BC286" s="1">
        <f t="shared" si="888"/>
        <v>275</v>
      </c>
    </row>
    <row r="287" s="1" customFormat="1" spans="2:55">
      <c r="B287" s="4">
        <v>276</v>
      </c>
      <c r="C287" s="1">
        <f t="shared" ref="C287:I287" si="945">C$5+(C$6-C$5)*(POWER(C$7,$B287-1)-1)/(POWER(C$7,$B$3-1)-1)</f>
        <v>21806.4331805168</v>
      </c>
      <c r="D287" s="1">
        <f t="shared" si="945"/>
        <v>6541.92995415504</v>
      </c>
      <c r="E287" s="1">
        <f t="shared" si="945"/>
        <v>4361.28663610336</v>
      </c>
      <c r="F287" s="1">
        <f t="shared" si="945"/>
        <v>80048.9319284794</v>
      </c>
      <c r="G287" s="1">
        <f t="shared" si="945"/>
        <v>24014.6795785438</v>
      </c>
      <c r="H287" s="1">
        <f t="shared" si="945"/>
        <v>16009.7863856959</v>
      </c>
      <c r="I287" s="1">
        <f t="shared" si="945"/>
        <v>0</v>
      </c>
      <c r="J287" s="1">
        <f>[1]标准模型!$I$65/1*$B287/$B$3</f>
        <v>1.9872</v>
      </c>
      <c r="K287" s="1">
        <f>J287*[1]标准模型!$J$63</f>
        <v>1.9872</v>
      </c>
      <c r="L287" s="1">
        <f t="shared" si="865"/>
        <v>101855.365108996</v>
      </c>
      <c r="M287" s="1">
        <f t="shared" si="866"/>
        <v>43556.7327375957</v>
      </c>
      <c r="N287" s="1">
        <f t="shared" si="867"/>
        <v>29037.8218250639</v>
      </c>
      <c r="O287" s="1">
        <f t="shared" ref="O287:X287" si="946">O$5+(O$6-O$5)*(POWER(O$7,$B287-1)-1)/(POWER(O$7,$B$3-1)-1)</f>
        <v>0.775581963680739</v>
      </c>
      <c r="P287" s="1">
        <f t="shared" si="946"/>
        <v>0.183391549235462</v>
      </c>
      <c r="Q287" s="1">
        <f t="shared" si="946"/>
        <v>0.426570080024406</v>
      </c>
      <c r="R287" s="1">
        <f t="shared" si="946"/>
        <v>1.1102327854723</v>
      </c>
      <c r="S287" s="1">
        <f t="shared" si="946"/>
        <v>0.385814749153034</v>
      </c>
      <c r="T287" s="1">
        <f t="shared" si="946"/>
        <v>3.07476965835488</v>
      </c>
      <c r="U287" s="1">
        <f t="shared" si="946"/>
        <v>1</v>
      </c>
      <c r="V287" s="1">
        <f t="shared" si="946"/>
        <v>1.30054921850993</v>
      </c>
      <c r="W287" s="1">
        <f t="shared" si="946"/>
        <v>1.16958890072661</v>
      </c>
      <c r="X287" s="1">
        <f t="shared" si="946"/>
        <v>1.88186228377836</v>
      </c>
      <c r="Y287" s="1">
        <f t="shared" si="891"/>
        <v>4.21919162641454</v>
      </c>
      <c r="Z287" s="1">
        <f t="shared" si="892"/>
        <v>7.92810923632719</v>
      </c>
      <c r="AA287" s="1">
        <f t="shared" si="869"/>
        <v>807520.460890111</v>
      </c>
      <c r="AB287" s="1">
        <f t="shared" si="870"/>
        <v>43556.7327375957</v>
      </c>
      <c r="AC287" s="1">
        <f t="shared" si="871"/>
        <v>29037.8218250639</v>
      </c>
      <c r="AD287" s="1">
        <f>AC287/(AC287+[1]战斗公式!$M$27)</f>
        <v>0.547492729261019</v>
      </c>
      <c r="AE287" s="1">
        <f t="shared" si="872"/>
        <v>1784546.9301993</v>
      </c>
      <c r="AF287" s="1">
        <f t="shared" si="873"/>
        <v>9.71054103560522</v>
      </c>
      <c r="AG287" s="1">
        <f t="shared" si="874"/>
        <v>5.16776853144881</v>
      </c>
      <c r="AH287" s="1">
        <f t="shared" si="875"/>
        <v>4.57901094517721</v>
      </c>
      <c r="AI287" s="1">
        <f t="shared" si="876"/>
        <v>1.27077661925572</v>
      </c>
      <c r="AJ287" s="1">
        <f t="shared" si="877"/>
        <v>1.00000086036919</v>
      </c>
      <c r="AK287" s="1">
        <f t="shared" si="878"/>
        <v>1.0030587908506</v>
      </c>
      <c r="AL287" s="1">
        <f t="shared" si="879"/>
        <v>0.908595271266039</v>
      </c>
      <c r="AM287" s="27">
        <f t="shared" si="880"/>
        <v>715521</v>
      </c>
      <c r="AN287" s="27">
        <f t="shared" si="881"/>
        <v>55351</v>
      </c>
      <c r="AO287" s="27">
        <f t="shared" si="882"/>
        <v>29038</v>
      </c>
      <c r="AP287" s="1">
        <f t="shared" si="883"/>
        <v>381951</v>
      </c>
      <c r="AQ287" s="1">
        <f t="shared" si="884"/>
        <v>50292</v>
      </c>
      <c r="AR287"/>
      <c r="AS287" s="1">
        <f t="shared" ref="AS287:AY287" si="947">ROUNDUP(AS$10*$AP287,0)</f>
        <v>381951</v>
      </c>
      <c r="AT287" s="1">
        <f t="shared" si="947"/>
        <v>1145853</v>
      </c>
      <c r="AU287" s="1">
        <f t="shared" si="947"/>
        <v>687512</v>
      </c>
      <c r="AV287" s="1">
        <f t="shared" si="947"/>
        <v>190976</v>
      </c>
      <c r="AW287" s="1">
        <f t="shared" si="947"/>
        <v>57293</v>
      </c>
      <c r="AX287" s="1">
        <f t="shared" si="947"/>
        <v>1527804</v>
      </c>
      <c r="AY287" s="1">
        <f t="shared" si="947"/>
        <v>3437559</v>
      </c>
      <c r="AZ287" s="1">
        <f t="shared" si="886"/>
        <v>42931297</v>
      </c>
      <c r="BA287" s="1">
        <f t="shared" si="887"/>
        <v>21465648</v>
      </c>
      <c r="BC287" s="1">
        <f t="shared" si="888"/>
        <v>276</v>
      </c>
    </row>
    <row r="288" s="1" customFormat="1" spans="2:55">
      <c r="B288" s="4">
        <v>277</v>
      </c>
      <c r="C288" s="1">
        <f t="shared" ref="C288:I288" si="948">C$5+(C$6-C$5)*(POWER(C$7,$B288-1)-1)/(POWER(C$7,$B$3-1)-1)</f>
        <v>21885.4311257271</v>
      </c>
      <c r="D288" s="1">
        <f t="shared" si="948"/>
        <v>6565.62933771812</v>
      </c>
      <c r="E288" s="1">
        <f t="shared" si="948"/>
        <v>4377.08622514542</v>
      </c>
      <c r="F288" s="1">
        <f t="shared" si="948"/>
        <v>80338.9243855804</v>
      </c>
      <c r="G288" s="1">
        <f t="shared" si="948"/>
        <v>24101.6773156741</v>
      </c>
      <c r="H288" s="1">
        <f t="shared" si="948"/>
        <v>16067.7848771161</v>
      </c>
      <c r="I288" s="1">
        <f t="shared" si="948"/>
        <v>0</v>
      </c>
      <c r="J288" s="1">
        <f>[1]标准模型!$I$65/1*$B288/$B$3</f>
        <v>1.9944</v>
      </c>
      <c r="K288" s="1">
        <f>J288*[1]标准模型!$J$63</f>
        <v>1.9944</v>
      </c>
      <c r="L288" s="1">
        <f t="shared" si="865"/>
        <v>102224.355511307</v>
      </c>
      <c r="M288" s="1">
        <f t="shared" si="866"/>
        <v>43761.7978045372</v>
      </c>
      <c r="N288" s="1">
        <f t="shared" si="867"/>
        <v>29174.5318696915</v>
      </c>
      <c r="O288" s="1">
        <f t="shared" ref="O288:X288" si="949">O$5+(O$6-O$5)*(POWER(O$7,$B288-1)-1)/(POWER(O$7,$B$3-1)-1)</f>
        <v>0.776583941626634</v>
      </c>
      <c r="P288" s="1">
        <f t="shared" si="949"/>
        <v>0.184205893684845</v>
      </c>
      <c r="Q288" s="1">
        <f t="shared" si="949"/>
        <v>0.427121167894649</v>
      </c>
      <c r="R288" s="1">
        <f t="shared" si="949"/>
        <v>1.11063357665065</v>
      </c>
      <c r="S288" s="1">
        <f t="shared" si="949"/>
        <v>0.387217518277288</v>
      </c>
      <c r="T288" s="1">
        <f t="shared" si="949"/>
        <v>3.07867737234387</v>
      </c>
      <c r="U288" s="1">
        <f t="shared" si="949"/>
        <v>1</v>
      </c>
      <c r="V288" s="1">
        <f t="shared" si="949"/>
        <v>1.30164197394494</v>
      </c>
      <c r="W288" s="1">
        <f t="shared" si="949"/>
        <v>1.17020550253947</v>
      </c>
      <c r="X288" s="1">
        <f t="shared" si="949"/>
        <v>1.88506861320523</v>
      </c>
      <c r="Y288" s="1">
        <f t="shared" si="891"/>
        <v>4.248559575774</v>
      </c>
      <c r="Z288" s="1">
        <f t="shared" si="892"/>
        <v>7.9885227512297</v>
      </c>
      <c r="AA288" s="1">
        <f t="shared" si="869"/>
        <v>816621.589731873</v>
      </c>
      <c r="AB288" s="1">
        <f t="shared" si="870"/>
        <v>43761.7978045372</v>
      </c>
      <c r="AC288" s="1">
        <f t="shared" si="871"/>
        <v>29174.5318696915</v>
      </c>
      <c r="AD288" s="1">
        <f>AC288/(AC288+[1]战斗公式!$M$27)</f>
        <v>0.548656111184694</v>
      </c>
      <c r="AE288" s="1">
        <f t="shared" si="872"/>
        <v>1809311.28119482</v>
      </c>
      <c r="AF288" s="1">
        <f t="shared" si="873"/>
        <v>9.73142462811918</v>
      </c>
      <c r="AG288" s="1">
        <f t="shared" si="874"/>
        <v>5.17549221266903</v>
      </c>
      <c r="AH288" s="1">
        <f t="shared" si="875"/>
        <v>4.58288601731944</v>
      </c>
      <c r="AI288" s="1">
        <f t="shared" si="876"/>
        <v>1.274423253182</v>
      </c>
      <c r="AJ288" s="1">
        <f t="shared" si="877"/>
        <v>1.00000081735029</v>
      </c>
      <c r="AK288" s="1">
        <f t="shared" si="878"/>
        <v>1.0029969452262</v>
      </c>
      <c r="AL288" s="1">
        <f t="shared" si="879"/>
        <v>0.908848857915601</v>
      </c>
      <c r="AM288" s="27">
        <f t="shared" si="880"/>
        <v>723116</v>
      </c>
      <c r="AN288" s="27">
        <f t="shared" si="881"/>
        <v>55771</v>
      </c>
      <c r="AO288" s="27">
        <f t="shared" si="882"/>
        <v>29175</v>
      </c>
      <c r="AP288" s="1">
        <f t="shared" si="883"/>
        <v>385730</v>
      </c>
      <c r="AQ288" s="1">
        <f t="shared" si="884"/>
        <v>50687</v>
      </c>
      <c r="AR288"/>
      <c r="AS288" s="1">
        <f t="shared" ref="AS288:AY288" si="950">ROUNDUP(AS$10*$AP288,0)</f>
        <v>385730</v>
      </c>
      <c r="AT288" s="1">
        <f t="shared" si="950"/>
        <v>1157190</v>
      </c>
      <c r="AU288" s="1">
        <f t="shared" si="950"/>
        <v>694314</v>
      </c>
      <c r="AV288" s="1">
        <f t="shared" si="950"/>
        <v>192865</v>
      </c>
      <c r="AW288" s="1">
        <f t="shared" si="950"/>
        <v>57860</v>
      </c>
      <c r="AX288" s="1">
        <f t="shared" si="950"/>
        <v>1542920</v>
      </c>
      <c r="AY288" s="1">
        <f t="shared" si="950"/>
        <v>3471570</v>
      </c>
      <c r="AZ288" s="1">
        <f t="shared" si="886"/>
        <v>43386995</v>
      </c>
      <c r="BA288" s="1">
        <f t="shared" si="887"/>
        <v>21693498</v>
      </c>
      <c r="BC288" s="1">
        <f t="shared" si="888"/>
        <v>277</v>
      </c>
    </row>
    <row r="289" s="1" customFormat="1" spans="2:55">
      <c r="B289" s="4">
        <v>278</v>
      </c>
      <c r="C289" s="1">
        <f t="shared" ref="C289:I289" si="951">C$5+(C$6-C$5)*(POWER(C$7,$B289-1)-1)/(POWER(C$7,$B$3-1)-1)</f>
        <v>21964.428991937</v>
      </c>
      <c r="D289" s="1">
        <f t="shared" si="951"/>
        <v>6589.32869758109</v>
      </c>
      <c r="E289" s="1">
        <f t="shared" si="951"/>
        <v>4392.8857983874</v>
      </c>
      <c r="F289" s="1">
        <f t="shared" si="951"/>
        <v>80628.9165526801</v>
      </c>
      <c r="G289" s="1">
        <f t="shared" si="951"/>
        <v>24188.674965804</v>
      </c>
      <c r="H289" s="1">
        <f t="shared" si="951"/>
        <v>16125.783310536</v>
      </c>
      <c r="I289" s="1">
        <f t="shared" si="951"/>
        <v>0</v>
      </c>
      <c r="J289" s="1">
        <f>[1]标准模型!$I$65/1*$B289/$B$3</f>
        <v>2.0016</v>
      </c>
      <c r="K289" s="1">
        <f>J289*[1]标准模型!$J$63</f>
        <v>2.0016</v>
      </c>
      <c r="L289" s="1">
        <f t="shared" si="865"/>
        <v>102593.345544617</v>
      </c>
      <c r="M289" s="1">
        <f t="shared" si="866"/>
        <v>43967.2039844634</v>
      </c>
      <c r="N289" s="1">
        <f t="shared" si="867"/>
        <v>29311.4693229756</v>
      </c>
      <c r="O289" s="1">
        <f t="shared" ref="O289:X289" si="952">O$5+(O$6-O$5)*(POWER(O$7,$B289-1)-1)/(POWER(O$7,$B$3-1)-1)</f>
        <v>0.777585918570521</v>
      </c>
      <c r="P289" s="1">
        <f t="shared" si="952"/>
        <v>0.185021459650901</v>
      </c>
      <c r="Q289" s="1">
        <f t="shared" si="952"/>
        <v>0.427672255213786</v>
      </c>
      <c r="R289" s="1">
        <f t="shared" si="952"/>
        <v>1.11103436742821</v>
      </c>
      <c r="S289" s="1">
        <f t="shared" si="952"/>
        <v>0.388620285998729</v>
      </c>
      <c r="T289" s="1">
        <f t="shared" si="952"/>
        <v>3.08258508242503</v>
      </c>
      <c r="U289" s="1">
        <f t="shared" si="952"/>
        <v>1</v>
      </c>
      <c r="V289" s="1">
        <f t="shared" si="952"/>
        <v>1.30273472828717</v>
      </c>
      <c r="W289" s="1">
        <f t="shared" si="952"/>
        <v>1.1708221037357</v>
      </c>
      <c r="X289" s="1">
        <f t="shared" si="952"/>
        <v>1.88827493942567</v>
      </c>
      <c r="Y289" s="1">
        <f t="shared" si="891"/>
        <v>4.27810815915786</v>
      </c>
      <c r="Z289" s="1">
        <f t="shared" si="892"/>
        <v>8.04934840236164</v>
      </c>
      <c r="AA289" s="1">
        <f t="shared" si="869"/>
        <v>825809.582052499</v>
      </c>
      <c r="AB289" s="1">
        <f t="shared" si="870"/>
        <v>43967.2039844634</v>
      </c>
      <c r="AC289" s="1">
        <f t="shared" si="871"/>
        <v>29311.4693229756</v>
      </c>
      <c r="AD289" s="1">
        <f>AC289/(AC289+[1]战斗公式!$M$27)</f>
        <v>0.549815446754968</v>
      </c>
      <c r="AE289" s="1">
        <f t="shared" si="872"/>
        <v>1834380.09167546</v>
      </c>
      <c r="AF289" s="1">
        <f t="shared" si="873"/>
        <v>9.75233744006488</v>
      </c>
      <c r="AG289" s="1">
        <f t="shared" si="874"/>
        <v>5.18322133515321</v>
      </c>
      <c r="AH289" s="1">
        <f t="shared" si="875"/>
        <v>4.5867320264206</v>
      </c>
      <c r="AI289" s="1">
        <f t="shared" si="876"/>
        <v>1.27807718037614</v>
      </c>
      <c r="AJ289" s="1">
        <f t="shared" si="877"/>
        <v>1.00000077648234</v>
      </c>
      <c r="AK289" s="1">
        <f t="shared" si="878"/>
        <v>1.00293633651429</v>
      </c>
      <c r="AL289" s="1">
        <f t="shared" si="879"/>
        <v>0.909101683805214</v>
      </c>
      <c r="AM289" s="27">
        <f t="shared" si="880"/>
        <v>730775</v>
      </c>
      <c r="AN289" s="27">
        <f t="shared" si="881"/>
        <v>56193</v>
      </c>
      <c r="AO289" s="27">
        <f t="shared" si="882"/>
        <v>29311</v>
      </c>
      <c r="AP289" s="1">
        <f t="shared" si="883"/>
        <v>389536</v>
      </c>
      <c r="AQ289" s="1">
        <f t="shared" si="884"/>
        <v>51085</v>
      </c>
      <c r="AR289"/>
      <c r="AS289" s="1">
        <f t="shared" ref="AS289:AY289" si="953">ROUNDUP(AS$10*$AP289,0)</f>
        <v>389536</v>
      </c>
      <c r="AT289" s="1">
        <f t="shared" si="953"/>
        <v>1168608</v>
      </c>
      <c r="AU289" s="1">
        <f t="shared" si="953"/>
        <v>701165</v>
      </c>
      <c r="AV289" s="1">
        <f t="shared" si="953"/>
        <v>194768</v>
      </c>
      <c r="AW289" s="1">
        <f t="shared" si="953"/>
        <v>58431</v>
      </c>
      <c r="AX289" s="1">
        <f t="shared" si="953"/>
        <v>1558144</v>
      </c>
      <c r="AY289" s="1">
        <f t="shared" si="953"/>
        <v>3505824</v>
      </c>
      <c r="AZ289" s="1">
        <f t="shared" si="886"/>
        <v>43846534</v>
      </c>
      <c r="BA289" s="1">
        <f t="shared" si="887"/>
        <v>21923267</v>
      </c>
      <c r="BC289" s="1">
        <f t="shared" si="888"/>
        <v>278</v>
      </c>
    </row>
    <row r="290" s="1" customFormat="1" spans="2:55">
      <c r="B290" s="4">
        <v>279</v>
      </c>
      <c r="C290" s="1">
        <f t="shared" ref="C290:I290" si="954">C$5+(C$6-C$5)*(POWER(C$7,$B290-1)-1)/(POWER(C$7,$B$3-1)-1)</f>
        <v>22043.4267791465</v>
      </c>
      <c r="D290" s="1">
        <f t="shared" si="954"/>
        <v>6613.02803374395</v>
      </c>
      <c r="E290" s="1">
        <f t="shared" si="954"/>
        <v>4408.6853558293</v>
      </c>
      <c r="F290" s="1">
        <f t="shared" si="954"/>
        <v>80918.9084297783</v>
      </c>
      <c r="G290" s="1">
        <f t="shared" si="954"/>
        <v>24275.6725289335</v>
      </c>
      <c r="H290" s="1">
        <f t="shared" si="954"/>
        <v>16183.7816859557</v>
      </c>
      <c r="I290" s="1">
        <f t="shared" si="954"/>
        <v>0</v>
      </c>
      <c r="J290" s="1">
        <f>[1]标准模型!$I$65/1*$B290/$B$3</f>
        <v>2.0088</v>
      </c>
      <c r="K290" s="1">
        <f>J290*[1]标准模型!$J$63</f>
        <v>2.0088</v>
      </c>
      <c r="L290" s="1">
        <f t="shared" si="865"/>
        <v>102962.335208925</v>
      </c>
      <c r="M290" s="1">
        <f t="shared" si="866"/>
        <v>44172.9512768623</v>
      </c>
      <c r="N290" s="1">
        <f t="shared" si="867"/>
        <v>29448.6341845749</v>
      </c>
      <c r="O290" s="1">
        <f t="shared" ref="O290:X290" si="955">O$5+(O$6-O$5)*(POWER(O$7,$B290-1)-1)/(POWER(O$7,$B$3-1)-1)</f>
        <v>0.778587894512398</v>
      </c>
      <c r="P290" s="1">
        <f t="shared" si="955"/>
        <v>0.185838248965907</v>
      </c>
      <c r="Q290" s="1">
        <f t="shared" si="955"/>
        <v>0.428223341981819</v>
      </c>
      <c r="R290" s="1">
        <f t="shared" si="955"/>
        <v>1.11143515780496</v>
      </c>
      <c r="S290" s="1">
        <f t="shared" si="955"/>
        <v>0.390023052317357</v>
      </c>
      <c r="T290" s="1">
        <f t="shared" si="955"/>
        <v>3.08649278859835</v>
      </c>
      <c r="U290" s="1">
        <f t="shared" si="955"/>
        <v>1</v>
      </c>
      <c r="V290" s="1">
        <f t="shared" si="955"/>
        <v>1.3038274815366</v>
      </c>
      <c r="W290" s="1">
        <f t="shared" si="955"/>
        <v>1.17143870431532</v>
      </c>
      <c r="X290" s="1">
        <f t="shared" si="955"/>
        <v>1.89148126243967</v>
      </c>
      <c r="Y290" s="1">
        <f t="shared" si="891"/>
        <v>4.30783831744694</v>
      </c>
      <c r="Z290" s="1">
        <f t="shared" si="892"/>
        <v>8.11058862073631</v>
      </c>
      <c r="AA290" s="1">
        <f t="shared" si="869"/>
        <v>835085.144309943</v>
      </c>
      <c r="AB290" s="1">
        <f t="shared" si="870"/>
        <v>44172.9512768623</v>
      </c>
      <c r="AC290" s="1">
        <f t="shared" si="871"/>
        <v>29448.6341845749</v>
      </c>
      <c r="AD290" s="1">
        <f>AC290/(AC290+[1]战斗公式!$M$27)</f>
        <v>0.550970752271789</v>
      </c>
      <c r="AE290" s="1">
        <f t="shared" si="872"/>
        <v>1859756.68296646</v>
      </c>
      <c r="AF290" s="1">
        <f t="shared" si="873"/>
        <v>9.7732794499</v>
      </c>
      <c r="AG290" s="1">
        <f t="shared" si="874"/>
        <v>5.19095588127287</v>
      </c>
      <c r="AH290" s="1">
        <f t="shared" si="875"/>
        <v>4.59054919045349</v>
      </c>
      <c r="AI290" s="1">
        <f t="shared" si="876"/>
        <v>1.28173841542467</v>
      </c>
      <c r="AJ290" s="1">
        <f t="shared" si="877"/>
        <v>1.00000073765778</v>
      </c>
      <c r="AK290" s="1">
        <f t="shared" si="878"/>
        <v>1.00287693997662</v>
      </c>
      <c r="AL290" s="1">
        <f t="shared" si="879"/>
        <v>0.909353751217158</v>
      </c>
      <c r="AM290" s="27">
        <f t="shared" si="880"/>
        <v>738496</v>
      </c>
      <c r="AN290" s="27">
        <f t="shared" si="881"/>
        <v>56618</v>
      </c>
      <c r="AO290" s="27">
        <f t="shared" si="882"/>
        <v>29449</v>
      </c>
      <c r="AP290" s="1">
        <f t="shared" si="883"/>
        <v>393371</v>
      </c>
      <c r="AQ290" s="1">
        <f t="shared" si="884"/>
        <v>51486</v>
      </c>
      <c r="AR290"/>
      <c r="AS290" s="1">
        <f t="shared" ref="AS290:AY290" si="956">ROUNDUP(AS$10*$AP290,0)</f>
        <v>393371</v>
      </c>
      <c r="AT290" s="1">
        <f t="shared" si="956"/>
        <v>1180113</v>
      </c>
      <c r="AU290" s="1">
        <f t="shared" si="956"/>
        <v>708068</v>
      </c>
      <c r="AV290" s="1">
        <f t="shared" si="956"/>
        <v>196686</v>
      </c>
      <c r="AW290" s="1">
        <f t="shared" si="956"/>
        <v>59006</v>
      </c>
      <c r="AX290" s="1">
        <f t="shared" si="956"/>
        <v>1573484</v>
      </c>
      <c r="AY290" s="1">
        <f t="shared" si="956"/>
        <v>3540339</v>
      </c>
      <c r="AZ290" s="1">
        <f t="shared" si="886"/>
        <v>44309793</v>
      </c>
      <c r="BA290" s="1">
        <f t="shared" si="887"/>
        <v>22154896</v>
      </c>
      <c r="BC290" s="1">
        <f t="shared" si="888"/>
        <v>279</v>
      </c>
    </row>
    <row r="291" s="1" customFormat="1" spans="2:55">
      <c r="B291" s="4">
        <v>280</v>
      </c>
      <c r="C291" s="1">
        <f t="shared" ref="C291:I291" si="957">C$5+(C$6-C$5)*(POWER(C$7,$B291-1)-1)/(POWER(C$7,$B$3-1)-1)</f>
        <v>22122.4244873556</v>
      </c>
      <c r="D291" s="1">
        <f t="shared" si="957"/>
        <v>6636.72734620669</v>
      </c>
      <c r="E291" s="1">
        <f t="shared" si="957"/>
        <v>4424.48489747113</v>
      </c>
      <c r="F291" s="1">
        <f t="shared" si="957"/>
        <v>81208.9000168751</v>
      </c>
      <c r="G291" s="1">
        <f t="shared" si="957"/>
        <v>24362.6700050625</v>
      </c>
      <c r="H291" s="1">
        <f t="shared" si="957"/>
        <v>16241.780003375</v>
      </c>
      <c r="I291" s="1">
        <f t="shared" si="957"/>
        <v>0</v>
      </c>
      <c r="J291" s="1">
        <f>[1]标准模型!$I$65/1*$B291/$B$3</f>
        <v>2.016</v>
      </c>
      <c r="K291" s="1">
        <f>J291*[1]标准模型!$J$63</f>
        <v>2.016</v>
      </c>
      <c r="L291" s="1">
        <f t="shared" si="865"/>
        <v>103331.324504231</v>
      </c>
      <c r="M291" s="1">
        <f t="shared" si="866"/>
        <v>44379.0396812219</v>
      </c>
      <c r="N291" s="1">
        <f t="shared" si="867"/>
        <v>29586.0264541479</v>
      </c>
      <c r="O291" s="1">
        <f t="shared" ref="O291:X291" si="958">O$5+(O$6-O$5)*(POWER(O$7,$B291-1)-1)/(POWER(O$7,$B$3-1)-1)</f>
        <v>0.779589869452267</v>
      </c>
      <c r="P291" s="1">
        <f t="shared" si="958"/>
        <v>0.186656263464886</v>
      </c>
      <c r="Q291" s="1">
        <f t="shared" si="958"/>
        <v>0.428774428198747</v>
      </c>
      <c r="R291" s="1">
        <f t="shared" si="958"/>
        <v>1.11183594778091</v>
      </c>
      <c r="S291" s="1">
        <f t="shared" si="958"/>
        <v>0.391425817233174</v>
      </c>
      <c r="T291" s="1">
        <f t="shared" si="958"/>
        <v>3.09040049086384</v>
      </c>
      <c r="U291" s="1">
        <f t="shared" si="958"/>
        <v>1</v>
      </c>
      <c r="V291" s="1">
        <f t="shared" si="958"/>
        <v>1.30492023369324</v>
      </c>
      <c r="W291" s="1">
        <f t="shared" si="958"/>
        <v>1.17205530427832</v>
      </c>
      <c r="X291" s="1">
        <f t="shared" si="958"/>
        <v>1.89468758224725</v>
      </c>
      <c r="Y291" s="1">
        <f t="shared" si="891"/>
        <v>4.33775099541414</v>
      </c>
      <c r="Z291" s="1">
        <f t="shared" si="892"/>
        <v>8.17224584917465</v>
      </c>
      <c r="AA291" s="1">
        <f t="shared" si="869"/>
        <v>844448.987769418</v>
      </c>
      <c r="AB291" s="1">
        <f t="shared" si="870"/>
        <v>44379.0396812219</v>
      </c>
      <c r="AC291" s="1">
        <f t="shared" si="871"/>
        <v>29586.0264541479</v>
      </c>
      <c r="AD291" s="1">
        <f>AC291/(AC291+[1]战斗公式!$M$27)</f>
        <v>0.552122043970994</v>
      </c>
      <c r="AE291" s="1">
        <f t="shared" si="872"/>
        <v>1885444.40824127</v>
      </c>
      <c r="AF291" s="1">
        <f t="shared" si="873"/>
        <v>9.79425063613759</v>
      </c>
      <c r="AG291" s="1">
        <f t="shared" si="874"/>
        <v>5.19869583347546</v>
      </c>
      <c r="AH291" s="1">
        <f t="shared" si="875"/>
        <v>4.59433772575614</v>
      </c>
      <c r="AI291" s="1">
        <f t="shared" si="876"/>
        <v>1.28540697294329</v>
      </c>
      <c r="AJ291" s="1">
        <f t="shared" si="877"/>
        <v>1.00000070077445</v>
      </c>
      <c r="AK291" s="1">
        <f t="shared" si="878"/>
        <v>1.0028187313697</v>
      </c>
      <c r="AL291" s="1">
        <f t="shared" si="879"/>
        <v>0.909605062426866</v>
      </c>
      <c r="AM291" s="27">
        <f t="shared" si="880"/>
        <v>746280</v>
      </c>
      <c r="AN291" s="27">
        <f t="shared" si="881"/>
        <v>57045</v>
      </c>
      <c r="AO291" s="27">
        <f t="shared" si="882"/>
        <v>29586</v>
      </c>
      <c r="AP291" s="1">
        <f t="shared" si="883"/>
        <v>397235</v>
      </c>
      <c r="AQ291" s="1">
        <f t="shared" si="884"/>
        <v>51888</v>
      </c>
      <c r="AR291"/>
      <c r="AS291" s="1">
        <f t="shared" ref="AS291:AY291" si="959">ROUNDUP(AS$10*$AP291,0)</f>
        <v>397235</v>
      </c>
      <c r="AT291" s="1">
        <f t="shared" si="959"/>
        <v>1191705</v>
      </c>
      <c r="AU291" s="1">
        <f t="shared" si="959"/>
        <v>715023</v>
      </c>
      <c r="AV291" s="1">
        <f t="shared" si="959"/>
        <v>198618</v>
      </c>
      <c r="AW291" s="1">
        <f t="shared" si="959"/>
        <v>59586</v>
      </c>
      <c r="AX291" s="1">
        <f t="shared" si="959"/>
        <v>1588940</v>
      </c>
      <c r="AY291" s="1">
        <f t="shared" si="959"/>
        <v>3575115</v>
      </c>
      <c r="AZ291" s="1">
        <f t="shared" si="886"/>
        <v>44776831</v>
      </c>
      <c r="BA291" s="1">
        <f t="shared" si="887"/>
        <v>22388416</v>
      </c>
      <c r="BC291" s="1">
        <f t="shared" si="888"/>
        <v>280</v>
      </c>
    </row>
    <row r="292" s="1" customFormat="1" spans="2:55">
      <c r="B292" s="4">
        <v>281</v>
      </c>
      <c r="C292" s="1">
        <f t="shared" ref="C292:I292" si="960">C$5+(C$6-C$5)*(POWER(C$7,$B292-1)-1)/(POWER(C$7,$B$3-1)-1)</f>
        <v>22201.4221165732</v>
      </c>
      <c r="D292" s="1">
        <f t="shared" si="960"/>
        <v>6660.42663497195</v>
      </c>
      <c r="E292" s="1">
        <f t="shared" si="960"/>
        <v>4440.28442331464</v>
      </c>
      <c r="F292" s="1">
        <f t="shared" si="960"/>
        <v>81498.8913140028</v>
      </c>
      <c r="G292" s="1">
        <f t="shared" si="960"/>
        <v>24449.6673942008</v>
      </c>
      <c r="H292" s="1">
        <f t="shared" si="960"/>
        <v>16299.7782628006</v>
      </c>
      <c r="I292" s="1">
        <f t="shared" si="960"/>
        <v>0</v>
      </c>
      <c r="J292" s="1">
        <f>[1]标准模型!$I$65/1*$B292/$B$3</f>
        <v>2.0232</v>
      </c>
      <c r="K292" s="1">
        <f>J292*[1]标准模型!$J$63</f>
        <v>2.0232</v>
      </c>
      <c r="L292" s="1">
        <f t="shared" si="865"/>
        <v>103700.313430576</v>
      </c>
      <c r="M292" s="1">
        <f t="shared" si="866"/>
        <v>44585.469197048</v>
      </c>
      <c r="N292" s="1">
        <f t="shared" si="867"/>
        <v>29723.6461313654</v>
      </c>
      <c r="O292" s="1">
        <f t="shared" ref="O292:X292" si="961">O$5+(O$6-O$5)*(POWER(O$7,$B292-1)-1)/(POWER(O$7,$B$3-1)-1)</f>
        <v>0.780591843390238</v>
      </c>
      <c r="P292" s="1">
        <f t="shared" si="961"/>
        <v>0.187475504985613</v>
      </c>
      <c r="Q292" s="1">
        <f t="shared" si="961"/>
        <v>0.429325513864631</v>
      </c>
      <c r="R292" s="1">
        <f t="shared" si="961"/>
        <v>1.1122367373561</v>
      </c>
      <c r="S292" s="1">
        <f t="shared" si="961"/>
        <v>0.392828580746334</v>
      </c>
      <c r="T292" s="1">
        <f t="shared" si="961"/>
        <v>3.09430818922193</v>
      </c>
      <c r="U292" s="1">
        <f t="shared" si="961"/>
        <v>1</v>
      </c>
      <c r="V292" s="1">
        <f t="shared" si="961"/>
        <v>1.30601298475722</v>
      </c>
      <c r="W292" s="1">
        <f t="shared" si="961"/>
        <v>1.17267190362476</v>
      </c>
      <c r="X292" s="1">
        <f t="shared" si="961"/>
        <v>1.89789389884876</v>
      </c>
      <c r="Y292" s="1">
        <f t="shared" si="891"/>
        <v>4.36784714173982</v>
      </c>
      <c r="Z292" s="1">
        <f t="shared" si="892"/>
        <v>8.23432254235707</v>
      </c>
      <c r="AA292" s="1">
        <f t="shared" si="869"/>
        <v>853901.828530885</v>
      </c>
      <c r="AB292" s="1">
        <f t="shared" si="870"/>
        <v>44585.469197048</v>
      </c>
      <c r="AC292" s="1">
        <f t="shared" si="871"/>
        <v>29723.6461313654</v>
      </c>
      <c r="AD292" s="1">
        <f>AC292/(AC292+[1]战斗公式!$M$27)</f>
        <v>0.553269338024544</v>
      </c>
      <c r="AE292" s="1">
        <f t="shared" si="872"/>
        <v>1911446.6527883</v>
      </c>
      <c r="AF292" s="1">
        <f t="shared" si="873"/>
        <v>9.81525097734878</v>
      </c>
      <c r="AG292" s="1">
        <f t="shared" si="874"/>
        <v>5.2064411742851</v>
      </c>
      <c r="AH292" s="1">
        <f t="shared" si="875"/>
        <v>4.59809784704403</v>
      </c>
      <c r="AI292" s="1">
        <f t="shared" si="876"/>
        <v>1.28908286757695</v>
      </c>
      <c r="AJ292" s="1">
        <f t="shared" si="877"/>
        <v>1.00000066573529</v>
      </c>
      <c r="AK292" s="1">
        <f t="shared" si="878"/>
        <v>1.00276168693491</v>
      </c>
      <c r="AL292" s="1">
        <f t="shared" si="879"/>
        <v>0.909855619702945</v>
      </c>
      <c r="AM292" s="27">
        <f t="shared" si="880"/>
        <v>754128</v>
      </c>
      <c r="AN292" s="27">
        <f t="shared" si="881"/>
        <v>57474</v>
      </c>
      <c r="AO292" s="27">
        <f t="shared" si="882"/>
        <v>29724</v>
      </c>
      <c r="AP292" s="1">
        <f t="shared" si="883"/>
        <v>401128</v>
      </c>
      <c r="AQ292" s="1">
        <f t="shared" si="884"/>
        <v>52293</v>
      </c>
      <c r="AR292"/>
      <c r="AS292" s="1">
        <f t="shared" ref="AS292:AY292" si="962">ROUNDUP(AS$10*$AP292,0)</f>
        <v>401128</v>
      </c>
      <c r="AT292" s="1">
        <f t="shared" si="962"/>
        <v>1203384</v>
      </c>
      <c r="AU292" s="1">
        <f t="shared" si="962"/>
        <v>722031</v>
      </c>
      <c r="AV292" s="1">
        <f t="shared" si="962"/>
        <v>200564</v>
      </c>
      <c r="AW292" s="1">
        <f t="shared" si="962"/>
        <v>60170</v>
      </c>
      <c r="AX292" s="1">
        <f t="shared" si="962"/>
        <v>1604512</v>
      </c>
      <c r="AY292" s="1">
        <f t="shared" si="962"/>
        <v>3610152</v>
      </c>
      <c r="AZ292" s="1">
        <f t="shared" si="886"/>
        <v>45247710</v>
      </c>
      <c r="BA292" s="1">
        <f t="shared" si="887"/>
        <v>22623855</v>
      </c>
      <c r="BC292" s="1">
        <f t="shared" si="888"/>
        <v>281</v>
      </c>
    </row>
    <row r="293" s="1" customFormat="1" spans="2:55">
      <c r="B293" s="4">
        <v>282</v>
      </c>
      <c r="C293" s="1">
        <f t="shared" ref="C293:I293" si="963">C$5+(C$6-C$5)*(POWER(C$7,$B293-1)-1)/(POWER(C$7,$B$3-1)-1)</f>
        <v>22280.4196667903</v>
      </c>
      <c r="D293" s="1">
        <f t="shared" si="963"/>
        <v>6684.1259000371</v>
      </c>
      <c r="E293" s="1">
        <f t="shared" si="963"/>
        <v>4456.08393335807</v>
      </c>
      <c r="F293" s="1">
        <f t="shared" si="963"/>
        <v>81788.882321129</v>
      </c>
      <c r="G293" s="1">
        <f t="shared" si="963"/>
        <v>24536.6646963387</v>
      </c>
      <c r="H293" s="1">
        <f t="shared" si="963"/>
        <v>16357.7764642258</v>
      </c>
      <c r="I293" s="1">
        <f t="shared" si="963"/>
        <v>0</v>
      </c>
      <c r="J293" s="1">
        <f>[1]标准模型!$I$65/1*$B293/$B$3</f>
        <v>2.0304</v>
      </c>
      <c r="K293" s="1">
        <f>J293*[1]标准模型!$J$63</f>
        <v>2.0304</v>
      </c>
      <c r="L293" s="1">
        <f t="shared" si="865"/>
        <v>104069.301987919</v>
      </c>
      <c r="M293" s="1">
        <f t="shared" si="866"/>
        <v>44792.2398238111</v>
      </c>
      <c r="N293" s="1">
        <f t="shared" si="867"/>
        <v>29861.4932158741</v>
      </c>
      <c r="O293" s="1">
        <f t="shared" ref="O293:X293" si="964">O$5+(O$6-O$5)*(POWER(O$7,$B293-1)-1)/(POWER(O$7,$B$3-1)-1)</f>
        <v>0.781593816326201</v>
      </c>
      <c r="P293" s="1">
        <f t="shared" si="964"/>
        <v>0.188295975368621</v>
      </c>
      <c r="Q293" s="1">
        <f t="shared" si="964"/>
        <v>0.429876598979411</v>
      </c>
      <c r="R293" s="1">
        <f t="shared" si="964"/>
        <v>1.11263752653048</v>
      </c>
      <c r="S293" s="1">
        <f t="shared" si="964"/>
        <v>0.394231342856681</v>
      </c>
      <c r="T293" s="1">
        <f t="shared" si="964"/>
        <v>3.09821588367218</v>
      </c>
      <c r="U293" s="1">
        <f t="shared" si="964"/>
        <v>1</v>
      </c>
      <c r="V293" s="1">
        <f t="shared" si="964"/>
        <v>1.3071057347284</v>
      </c>
      <c r="W293" s="1">
        <f t="shared" si="964"/>
        <v>1.17328850235459</v>
      </c>
      <c r="X293" s="1">
        <f t="shared" si="964"/>
        <v>1.90110021224384</v>
      </c>
      <c r="Y293" s="1">
        <f t="shared" si="891"/>
        <v>4.39812770901538</v>
      </c>
      <c r="Z293" s="1">
        <f t="shared" si="892"/>
        <v>8.29682116684994</v>
      </c>
      <c r="AA293" s="1">
        <f t="shared" si="869"/>
        <v>863444.387552668</v>
      </c>
      <c r="AB293" s="1">
        <f t="shared" si="870"/>
        <v>44792.2398238111</v>
      </c>
      <c r="AC293" s="1">
        <f t="shared" si="871"/>
        <v>29861.4932158741</v>
      </c>
      <c r="AD293" s="1">
        <f>AC293/(AC293+[1]战斗公式!$M$27)</f>
        <v>0.554412650540355</v>
      </c>
      <c r="AE293" s="1">
        <f t="shared" si="872"/>
        <v>1937766.83426886</v>
      </c>
      <c r="AF293" s="1">
        <f t="shared" si="873"/>
        <v>9.83628045215295</v>
      </c>
      <c r="AG293" s="1">
        <f t="shared" si="874"/>
        <v>5.2141918862987</v>
      </c>
      <c r="AH293" s="1">
        <f t="shared" si="875"/>
        <v>4.60182976742225</v>
      </c>
      <c r="AI293" s="1">
        <f t="shared" si="876"/>
        <v>1.29276611399988</v>
      </c>
      <c r="AJ293" s="1">
        <f t="shared" si="877"/>
        <v>1.00000063244808</v>
      </c>
      <c r="AK293" s="1">
        <f t="shared" si="878"/>
        <v>1.00270578338883</v>
      </c>
      <c r="AL293" s="1">
        <f t="shared" si="879"/>
        <v>0.910105425307196</v>
      </c>
      <c r="AM293" s="27">
        <f t="shared" si="880"/>
        <v>762040</v>
      </c>
      <c r="AN293" s="27">
        <f t="shared" si="881"/>
        <v>57906</v>
      </c>
      <c r="AO293" s="27">
        <f t="shared" si="882"/>
        <v>29861</v>
      </c>
      <c r="AP293" s="1">
        <f t="shared" si="883"/>
        <v>405049</v>
      </c>
      <c r="AQ293" s="1">
        <f t="shared" si="884"/>
        <v>52701</v>
      </c>
      <c r="AR293"/>
      <c r="AS293" s="1">
        <f t="shared" ref="AS293:AY293" si="965">ROUNDUP(AS$10*$AP293,0)</f>
        <v>405049</v>
      </c>
      <c r="AT293" s="1">
        <f t="shared" si="965"/>
        <v>1215147</v>
      </c>
      <c r="AU293" s="1">
        <f t="shared" si="965"/>
        <v>729089</v>
      </c>
      <c r="AV293" s="1">
        <f t="shared" si="965"/>
        <v>202525</v>
      </c>
      <c r="AW293" s="1">
        <f t="shared" si="965"/>
        <v>60758</v>
      </c>
      <c r="AX293" s="1">
        <f t="shared" si="965"/>
        <v>1620196</v>
      </c>
      <c r="AY293" s="1">
        <f t="shared" si="965"/>
        <v>3645441</v>
      </c>
      <c r="AZ293" s="1">
        <f t="shared" si="886"/>
        <v>45722429</v>
      </c>
      <c r="BA293" s="1">
        <f t="shared" si="887"/>
        <v>22861214</v>
      </c>
      <c r="BC293" s="1">
        <f t="shared" si="888"/>
        <v>282</v>
      </c>
    </row>
    <row r="294" s="1" customFormat="1" spans="2:55">
      <c r="B294" s="4">
        <v>283</v>
      </c>
      <c r="C294" s="1">
        <f t="shared" ref="C294:I294" si="966">C$5+(C$6-C$5)*(POWER(C$7,$B294-1)-1)/(POWER(C$7,$B$3-1)-1)</f>
        <v>22359.4171380071</v>
      </c>
      <c r="D294" s="1">
        <f t="shared" si="966"/>
        <v>6707.82514140213</v>
      </c>
      <c r="E294" s="1">
        <f t="shared" si="966"/>
        <v>4471.88342760142</v>
      </c>
      <c r="F294" s="1">
        <f t="shared" si="966"/>
        <v>82078.8730382539</v>
      </c>
      <c r="G294" s="1">
        <f t="shared" si="966"/>
        <v>24623.6619114762</v>
      </c>
      <c r="H294" s="1">
        <f t="shared" si="966"/>
        <v>16415.7746076508</v>
      </c>
      <c r="I294" s="1">
        <f t="shared" si="966"/>
        <v>0</v>
      </c>
      <c r="J294" s="1">
        <f>[1]标准模型!$I$65/1*$B294/$B$3</f>
        <v>2.0376</v>
      </c>
      <c r="K294" s="1">
        <f>J294*[1]标准模型!$J$63</f>
        <v>2.0376</v>
      </c>
      <c r="L294" s="1">
        <f t="shared" si="865"/>
        <v>104438.290176261</v>
      </c>
      <c r="M294" s="1">
        <f t="shared" si="866"/>
        <v>44999.3515609993</v>
      </c>
      <c r="N294" s="1">
        <f t="shared" si="867"/>
        <v>29999.5677073329</v>
      </c>
      <c r="O294" s="1">
        <f t="shared" ref="O294:X294" si="967">O$5+(O$6-O$5)*(POWER(O$7,$B294-1)-1)/(POWER(O$7,$B$3-1)-1)</f>
        <v>0.782595788260155</v>
      </c>
      <c r="P294" s="1">
        <f t="shared" si="967"/>
        <v>0.189117676457203</v>
      </c>
      <c r="Q294" s="1">
        <f t="shared" si="967"/>
        <v>0.430427683543085</v>
      </c>
      <c r="R294" s="1">
        <f t="shared" si="967"/>
        <v>1.11303831530406</v>
      </c>
      <c r="S294" s="1">
        <f t="shared" si="967"/>
        <v>0.395634103564216</v>
      </c>
      <c r="T294" s="1">
        <f t="shared" si="967"/>
        <v>3.1021235742146</v>
      </c>
      <c r="U294" s="1">
        <f t="shared" si="967"/>
        <v>1</v>
      </c>
      <c r="V294" s="1">
        <f t="shared" si="967"/>
        <v>1.3081984836068</v>
      </c>
      <c r="W294" s="1">
        <f t="shared" si="967"/>
        <v>1.17390510046779</v>
      </c>
      <c r="X294" s="1">
        <f t="shared" si="967"/>
        <v>1.90430652243249</v>
      </c>
      <c r="Y294" s="1">
        <f t="shared" si="891"/>
        <v>4.42859365376449</v>
      </c>
      <c r="Z294" s="1">
        <f t="shared" si="892"/>
        <v>8.35974420117023</v>
      </c>
      <c r="AA294" s="1">
        <f t="shared" si="869"/>
        <v>873077.390681132</v>
      </c>
      <c r="AB294" s="1">
        <f t="shared" si="870"/>
        <v>44999.3515609993</v>
      </c>
      <c r="AC294" s="1">
        <f t="shared" si="871"/>
        <v>29999.5677073329</v>
      </c>
      <c r="AD294" s="1">
        <f>AC294/(AC294+[1]战斗公式!$M$27)</f>
        <v>0.555551997562734</v>
      </c>
      <c r="AE294" s="1">
        <f t="shared" si="872"/>
        <v>1964408.4029928</v>
      </c>
      <c r="AF294" s="1">
        <f t="shared" si="873"/>
        <v>9.85733903922688</v>
      </c>
      <c r="AG294" s="1">
        <f t="shared" si="874"/>
        <v>5.22194795218904</v>
      </c>
      <c r="AH294" s="1">
        <f t="shared" si="875"/>
        <v>4.60553369839763</v>
      </c>
      <c r="AI294" s="1">
        <f t="shared" si="876"/>
        <v>1.29645672691565</v>
      </c>
      <c r="AJ294" s="1">
        <f t="shared" si="877"/>
        <v>1.00000060082524</v>
      </c>
      <c r="AK294" s="1">
        <f t="shared" si="878"/>
        <v>1.00265099791366</v>
      </c>
      <c r="AL294" s="1">
        <f t="shared" si="879"/>
        <v>0.910354481494634</v>
      </c>
      <c r="AM294" s="27">
        <f t="shared" si="880"/>
        <v>770017</v>
      </c>
      <c r="AN294" s="27">
        <f t="shared" si="881"/>
        <v>58340</v>
      </c>
      <c r="AO294" s="27">
        <f t="shared" si="882"/>
        <v>30000</v>
      </c>
      <c r="AP294" s="1">
        <f t="shared" si="883"/>
        <v>409000</v>
      </c>
      <c r="AQ294" s="1">
        <f t="shared" si="884"/>
        <v>53110</v>
      </c>
      <c r="AR294"/>
      <c r="AS294" s="1">
        <f t="shared" ref="AS294:AY294" si="968">ROUNDUP(AS$10*$AP294,0)</f>
        <v>409000</v>
      </c>
      <c r="AT294" s="1">
        <f t="shared" si="968"/>
        <v>1227000</v>
      </c>
      <c r="AU294" s="1">
        <f t="shared" si="968"/>
        <v>736200</v>
      </c>
      <c r="AV294" s="1">
        <f t="shared" si="968"/>
        <v>204500</v>
      </c>
      <c r="AW294" s="1">
        <f t="shared" si="968"/>
        <v>61350</v>
      </c>
      <c r="AX294" s="1">
        <f t="shared" si="968"/>
        <v>1636000</v>
      </c>
      <c r="AY294" s="1">
        <f t="shared" si="968"/>
        <v>3681000</v>
      </c>
      <c r="AZ294" s="1">
        <f t="shared" si="886"/>
        <v>46201048</v>
      </c>
      <c r="BA294" s="1">
        <f t="shared" si="887"/>
        <v>23100524</v>
      </c>
      <c r="BC294" s="1">
        <f t="shared" si="888"/>
        <v>283</v>
      </c>
    </row>
    <row r="295" s="1" customFormat="1" spans="2:55">
      <c r="B295" s="4">
        <v>284</v>
      </c>
      <c r="C295" s="1">
        <f t="shared" ref="C295:I295" si="969">C$5+(C$6-C$5)*(POWER(C$7,$B295-1)-1)/(POWER(C$7,$B$3-1)-1)</f>
        <v>22438.4145302323</v>
      </c>
      <c r="D295" s="1">
        <f t="shared" si="969"/>
        <v>6731.52435906968</v>
      </c>
      <c r="E295" s="1">
        <f t="shared" si="969"/>
        <v>4487.68290604646</v>
      </c>
      <c r="F295" s="1">
        <f t="shared" si="969"/>
        <v>82368.8634654096</v>
      </c>
      <c r="G295" s="1">
        <f t="shared" si="969"/>
        <v>24710.6590396229</v>
      </c>
      <c r="H295" s="1">
        <f t="shared" si="969"/>
        <v>16473.7726930819</v>
      </c>
      <c r="I295" s="1">
        <f t="shared" si="969"/>
        <v>0</v>
      </c>
      <c r="J295" s="1">
        <f>[1]标准模型!$I$65/1*$B295/$B$3</f>
        <v>2.0448</v>
      </c>
      <c r="K295" s="1">
        <f>J295*[1]标准模型!$J$63</f>
        <v>2.0448</v>
      </c>
      <c r="L295" s="1">
        <f t="shared" si="865"/>
        <v>104807.277995642</v>
      </c>
      <c r="M295" s="1">
        <f t="shared" si="866"/>
        <v>45206.8044081183</v>
      </c>
      <c r="N295" s="1">
        <f t="shared" si="867"/>
        <v>30137.8696054122</v>
      </c>
      <c r="O295" s="1">
        <f t="shared" ref="O295:X295" si="970">O$5+(O$6-O$5)*(POWER(O$7,$B295-1)-1)/(POWER(O$7,$B$3-1)-1)</f>
        <v>0.783597759192211</v>
      </c>
      <c r="P295" s="1">
        <f t="shared" si="970"/>
        <v>0.189940610097419</v>
      </c>
      <c r="Q295" s="1">
        <f t="shared" si="970"/>
        <v>0.430978767555716</v>
      </c>
      <c r="R295" s="1">
        <f t="shared" si="970"/>
        <v>1.11343910367688</v>
      </c>
      <c r="S295" s="1">
        <f t="shared" si="970"/>
        <v>0.397036862869095</v>
      </c>
      <c r="T295" s="1">
        <f t="shared" si="970"/>
        <v>3.10603126084962</v>
      </c>
      <c r="U295" s="1">
        <f t="shared" si="970"/>
        <v>1</v>
      </c>
      <c r="V295" s="1">
        <f t="shared" si="970"/>
        <v>1.30929123139253</v>
      </c>
      <c r="W295" s="1">
        <f t="shared" si="970"/>
        <v>1.17452169796444</v>
      </c>
      <c r="X295" s="1">
        <f t="shared" si="970"/>
        <v>1.90751282941507</v>
      </c>
      <c r="Y295" s="1">
        <f t="shared" si="891"/>
        <v>4.45924593645568</v>
      </c>
      <c r="Z295" s="1">
        <f t="shared" si="892"/>
        <v>8.42309413583163</v>
      </c>
      <c r="AA295" s="1">
        <f t="shared" si="869"/>
        <v>882801.568677566</v>
      </c>
      <c r="AB295" s="1">
        <f t="shared" si="870"/>
        <v>45206.8044081183</v>
      </c>
      <c r="AC295" s="1">
        <f t="shared" si="871"/>
        <v>30137.8696054122</v>
      </c>
      <c r="AD295" s="1">
        <f>AC295/(AC295+[1]战斗公式!$M$27)</f>
        <v>0.556687395072511</v>
      </c>
      <c r="AE295" s="1">
        <f t="shared" si="872"/>
        <v>1991374.84218831</v>
      </c>
      <c r="AF295" s="1">
        <f t="shared" si="873"/>
        <v>9.87842671730424</v>
      </c>
      <c r="AG295" s="1">
        <f t="shared" si="874"/>
        <v>5.22970935470437</v>
      </c>
      <c r="AH295" s="1">
        <f t="shared" si="875"/>
        <v>4.60920984989071</v>
      </c>
      <c r="AI295" s="1">
        <f t="shared" si="876"/>
        <v>1.30015472105725</v>
      </c>
      <c r="AJ295" s="1">
        <f t="shared" si="877"/>
        <v>1.00000057078354</v>
      </c>
      <c r="AK295" s="1">
        <f t="shared" si="878"/>
        <v>1.002597308148</v>
      </c>
      <c r="AL295" s="1">
        <f t="shared" si="879"/>
        <v>0.91060279051351</v>
      </c>
      <c r="AM295" s="27">
        <f t="shared" si="880"/>
        <v>778058</v>
      </c>
      <c r="AN295" s="27">
        <f t="shared" si="881"/>
        <v>58776</v>
      </c>
      <c r="AO295" s="27">
        <f t="shared" si="882"/>
        <v>30138</v>
      </c>
      <c r="AP295" s="1">
        <f t="shared" si="883"/>
        <v>412979</v>
      </c>
      <c r="AQ295" s="1">
        <f t="shared" si="884"/>
        <v>53522</v>
      </c>
      <c r="AR295"/>
      <c r="AS295" s="1">
        <f t="shared" ref="AS295:AY295" si="971">ROUNDUP(AS$10*$AP295,0)</f>
        <v>412979</v>
      </c>
      <c r="AT295" s="1">
        <f t="shared" si="971"/>
        <v>1238937</v>
      </c>
      <c r="AU295" s="1">
        <f t="shared" si="971"/>
        <v>743363</v>
      </c>
      <c r="AV295" s="1">
        <f t="shared" si="971"/>
        <v>206490</v>
      </c>
      <c r="AW295" s="1">
        <f t="shared" si="971"/>
        <v>61947</v>
      </c>
      <c r="AX295" s="1">
        <f t="shared" si="971"/>
        <v>1651916</v>
      </c>
      <c r="AY295" s="1">
        <f t="shared" si="971"/>
        <v>3716811</v>
      </c>
      <c r="AZ295" s="1">
        <f t="shared" si="886"/>
        <v>46683507</v>
      </c>
      <c r="BA295" s="1">
        <f t="shared" si="887"/>
        <v>23341753</v>
      </c>
      <c r="BC295" s="1">
        <f t="shared" si="888"/>
        <v>284</v>
      </c>
    </row>
    <row r="296" s="1" customFormat="1" spans="2:55">
      <c r="B296" s="4">
        <v>285</v>
      </c>
      <c r="C296" s="1">
        <f t="shared" ref="C296:I296" si="972">C$5+(C$6-C$5)*(POWER(C$7,$B296-1)-1)/(POWER(C$7,$B$3-1)-1)</f>
        <v>22517.4118434571</v>
      </c>
      <c r="D296" s="1">
        <f t="shared" si="972"/>
        <v>6755.22355303712</v>
      </c>
      <c r="E296" s="1">
        <f t="shared" si="972"/>
        <v>4503.48236869141</v>
      </c>
      <c r="F296" s="1">
        <f t="shared" si="972"/>
        <v>82658.8536025639</v>
      </c>
      <c r="G296" s="1">
        <f t="shared" si="972"/>
        <v>24797.6560807692</v>
      </c>
      <c r="H296" s="1">
        <f t="shared" si="972"/>
        <v>16531.7707205128</v>
      </c>
      <c r="I296" s="1">
        <f t="shared" si="972"/>
        <v>0</v>
      </c>
      <c r="J296" s="1">
        <f>[1]标准模型!$I$65/1*$B296/$B$3</f>
        <v>2.052</v>
      </c>
      <c r="K296" s="1">
        <f>J296*[1]标准模型!$J$63</f>
        <v>2.052</v>
      </c>
      <c r="L296" s="1">
        <f t="shared" si="865"/>
        <v>105176.265446021</v>
      </c>
      <c r="M296" s="1">
        <f t="shared" si="866"/>
        <v>45414.5983646385</v>
      </c>
      <c r="N296" s="1">
        <f t="shared" si="867"/>
        <v>30276.398909759</v>
      </c>
      <c r="O296" s="1">
        <f t="shared" ref="O296:X296" si="973">O$5+(O$6-O$5)*(POWER(O$7,$B296-1)-1)/(POWER(O$7,$B$3-1)-1)</f>
        <v>0.784599729122258</v>
      </c>
      <c r="P296" s="1">
        <f t="shared" si="973"/>
        <v>0.190764778138095</v>
      </c>
      <c r="Q296" s="1">
        <f t="shared" si="973"/>
        <v>0.431529851017242</v>
      </c>
      <c r="R296" s="1">
        <f t="shared" si="973"/>
        <v>1.1138398916489</v>
      </c>
      <c r="S296" s="1">
        <f t="shared" si="973"/>
        <v>0.398439620771161</v>
      </c>
      <c r="T296" s="1">
        <f t="shared" si="973"/>
        <v>3.10993894357681</v>
      </c>
      <c r="U296" s="1">
        <f t="shared" si="973"/>
        <v>1</v>
      </c>
      <c r="V296" s="1">
        <f t="shared" si="973"/>
        <v>1.31038397808547</v>
      </c>
      <c r="W296" s="1">
        <f t="shared" si="973"/>
        <v>1.17513829484447</v>
      </c>
      <c r="X296" s="1">
        <f t="shared" si="973"/>
        <v>1.91071913319123</v>
      </c>
      <c r="Y296" s="1">
        <f t="shared" si="891"/>
        <v>4.49008552150592</v>
      </c>
      <c r="Z296" s="1">
        <f t="shared" si="892"/>
        <v>8.486873473371</v>
      </c>
      <c r="AA296" s="1">
        <f t="shared" si="869"/>
        <v>892617.657242062</v>
      </c>
      <c r="AB296" s="1">
        <f t="shared" si="870"/>
        <v>45414.5983646385</v>
      </c>
      <c r="AC296" s="1">
        <f t="shared" si="871"/>
        <v>30276.398909759</v>
      </c>
      <c r="AD296" s="1">
        <f>AC296/(AC296+[1]战斗公式!$M$27)</f>
        <v>0.557818858986889</v>
      </c>
      <c r="AE296" s="1">
        <f t="shared" si="872"/>
        <v>2018669.66826519</v>
      </c>
      <c r="AF296" s="1">
        <f t="shared" si="873"/>
        <v>9.89954346516578</v>
      </c>
      <c r="AG296" s="1">
        <f t="shared" si="874"/>
        <v>5.23747607666453</v>
      </c>
      <c r="AH296" s="1">
        <f t="shared" si="875"/>
        <v>4.61285843024758</v>
      </c>
      <c r="AI296" s="1">
        <f t="shared" si="876"/>
        <v>1.30386011118714</v>
      </c>
      <c r="AJ296" s="1">
        <f t="shared" si="877"/>
        <v>1.00000054224392</v>
      </c>
      <c r="AK296" s="1">
        <f t="shared" si="878"/>
        <v>1.00254469217765</v>
      </c>
      <c r="AL296" s="1">
        <f t="shared" si="879"/>
        <v>0.910850354605329</v>
      </c>
      <c r="AM296" s="27">
        <f t="shared" si="880"/>
        <v>786165</v>
      </c>
      <c r="AN296" s="27">
        <f t="shared" si="881"/>
        <v>59214</v>
      </c>
      <c r="AO296" s="27">
        <f t="shared" si="882"/>
        <v>30276</v>
      </c>
      <c r="AP296" s="1">
        <f t="shared" si="883"/>
        <v>416989</v>
      </c>
      <c r="AQ296" s="1">
        <f t="shared" si="884"/>
        <v>53935</v>
      </c>
      <c r="AR296"/>
      <c r="AS296" s="1">
        <f t="shared" ref="AS296:AY296" si="974">ROUNDUP(AS$10*$AP296,0)</f>
        <v>416989</v>
      </c>
      <c r="AT296" s="1">
        <f t="shared" si="974"/>
        <v>1250967</v>
      </c>
      <c r="AU296" s="1">
        <f t="shared" si="974"/>
        <v>750581</v>
      </c>
      <c r="AV296" s="1">
        <f t="shared" si="974"/>
        <v>208495</v>
      </c>
      <c r="AW296" s="1">
        <f t="shared" si="974"/>
        <v>62549</v>
      </c>
      <c r="AX296" s="1">
        <f t="shared" si="974"/>
        <v>1667956</v>
      </c>
      <c r="AY296" s="1">
        <f t="shared" si="974"/>
        <v>3752901</v>
      </c>
      <c r="AZ296" s="1">
        <f t="shared" si="886"/>
        <v>47169926</v>
      </c>
      <c r="BA296" s="1">
        <f t="shared" si="887"/>
        <v>23584963</v>
      </c>
      <c r="BC296" s="1">
        <f t="shared" si="888"/>
        <v>285</v>
      </c>
    </row>
    <row r="297" s="1" customFormat="1" spans="2:55">
      <c r="B297" s="4">
        <v>286</v>
      </c>
      <c r="C297" s="1">
        <f t="shared" ref="C297:I297" si="975">C$5+(C$6-C$5)*(POWER(C$7,$B297-1)-1)/(POWER(C$7,$B$3-1)-1)</f>
        <v>22596.4090776815</v>
      </c>
      <c r="D297" s="1">
        <f t="shared" si="975"/>
        <v>6778.92272330444</v>
      </c>
      <c r="E297" s="1">
        <f t="shared" si="975"/>
        <v>4519.2818155363</v>
      </c>
      <c r="F297" s="1">
        <f t="shared" si="975"/>
        <v>82948.8434497168</v>
      </c>
      <c r="G297" s="1">
        <f t="shared" si="975"/>
        <v>24884.653034915</v>
      </c>
      <c r="H297" s="1">
        <f t="shared" si="975"/>
        <v>16589.7686899434</v>
      </c>
      <c r="I297" s="1">
        <f t="shared" si="975"/>
        <v>0</v>
      </c>
      <c r="J297" s="1">
        <f>[1]标准模型!$I$65/1*$B297/$B$3</f>
        <v>2.0592</v>
      </c>
      <c r="K297" s="1">
        <f>J297*[1]标准模型!$J$63</f>
        <v>2.0592</v>
      </c>
      <c r="L297" s="1">
        <f t="shared" si="865"/>
        <v>105545.252527398</v>
      </c>
      <c r="M297" s="1">
        <f t="shared" si="866"/>
        <v>45622.7334300479</v>
      </c>
      <c r="N297" s="1">
        <f t="shared" si="867"/>
        <v>30415.1556200321</v>
      </c>
      <c r="O297" s="1">
        <f t="shared" ref="O297:X297" si="976">O$5+(O$6-O$5)*(POWER(O$7,$B297-1)-1)/(POWER(O$7,$B$3-1)-1)</f>
        <v>0.785601698050297</v>
      </c>
      <c r="P297" s="1">
        <f t="shared" si="976"/>
        <v>0.191590182430831</v>
      </c>
      <c r="Q297" s="1">
        <f t="shared" si="976"/>
        <v>0.432080933927663</v>
      </c>
      <c r="R297" s="1">
        <f t="shared" si="976"/>
        <v>1.11424067922012</v>
      </c>
      <c r="S297" s="1">
        <f t="shared" si="976"/>
        <v>0.399842377270415</v>
      </c>
      <c r="T297" s="1">
        <f t="shared" si="976"/>
        <v>3.11384662239616</v>
      </c>
      <c r="U297" s="1">
        <f t="shared" si="976"/>
        <v>1</v>
      </c>
      <c r="V297" s="1">
        <f t="shared" si="976"/>
        <v>1.31147672368562</v>
      </c>
      <c r="W297" s="1">
        <f t="shared" si="976"/>
        <v>1.17575489110787</v>
      </c>
      <c r="X297" s="1">
        <f t="shared" si="976"/>
        <v>1.91392543376095</v>
      </c>
      <c r="Y297" s="1">
        <f t="shared" si="891"/>
        <v>4.52111337730205</v>
      </c>
      <c r="Z297" s="1">
        <f t="shared" si="892"/>
        <v>8.5510847284139</v>
      </c>
      <c r="AA297" s="1">
        <f t="shared" si="869"/>
        <v>902526.397043624</v>
      </c>
      <c r="AB297" s="1">
        <f t="shared" si="870"/>
        <v>45622.7334300479</v>
      </c>
      <c r="AC297" s="1">
        <f t="shared" si="871"/>
        <v>30415.1556200321</v>
      </c>
      <c r="AD297" s="1">
        <f>AC297/(AC297+[1]战斗公式!$M$27)</f>
        <v>0.558946405159874</v>
      </c>
      <c r="AE297" s="1">
        <f t="shared" si="872"/>
        <v>2046296.43109649</v>
      </c>
      <c r="AF297" s="1">
        <f t="shared" si="873"/>
        <v>9.92068926164848</v>
      </c>
      <c r="AG297" s="1">
        <f t="shared" si="874"/>
        <v>5.24524810096406</v>
      </c>
      <c r="AH297" s="1">
        <f t="shared" si="875"/>
        <v>4.61647964625177</v>
      </c>
      <c r="AI297" s="1">
        <f t="shared" si="876"/>
        <v>1.30757291209729</v>
      </c>
      <c r="AJ297" s="1">
        <f t="shared" si="877"/>
        <v>1.00000051513128</v>
      </c>
      <c r="AK297" s="1">
        <f t="shared" si="878"/>
        <v>1.00249312852671</v>
      </c>
      <c r="AL297" s="1">
        <f t="shared" si="879"/>
        <v>0.911097176004872</v>
      </c>
      <c r="AM297" s="27">
        <f t="shared" si="880"/>
        <v>794337</v>
      </c>
      <c r="AN297" s="27">
        <f t="shared" si="881"/>
        <v>59655</v>
      </c>
      <c r="AO297" s="27">
        <f t="shared" si="882"/>
        <v>30415</v>
      </c>
      <c r="AP297" s="1">
        <f t="shared" si="883"/>
        <v>421027</v>
      </c>
      <c r="AQ297" s="1">
        <f t="shared" si="884"/>
        <v>54352</v>
      </c>
      <c r="AR297"/>
      <c r="AS297" s="1">
        <f t="shared" ref="AS297:AY297" si="977">ROUNDUP(AS$10*$AP297,0)</f>
        <v>421027</v>
      </c>
      <c r="AT297" s="1">
        <f t="shared" si="977"/>
        <v>1263081</v>
      </c>
      <c r="AU297" s="1">
        <f t="shared" si="977"/>
        <v>757849</v>
      </c>
      <c r="AV297" s="1">
        <f t="shared" si="977"/>
        <v>210514</v>
      </c>
      <c r="AW297" s="1">
        <f t="shared" si="977"/>
        <v>63155</v>
      </c>
      <c r="AX297" s="1">
        <f t="shared" si="977"/>
        <v>1684108</v>
      </c>
      <c r="AY297" s="1">
        <f t="shared" si="977"/>
        <v>3789243</v>
      </c>
      <c r="AZ297" s="1">
        <f t="shared" si="886"/>
        <v>47660245</v>
      </c>
      <c r="BA297" s="1">
        <f t="shared" si="887"/>
        <v>23830122</v>
      </c>
      <c r="BC297" s="1">
        <f t="shared" si="888"/>
        <v>286</v>
      </c>
    </row>
    <row r="298" s="1" customFormat="1" spans="2:55">
      <c r="B298" s="4">
        <v>287</v>
      </c>
      <c r="C298" s="1">
        <f t="shared" ref="C298:I298" si="978">C$5+(C$6-C$5)*(POWER(C$7,$B298-1)-1)/(POWER(C$7,$B$3-1)-1)</f>
        <v>22675.4062329143</v>
      </c>
      <c r="D298" s="1">
        <f t="shared" si="978"/>
        <v>6802.62186987429</v>
      </c>
      <c r="E298" s="1">
        <f t="shared" si="978"/>
        <v>4535.08124658286</v>
      </c>
      <c r="F298" s="1">
        <f t="shared" si="978"/>
        <v>83238.8330069006</v>
      </c>
      <c r="G298" s="1">
        <f t="shared" si="978"/>
        <v>24971.6499020702</v>
      </c>
      <c r="H298" s="1">
        <f t="shared" si="978"/>
        <v>16647.7666013801</v>
      </c>
      <c r="I298" s="1">
        <f t="shared" si="978"/>
        <v>0</v>
      </c>
      <c r="J298" s="1">
        <f>[1]标准模型!$I$65/1*$B298/$B$3</f>
        <v>2.0664</v>
      </c>
      <c r="K298" s="1">
        <f>J298*[1]标准模型!$J$63</f>
        <v>2.0664</v>
      </c>
      <c r="L298" s="1">
        <f t="shared" si="865"/>
        <v>105914.239239815</v>
      </c>
      <c r="M298" s="1">
        <f t="shared" si="866"/>
        <v>45831.2096038527</v>
      </c>
      <c r="N298" s="1">
        <f t="shared" si="867"/>
        <v>30554.1397359018</v>
      </c>
      <c r="O298" s="1">
        <f t="shared" ref="O298:X298" si="979">O$5+(O$6-O$5)*(POWER(O$7,$B298-1)-1)/(POWER(O$7,$B$3-1)-1)</f>
        <v>0.786603665976437</v>
      </c>
      <c r="P298" s="1">
        <f t="shared" si="979"/>
        <v>0.192416824830007</v>
      </c>
      <c r="Q298" s="1">
        <f t="shared" si="979"/>
        <v>0.432632016287041</v>
      </c>
      <c r="R298" s="1">
        <f t="shared" si="979"/>
        <v>1.11464146639058</v>
      </c>
      <c r="S298" s="1">
        <f t="shared" si="979"/>
        <v>0.401245132367013</v>
      </c>
      <c r="T298" s="1">
        <f t="shared" si="979"/>
        <v>3.11775429730811</v>
      </c>
      <c r="U298" s="1">
        <f t="shared" si="979"/>
        <v>1</v>
      </c>
      <c r="V298" s="1">
        <f t="shared" si="979"/>
        <v>1.31256946819311</v>
      </c>
      <c r="W298" s="1">
        <f t="shared" si="979"/>
        <v>1.17637148675473</v>
      </c>
      <c r="X298" s="1">
        <f t="shared" si="979"/>
        <v>1.9171317311246</v>
      </c>
      <c r="Y298" s="1">
        <f t="shared" si="891"/>
        <v>4.55233047621353</v>
      </c>
      <c r="Z298" s="1">
        <f t="shared" si="892"/>
        <v>8.61573042772106</v>
      </c>
      <c r="AA298" s="1">
        <f t="shared" si="869"/>
        <v>912528.533747401</v>
      </c>
      <c r="AB298" s="1">
        <f t="shared" si="870"/>
        <v>45831.2096038527</v>
      </c>
      <c r="AC298" s="1">
        <f t="shared" si="871"/>
        <v>30554.1397359018</v>
      </c>
      <c r="AD298" s="1">
        <f>AC298/(AC298+[1]战斗公式!$M$27)</f>
        <v>0.560070049382417</v>
      </c>
      <c r="AE298" s="1">
        <f t="shared" si="872"/>
        <v>2074258.71429389</v>
      </c>
      <c r="AF298" s="1">
        <f t="shared" si="873"/>
        <v>9.94186408564495</v>
      </c>
      <c r="AG298" s="1">
        <f t="shared" si="874"/>
        <v>5.25302541057167</v>
      </c>
      <c r="AH298" s="1">
        <f t="shared" si="875"/>
        <v>4.62007370313594</v>
      </c>
      <c r="AI298" s="1">
        <f t="shared" si="876"/>
        <v>1.31129313860926</v>
      </c>
      <c r="AJ298" s="1">
        <f t="shared" si="877"/>
        <v>1.00000048937428</v>
      </c>
      <c r="AK298" s="1">
        <f t="shared" si="878"/>
        <v>1.00244259614879</v>
      </c>
      <c r="AL298" s="1">
        <f t="shared" si="879"/>
        <v>0.911343256940218</v>
      </c>
      <c r="AM298" s="27">
        <f t="shared" si="880"/>
        <v>802575</v>
      </c>
      <c r="AN298" s="27">
        <f t="shared" si="881"/>
        <v>60098</v>
      </c>
      <c r="AO298" s="27">
        <f t="shared" si="882"/>
        <v>30554</v>
      </c>
      <c r="AP298" s="1">
        <f t="shared" si="883"/>
        <v>425096</v>
      </c>
      <c r="AQ298" s="1">
        <f t="shared" si="884"/>
        <v>54770</v>
      </c>
      <c r="AR298"/>
      <c r="AS298" s="1">
        <f t="shared" ref="AS298:AY298" si="980">ROUNDUP(AS$10*$AP298,0)</f>
        <v>425096</v>
      </c>
      <c r="AT298" s="1">
        <f t="shared" si="980"/>
        <v>1275288</v>
      </c>
      <c r="AU298" s="1">
        <f t="shared" si="980"/>
        <v>765173</v>
      </c>
      <c r="AV298" s="1">
        <f t="shared" si="980"/>
        <v>212548</v>
      </c>
      <c r="AW298" s="1">
        <f t="shared" si="980"/>
        <v>63765</v>
      </c>
      <c r="AX298" s="1">
        <f t="shared" si="980"/>
        <v>1700384</v>
      </c>
      <c r="AY298" s="1">
        <f t="shared" si="980"/>
        <v>3825864</v>
      </c>
      <c r="AZ298" s="1">
        <f t="shared" si="886"/>
        <v>48154524</v>
      </c>
      <c r="BA298" s="1">
        <f t="shared" si="887"/>
        <v>24077262</v>
      </c>
      <c r="BC298" s="1">
        <f t="shared" si="888"/>
        <v>287</v>
      </c>
    </row>
    <row r="299" s="1" customFormat="1" spans="2:55">
      <c r="B299" s="4">
        <v>288</v>
      </c>
      <c r="C299" s="1">
        <f t="shared" ref="C299:I299" si="981">C$5+(C$6-C$5)*(POWER(C$7,$B299-1)-1)/(POWER(C$7,$B$3-1)-1)</f>
        <v>22754.4033091467</v>
      </c>
      <c r="D299" s="1">
        <f t="shared" si="981"/>
        <v>6826.32099274401</v>
      </c>
      <c r="E299" s="1">
        <f t="shared" si="981"/>
        <v>4550.88066182934</v>
      </c>
      <c r="F299" s="1">
        <f t="shared" si="981"/>
        <v>83528.8222740829</v>
      </c>
      <c r="G299" s="1">
        <f t="shared" si="981"/>
        <v>25058.6466822249</v>
      </c>
      <c r="H299" s="1">
        <f t="shared" si="981"/>
        <v>16705.7644548166</v>
      </c>
      <c r="I299" s="1">
        <f t="shared" si="981"/>
        <v>0</v>
      </c>
      <c r="J299" s="1">
        <f>[1]标准模型!$I$65/1*$B299/$B$3</f>
        <v>2.0736</v>
      </c>
      <c r="K299" s="1">
        <f>J299*[1]标准模型!$J$63</f>
        <v>2.0736</v>
      </c>
      <c r="L299" s="1">
        <f t="shared" si="865"/>
        <v>106283.22558323</v>
      </c>
      <c r="M299" s="1">
        <f t="shared" si="866"/>
        <v>46040.0268855229</v>
      </c>
      <c r="N299" s="1">
        <f t="shared" si="867"/>
        <v>30693.3512570153</v>
      </c>
      <c r="O299" s="1">
        <f t="shared" ref="O299:X299" si="982">O$5+(O$6-O$5)*(POWER(O$7,$B299-1)-1)/(POWER(O$7,$B$3-1)-1)</f>
        <v>0.78760563290057</v>
      </c>
      <c r="P299" s="1">
        <f t="shared" si="982"/>
        <v>0.193244707192782</v>
      </c>
      <c r="Q299" s="1">
        <f t="shared" si="982"/>
        <v>0.433183098095313</v>
      </c>
      <c r="R299" s="1">
        <f t="shared" si="982"/>
        <v>1.11504225316023</v>
      </c>
      <c r="S299" s="1">
        <f t="shared" si="982"/>
        <v>0.402647886060798</v>
      </c>
      <c r="T299" s="1">
        <f t="shared" si="982"/>
        <v>3.12166196831222</v>
      </c>
      <c r="U299" s="1">
        <f t="shared" si="982"/>
        <v>1</v>
      </c>
      <c r="V299" s="1">
        <f t="shared" si="982"/>
        <v>1.3136622116078</v>
      </c>
      <c r="W299" s="1">
        <f t="shared" si="982"/>
        <v>1.17698808178497</v>
      </c>
      <c r="X299" s="1">
        <f t="shared" si="982"/>
        <v>1.92033802528182</v>
      </c>
      <c r="Y299" s="1">
        <f t="shared" si="891"/>
        <v>4.58373779459589</v>
      </c>
      <c r="Z299" s="1">
        <f t="shared" si="892"/>
        <v>8.68081311021493</v>
      </c>
      <c r="AA299" s="1">
        <f t="shared" si="869"/>
        <v>922624.81803883</v>
      </c>
      <c r="AB299" s="1">
        <f t="shared" si="870"/>
        <v>46040.0268855229</v>
      </c>
      <c r="AC299" s="1">
        <f t="shared" si="871"/>
        <v>30693.3512570153</v>
      </c>
      <c r="AD299" s="1">
        <f>AC299/(AC299+[1]战斗公式!$M$27)</f>
        <v>0.561189807382271</v>
      </c>
      <c r="AE299" s="1">
        <f t="shared" si="872"/>
        <v>2102560.13547656</v>
      </c>
      <c r="AF299" s="1">
        <f t="shared" si="873"/>
        <v>9.96306791609394</v>
      </c>
      <c r="AG299" s="1">
        <f t="shared" si="874"/>
        <v>5.26080798852664</v>
      </c>
      <c r="AH299" s="1">
        <f t="shared" si="875"/>
        <v>4.62364080459347</v>
      </c>
      <c r="AI299" s="1">
        <f t="shared" si="876"/>
        <v>1.31502080557425</v>
      </c>
      <c r="AJ299" s="1">
        <f t="shared" si="877"/>
        <v>1.00000046490512</v>
      </c>
      <c r="AK299" s="1">
        <f t="shared" si="878"/>
        <v>1.00239307441842</v>
      </c>
      <c r="AL299" s="1">
        <f t="shared" si="879"/>
        <v>0.911588599632757</v>
      </c>
      <c r="AM299" s="27">
        <f t="shared" si="880"/>
        <v>810880</v>
      </c>
      <c r="AN299" s="27">
        <f t="shared" si="881"/>
        <v>60544</v>
      </c>
      <c r="AO299" s="27">
        <f t="shared" si="882"/>
        <v>30693</v>
      </c>
      <c r="AP299" s="1">
        <f t="shared" si="883"/>
        <v>429195</v>
      </c>
      <c r="AQ299" s="1">
        <f t="shared" si="884"/>
        <v>55191</v>
      </c>
      <c r="AR299"/>
      <c r="AS299" s="1">
        <f t="shared" ref="AS299:AY299" si="983">ROUNDUP(AS$10*$AP299,0)</f>
        <v>429195</v>
      </c>
      <c r="AT299" s="1">
        <f t="shared" si="983"/>
        <v>1287585</v>
      </c>
      <c r="AU299" s="1">
        <f t="shared" si="983"/>
        <v>772551</v>
      </c>
      <c r="AV299" s="1">
        <f t="shared" si="983"/>
        <v>214598</v>
      </c>
      <c r="AW299" s="1">
        <f t="shared" si="983"/>
        <v>64380</v>
      </c>
      <c r="AX299" s="1">
        <f t="shared" si="983"/>
        <v>1716780</v>
      </c>
      <c r="AY299" s="1">
        <f t="shared" si="983"/>
        <v>3862755</v>
      </c>
      <c r="AZ299" s="1">
        <f t="shared" si="886"/>
        <v>48652823</v>
      </c>
      <c r="BA299" s="1">
        <f t="shared" si="887"/>
        <v>24326411</v>
      </c>
      <c r="BC299" s="1">
        <f t="shared" si="888"/>
        <v>288</v>
      </c>
    </row>
    <row r="300" s="1" customFormat="1" spans="2:55">
      <c r="B300" s="4">
        <v>289</v>
      </c>
      <c r="C300" s="1">
        <f t="shared" ref="C300:I300" si="984">C$5+(C$6-C$5)*(POWER(C$7,$B300-1)-1)/(POWER(C$7,$B$3-1)-1)</f>
        <v>22833.4003063788</v>
      </c>
      <c r="D300" s="1">
        <f t="shared" si="984"/>
        <v>6850.02009191363</v>
      </c>
      <c r="E300" s="1">
        <f t="shared" si="984"/>
        <v>4566.68006127575</v>
      </c>
      <c r="F300" s="1">
        <f t="shared" si="984"/>
        <v>83818.8112512638</v>
      </c>
      <c r="G300" s="1">
        <f t="shared" si="984"/>
        <v>25145.6433753792</v>
      </c>
      <c r="H300" s="1">
        <f t="shared" si="984"/>
        <v>16763.7622502528</v>
      </c>
      <c r="I300" s="1">
        <f t="shared" si="984"/>
        <v>0</v>
      </c>
      <c r="J300" s="1">
        <f>[1]标准模型!$I$65/1*$B300/$B$3</f>
        <v>2.0808</v>
      </c>
      <c r="K300" s="1">
        <f>J300*[1]标准模型!$J$63</f>
        <v>2.0808</v>
      </c>
      <c r="L300" s="1">
        <f t="shared" si="865"/>
        <v>106652.211557643</v>
      </c>
      <c r="M300" s="1">
        <f t="shared" si="866"/>
        <v>46249.1852745467</v>
      </c>
      <c r="N300" s="1">
        <f t="shared" si="867"/>
        <v>30832.7901830311</v>
      </c>
      <c r="O300" s="1">
        <f t="shared" ref="O300:X300" si="985">O$5+(O$6-O$5)*(POWER(O$7,$B300-1)-1)/(POWER(O$7,$B$3-1)-1)</f>
        <v>0.788607598822693</v>
      </c>
      <c r="P300" s="1">
        <f t="shared" si="985"/>
        <v>0.194073831379101</v>
      </c>
      <c r="Q300" s="1">
        <f t="shared" si="985"/>
        <v>0.433734179352481</v>
      </c>
      <c r="R300" s="1">
        <f t="shared" si="985"/>
        <v>1.11544303952908</v>
      </c>
      <c r="S300" s="1">
        <f t="shared" si="985"/>
        <v>0.40405063835177</v>
      </c>
      <c r="T300" s="1">
        <f t="shared" si="985"/>
        <v>3.1255696354085</v>
      </c>
      <c r="U300" s="1">
        <f t="shared" si="985"/>
        <v>1</v>
      </c>
      <c r="V300" s="1">
        <f t="shared" si="985"/>
        <v>1.31475495392971</v>
      </c>
      <c r="W300" s="1">
        <f t="shared" si="985"/>
        <v>1.17760467619858</v>
      </c>
      <c r="X300" s="1">
        <f t="shared" si="985"/>
        <v>1.92354431623262</v>
      </c>
      <c r="Y300" s="1">
        <f t="shared" si="891"/>
        <v>4.61533631281251</v>
      </c>
      <c r="Z300" s="1">
        <f t="shared" si="892"/>
        <v>8.746335327046</v>
      </c>
      <c r="AA300" s="1">
        <f t="shared" si="869"/>
        <v>932816.005654193</v>
      </c>
      <c r="AB300" s="1">
        <f t="shared" si="870"/>
        <v>46249.1852745467</v>
      </c>
      <c r="AC300" s="1">
        <f t="shared" si="871"/>
        <v>30832.7901830311</v>
      </c>
      <c r="AD300" s="1">
        <f>AC300/(AC300+[1]战斗公式!$M$27)</f>
        <v>0.562305694824423</v>
      </c>
      <c r="AE300" s="1">
        <f t="shared" si="872"/>
        <v>2131204.34655873</v>
      </c>
      <c r="AF300" s="1">
        <f t="shared" si="873"/>
        <v>9.98430073198914</v>
      </c>
      <c r="AG300" s="1">
        <f t="shared" si="874"/>
        <v>5.26859581794166</v>
      </c>
      <c r="AH300" s="1">
        <f t="shared" si="875"/>
        <v>4.62718115279007</v>
      </c>
      <c r="AI300" s="1">
        <f t="shared" si="876"/>
        <v>1.31875592787317</v>
      </c>
      <c r="AJ300" s="1">
        <f t="shared" si="877"/>
        <v>1.00000044165943</v>
      </c>
      <c r="AK300" s="1">
        <f t="shared" si="878"/>
        <v>1.00234454312267</v>
      </c>
      <c r="AL300" s="1">
        <f t="shared" si="879"/>
        <v>0.911833206297218</v>
      </c>
      <c r="AM300" s="27">
        <f t="shared" si="880"/>
        <v>819252</v>
      </c>
      <c r="AN300" s="27">
        <f t="shared" si="881"/>
        <v>60991</v>
      </c>
      <c r="AO300" s="27">
        <f t="shared" si="882"/>
        <v>30833</v>
      </c>
      <c r="AP300" s="1">
        <f t="shared" si="883"/>
        <v>433323</v>
      </c>
      <c r="AQ300" s="1">
        <f t="shared" si="884"/>
        <v>55614</v>
      </c>
      <c r="AR300"/>
      <c r="AS300" s="1">
        <f t="shared" ref="AS300:AY300" si="986">ROUNDUP(AS$10*$AP300,0)</f>
        <v>433323</v>
      </c>
      <c r="AT300" s="1">
        <f t="shared" si="986"/>
        <v>1299969</v>
      </c>
      <c r="AU300" s="1">
        <f t="shared" si="986"/>
        <v>779982</v>
      </c>
      <c r="AV300" s="1">
        <f t="shared" si="986"/>
        <v>216662</v>
      </c>
      <c r="AW300" s="1">
        <f t="shared" si="986"/>
        <v>64999</v>
      </c>
      <c r="AX300" s="1">
        <f t="shared" si="986"/>
        <v>1733292</v>
      </c>
      <c r="AY300" s="1">
        <f t="shared" si="986"/>
        <v>3899907</v>
      </c>
      <c r="AZ300" s="1">
        <f t="shared" si="886"/>
        <v>49155142</v>
      </c>
      <c r="BA300" s="1">
        <f t="shared" si="887"/>
        <v>24577571</v>
      </c>
      <c r="BC300" s="1">
        <f t="shared" si="888"/>
        <v>289</v>
      </c>
    </row>
    <row r="301" s="1" customFormat="1" spans="2:55">
      <c r="B301" s="4">
        <v>290</v>
      </c>
      <c r="C301" s="1">
        <f t="shared" ref="C301:I301" si="987">C$5+(C$6-C$5)*(POWER(C$7,$B301-1)-1)/(POWER(C$7,$B$3-1)-1)</f>
        <v>22912.3972246192</v>
      </c>
      <c r="D301" s="1">
        <f t="shared" si="987"/>
        <v>6873.71916738576</v>
      </c>
      <c r="E301" s="1">
        <f t="shared" si="987"/>
        <v>4582.47944492384</v>
      </c>
      <c r="F301" s="1">
        <f t="shared" si="987"/>
        <v>84108.7999384756</v>
      </c>
      <c r="G301" s="1">
        <f t="shared" si="987"/>
        <v>25232.6399815427</v>
      </c>
      <c r="H301" s="1">
        <f t="shared" si="987"/>
        <v>16821.7599876951</v>
      </c>
      <c r="I301" s="1">
        <f t="shared" si="987"/>
        <v>0</v>
      </c>
      <c r="J301" s="1">
        <f>[1]标准模型!$I$65/1*$B301/$B$3</f>
        <v>2.088</v>
      </c>
      <c r="K301" s="1">
        <f>J301*[1]标准模型!$J$63</f>
        <v>2.088</v>
      </c>
      <c r="L301" s="1">
        <f t="shared" si="865"/>
        <v>107021.197163095</v>
      </c>
      <c r="M301" s="1">
        <f t="shared" si="866"/>
        <v>46458.6847704299</v>
      </c>
      <c r="N301" s="1">
        <f t="shared" si="867"/>
        <v>30972.4565136199</v>
      </c>
      <c r="O301" s="1">
        <f t="shared" ref="O301:X301" si="988">O$5+(O$6-O$5)*(POWER(O$7,$B301-1)-1)/(POWER(O$7,$B$3-1)-1)</f>
        <v>0.789609563742919</v>
      </c>
      <c r="P301" s="1">
        <f t="shared" si="988"/>
        <v>0.194904199251699</v>
      </c>
      <c r="Q301" s="1">
        <f t="shared" si="988"/>
        <v>0.434285260058605</v>
      </c>
      <c r="R301" s="1">
        <f t="shared" si="988"/>
        <v>1.11584382549717</v>
      </c>
      <c r="S301" s="1">
        <f t="shared" si="988"/>
        <v>0.405453389240087</v>
      </c>
      <c r="T301" s="1">
        <f t="shared" si="988"/>
        <v>3.12947729859738</v>
      </c>
      <c r="U301" s="1">
        <f t="shared" si="988"/>
        <v>1</v>
      </c>
      <c r="V301" s="1">
        <f t="shared" si="988"/>
        <v>1.31584769515894</v>
      </c>
      <c r="W301" s="1">
        <f t="shared" si="988"/>
        <v>1.17822126999564</v>
      </c>
      <c r="X301" s="1">
        <f t="shared" si="988"/>
        <v>1.92675060397734</v>
      </c>
      <c r="Y301" s="1">
        <f t="shared" si="891"/>
        <v>4.64712701524742</v>
      </c>
      <c r="Z301" s="1">
        <f t="shared" si="892"/>
        <v>8.8122996416397</v>
      </c>
      <c r="AA301" s="1">
        <f t="shared" si="869"/>
        <v>943102.857408192</v>
      </c>
      <c r="AB301" s="1">
        <f t="shared" si="870"/>
        <v>46458.6847704299</v>
      </c>
      <c r="AC301" s="1">
        <f t="shared" si="871"/>
        <v>30972.4565136199</v>
      </c>
      <c r="AD301" s="1">
        <f>AC301/(AC301+[1]战斗公式!$M$27)</f>
        <v>0.563417727311244</v>
      </c>
      <c r="AE301" s="1">
        <f t="shared" si="872"/>
        <v>2160195.03403094</v>
      </c>
      <c r="AF301" s="1">
        <f t="shared" si="873"/>
        <v>10.0055625123789</v>
      </c>
      <c r="AG301" s="1">
        <f t="shared" si="874"/>
        <v>5.27638888200254</v>
      </c>
      <c r="AH301" s="1">
        <f t="shared" si="875"/>
        <v>4.6306949483752</v>
      </c>
      <c r="AI301" s="1">
        <f t="shared" si="876"/>
        <v>1.32249852041669</v>
      </c>
      <c r="AJ301" s="1">
        <f t="shared" si="877"/>
        <v>1.00000041957602</v>
      </c>
      <c r="AK301" s="1">
        <f t="shared" si="878"/>
        <v>1.00229698245283</v>
      </c>
      <c r="AL301" s="1">
        <f t="shared" si="879"/>
        <v>0.912077079141686</v>
      </c>
      <c r="AM301" s="27">
        <f t="shared" si="880"/>
        <v>827691</v>
      </c>
      <c r="AN301" s="27">
        <f t="shared" si="881"/>
        <v>61442</v>
      </c>
      <c r="AO301" s="27">
        <f t="shared" si="882"/>
        <v>30972</v>
      </c>
      <c r="AP301" s="1">
        <f t="shared" si="883"/>
        <v>437482</v>
      </c>
      <c r="AQ301" s="1">
        <f t="shared" si="884"/>
        <v>56040</v>
      </c>
      <c r="AR301"/>
      <c r="AS301" s="1">
        <f t="shared" ref="AS301:AY301" si="989">ROUNDUP(AS$10*$AP301,0)</f>
        <v>437482</v>
      </c>
      <c r="AT301" s="1">
        <f t="shared" si="989"/>
        <v>1312446</v>
      </c>
      <c r="AU301" s="1">
        <f t="shared" si="989"/>
        <v>787468</v>
      </c>
      <c r="AV301" s="1">
        <f t="shared" si="989"/>
        <v>218741</v>
      </c>
      <c r="AW301" s="1">
        <f t="shared" si="989"/>
        <v>65623</v>
      </c>
      <c r="AX301" s="1">
        <f t="shared" si="989"/>
        <v>1749928</v>
      </c>
      <c r="AY301" s="1">
        <f t="shared" si="989"/>
        <v>3937338</v>
      </c>
      <c r="AZ301" s="1">
        <f t="shared" si="886"/>
        <v>49661481</v>
      </c>
      <c r="BA301" s="1">
        <f t="shared" si="887"/>
        <v>24830740</v>
      </c>
      <c r="BC301" s="1">
        <f t="shared" si="888"/>
        <v>290</v>
      </c>
    </row>
    <row r="302" s="1" customFormat="1" spans="2:55">
      <c r="B302" s="4">
        <v>291</v>
      </c>
      <c r="C302" s="1">
        <f t="shared" ref="C302:I302" si="990">C$5+(C$6-C$5)*(POWER(C$7,$B302-1)-1)/(POWER(C$7,$B$3-1)-1)</f>
        <v>22991.3940638593</v>
      </c>
      <c r="D302" s="1">
        <f t="shared" si="990"/>
        <v>6897.41821915778</v>
      </c>
      <c r="E302" s="1">
        <f t="shared" si="990"/>
        <v>4598.27881277186</v>
      </c>
      <c r="F302" s="1">
        <f t="shared" si="990"/>
        <v>84398.788335686</v>
      </c>
      <c r="G302" s="1">
        <f t="shared" si="990"/>
        <v>25319.6365007058</v>
      </c>
      <c r="H302" s="1">
        <f t="shared" si="990"/>
        <v>16879.7576671372</v>
      </c>
      <c r="I302" s="1">
        <f t="shared" si="990"/>
        <v>0</v>
      </c>
      <c r="J302" s="1">
        <f>[1]标准模型!$I$65/1*$B302/$B$3</f>
        <v>2.0952</v>
      </c>
      <c r="K302" s="1">
        <f>J302*[1]标准模型!$J$63</f>
        <v>2.0952</v>
      </c>
      <c r="L302" s="1">
        <f t="shared" si="865"/>
        <v>107390.182399545</v>
      </c>
      <c r="M302" s="1">
        <f t="shared" si="866"/>
        <v>46668.525372643</v>
      </c>
      <c r="N302" s="1">
        <f t="shared" si="867"/>
        <v>31112.3502484287</v>
      </c>
      <c r="O302" s="1">
        <f t="shared" ref="O302:X302" si="991">O$5+(O$6-O$5)*(POWER(O$7,$B302-1)-1)/(POWER(O$7,$B$3-1)-1)</f>
        <v>0.790611527661136</v>
      </c>
      <c r="P302" s="1">
        <f t="shared" si="991"/>
        <v>0.195735812676106</v>
      </c>
      <c r="Q302" s="1">
        <f t="shared" si="991"/>
        <v>0.434836340213625</v>
      </c>
      <c r="R302" s="1">
        <f t="shared" si="991"/>
        <v>1.11624461106445</v>
      </c>
      <c r="S302" s="1">
        <f t="shared" si="991"/>
        <v>0.40685613872559</v>
      </c>
      <c r="T302" s="1">
        <f t="shared" si="991"/>
        <v>3.13338495787843</v>
      </c>
      <c r="U302" s="1">
        <f t="shared" si="991"/>
        <v>1</v>
      </c>
      <c r="V302" s="1">
        <f t="shared" si="991"/>
        <v>1.31694043529539</v>
      </c>
      <c r="W302" s="1">
        <f t="shared" si="991"/>
        <v>1.17883786317608</v>
      </c>
      <c r="X302" s="1">
        <f t="shared" si="991"/>
        <v>1.92995688851564</v>
      </c>
      <c r="Y302" s="1">
        <f t="shared" si="891"/>
        <v>4.67911089030869</v>
      </c>
      <c r="Z302" s="1">
        <f t="shared" si="892"/>
        <v>8.87870862972301</v>
      </c>
      <c r="AA302" s="1">
        <f t="shared" si="869"/>
        <v>953486.139218371</v>
      </c>
      <c r="AB302" s="1">
        <f t="shared" si="870"/>
        <v>46668.525372643</v>
      </c>
      <c r="AC302" s="1">
        <f t="shared" si="871"/>
        <v>31112.3502484287</v>
      </c>
      <c r="AD302" s="1">
        <f>AC302/(AC302+[1]战斗公式!$M$27)</f>
        <v>0.564525920382351</v>
      </c>
      <c r="AE302" s="1">
        <f t="shared" si="872"/>
        <v>2189535.91923437</v>
      </c>
      <c r="AF302" s="1">
        <f t="shared" si="873"/>
        <v>10.0268532363564</v>
      </c>
      <c r="AG302" s="1">
        <f t="shared" si="874"/>
        <v>5.28418716396438</v>
      </c>
      <c r="AH302" s="1">
        <f t="shared" si="875"/>
        <v>4.63418239049344</v>
      </c>
      <c r="AI302" s="1">
        <f t="shared" si="876"/>
        <v>1.3262485981453</v>
      </c>
      <c r="AJ302" s="1">
        <f t="shared" si="877"/>
        <v>1.00000039859677</v>
      </c>
      <c r="AK302" s="1">
        <f t="shared" si="878"/>
        <v>1.00225037299638</v>
      </c>
      <c r="AL302" s="1">
        <f t="shared" si="879"/>
        <v>0.912320220367621</v>
      </c>
      <c r="AM302" s="27">
        <f t="shared" si="880"/>
        <v>836198</v>
      </c>
      <c r="AN302" s="27">
        <f t="shared" si="881"/>
        <v>61894</v>
      </c>
      <c r="AO302" s="27">
        <f t="shared" si="882"/>
        <v>31112</v>
      </c>
      <c r="AP302" s="1">
        <f t="shared" si="883"/>
        <v>441671</v>
      </c>
      <c r="AQ302" s="1">
        <f t="shared" si="884"/>
        <v>56467</v>
      </c>
      <c r="AR302"/>
      <c r="AS302" s="1">
        <f t="shared" ref="AS302:AY302" si="992">ROUNDUP(AS$10*$AP302,0)</f>
        <v>441671</v>
      </c>
      <c r="AT302" s="1">
        <f t="shared" si="992"/>
        <v>1325013</v>
      </c>
      <c r="AU302" s="1">
        <f t="shared" si="992"/>
        <v>795008</v>
      </c>
      <c r="AV302" s="1">
        <f t="shared" si="992"/>
        <v>220836</v>
      </c>
      <c r="AW302" s="1">
        <f t="shared" si="992"/>
        <v>66251</v>
      </c>
      <c r="AX302" s="1">
        <f t="shared" si="992"/>
        <v>1766684</v>
      </c>
      <c r="AY302" s="1">
        <f t="shared" si="992"/>
        <v>3975039</v>
      </c>
      <c r="AZ302" s="1">
        <f t="shared" si="886"/>
        <v>50171900</v>
      </c>
      <c r="BA302" s="1">
        <f t="shared" si="887"/>
        <v>25085950</v>
      </c>
      <c r="BC302" s="1">
        <f t="shared" si="888"/>
        <v>291</v>
      </c>
    </row>
    <row r="303" s="1" customFormat="1" spans="2:55">
      <c r="B303" s="4">
        <v>292</v>
      </c>
      <c r="C303" s="1">
        <f t="shared" ref="C303:I303" si="993">C$5+(C$6-C$5)*(POWER(C$7,$B303-1)-1)/(POWER(C$7,$B$3-1)-1)</f>
        <v>23070.3908241077</v>
      </c>
      <c r="D303" s="1">
        <f t="shared" si="993"/>
        <v>6921.11724723232</v>
      </c>
      <c r="E303" s="1">
        <f t="shared" si="993"/>
        <v>4614.07816482155</v>
      </c>
      <c r="F303" s="1">
        <f t="shared" si="993"/>
        <v>84688.7764429272</v>
      </c>
      <c r="G303" s="1">
        <f t="shared" si="993"/>
        <v>25406.6329328781</v>
      </c>
      <c r="H303" s="1">
        <f t="shared" si="993"/>
        <v>16937.7552885854</v>
      </c>
      <c r="I303" s="1">
        <f t="shared" si="993"/>
        <v>0</v>
      </c>
      <c r="J303" s="1">
        <f>[1]标准模型!$I$65/1*$B303/$B$3</f>
        <v>2.1024</v>
      </c>
      <c r="K303" s="1">
        <f>J303*[1]标准模型!$J$63</f>
        <v>2.1024</v>
      </c>
      <c r="L303" s="1">
        <f t="shared" si="865"/>
        <v>107759.167267035</v>
      </c>
      <c r="M303" s="1">
        <f t="shared" si="866"/>
        <v>46878.7070806916</v>
      </c>
      <c r="N303" s="1">
        <f t="shared" si="867"/>
        <v>31252.4713871278</v>
      </c>
      <c r="O303" s="1">
        <f t="shared" ref="O303:X303" si="994">O$5+(O$6-O$5)*(POWER(O$7,$B303-1)-1)/(POWER(O$7,$B$3-1)-1)</f>
        <v>0.791613490577455</v>
      </c>
      <c r="P303" s="1">
        <f t="shared" si="994"/>
        <v>0.19656867352065</v>
      </c>
      <c r="Q303" s="1">
        <f t="shared" si="994"/>
        <v>0.435387419817601</v>
      </c>
      <c r="R303" s="1">
        <f t="shared" si="994"/>
        <v>1.11664539623098</v>
      </c>
      <c r="S303" s="1">
        <f t="shared" si="994"/>
        <v>0.408258886808438</v>
      </c>
      <c r="T303" s="1">
        <f t="shared" si="994"/>
        <v>3.13729261325208</v>
      </c>
      <c r="U303" s="1">
        <f t="shared" si="994"/>
        <v>1</v>
      </c>
      <c r="V303" s="1">
        <f t="shared" si="994"/>
        <v>1.31803317433917</v>
      </c>
      <c r="W303" s="1">
        <f t="shared" si="994"/>
        <v>1.17945445573997</v>
      </c>
      <c r="X303" s="1">
        <f t="shared" si="994"/>
        <v>1.93316316984786</v>
      </c>
      <c r="Y303" s="1">
        <f t="shared" si="891"/>
        <v>4.71128893045366</v>
      </c>
      <c r="Z303" s="1">
        <f t="shared" si="892"/>
        <v>8.94556487939844</v>
      </c>
      <c r="AA303" s="1">
        <f t="shared" si="869"/>
        <v>963966.62213721</v>
      </c>
      <c r="AB303" s="1">
        <f t="shared" si="870"/>
        <v>46878.7070806916</v>
      </c>
      <c r="AC303" s="1">
        <f t="shared" si="871"/>
        <v>31252.4713871278</v>
      </c>
      <c r="AD303" s="1">
        <f>AC303/(AC303+[1]战斗公式!$M$27)</f>
        <v>0.565630289515135</v>
      </c>
      <c r="AE303" s="1">
        <f t="shared" si="872"/>
        <v>2219230.7586576</v>
      </c>
      <c r="AF303" s="1">
        <f t="shared" si="873"/>
        <v>10.0481728830719</v>
      </c>
      <c r="AG303" s="1">
        <f t="shared" si="874"/>
        <v>5.29199064715574</v>
      </c>
      <c r="AH303" s="1">
        <f t="shared" si="875"/>
        <v>4.63764367679579</v>
      </c>
      <c r="AI303" s="1">
        <f t="shared" si="876"/>
        <v>1.33000617602936</v>
      </c>
      <c r="AJ303" s="1">
        <f t="shared" si="877"/>
        <v>1.0000003786665</v>
      </c>
      <c r="AK303" s="1">
        <f t="shared" si="878"/>
        <v>1.00220469572907</v>
      </c>
      <c r="AL303" s="1">
        <f t="shared" si="879"/>
        <v>0.912562632169878</v>
      </c>
      <c r="AM303" s="27">
        <f t="shared" si="880"/>
        <v>844774</v>
      </c>
      <c r="AN303" s="27">
        <f t="shared" si="881"/>
        <v>62349</v>
      </c>
      <c r="AO303" s="27">
        <f t="shared" si="882"/>
        <v>31252</v>
      </c>
      <c r="AP303" s="1">
        <f t="shared" si="883"/>
        <v>445891</v>
      </c>
      <c r="AQ303" s="1">
        <f t="shared" si="884"/>
        <v>56897</v>
      </c>
      <c r="AR303"/>
      <c r="AS303" s="1">
        <f t="shared" ref="AS303:AY303" si="995">ROUNDUP(AS$10*$AP303,0)</f>
        <v>445891</v>
      </c>
      <c r="AT303" s="1">
        <f t="shared" si="995"/>
        <v>1337673</v>
      </c>
      <c r="AU303" s="1">
        <f t="shared" si="995"/>
        <v>802604</v>
      </c>
      <c r="AV303" s="1">
        <f t="shared" si="995"/>
        <v>222946</v>
      </c>
      <c r="AW303" s="1">
        <f t="shared" si="995"/>
        <v>66884</v>
      </c>
      <c r="AX303" s="1">
        <f t="shared" si="995"/>
        <v>1783564</v>
      </c>
      <c r="AY303" s="1">
        <f t="shared" si="995"/>
        <v>4013019</v>
      </c>
      <c r="AZ303" s="1">
        <f t="shared" si="886"/>
        <v>50686459</v>
      </c>
      <c r="BA303" s="1">
        <f t="shared" si="887"/>
        <v>25343230</v>
      </c>
      <c r="BC303" s="1">
        <f t="shared" si="888"/>
        <v>292</v>
      </c>
    </row>
    <row r="304" s="1" customFormat="1" spans="2:55">
      <c r="B304" s="4">
        <v>293</v>
      </c>
      <c r="C304" s="1">
        <f t="shared" ref="C304:I304" si="996">C$5+(C$6-C$5)*(POWER(C$7,$B304-1)-1)/(POWER(C$7,$B$3-1)-1)</f>
        <v>23149.3875053558</v>
      </c>
      <c r="D304" s="1">
        <f t="shared" si="996"/>
        <v>6944.81625160675</v>
      </c>
      <c r="E304" s="1">
        <f t="shared" si="996"/>
        <v>4629.87750107116</v>
      </c>
      <c r="F304" s="1">
        <f t="shared" si="996"/>
        <v>84978.764260167</v>
      </c>
      <c r="G304" s="1">
        <f t="shared" si="996"/>
        <v>25493.6292780501</v>
      </c>
      <c r="H304" s="1">
        <f t="shared" si="996"/>
        <v>16995.7528520334</v>
      </c>
      <c r="I304" s="1">
        <f t="shared" si="996"/>
        <v>0</v>
      </c>
      <c r="J304" s="1">
        <f>[1]标准模型!$I$65/1*$B304/$B$3</f>
        <v>2.1096</v>
      </c>
      <c r="K304" s="1">
        <f>J304*[1]标准模型!$J$63</f>
        <v>2.1096</v>
      </c>
      <c r="L304" s="1">
        <f t="shared" si="865"/>
        <v>108128.151765523</v>
      </c>
      <c r="M304" s="1">
        <f t="shared" si="866"/>
        <v>47089.2298940464</v>
      </c>
      <c r="N304" s="1">
        <f t="shared" si="867"/>
        <v>31392.8199293643</v>
      </c>
      <c r="O304" s="1">
        <f t="shared" ref="O304:X304" si="997">O$5+(O$6-O$5)*(POWER(O$7,$B304-1)-1)/(POWER(O$7,$B$3-1)-1)</f>
        <v>0.792615452491766</v>
      </c>
      <c r="P304" s="1">
        <f t="shared" si="997"/>
        <v>0.19740278365646</v>
      </c>
      <c r="Q304" s="1">
        <f t="shared" si="997"/>
        <v>0.435938498870471</v>
      </c>
      <c r="R304" s="1">
        <f t="shared" si="997"/>
        <v>1.11704618099671</v>
      </c>
      <c r="S304" s="1">
        <f t="shared" si="997"/>
        <v>0.409661633488473</v>
      </c>
      <c r="T304" s="1">
        <f t="shared" si="997"/>
        <v>3.14120026471789</v>
      </c>
      <c r="U304" s="1">
        <f t="shared" si="997"/>
        <v>1</v>
      </c>
      <c r="V304" s="1">
        <f t="shared" si="997"/>
        <v>1.31912591229017</v>
      </c>
      <c r="W304" s="1">
        <f t="shared" si="997"/>
        <v>1.18007104768724</v>
      </c>
      <c r="X304" s="1">
        <f t="shared" si="997"/>
        <v>1.93636944797365</v>
      </c>
      <c r="Y304" s="1">
        <f t="shared" si="891"/>
        <v>4.74366213218922</v>
      </c>
      <c r="Z304" s="1">
        <f t="shared" si="892"/>
        <v>9.01287099116398</v>
      </c>
      <c r="AA304" s="1">
        <f t="shared" si="869"/>
        <v>974545.082375657</v>
      </c>
      <c r="AB304" s="1">
        <f t="shared" si="870"/>
        <v>47089.2298940464</v>
      </c>
      <c r="AC304" s="1">
        <f t="shared" si="871"/>
        <v>31392.8199293643</v>
      </c>
      <c r="AD304" s="1">
        <f>AC304/(AC304+[1]战斗公式!$M$27)</f>
        <v>0.566730850124542</v>
      </c>
      <c r="AE304" s="1">
        <f t="shared" si="872"/>
        <v>2249283.34421176</v>
      </c>
      <c r="AF304" s="1">
        <f t="shared" si="873"/>
        <v>10.0695214317199</v>
      </c>
      <c r="AG304" s="1">
        <f t="shared" si="874"/>
        <v>5.29979931497372</v>
      </c>
      <c r="AH304" s="1">
        <f t="shared" si="875"/>
        <v>4.64107900345087</v>
      </c>
      <c r="AI304" s="1">
        <f t="shared" si="876"/>
        <v>1.33377126906919</v>
      </c>
      <c r="AJ304" s="1">
        <f t="shared" si="877"/>
        <v>1.00000035973273</v>
      </c>
      <c r="AK304" s="1">
        <f t="shared" si="878"/>
        <v>1.0021599320071</v>
      </c>
      <c r="AL304" s="1">
        <f t="shared" si="879"/>
        <v>0.912804316736728</v>
      </c>
      <c r="AM304" s="27">
        <f t="shared" si="880"/>
        <v>853417</v>
      </c>
      <c r="AN304" s="27">
        <f t="shared" si="881"/>
        <v>62806</v>
      </c>
      <c r="AO304" s="27">
        <f t="shared" si="882"/>
        <v>31393</v>
      </c>
      <c r="AP304" s="1">
        <f t="shared" si="883"/>
        <v>450142</v>
      </c>
      <c r="AQ304" s="1">
        <f t="shared" si="884"/>
        <v>57330</v>
      </c>
      <c r="AR304"/>
      <c r="AS304" s="1">
        <f t="shared" ref="AS304:AY304" si="998">ROUNDUP(AS$10*$AP304,0)</f>
        <v>450142</v>
      </c>
      <c r="AT304" s="1">
        <f t="shared" si="998"/>
        <v>1350426</v>
      </c>
      <c r="AU304" s="1">
        <f t="shared" si="998"/>
        <v>810256</v>
      </c>
      <c r="AV304" s="1">
        <f t="shared" si="998"/>
        <v>225071</v>
      </c>
      <c r="AW304" s="1">
        <f t="shared" si="998"/>
        <v>67522</v>
      </c>
      <c r="AX304" s="1">
        <f t="shared" si="998"/>
        <v>1800568</v>
      </c>
      <c r="AY304" s="1">
        <f t="shared" si="998"/>
        <v>4051278</v>
      </c>
      <c r="AZ304" s="1">
        <f t="shared" si="886"/>
        <v>51205038</v>
      </c>
      <c r="BA304" s="1">
        <f t="shared" si="887"/>
        <v>25602519</v>
      </c>
      <c r="BC304" s="1">
        <f t="shared" si="888"/>
        <v>293</v>
      </c>
    </row>
    <row r="305" s="1" customFormat="1" spans="2:55">
      <c r="B305" s="4">
        <v>294</v>
      </c>
      <c r="C305" s="1">
        <f t="shared" ref="C305:I305" si="999">C$5+(C$6-C$5)*(POWER(C$7,$B305-1)-1)/(POWER(C$7,$B$3-1)-1)</f>
        <v>23228.3841076123</v>
      </c>
      <c r="D305" s="1">
        <f t="shared" si="999"/>
        <v>6968.51523228369</v>
      </c>
      <c r="E305" s="1">
        <f t="shared" si="999"/>
        <v>4645.67682152246</v>
      </c>
      <c r="F305" s="1">
        <f t="shared" si="999"/>
        <v>85268.7517874375</v>
      </c>
      <c r="G305" s="1">
        <f t="shared" si="999"/>
        <v>25580.6255362313</v>
      </c>
      <c r="H305" s="1">
        <f t="shared" si="999"/>
        <v>17053.7503574875</v>
      </c>
      <c r="I305" s="1">
        <f t="shared" si="999"/>
        <v>0</v>
      </c>
      <c r="J305" s="1">
        <f>[1]标准模型!$I$65/1*$B305/$B$3</f>
        <v>2.1168</v>
      </c>
      <c r="K305" s="1">
        <f>J305*[1]标准模型!$J$63</f>
        <v>2.1168</v>
      </c>
      <c r="L305" s="1">
        <f t="shared" si="865"/>
        <v>108497.13589505</v>
      </c>
      <c r="M305" s="1">
        <f t="shared" si="866"/>
        <v>47300.0938122131</v>
      </c>
      <c r="N305" s="1">
        <f t="shared" si="867"/>
        <v>31533.3958748087</v>
      </c>
      <c r="O305" s="1">
        <f t="shared" ref="O305:X305" si="1000">O$5+(O$6-O$5)*(POWER(O$7,$B305-1)-1)/(POWER(O$7,$B$3-1)-1)</f>
        <v>0.793617413404179</v>
      </c>
      <c r="P305" s="1">
        <f t="shared" si="1000"/>
        <v>0.198238144957475</v>
      </c>
      <c r="Q305" s="1">
        <f t="shared" si="1000"/>
        <v>0.436489577372299</v>
      </c>
      <c r="R305" s="1">
        <f t="shared" si="1000"/>
        <v>1.11744696536167</v>
      </c>
      <c r="S305" s="1">
        <f t="shared" si="1000"/>
        <v>0.411064378765851</v>
      </c>
      <c r="T305" s="1">
        <f t="shared" si="1000"/>
        <v>3.1451079122763</v>
      </c>
      <c r="U305" s="1">
        <f t="shared" si="1000"/>
        <v>1</v>
      </c>
      <c r="V305" s="1">
        <f t="shared" si="1000"/>
        <v>1.32021864914849</v>
      </c>
      <c r="W305" s="1">
        <f t="shared" si="1000"/>
        <v>1.18068763901796</v>
      </c>
      <c r="X305" s="1">
        <f t="shared" si="1000"/>
        <v>1.93957572289337</v>
      </c>
      <c r="Y305" s="1">
        <f t="shared" si="891"/>
        <v>4.77623149609725</v>
      </c>
      <c r="Z305" s="1">
        <f t="shared" si="892"/>
        <v>9.08062957798773</v>
      </c>
      <c r="AA305" s="1">
        <f t="shared" si="869"/>
        <v>985222.301335544</v>
      </c>
      <c r="AB305" s="1">
        <f t="shared" si="870"/>
        <v>47300.0938122131</v>
      </c>
      <c r="AC305" s="1">
        <f t="shared" si="871"/>
        <v>31533.3958748087</v>
      </c>
      <c r="AD305" s="1">
        <f>AC305/(AC305+[1]战斗公式!$M$27)</f>
        <v>0.567827617563597</v>
      </c>
      <c r="AE305" s="1">
        <f t="shared" si="872"/>
        <v>2279697.50353154</v>
      </c>
      <c r="AF305" s="1">
        <f t="shared" si="873"/>
        <v>10.090898861551</v>
      </c>
      <c r="AG305" s="1">
        <f t="shared" si="874"/>
        <v>5.30761315088818</v>
      </c>
      <c r="AH305" s="1">
        <f t="shared" si="875"/>
        <v>4.64448856515604</v>
      </c>
      <c r="AI305" s="1">
        <f t="shared" si="876"/>
        <v>1.3375438922951</v>
      </c>
      <c r="AJ305" s="1">
        <f t="shared" si="877"/>
        <v>1.00000034174565</v>
      </c>
      <c r="AK305" s="1">
        <f t="shared" si="878"/>
        <v>1.00211606355957</v>
      </c>
      <c r="AL305" s="1">
        <f t="shared" si="879"/>
        <v>0.913045276249877</v>
      </c>
      <c r="AM305" s="27">
        <f t="shared" si="880"/>
        <v>862130</v>
      </c>
      <c r="AN305" s="27">
        <f t="shared" si="881"/>
        <v>63266</v>
      </c>
      <c r="AO305" s="27">
        <f t="shared" si="882"/>
        <v>31533</v>
      </c>
      <c r="AP305" s="1">
        <f t="shared" si="883"/>
        <v>454423</v>
      </c>
      <c r="AQ305" s="1">
        <f t="shared" si="884"/>
        <v>57765</v>
      </c>
      <c r="AR305"/>
      <c r="AS305" s="1">
        <f t="shared" ref="AS305:AY305" si="1001">ROUNDUP(AS$10*$AP305,0)</f>
        <v>454423</v>
      </c>
      <c r="AT305" s="1">
        <f t="shared" si="1001"/>
        <v>1363269</v>
      </c>
      <c r="AU305" s="1">
        <f t="shared" si="1001"/>
        <v>817962</v>
      </c>
      <c r="AV305" s="1">
        <f t="shared" si="1001"/>
        <v>227212</v>
      </c>
      <c r="AW305" s="1">
        <f t="shared" si="1001"/>
        <v>68164</v>
      </c>
      <c r="AX305" s="1">
        <f t="shared" si="1001"/>
        <v>1817692</v>
      </c>
      <c r="AY305" s="1">
        <f t="shared" si="1001"/>
        <v>4089807</v>
      </c>
      <c r="AZ305" s="1">
        <f t="shared" si="886"/>
        <v>51727818</v>
      </c>
      <c r="BA305" s="1">
        <f t="shared" si="887"/>
        <v>25863909</v>
      </c>
      <c r="BC305" s="1">
        <f t="shared" si="888"/>
        <v>294</v>
      </c>
    </row>
    <row r="306" s="1" customFormat="1" spans="2:55">
      <c r="B306" s="4">
        <v>295</v>
      </c>
      <c r="C306" s="1">
        <f t="shared" ref="C306:I306" si="1002">C$5+(C$6-C$5)*(POWER(C$7,$B306-1)-1)/(POWER(C$7,$B$3-1)-1)</f>
        <v>23307.3806308684</v>
      </c>
      <c r="D306" s="1">
        <f t="shared" si="1002"/>
        <v>6992.21418926052</v>
      </c>
      <c r="E306" s="1">
        <f t="shared" si="1002"/>
        <v>4661.47612617368</v>
      </c>
      <c r="F306" s="1">
        <f t="shared" si="1002"/>
        <v>85558.7390247068</v>
      </c>
      <c r="G306" s="1">
        <f t="shared" si="1002"/>
        <v>25667.621707412</v>
      </c>
      <c r="H306" s="1">
        <f t="shared" si="1002"/>
        <v>17111.7478049414</v>
      </c>
      <c r="I306" s="1">
        <f t="shared" si="1002"/>
        <v>0</v>
      </c>
      <c r="J306" s="1">
        <f>[1]标准模型!$I$65/1*$B306/$B$3</f>
        <v>2.124</v>
      </c>
      <c r="K306" s="1">
        <f>J306*[1]标准模型!$J$63</f>
        <v>2.124</v>
      </c>
      <c r="L306" s="1">
        <f t="shared" si="865"/>
        <v>108866.119655575</v>
      </c>
      <c r="M306" s="1">
        <f t="shared" si="866"/>
        <v>47511.2988346619</v>
      </c>
      <c r="N306" s="1">
        <f t="shared" si="867"/>
        <v>31674.199223108</v>
      </c>
      <c r="O306" s="1">
        <f t="shared" ref="O306:X306" si="1003">O$5+(O$6-O$5)*(POWER(O$7,$B306-1)-1)/(POWER(O$7,$B$3-1)-1)</f>
        <v>0.794619373314584</v>
      </c>
      <c r="P306" s="1">
        <f t="shared" si="1003"/>
        <v>0.199074759300441</v>
      </c>
      <c r="Q306" s="1">
        <f t="shared" si="1003"/>
        <v>0.437040655323021</v>
      </c>
      <c r="R306" s="1">
        <f t="shared" si="1003"/>
        <v>1.11784774932583</v>
      </c>
      <c r="S306" s="1">
        <f t="shared" si="1003"/>
        <v>0.412467122640417</v>
      </c>
      <c r="T306" s="1">
        <f t="shared" si="1003"/>
        <v>3.14901555592688</v>
      </c>
      <c r="U306" s="1">
        <f t="shared" si="1003"/>
        <v>1</v>
      </c>
      <c r="V306" s="1">
        <f t="shared" si="1003"/>
        <v>1.32131138491402</v>
      </c>
      <c r="W306" s="1">
        <f t="shared" si="1003"/>
        <v>1.18130422973205</v>
      </c>
      <c r="X306" s="1">
        <f t="shared" si="1003"/>
        <v>1.94278199460667</v>
      </c>
      <c r="Y306" s="1">
        <f t="shared" si="891"/>
        <v>4.80899802683479</v>
      </c>
      <c r="Z306" s="1">
        <f t="shared" si="892"/>
        <v>9.14884326532778</v>
      </c>
      <c r="AA306" s="1">
        <f t="shared" si="869"/>
        <v>995999.065633277</v>
      </c>
      <c r="AB306" s="1">
        <f t="shared" si="870"/>
        <v>47511.2988346619</v>
      </c>
      <c r="AC306" s="1">
        <f t="shared" si="871"/>
        <v>31674.199223108</v>
      </c>
      <c r="AD306" s="1">
        <f>AC306/(AC306+[1]战斗公式!$M$27)</f>
        <v>0.568920607123189</v>
      </c>
      <c r="AE306" s="1">
        <f t="shared" si="872"/>
        <v>2310477.10025402</v>
      </c>
      <c r="AF306" s="1">
        <f t="shared" si="873"/>
        <v>10.1123051518595</v>
      </c>
      <c r="AG306" s="1">
        <f t="shared" si="874"/>
        <v>5.31543213843673</v>
      </c>
      <c r="AH306" s="1">
        <f t="shared" si="875"/>
        <v>4.64787255514843</v>
      </c>
      <c r="AI306" s="1">
        <f t="shared" si="876"/>
        <v>1.34132406076747</v>
      </c>
      <c r="AJ306" s="1">
        <f t="shared" si="877"/>
        <v>1.00000032465793</v>
      </c>
      <c r="AK306" s="1">
        <f t="shared" si="878"/>
        <v>1.00207307248099</v>
      </c>
      <c r="AL306" s="1">
        <f t="shared" si="879"/>
        <v>0.913285512884487</v>
      </c>
      <c r="AM306" s="27">
        <f t="shared" si="880"/>
        <v>870913</v>
      </c>
      <c r="AN306" s="27">
        <f t="shared" si="881"/>
        <v>63728</v>
      </c>
      <c r="AO306" s="27">
        <f t="shared" si="882"/>
        <v>31674</v>
      </c>
      <c r="AP306" s="1">
        <f t="shared" si="883"/>
        <v>458736</v>
      </c>
      <c r="AQ306" s="1">
        <f t="shared" si="884"/>
        <v>58202</v>
      </c>
      <c r="AR306"/>
      <c r="AS306" s="1">
        <f t="shared" ref="AS306:AY306" si="1004">ROUNDUP(AS$10*$AP306,0)</f>
        <v>458736</v>
      </c>
      <c r="AT306" s="1">
        <f t="shared" si="1004"/>
        <v>1376208</v>
      </c>
      <c r="AU306" s="1">
        <f t="shared" si="1004"/>
        <v>825725</v>
      </c>
      <c r="AV306" s="1">
        <f t="shared" si="1004"/>
        <v>229368</v>
      </c>
      <c r="AW306" s="1">
        <f t="shared" si="1004"/>
        <v>68811</v>
      </c>
      <c r="AX306" s="1">
        <f t="shared" si="1004"/>
        <v>1834944</v>
      </c>
      <c r="AY306" s="1">
        <f t="shared" si="1004"/>
        <v>4128624</v>
      </c>
      <c r="AZ306" s="1">
        <f t="shared" si="886"/>
        <v>52254797</v>
      </c>
      <c r="BA306" s="1">
        <f t="shared" si="887"/>
        <v>26127398</v>
      </c>
      <c r="BC306" s="1">
        <f t="shared" si="888"/>
        <v>295</v>
      </c>
    </row>
    <row r="307" s="1" customFormat="1" spans="2:55">
      <c r="B307" s="4">
        <v>296</v>
      </c>
      <c r="C307" s="1">
        <f t="shared" ref="C307:I307" si="1005">C$5+(C$6-C$5)*(POWER(C$7,$B307-1)-1)/(POWER(C$7,$B$3-1)-1)</f>
        <v>23386.3770751241</v>
      </c>
      <c r="D307" s="1">
        <f t="shared" si="1005"/>
        <v>7015.91312253723</v>
      </c>
      <c r="E307" s="1">
        <f t="shared" si="1005"/>
        <v>4677.27541502482</v>
      </c>
      <c r="F307" s="1">
        <f t="shared" si="1005"/>
        <v>85848.7259719746</v>
      </c>
      <c r="G307" s="1">
        <f t="shared" si="1005"/>
        <v>25754.6177915924</v>
      </c>
      <c r="H307" s="1">
        <f t="shared" si="1005"/>
        <v>17169.7451943949</v>
      </c>
      <c r="I307" s="1">
        <f t="shared" si="1005"/>
        <v>0</v>
      </c>
      <c r="J307" s="1">
        <f>[1]标准模型!$I$65/1*$B307/$B$3</f>
        <v>2.1312</v>
      </c>
      <c r="K307" s="1">
        <f>J307*[1]标准模型!$J$63</f>
        <v>2.1312</v>
      </c>
      <c r="L307" s="1">
        <f t="shared" si="865"/>
        <v>109235.103047099</v>
      </c>
      <c r="M307" s="1">
        <f t="shared" si="866"/>
        <v>47722.844960881</v>
      </c>
      <c r="N307" s="1">
        <f t="shared" si="867"/>
        <v>31815.2299739206</v>
      </c>
      <c r="O307" s="1">
        <f t="shared" ref="O307:X307" si="1006">O$5+(O$6-O$5)*(POWER(O$7,$B307-1)-1)/(POWER(O$7,$B$3-1)-1)</f>
        <v>0.795621332222979</v>
      </c>
      <c r="P307" s="1">
        <f t="shared" si="1006"/>
        <v>0.199912628564921</v>
      </c>
      <c r="Q307" s="1">
        <f t="shared" si="1006"/>
        <v>0.437591732722639</v>
      </c>
      <c r="R307" s="1">
        <f t="shared" si="1006"/>
        <v>1.11824853288919</v>
      </c>
      <c r="S307" s="1">
        <f t="shared" si="1006"/>
        <v>0.413869865112171</v>
      </c>
      <c r="T307" s="1">
        <f t="shared" si="1006"/>
        <v>3.15292319566962</v>
      </c>
      <c r="U307" s="1">
        <f t="shared" si="1006"/>
        <v>1</v>
      </c>
      <c r="V307" s="1">
        <f t="shared" si="1006"/>
        <v>1.32240411958677</v>
      </c>
      <c r="W307" s="1">
        <f t="shared" si="1006"/>
        <v>1.18192081982953</v>
      </c>
      <c r="X307" s="1">
        <f t="shared" si="1006"/>
        <v>1.94598826311353</v>
      </c>
      <c r="Y307" s="1">
        <f t="shared" si="891"/>
        <v>4.8419627331565</v>
      </c>
      <c r="Z307" s="1">
        <f t="shared" si="892"/>
        <v>9.21751469120043</v>
      </c>
      <c r="AA307" s="1">
        <f t="shared" si="869"/>
        <v>1006876.16713143</v>
      </c>
      <c r="AB307" s="1">
        <f t="shared" si="870"/>
        <v>47722.844960881</v>
      </c>
      <c r="AC307" s="1">
        <f t="shared" si="871"/>
        <v>31815.2299739206</v>
      </c>
      <c r="AD307" s="1">
        <f>AC307/(AC307+[1]战斗公式!$M$27)</f>
        <v>0.570009834032505</v>
      </c>
      <c r="AE307" s="1">
        <f t="shared" si="872"/>
        <v>2341626.03432085</v>
      </c>
      <c r="AF307" s="1">
        <f t="shared" si="873"/>
        <v>10.133740281992</v>
      </c>
      <c r="AG307" s="1">
        <f t="shared" si="874"/>
        <v>5.32325626122784</v>
      </c>
      <c r="AH307" s="1">
        <f t="shared" si="875"/>
        <v>4.65123116521587</v>
      </c>
      <c r="AI307" s="1">
        <f t="shared" si="876"/>
        <v>1.34511178957677</v>
      </c>
      <c r="AJ307" s="1">
        <f t="shared" si="877"/>
        <v>1.00000030842459</v>
      </c>
      <c r="AK307" s="1">
        <f t="shared" si="878"/>
        <v>1.00203094122398</v>
      </c>
      <c r="AL307" s="1">
        <f t="shared" si="879"/>
        <v>0.913525028809193</v>
      </c>
      <c r="AM307" s="27">
        <f t="shared" si="880"/>
        <v>879765</v>
      </c>
      <c r="AN307" s="27">
        <f t="shared" si="881"/>
        <v>64193</v>
      </c>
      <c r="AO307" s="27">
        <f t="shared" si="882"/>
        <v>31815</v>
      </c>
      <c r="AP307" s="1">
        <f t="shared" si="883"/>
        <v>463079</v>
      </c>
      <c r="AQ307" s="1">
        <f t="shared" si="884"/>
        <v>58642</v>
      </c>
      <c r="AR307"/>
      <c r="AS307" s="1">
        <f t="shared" ref="AS307:AY307" si="1007">ROUNDUP(AS$10*$AP307,0)</f>
        <v>463079</v>
      </c>
      <c r="AT307" s="1">
        <f t="shared" si="1007"/>
        <v>1389237</v>
      </c>
      <c r="AU307" s="1">
        <f t="shared" si="1007"/>
        <v>833543</v>
      </c>
      <c r="AV307" s="1">
        <f t="shared" si="1007"/>
        <v>231540</v>
      </c>
      <c r="AW307" s="1">
        <f t="shared" si="1007"/>
        <v>69462</v>
      </c>
      <c r="AX307" s="1">
        <f t="shared" si="1007"/>
        <v>1852316</v>
      </c>
      <c r="AY307" s="1">
        <f t="shared" si="1007"/>
        <v>4167711</v>
      </c>
      <c r="AZ307" s="1">
        <f t="shared" si="886"/>
        <v>52785916</v>
      </c>
      <c r="BA307" s="1">
        <f t="shared" si="887"/>
        <v>26392958</v>
      </c>
      <c r="BC307" s="1">
        <f t="shared" si="888"/>
        <v>296</v>
      </c>
    </row>
    <row r="308" s="1" customFormat="1" spans="2:55">
      <c r="B308" s="4">
        <v>297</v>
      </c>
      <c r="C308" s="1">
        <f t="shared" ref="C308:I308" si="1008">C$5+(C$6-C$5)*(POWER(C$7,$B308-1)-1)/(POWER(C$7,$B$3-1)-1)</f>
        <v>23465.3734403882</v>
      </c>
      <c r="D308" s="1">
        <f t="shared" si="1008"/>
        <v>7039.61203211647</v>
      </c>
      <c r="E308" s="1">
        <f t="shared" si="1008"/>
        <v>4693.07468807765</v>
      </c>
      <c r="F308" s="1">
        <f t="shared" si="1008"/>
        <v>86138.7126292732</v>
      </c>
      <c r="G308" s="1">
        <f t="shared" si="1008"/>
        <v>25841.613788782</v>
      </c>
      <c r="H308" s="1">
        <f t="shared" si="1008"/>
        <v>17227.7425258546</v>
      </c>
      <c r="I308" s="1">
        <f t="shared" si="1008"/>
        <v>0</v>
      </c>
      <c r="J308" s="1">
        <f>[1]标准模型!$I$65/1*$B308/$B$3</f>
        <v>2.1384</v>
      </c>
      <c r="K308" s="1">
        <f>J308*[1]标准模型!$J$63</f>
        <v>2.1384</v>
      </c>
      <c r="L308" s="1">
        <f t="shared" si="865"/>
        <v>109604.086069661</v>
      </c>
      <c r="M308" s="1">
        <f t="shared" si="866"/>
        <v>47934.7321903763</v>
      </c>
      <c r="N308" s="1">
        <f t="shared" si="867"/>
        <v>31956.4881269175</v>
      </c>
      <c r="O308" s="1">
        <f t="shared" ref="O308:X308" si="1009">O$5+(O$6-O$5)*(POWER(O$7,$B308-1)-1)/(POWER(O$7,$B$3-1)-1)</f>
        <v>0.796623290129477</v>
      </c>
      <c r="P308" s="1">
        <f t="shared" si="1009"/>
        <v>0.200751754633298</v>
      </c>
      <c r="Q308" s="1">
        <f t="shared" si="1009"/>
        <v>0.438142809571212</v>
      </c>
      <c r="R308" s="1">
        <f t="shared" si="1009"/>
        <v>1.11864931605179</v>
      </c>
      <c r="S308" s="1">
        <f t="shared" si="1009"/>
        <v>0.415272606181268</v>
      </c>
      <c r="T308" s="1">
        <f t="shared" si="1009"/>
        <v>3.15683083150496</v>
      </c>
      <c r="U308" s="1">
        <f t="shared" si="1009"/>
        <v>1</v>
      </c>
      <c r="V308" s="1">
        <f t="shared" si="1009"/>
        <v>1.32349685316685</v>
      </c>
      <c r="W308" s="1">
        <f t="shared" si="1009"/>
        <v>1.18253740931045</v>
      </c>
      <c r="X308" s="1">
        <f t="shared" si="1009"/>
        <v>1.94919452841433</v>
      </c>
      <c r="Y308" s="1">
        <f t="shared" si="891"/>
        <v>4.87512662792765</v>
      </c>
      <c r="Z308" s="1">
        <f t="shared" si="892"/>
        <v>9.28664650622817</v>
      </c>
      <c r="AA308" s="1">
        <f t="shared" si="869"/>
        <v>1017854.40296715</v>
      </c>
      <c r="AB308" s="1">
        <f t="shared" si="870"/>
        <v>47934.7321903763</v>
      </c>
      <c r="AC308" s="1">
        <f t="shared" si="871"/>
        <v>31956.4881269175</v>
      </c>
      <c r="AD308" s="1">
        <f>AC308/(AC308+[1]战斗公式!$M$27)</f>
        <v>0.571095313459192</v>
      </c>
      <c r="AE308" s="1">
        <f t="shared" si="872"/>
        <v>2373148.24227342</v>
      </c>
      <c r="AF308" s="1">
        <f t="shared" si="873"/>
        <v>10.1552042313473</v>
      </c>
      <c r="AG308" s="1">
        <f t="shared" si="874"/>
        <v>5.33108550294034</v>
      </c>
      <c r="AH308" s="1">
        <f t="shared" si="875"/>
        <v>4.6545645857078</v>
      </c>
      <c r="AI308" s="1">
        <f t="shared" si="876"/>
        <v>1.3489070938437</v>
      </c>
      <c r="AJ308" s="1">
        <f t="shared" si="877"/>
        <v>1.00000029300292</v>
      </c>
      <c r="AK308" s="1">
        <f t="shared" si="878"/>
        <v>1.00198965259211</v>
      </c>
      <c r="AL308" s="1">
        <f t="shared" si="879"/>
        <v>0.913763826186126</v>
      </c>
      <c r="AM308" s="27">
        <f t="shared" si="880"/>
        <v>888688</v>
      </c>
      <c r="AN308" s="27">
        <f t="shared" si="881"/>
        <v>64660</v>
      </c>
      <c r="AO308" s="27">
        <f t="shared" si="882"/>
        <v>31956</v>
      </c>
      <c r="AP308" s="1">
        <f t="shared" si="883"/>
        <v>467454</v>
      </c>
      <c r="AQ308" s="1">
        <f t="shared" si="884"/>
        <v>59084</v>
      </c>
      <c r="AR308"/>
      <c r="AS308" s="1">
        <f t="shared" ref="AS308:AY308" si="1010">ROUNDUP(AS$10*$AP308,0)</f>
        <v>467454</v>
      </c>
      <c r="AT308" s="1">
        <f t="shared" si="1010"/>
        <v>1402362</v>
      </c>
      <c r="AU308" s="1">
        <f t="shared" si="1010"/>
        <v>841418</v>
      </c>
      <c r="AV308" s="1">
        <f t="shared" si="1010"/>
        <v>233727</v>
      </c>
      <c r="AW308" s="1">
        <f t="shared" si="1010"/>
        <v>70119</v>
      </c>
      <c r="AX308" s="1">
        <f t="shared" si="1010"/>
        <v>1869816</v>
      </c>
      <c r="AY308" s="1">
        <f t="shared" si="1010"/>
        <v>4207086</v>
      </c>
      <c r="AZ308" s="1">
        <f t="shared" si="886"/>
        <v>53321296</v>
      </c>
      <c r="BA308" s="1">
        <f t="shared" si="887"/>
        <v>26660648</v>
      </c>
      <c r="BC308" s="1">
        <f t="shared" si="888"/>
        <v>297</v>
      </c>
    </row>
    <row r="309" s="1" customFormat="1" spans="2:55">
      <c r="B309" s="4">
        <v>298</v>
      </c>
      <c r="C309" s="1">
        <f t="shared" ref="C309:I309" si="1011">C$5+(C$6-C$5)*(POWER(C$7,$B309-1)-1)/(POWER(C$7,$B$3-1)-1)</f>
        <v>23544.369726652</v>
      </c>
      <c r="D309" s="1">
        <f t="shared" si="1011"/>
        <v>7063.31091799559</v>
      </c>
      <c r="E309" s="1">
        <f t="shared" si="1011"/>
        <v>4708.87394533039</v>
      </c>
      <c r="F309" s="1">
        <f t="shared" si="1011"/>
        <v>86428.6989965705</v>
      </c>
      <c r="G309" s="1">
        <f t="shared" si="1011"/>
        <v>25928.6096989711</v>
      </c>
      <c r="H309" s="1">
        <f t="shared" si="1011"/>
        <v>17285.7397993141</v>
      </c>
      <c r="I309" s="1">
        <f t="shared" si="1011"/>
        <v>0</v>
      </c>
      <c r="J309" s="1">
        <f>[1]标准模型!$I$65/1*$B309/$B$3</f>
        <v>2.1456</v>
      </c>
      <c r="K309" s="1">
        <f>J309*[1]标准模型!$J$63</f>
        <v>2.1456</v>
      </c>
      <c r="L309" s="1">
        <f t="shared" si="865"/>
        <v>109973.068723222</v>
      </c>
      <c r="M309" s="1">
        <f t="shared" si="866"/>
        <v>48146.960522618</v>
      </c>
      <c r="N309" s="1">
        <f t="shared" si="867"/>
        <v>32097.9736817454</v>
      </c>
      <c r="O309" s="1">
        <f t="shared" ref="O309:X309" si="1012">O$5+(O$6-O$5)*(POWER(O$7,$B309-1)-1)/(POWER(O$7,$B$3-1)-1)</f>
        <v>0.797625247033966</v>
      </c>
      <c r="P309" s="1">
        <f t="shared" si="1012"/>
        <v>0.201592139390778</v>
      </c>
      <c r="Q309" s="1">
        <f t="shared" si="1012"/>
        <v>0.438693885868681</v>
      </c>
      <c r="R309" s="1">
        <f t="shared" si="1012"/>
        <v>1.11905009881359</v>
      </c>
      <c r="S309" s="1">
        <f t="shared" si="1012"/>
        <v>0.416675345847553</v>
      </c>
      <c r="T309" s="1">
        <f t="shared" si="1012"/>
        <v>3.16073846343247</v>
      </c>
      <c r="U309" s="1">
        <f t="shared" si="1012"/>
        <v>1</v>
      </c>
      <c r="V309" s="1">
        <f t="shared" si="1012"/>
        <v>1.32458958565414</v>
      </c>
      <c r="W309" s="1">
        <f t="shared" si="1012"/>
        <v>1.18315399817475</v>
      </c>
      <c r="X309" s="1">
        <f t="shared" si="1012"/>
        <v>1.95240079050869</v>
      </c>
      <c r="Y309" s="1">
        <f t="shared" si="891"/>
        <v>4.90849072812745</v>
      </c>
      <c r="Z309" s="1">
        <f t="shared" si="892"/>
        <v>9.35624137366631</v>
      </c>
      <c r="AA309" s="1">
        <f t="shared" si="869"/>
        <v>1028934.57557726</v>
      </c>
      <c r="AB309" s="1">
        <f t="shared" si="870"/>
        <v>48146.960522618</v>
      </c>
      <c r="AC309" s="1">
        <f t="shared" si="871"/>
        <v>32097.9736817454</v>
      </c>
      <c r="AD309" s="1">
        <f>AC309/(AC309+[1]战斗公式!$M$27)</f>
        <v>0.572177060509233</v>
      </c>
      <c r="AE309" s="1">
        <f t="shared" si="872"/>
        <v>2405047.69754046</v>
      </c>
      <c r="AF309" s="1">
        <f t="shared" si="873"/>
        <v>10.1766969793666</v>
      </c>
      <c r="AG309" s="1">
        <f t="shared" si="874"/>
        <v>5.33891984731999</v>
      </c>
      <c r="AH309" s="1">
        <f t="shared" si="875"/>
        <v>4.65787300554604</v>
      </c>
      <c r="AI309" s="1">
        <f t="shared" si="876"/>
        <v>1.35270998871916</v>
      </c>
      <c r="AJ309" s="1">
        <f t="shared" si="877"/>
        <v>1.00000027835234</v>
      </c>
      <c r="AK309" s="1">
        <f t="shared" si="878"/>
        <v>1.00194918973288</v>
      </c>
      <c r="AL309" s="1">
        <f t="shared" si="879"/>
        <v>0.914001907170927</v>
      </c>
      <c r="AM309" s="27">
        <f t="shared" si="880"/>
        <v>897681</v>
      </c>
      <c r="AN309" s="27">
        <f t="shared" si="881"/>
        <v>65129</v>
      </c>
      <c r="AO309" s="27">
        <f t="shared" si="882"/>
        <v>32098</v>
      </c>
      <c r="AP309" s="1">
        <f t="shared" si="883"/>
        <v>471861</v>
      </c>
      <c r="AQ309" s="1">
        <f t="shared" si="884"/>
        <v>59528</v>
      </c>
      <c r="AR309"/>
      <c r="AS309" s="1">
        <f t="shared" ref="AS309:AY309" si="1013">ROUNDUP(AS$10*$AP309,0)</f>
        <v>471861</v>
      </c>
      <c r="AT309" s="1">
        <f t="shared" si="1013"/>
        <v>1415583</v>
      </c>
      <c r="AU309" s="1">
        <f t="shared" si="1013"/>
        <v>849350</v>
      </c>
      <c r="AV309" s="1">
        <f t="shared" si="1013"/>
        <v>235931</v>
      </c>
      <c r="AW309" s="1">
        <f t="shared" si="1013"/>
        <v>70780</v>
      </c>
      <c r="AX309" s="1">
        <f t="shared" si="1013"/>
        <v>1887444</v>
      </c>
      <c r="AY309" s="1">
        <f t="shared" si="1013"/>
        <v>4246749</v>
      </c>
      <c r="AZ309" s="1">
        <f t="shared" si="886"/>
        <v>53860875</v>
      </c>
      <c r="BA309" s="1">
        <f t="shared" si="887"/>
        <v>26930437</v>
      </c>
      <c r="BC309" s="1">
        <f t="shared" si="888"/>
        <v>298</v>
      </c>
    </row>
    <row r="310" s="1" customFormat="1" spans="2:55">
      <c r="B310" s="4">
        <v>299</v>
      </c>
      <c r="C310" s="1">
        <f t="shared" ref="C310:I310" si="1014">C$5+(C$6-C$5)*(POWER(C$7,$B310-1)-1)/(POWER(C$7,$B$3-1)-1)</f>
        <v>23623.3659339241</v>
      </c>
      <c r="D310" s="1">
        <f t="shared" si="1014"/>
        <v>7087.00978017723</v>
      </c>
      <c r="E310" s="1">
        <f t="shared" si="1014"/>
        <v>4724.67318678482</v>
      </c>
      <c r="F310" s="1">
        <f t="shared" si="1014"/>
        <v>86718.6850738986</v>
      </c>
      <c r="G310" s="1">
        <f t="shared" si="1014"/>
        <v>26015.6055221696</v>
      </c>
      <c r="H310" s="1">
        <f t="shared" si="1014"/>
        <v>17343.7370147797</v>
      </c>
      <c r="I310" s="1">
        <f t="shared" si="1014"/>
        <v>0</v>
      </c>
      <c r="J310" s="1">
        <f>[1]标准模型!$I$65/1*$B310/$B$3</f>
        <v>2.1528</v>
      </c>
      <c r="K310" s="1">
        <f>J310*[1]标准模型!$J$63</f>
        <v>2.1528</v>
      </c>
      <c r="L310" s="1">
        <f t="shared" si="865"/>
        <v>110342.051007823</v>
      </c>
      <c r="M310" s="1">
        <f t="shared" si="866"/>
        <v>48359.5299571124</v>
      </c>
      <c r="N310" s="1">
        <f t="shared" si="867"/>
        <v>32239.6866380749</v>
      </c>
      <c r="O310" s="1">
        <f t="shared" ref="O310:X310" si="1015">O$5+(O$6-O$5)*(POWER(O$7,$B310-1)-1)/(POWER(O$7,$B$3-1)-1)</f>
        <v>0.798627202936558</v>
      </c>
      <c r="P310" s="1">
        <f t="shared" si="1015"/>
        <v>0.202433784725393</v>
      </c>
      <c r="Q310" s="1">
        <f t="shared" si="1015"/>
        <v>0.439244961615107</v>
      </c>
      <c r="R310" s="1">
        <f t="shared" si="1015"/>
        <v>1.11945088117462</v>
      </c>
      <c r="S310" s="1">
        <f t="shared" si="1015"/>
        <v>0.418078084111181</v>
      </c>
      <c r="T310" s="1">
        <f t="shared" si="1015"/>
        <v>3.16464609145258</v>
      </c>
      <c r="U310" s="1">
        <f t="shared" si="1015"/>
        <v>1</v>
      </c>
      <c r="V310" s="1">
        <f t="shared" si="1015"/>
        <v>1.32568231704876</v>
      </c>
      <c r="W310" s="1">
        <f t="shared" si="1015"/>
        <v>1.1837705864225</v>
      </c>
      <c r="X310" s="1">
        <f t="shared" si="1015"/>
        <v>1.95560704939698</v>
      </c>
      <c r="Y310" s="1">
        <f t="shared" si="891"/>
        <v>4.94205605487495</v>
      </c>
      <c r="Z310" s="1">
        <f t="shared" si="892"/>
        <v>9.4263019694793</v>
      </c>
      <c r="AA310" s="1">
        <f t="shared" si="869"/>
        <v>1040117.49273142</v>
      </c>
      <c r="AB310" s="1">
        <f t="shared" si="870"/>
        <v>48359.5299571124</v>
      </c>
      <c r="AC310" s="1">
        <f t="shared" si="871"/>
        <v>32239.6866380749</v>
      </c>
      <c r="AD310" s="1">
        <f>AC310/(AC310+[1]战斗公式!$M$27)</f>
        <v>0.573255090227481</v>
      </c>
      <c r="AE310" s="1">
        <f t="shared" si="872"/>
        <v>2437328.4107498</v>
      </c>
      <c r="AF310" s="1">
        <f t="shared" si="873"/>
        <v>10.1982185055456</v>
      </c>
      <c r="AG310" s="1">
        <f t="shared" si="874"/>
        <v>5.34675927818315</v>
      </c>
      <c r="AH310" s="1">
        <f t="shared" si="875"/>
        <v>4.6611566122355</v>
      </c>
      <c r="AI310" s="1">
        <f t="shared" si="876"/>
        <v>1.35652048938437</v>
      </c>
      <c r="AJ310" s="1">
        <f t="shared" si="877"/>
        <v>1.00000026443428</v>
      </c>
      <c r="AK310" s="1">
        <f t="shared" si="878"/>
        <v>1.00190953613083</v>
      </c>
      <c r="AL310" s="1">
        <f t="shared" si="879"/>
        <v>0.914239273912774</v>
      </c>
      <c r="AM310" s="27">
        <f t="shared" si="880"/>
        <v>906746</v>
      </c>
      <c r="AN310" s="27">
        <f t="shared" si="881"/>
        <v>65601</v>
      </c>
      <c r="AO310" s="27">
        <f t="shared" si="882"/>
        <v>32240</v>
      </c>
      <c r="AP310" s="1">
        <f t="shared" si="883"/>
        <v>476300</v>
      </c>
      <c r="AQ310" s="1">
        <f t="shared" si="884"/>
        <v>59975</v>
      </c>
      <c r="AR310"/>
      <c r="AS310" s="1">
        <f t="shared" ref="AS310:AY310" si="1016">ROUNDUP(AS$10*$AP310,0)</f>
        <v>476300</v>
      </c>
      <c r="AT310" s="1">
        <f t="shared" si="1016"/>
        <v>1428900</v>
      </c>
      <c r="AU310" s="1">
        <f t="shared" si="1016"/>
        <v>857340</v>
      </c>
      <c r="AV310" s="1">
        <f t="shared" si="1016"/>
        <v>238150</v>
      </c>
      <c r="AW310" s="1">
        <f t="shared" si="1016"/>
        <v>71445</v>
      </c>
      <c r="AX310" s="1">
        <f t="shared" si="1016"/>
        <v>1905200</v>
      </c>
      <c r="AY310" s="1">
        <f t="shared" si="1016"/>
        <v>4286700</v>
      </c>
      <c r="AZ310" s="1">
        <f t="shared" si="886"/>
        <v>54404774</v>
      </c>
      <c r="BA310" s="1">
        <f t="shared" si="887"/>
        <v>27202387</v>
      </c>
      <c r="BC310" s="1">
        <f t="shared" si="888"/>
        <v>299</v>
      </c>
    </row>
    <row r="311" s="1" customFormat="1" spans="2:55">
      <c r="B311" s="4">
        <v>300</v>
      </c>
      <c r="C311" s="1">
        <f t="shared" ref="C311:I311" si="1017">C$5+(C$6-C$5)*(POWER(C$7,$B311-1)-1)/(POWER(C$7,$B$3-1)-1)</f>
        <v>23702.3620621958</v>
      </c>
      <c r="D311" s="1">
        <f t="shared" si="1017"/>
        <v>7110.70861865875</v>
      </c>
      <c r="E311" s="1">
        <f t="shared" si="1017"/>
        <v>4740.47241243917</v>
      </c>
      <c r="F311" s="1">
        <f t="shared" si="1017"/>
        <v>87008.6708612252</v>
      </c>
      <c r="G311" s="1">
        <f t="shared" si="1017"/>
        <v>26102.6012583676</v>
      </c>
      <c r="H311" s="1">
        <f t="shared" si="1017"/>
        <v>17401.734172245</v>
      </c>
      <c r="I311" s="1">
        <f t="shared" si="1017"/>
        <v>0</v>
      </c>
      <c r="J311" s="1">
        <f>[1]标准模型!$I$65/1*$B311/$B$3</f>
        <v>2.16</v>
      </c>
      <c r="K311" s="1">
        <f>J311*[1]标准模型!$J$63</f>
        <v>2.16</v>
      </c>
      <c r="L311" s="1">
        <f t="shared" si="865"/>
        <v>110711.032923421</v>
      </c>
      <c r="M311" s="1">
        <f t="shared" si="866"/>
        <v>48572.4404933293</v>
      </c>
      <c r="N311" s="1">
        <f t="shared" si="867"/>
        <v>32381.6269955528</v>
      </c>
      <c r="O311" s="1">
        <f t="shared" ref="O311:X311" si="1018">O$5+(O$6-O$5)*(POWER(O$7,$B311-1)-1)/(POWER(O$7,$B$3-1)-1)</f>
        <v>0.799629157837141</v>
      </c>
      <c r="P311" s="1">
        <f t="shared" si="1018"/>
        <v>0.203276692528011</v>
      </c>
      <c r="Q311" s="1">
        <f t="shared" si="1018"/>
        <v>0.439796036810427</v>
      </c>
      <c r="R311" s="1">
        <f t="shared" si="1018"/>
        <v>1.11985166313486</v>
      </c>
      <c r="S311" s="1">
        <f t="shared" si="1018"/>
        <v>0.419480820971997</v>
      </c>
      <c r="T311" s="1">
        <f t="shared" si="1018"/>
        <v>3.16855371556485</v>
      </c>
      <c r="U311" s="1">
        <f t="shared" si="1018"/>
        <v>1</v>
      </c>
      <c r="V311" s="1">
        <f t="shared" si="1018"/>
        <v>1.32677504735059</v>
      </c>
      <c r="W311" s="1">
        <f t="shared" si="1018"/>
        <v>1.18438717405362</v>
      </c>
      <c r="X311" s="1">
        <f t="shared" si="1018"/>
        <v>1.95881330507885</v>
      </c>
      <c r="Y311" s="1">
        <f t="shared" si="891"/>
        <v>4.97582363342912</v>
      </c>
      <c r="Z311" s="1">
        <f t="shared" si="892"/>
        <v>9.49683098236039</v>
      </c>
      <c r="AA311" s="1">
        <f t="shared" si="869"/>
        <v>1051403.96755627</v>
      </c>
      <c r="AB311" s="1">
        <f t="shared" si="870"/>
        <v>48572.4404933293</v>
      </c>
      <c r="AC311" s="1">
        <f t="shared" si="871"/>
        <v>32381.6269955528</v>
      </c>
      <c r="AD311" s="1">
        <f>AC311/(AC311+[1]战斗公式!$M$27)</f>
        <v>0.574329417597455</v>
      </c>
      <c r="AE311" s="1">
        <f t="shared" si="872"/>
        <v>2469994.43001675</v>
      </c>
      <c r="AF311" s="1">
        <f t="shared" si="873"/>
        <v>10.219768789422</v>
      </c>
      <c r="AG311" s="1">
        <f t="shared" si="874"/>
        <v>5.35460377941236</v>
      </c>
      <c r="AH311" s="1">
        <f t="shared" si="875"/>
        <v>4.66441559187479</v>
      </c>
      <c r="AI311" s="1">
        <f t="shared" si="876"/>
        <v>1.36033861105091</v>
      </c>
      <c r="AJ311" s="1">
        <f t="shared" si="877"/>
        <v>1.00000025121213</v>
      </c>
      <c r="AK311" s="1">
        <f t="shared" si="878"/>
        <v>1.00187067560083</v>
      </c>
      <c r="AL311" s="1">
        <f t="shared" si="879"/>
        <v>0.914475928554395</v>
      </c>
      <c r="AM311" s="27">
        <f t="shared" si="880"/>
        <v>915882</v>
      </c>
      <c r="AN311" s="27">
        <f t="shared" si="881"/>
        <v>66075</v>
      </c>
      <c r="AO311" s="27">
        <f t="shared" si="882"/>
        <v>32382</v>
      </c>
      <c r="AP311" s="1">
        <f t="shared" si="883"/>
        <v>480770</v>
      </c>
      <c r="AQ311" s="1">
        <f t="shared" si="884"/>
        <v>60424</v>
      </c>
      <c r="AR311"/>
      <c r="AS311" s="1">
        <f t="shared" ref="AS311:AY311" si="1019">ROUNDUP(AS$10*$AP311,0)</f>
        <v>480770</v>
      </c>
      <c r="AT311" s="1">
        <f t="shared" si="1019"/>
        <v>1442310</v>
      </c>
      <c r="AU311" s="1">
        <f t="shared" si="1019"/>
        <v>865386</v>
      </c>
      <c r="AV311" s="1">
        <f t="shared" si="1019"/>
        <v>240385</v>
      </c>
      <c r="AW311" s="1">
        <f t="shared" si="1019"/>
        <v>72116</v>
      </c>
      <c r="AX311" s="1">
        <f t="shared" si="1019"/>
        <v>1923080</v>
      </c>
      <c r="AY311" s="1">
        <f t="shared" si="1019"/>
        <v>4326930</v>
      </c>
      <c r="AZ311" s="1">
        <f t="shared" si="886"/>
        <v>54952934</v>
      </c>
      <c r="BA311" s="1">
        <f t="shared" si="887"/>
        <v>27476467</v>
      </c>
      <c r="BC311" s="1">
        <f t="shared" si="888"/>
        <v>300</v>
      </c>
    </row>
    <row r="312" s="1" customFormat="1" spans="2:55">
      <c r="B312" s="4">
        <v>301</v>
      </c>
      <c r="C312" s="1">
        <f t="shared" ref="C312:I312" si="1020">C$5+(C$6-C$5)*(POWER(C$7,$B312-1)-1)/(POWER(C$7,$B$3-1)-1)</f>
        <v>23781.3581114672</v>
      </c>
      <c r="D312" s="1">
        <f t="shared" si="1020"/>
        <v>7134.40743344016</v>
      </c>
      <c r="E312" s="1">
        <f t="shared" si="1020"/>
        <v>4756.27162229344</v>
      </c>
      <c r="F312" s="1">
        <f t="shared" si="1020"/>
        <v>87298.6563585505</v>
      </c>
      <c r="G312" s="1">
        <f t="shared" si="1020"/>
        <v>26189.5969075652</v>
      </c>
      <c r="H312" s="1">
        <f t="shared" si="1020"/>
        <v>17459.7312717101</v>
      </c>
      <c r="I312" s="1">
        <f t="shared" si="1020"/>
        <v>0</v>
      </c>
      <c r="J312" s="1">
        <f>[1]标准模型!$I$65/1*$B312/$B$3</f>
        <v>2.1672</v>
      </c>
      <c r="K312" s="1">
        <f>J312*[1]标准模型!$J$63</f>
        <v>2.1672</v>
      </c>
      <c r="L312" s="1">
        <f t="shared" si="865"/>
        <v>111080.014470018</v>
      </c>
      <c r="M312" s="1">
        <f t="shared" si="866"/>
        <v>48785.6921307569</v>
      </c>
      <c r="N312" s="1">
        <f t="shared" si="867"/>
        <v>32523.7947538379</v>
      </c>
      <c r="O312" s="1">
        <f t="shared" ref="O312:X312" si="1021">O$5+(O$6-O$5)*(POWER(O$7,$B312-1)-1)/(POWER(O$7,$B$3-1)-1)</f>
        <v>0.800631111735715</v>
      </c>
      <c r="P312" s="1">
        <f t="shared" si="1021"/>
        <v>0.204120864692333</v>
      </c>
      <c r="Q312" s="1">
        <f t="shared" si="1021"/>
        <v>0.440347111454643</v>
      </c>
      <c r="R312" s="1">
        <f t="shared" si="1021"/>
        <v>1.12025244469429</v>
      </c>
      <c r="S312" s="1">
        <f t="shared" si="1021"/>
        <v>0.42088355643</v>
      </c>
      <c r="T312" s="1">
        <f t="shared" si="1021"/>
        <v>3.17246133576929</v>
      </c>
      <c r="U312" s="1">
        <f t="shared" si="1021"/>
        <v>1</v>
      </c>
      <c r="V312" s="1">
        <f t="shared" si="1021"/>
        <v>1.32786777655963</v>
      </c>
      <c r="W312" s="1">
        <f t="shared" si="1021"/>
        <v>1.18500376106813</v>
      </c>
      <c r="X312" s="1">
        <f t="shared" si="1021"/>
        <v>1.96201955755429</v>
      </c>
      <c r="Y312" s="1">
        <f t="shared" si="891"/>
        <v>5.0097944932117</v>
      </c>
      <c r="Z312" s="1">
        <f t="shared" si="892"/>
        <v>9.56783111380131</v>
      </c>
      <c r="AA312" s="1">
        <f t="shared" si="869"/>
        <v>1062794.81856774</v>
      </c>
      <c r="AB312" s="1">
        <f t="shared" si="870"/>
        <v>48785.6921307569</v>
      </c>
      <c r="AC312" s="1">
        <f t="shared" si="871"/>
        <v>32523.7947538379</v>
      </c>
      <c r="AD312" s="1">
        <f>AC312/(AC312+[1]战斗公式!$M$27)</f>
        <v>0.575400057541777</v>
      </c>
      <c r="AE312" s="1">
        <f t="shared" si="872"/>
        <v>2503049.84125689</v>
      </c>
      <c r="AF312" s="1">
        <f t="shared" si="873"/>
        <v>10.2413478105838</v>
      </c>
      <c r="AG312" s="1">
        <f t="shared" si="874"/>
        <v>5.36245333495901</v>
      </c>
      <c r="AH312" s="1">
        <f t="shared" si="875"/>
        <v>4.66765012916678</v>
      </c>
      <c r="AI312" s="1">
        <f t="shared" si="876"/>
        <v>1.36416436896079</v>
      </c>
      <c r="AJ312" s="1">
        <f t="shared" si="877"/>
        <v>1.00000023865108</v>
      </c>
      <c r="AK312" s="1">
        <f t="shared" si="878"/>
        <v>1.00183259228142</v>
      </c>
      <c r="AL312" s="1">
        <f t="shared" si="879"/>
        <v>0.914711873232092</v>
      </c>
      <c r="AM312" s="27">
        <f t="shared" si="880"/>
        <v>925090</v>
      </c>
      <c r="AN312" s="27">
        <f t="shared" si="881"/>
        <v>66552</v>
      </c>
      <c r="AO312" s="27">
        <f t="shared" si="882"/>
        <v>32524</v>
      </c>
      <c r="AP312" s="1">
        <f t="shared" si="883"/>
        <v>485273</v>
      </c>
      <c r="AQ312" s="1">
        <f t="shared" si="884"/>
        <v>60876</v>
      </c>
      <c r="AR312"/>
      <c r="AS312" s="1">
        <f t="shared" ref="AS312:AY312" si="1022">ROUNDUP(AS$10*$AP312,0)</f>
        <v>485273</v>
      </c>
      <c r="AT312" s="1">
        <f t="shared" si="1022"/>
        <v>1455819</v>
      </c>
      <c r="AU312" s="1">
        <f t="shared" si="1022"/>
        <v>873492</v>
      </c>
      <c r="AV312" s="1">
        <f t="shared" si="1022"/>
        <v>242637</v>
      </c>
      <c r="AW312" s="1">
        <f t="shared" si="1022"/>
        <v>72791</v>
      </c>
      <c r="AX312" s="1">
        <f t="shared" si="1022"/>
        <v>1941092</v>
      </c>
      <c r="AY312" s="1">
        <f t="shared" si="1022"/>
        <v>4367457</v>
      </c>
      <c r="AZ312" s="1">
        <f t="shared" si="886"/>
        <v>55505413</v>
      </c>
      <c r="BA312" s="1">
        <f t="shared" si="887"/>
        <v>27752707</v>
      </c>
      <c r="BC312" s="1">
        <f t="shared" si="888"/>
        <v>301</v>
      </c>
    </row>
    <row r="313" s="1" customFormat="1" spans="2:55">
      <c r="B313" s="4">
        <v>302</v>
      </c>
      <c r="C313" s="1">
        <f t="shared" ref="C313:I313" si="1023">C$5+(C$6-C$5)*(POWER(C$7,$B313-1)-1)/(POWER(C$7,$B$3-1)-1)</f>
        <v>23860.3540817557</v>
      </c>
      <c r="D313" s="1">
        <f t="shared" si="1023"/>
        <v>7158.10622452672</v>
      </c>
      <c r="E313" s="1">
        <f t="shared" si="1023"/>
        <v>4772.07081635115</v>
      </c>
      <c r="F313" s="1">
        <f t="shared" si="1023"/>
        <v>87588.6415659388</v>
      </c>
      <c r="G313" s="1">
        <f t="shared" si="1023"/>
        <v>26276.5924697816</v>
      </c>
      <c r="H313" s="1">
        <f t="shared" si="1023"/>
        <v>17517.7283131878</v>
      </c>
      <c r="I313" s="1">
        <f t="shared" si="1023"/>
        <v>0</v>
      </c>
      <c r="J313" s="1">
        <f>[1]标准模型!$I$65/1*$B313/$B$3</f>
        <v>2.1744</v>
      </c>
      <c r="K313" s="1">
        <f>J313*[1]标准模型!$J$63</f>
        <v>2.1744</v>
      </c>
      <c r="L313" s="1">
        <f t="shared" si="865"/>
        <v>111448.995647695</v>
      </c>
      <c r="M313" s="1">
        <f t="shared" si="866"/>
        <v>48999.2848689192</v>
      </c>
      <c r="N313" s="1">
        <f t="shared" si="867"/>
        <v>32666.1899126129</v>
      </c>
      <c r="O313" s="1">
        <f t="shared" ref="O313:X313" si="1024">O$5+(O$6-O$5)*(POWER(O$7,$B313-1)-1)/(POWER(O$7,$B$3-1)-1)</f>
        <v>0.801633064632502</v>
      </c>
      <c r="P313" s="1">
        <f t="shared" si="1024"/>
        <v>0.204966303114901</v>
      </c>
      <c r="Q313" s="1">
        <f t="shared" si="1024"/>
        <v>0.440898185547876</v>
      </c>
      <c r="R313" s="1">
        <f t="shared" si="1024"/>
        <v>1.120653225853</v>
      </c>
      <c r="S313" s="1">
        <f t="shared" si="1024"/>
        <v>0.422286290485503</v>
      </c>
      <c r="T313" s="1">
        <f t="shared" si="1024"/>
        <v>3.17636895206676</v>
      </c>
      <c r="U313" s="1">
        <f t="shared" si="1024"/>
        <v>1</v>
      </c>
      <c r="V313" s="1">
        <f t="shared" si="1024"/>
        <v>1.32896050467613</v>
      </c>
      <c r="W313" s="1">
        <f t="shared" si="1024"/>
        <v>1.18562034746616</v>
      </c>
      <c r="X313" s="1">
        <f t="shared" si="1024"/>
        <v>1.96522580682401</v>
      </c>
      <c r="Y313" s="1">
        <f t="shared" si="891"/>
        <v>5.04396966782372</v>
      </c>
      <c r="Z313" s="1">
        <f t="shared" si="892"/>
        <v>9.6393050781483</v>
      </c>
      <c r="AA313" s="1">
        <f t="shared" si="869"/>
        <v>1074290.86970135</v>
      </c>
      <c r="AB313" s="1">
        <f t="shared" si="870"/>
        <v>48999.2848689192</v>
      </c>
      <c r="AC313" s="1">
        <f t="shared" si="871"/>
        <v>32666.1899126129</v>
      </c>
      <c r="AD313" s="1">
        <f>AC313/(AC313+[1]战斗公式!$M$27)</f>
        <v>0.576467024922422</v>
      </c>
      <c r="AE313" s="1">
        <f t="shared" si="872"/>
        <v>2536498.76849512</v>
      </c>
      <c r="AF313" s="1">
        <f t="shared" si="873"/>
        <v>10.2629555486729</v>
      </c>
      <c r="AG313" s="1">
        <f t="shared" si="874"/>
        <v>5.37030792884434</v>
      </c>
      <c r="AH313" s="1">
        <f t="shared" si="875"/>
        <v>4.67086040742908</v>
      </c>
      <c r="AI313" s="1">
        <f t="shared" si="876"/>
        <v>1.36799777838648</v>
      </c>
      <c r="AJ313" s="1">
        <f t="shared" si="877"/>
        <v>1.00000022671808</v>
      </c>
      <c r="AK313" s="1">
        <f t="shared" si="878"/>
        <v>1.00179527062841</v>
      </c>
      <c r="AL313" s="1">
        <f t="shared" si="879"/>
        <v>0.914947110075755</v>
      </c>
      <c r="AM313" s="27">
        <f t="shared" si="880"/>
        <v>934372</v>
      </c>
      <c r="AN313" s="27">
        <f t="shared" si="881"/>
        <v>67031</v>
      </c>
      <c r="AO313" s="27">
        <f t="shared" si="882"/>
        <v>32666</v>
      </c>
      <c r="AP313" s="1">
        <f t="shared" si="883"/>
        <v>489807</v>
      </c>
      <c r="AQ313" s="1">
        <f t="shared" si="884"/>
        <v>61330</v>
      </c>
      <c r="AR313"/>
      <c r="AS313" s="1">
        <f t="shared" ref="AS313:AY313" si="1025">ROUNDUP(AS$10*$AP313,0)</f>
        <v>489807</v>
      </c>
      <c r="AT313" s="1">
        <f t="shared" si="1025"/>
        <v>1469421</v>
      </c>
      <c r="AU313" s="1">
        <f t="shared" si="1025"/>
        <v>881653</v>
      </c>
      <c r="AV313" s="1">
        <f t="shared" si="1025"/>
        <v>244904</v>
      </c>
      <c r="AW313" s="1">
        <f t="shared" si="1025"/>
        <v>73472</v>
      </c>
      <c r="AX313" s="1">
        <f t="shared" si="1025"/>
        <v>1959228</v>
      </c>
      <c r="AY313" s="1">
        <f t="shared" si="1025"/>
        <v>4408263</v>
      </c>
      <c r="AZ313" s="1">
        <f t="shared" si="886"/>
        <v>56062333</v>
      </c>
      <c r="BA313" s="1">
        <f t="shared" si="887"/>
        <v>28031166</v>
      </c>
      <c r="BC313" s="1">
        <f t="shared" si="888"/>
        <v>302</v>
      </c>
    </row>
    <row r="314" s="1" customFormat="1" spans="2:55">
      <c r="B314" s="4">
        <v>303</v>
      </c>
      <c r="C314" s="1">
        <f t="shared" ref="C314:I314" si="1026">C$5+(C$6-C$5)*(POWER(C$7,$B314-1)-1)/(POWER(C$7,$B$3-1)-1)</f>
        <v>23939.3499730351</v>
      </c>
      <c r="D314" s="1">
        <f t="shared" si="1026"/>
        <v>7181.80499191054</v>
      </c>
      <c r="E314" s="1">
        <f t="shared" si="1026"/>
        <v>4787.86999460703</v>
      </c>
      <c r="F314" s="1">
        <f t="shared" si="1026"/>
        <v>87878.6264832935</v>
      </c>
      <c r="G314" s="1">
        <f t="shared" si="1026"/>
        <v>26363.5879449881</v>
      </c>
      <c r="H314" s="1">
        <f t="shared" si="1026"/>
        <v>17575.7252966587</v>
      </c>
      <c r="I314" s="1">
        <f t="shared" si="1026"/>
        <v>0</v>
      </c>
      <c r="J314" s="1">
        <f>[1]标准模型!$I$65/1*$B314/$B$3</f>
        <v>2.1816</v>
      </c>
      <c r="K314" s="1">
        <f>J314*[1]标准模型!$J$63</f>
        <v>2.1816</v>
      </c>
      <c r="L314" s="1">
        <f t="shared" si="865"/>
        <v>111817.976456329</v>
      </c>
      <c r="M314" s="1">
        <f t="shared" si="866"/>
        <v>49213.2187072507</v>
      </c>
      <c r="N314" s="1">
        <f t="shared" si="867"/>
        <v>32808.8124715004</v>
      </c>
      <c r="O314" s="1">
        <f t="shared" ref="O314:X314" si="1027">O$5+(O$6-O$5)*(POWER(O$7,$B314-1)-1)/(POWER(O$7,$B$3-1)-1)</f>
        <v>0.80263501652717</v>
      </c>
      <c r="P314" s="1">
        <f t="shared" si="1027"/>
        <v>0.205813009695103</v>
      </c>
      <c r="Q314" s="1">
        <f t="shared" si="1027"/>
        <v>0.441449259089943</v>
      </c>
      <c r="R314" s="1">
        <f t="shared" si="1027"/>
        <v>1.12105400661087</v>
      </c>
      <c r="S314" s="1">
        <f t="shared" si="1027"/>
        <v>0.423689023138038</v>
      </c>
      <c r="T314" s="1">
        <f t="shared" si="1027"/>
        <v>3.18027656445596</v>
      </c>
      <c r="U314" s="1">
        <f t="shared" si="1027"/>
        <v>1</v>
      </c>
      <c r="V314" s="1">
        <f t="shared" si="1027"/>
        <v>1.33005323169972</v>
      </c>
      <c r="W314" s="1">
        <f t="shared" si="1027"/>
        <v>1.18623693324749</v>
      </c>
      <c r="X314" s="1">
        <f t="shared" si="1027"/>
        <v>1.96843205288694</v>
      </c>
      <c r="Y314" s="1">
        <f t="shared" si="891"/>
        <v>5.07835019503538</v>
      </c>
      <c r="Z314" s="1">
        <f t="shared" si="892"/>
        <v>9.71125560259951</v>
      </c>
      <c r="AA314" s="1">
        <f t="shared" si="869"/>
        <v>1085892.95033286</v>
      </c>
      <c r="AB314" s="1">
        <f t="shared" si="870"/>
        <v>49213.2187072507</v>
      </c>
      <c r="AC314" s="1">
        <f t="shared" si="871"/>
        <v>32808.8124715004</v>
      </c>
      <c r="AD314" s="1">
        <f>AC314/(AC314+[1]战斗公式!$M$27)</f>
        <v>0.577530334540258</v>
      </c>
      <c r="AE314" s="1">
        <f t="shared" si="872"/>
        <v>2570345.37414932</v>
      </c>
      <c r="AF314" s="1">
        <f t="shared" si="873"/>
        <v>10.2845919833624</v>
      </c>
      <c r="AG314" s="1">
        <f t="shared" si="874"/>
        <v>5.37816754515111</v>
      </c>
      <c r="AH314" s="1">
        <f t="shared" si="875"/>
        <v>4.67404660860441</v>
      </c>
      <c r="AI314" s="1">
        <f t="shared" si="876"/>
        <v>1.37183885463103</v>
      </c>
      <c r="AJ314" s="1">
        <f t="shared" si="877"/>
        <v>1.00000021538174</v>
      </c>
      <c r="AK314" s="1">
        <f t="shared" si="878"/>
        <v>1.00175869540845</v>
      </c>
      <c r="AL314" s="1">
        <f t="shared" si="879"/>
        <v>0.915181641208887</v>
      </c>
      <c r="AM314" s="27">
        <f t="shared" si="880"/>
        <v>943726</v>
      </c>
      <c r="AN314" s="27">
        <f t="shared" si="881"/>
        <v>67513</v>
      </c>
      <c r="AO314" s="27">
        <f t="shared" si="882"/>
        <v>32809</v>
      </c>
      <c r="AP314" s="1">
        <f t="shared" si="883"/>
        <v>494375</v>
      </c>
      <c r="AQ314" s="1">
        <f t="shared" si="884"/>
        <v>61787</v>
      </c>
      <c r="AR314"/>
      <c r="AS314" s="1">
        <f t="shared" ref="AS314:AY314" si="1028">ROUNDUP(AS$10*$AP314,0)</f>
        <v>494375</v>
      </c>
      <c r="AT314" s="1">
        <f t="shared" si="1028"/>
        <v>1483125</v>
      </c>
      <c r="AU314" s="1">
        <f t="shared" si="1028"/>
        <v>889875</v>
      </c>
      <c r="AV314" s="1">
        <f t="shared" si="1028"/>
        <v>247188</v>
      </c>
      <c r="AW314" s="1">
        <f t="shared" si="1028"/>
        <v>74157</v>
      </c>
      <c r="AX314" s="1">
        <f t="shared" si="1028"/>
        <v>1977500</v>
      </c>
      <c r="AY314" s="1">
        <f t="shared" si="1028"/>
        <v>4449375</v>
      </c>
      <c r="AZ314" s="1">
        <f t="shared" si="886"/>
        <v>56623572</v>
      </c>
      <c r="BA314" s="1">
        <f t="shared" si="887"/>
        <v>28311786</v>
      </c>
      <c r="BC314" s="1">
        <f t="shared" si="888"/>
        <v>303</v>
      </c>
    </row>
    <row r="315" s="1" customFormat="1" spans="2:55">
      <c r="B315" s="4">
        <v>304</v>
      </c>
      <c r="C315" s="1">
        <f t="shared" ref="C315:I315" si="1029">C$5+(C$6-C$5)*(POWER(C$7,$B315-1)-1)/(POWER(C$7,$B$3-1)-1)</f>
        <v>24018.3457853229</v>
      </c>
      <c r="D315" s="1">
        <f t="shared" si="1029"/>
        <v>7205.50373559687</v>
      </c>
      <c r="E315" s="1">
        <f t="shared" si="1029"/>
        <v>4803.66915706458</v>
      </c>
      <c r="F315" s="1">
        <f t="shared" si="1029"/>
        <v>88168.6111106791</v>
      </c>
      <c r="G315" s="1">
        <f t="shared" si="1029"/>
        <v>26450.5833332037</v>
      </c>
      <c r="H315" s="1">
        <f t="shared" si="1029"/>
        <v>17633.7222221358</v>
      </c>
      <c r="I315" s="1">
        <f t="shared" si="1029"/>
        <v>0</v>
      </c>
      <c r="J315" s="1">
        <f>[1]标准模型!$I$65/1*$B315/$B$3</f>
        <v>2.1888</v>
      </c>
      <c r="K315" s="1">
        <f>J315*[1]标准模型!$J$63</f>
        <v>2.1888</v>
      </c>
      <c r="L315" s="1">
        <f t="shared" si="865"/>
        <v>112186.956896002</v>
      </c>
      <c r="M315" s="1">
        <f t="shared" si="866"/>
        <v>49427.493645275</v>
      </c>
      <c r="N315" s="1">
        <f t="shared" si="867"/>
        <v>32951.6624301833</v>
      </c>
      <c r="O315" s="1">
        <f t="shared" ref="O315:X315" si="1030">O$5+(O$6-O$5)*(POWER(O$7,$B315-1)-1)/(POWER(O$7,$B$3-1)-1)</f>
        <v>0.80363696741994</v>
      </c>
      <c r="P315" s="1">
        <f t="shared" si="1030"/>
        <v>0.206660986335175</v>
      </c>
      <c r="Q315" s="1">
        <f t="shared" si="1030"/>
        <v>0.442000332080967</v>
      </c>
      <c r="R315" s="1">
        <f t="shared" si="1030"/>
        <v>1.12145478696798</v>
      </c>
      <c r="S315" s="1">
        <f t="shared" si="1030"/>
        <v>0.425091754387916</v>
      </c>
      <c r="T315" s="1">
        <f t="shared" si="1030"/>
        <v>3.18418417293777</v>
      </c>
      <c r="U315" s="1">
        <f t="shared" si="1030"/>
        <v>1</v>
      </c>
      <c r="V315" s="1">
        <f t="shared" si="1030"/>
        <v>1.33114595763064</v>
      </c>
      <c r="W315" s="1">
        <f t="shared" si="1030"/>
        <v>1.18685351841227</v>
      </c>
      <c r="X315" s="1">
        <f t="shared" si="1030"/>
        <v>1.97163829574381</v>
      </c>
      <c r="Y315" s="1">
        <f t="shared" si="891"/>
        <v>5.11293711683252</v>
      </c>
      <c r="Z315" s="1">
        <f t="shared" si="892"/>
        <v>9.78368542732686</v>
      </c>
      <c r="AA315" s="1">
        <f t="shared" si="869"/>
        <v>1097601.89531956</v>
      </c>
      <c r="AB315" s="1">
        <f t="shared" si="870"/>
        <v>49427.493645275</v>
      </c>
      <c r="AC315" s="1">
        <f t="shared" si="871"/>
        <v>32951.6624301833</v>
      </c>
      <c r="AD315" s="1">
        <f>AC315/(AC315+[1]战斗公式!$M$27)</f>
        <v>0.578590001136114</v>
      </c>
      <c r="AE315" s="1">
        <f t="shared" si="872"/>
        <v>2604593.85937371</v>
      </c>
      <c r="AF315" s="1">
        <f t="shared" si="873"/>
        <v>10.3062570943878</v>
      </c>
      <c r="AG315" s="1">
        <f t="shared" si="874"/>
        <v>5.38603216803458</v>
      </c>
      <c r="AH315" s="1">
        <f t="shared" si="875"/>
        <v>4.67720891327093</v>
      </c>
      <c r="AI315" s="1">
        <f t="shared" si="876"/>
        <v>1.37568761302807</v>
      </c>
      <c r="AJ315" s="1">
        <f t="shared" si="877"/>
        <v>1.00000020461221</v>
      </c>
      <c r="AK315" s="1">
        <f t="shared" si="878"/>
        <v>1.00172285169289</v>
      </c>
      <c r="AL315" s="1">
        <f t="shared" si="879"/>
        <v>0.91541546874862</v>
      </c>
      <c r="AM315" s="27">
        <f t="shared" si="880"/>
        <v>953153</v>
      </c>
      <c r="AN315" s="27">
        <f t="shared" si="881"/>
        <v>67997</v>
      </c>
      <c r="AO315" s="27">
        <f t="shared" si="882"/>
        <v>32952</v>
      </c>
      <c r="AP315" s="1">
        <f t="shared" si="883"/>
        <v>498974</v>
      </c>
      <c r="AQ315" s="1">
        <f t="shared" si="884"/>
        <v>62246</v>
      </c>
      <c r="AR315"/>
      <c r="AS315" s="1">
        <f t="shared" ref="AS315:AY315" si="1031">ROUNDUP(AS$10*$AP315,0)</f>
        <v>498974</v>
      </c>
      <c r="AT315" s="1">
        <f t="shared" si="1031"/>
        <v>1496922</v>
      </c>
      <c r="AU315" s="1">
        <f t="shared" si="1031"/>
        <v>898154</v>
      </c>
      <c r="AV315" s="1">
        <f t="shared" si="1031"/>
        <v>249487</v>
      </c>
      <c r="AW315" s="1">
        <f t="shared" si="1031"/>
        <v>74847</v>
      </c>
      <c r="AX315" s="1">
        <f t="shared" si="1031"/>
        <v>1995896</v>
      </c>
      <c r="AY315" s="1">
        <f t="shared" si="1031"/>
        <v>4490766</v>
      </c>
      <c r="AZ315" s="1">
        <f t="shared" si="886"/>
        <v>57189192</v>
      </c>
      <c r="BA315" s="1">
        <f t="shared" si="887"/>
        <v>28594596</v>
      </c>
      <c r="BC315" s="1">
        <f t="shared" si="888"/>
        <v>304</v>
      </c>
    </row>
    <row r="316" s="1" customFormat="1" spans="2:55">
      <c r="B316" s="4">
        <v>305</v>
      </c>
      <c r="C316" s="1">
        <f t="shared" ref="C316:I316" si="1032">C$5+(C$6-C$5)*(POWER(C$7,$B316-1)-1)/(POWER(C$7,$B$3-1)-1)</f>
        <v>24097.3415186191</v>
      </c>
      <c r="D316" s="1">
        <f t="shared" si="1032"/>
        <v>7229.20245558573</v>
      </c>
      <c r="E316" s="1">
        <f t="shared" si="1032"/>
        <v>4819.46830372382</v>
      </c>
      <c r="F316" s="1">
        <f t="shared" si="1032"/>
        <v>88458.5954480954</v>
      </c>
      <c r="G316" s="1">
        <f t="shared" si="1032"/>
        <v>26537.5786344286</v>
      </c>
      <c r="H316" s="1">
        <f t="shared" si="1032"/>
        <v>17691.7190896191</v>
      </c>
      <c r="I316" s="1">
        <f t="shared" si="1032"/>
        <v>0</v>
      </c>
      <c r="J316" s="1">
        <f>[1]标准模型!$I$65/1*$B316/$B$3</f>
        <v>2.196</v>
      </c>
      <c r="K316" s="1">
        <f>J316*[1]标准模型!$J$63</f>
        <v>2.196</v>
      </c>
      <c r="L316" s="1">
        <f t="shared" si="865"/>
        <v>112555.936966714</v>
      </c>
      <c r="M316" s="1">
        <f t="shared" si="866"/>
        <v>49642.1096824806</v>
      </c>
      <c r="N316" s="1">
        <f t="shared" si="867"/>
        <v>33094.7397883204</v>
      </c>
      <c r="O316" s="1">
        <f t="shared" ref="O316:X316" si="1033">O$5+(O$6-O$5)*(POWER(O$7,$B316-1)-1)/(POWER(O$7,$B$3-1)-1)</f>
        <v>0.804638917310813</v>
      </c>
      <c r="P316" s="1">
        <f t="shared" si="1033"/>
        <v>0.207510234940207</v>
      </c>
      <c r="Q316" s="1">
        <f t="shared" si="1033"/>
        <v>0.442551404520947</v>
      </c>
      <c r="R316" s="1">
        <f t="shared" si="1033"/>
        <v>1.12185556692433</v>
      </c>
      <c r="S316" s="1">
        <f t="shared" si="1033"/>
        <v>0.426494484235138</v>
      </c>
      <c r="T316" s="1">
        <f t="shared" si="1033"/>
        <v>3.18809177751217</v>
      </c>
      <c r="U316" s="1">
        <f t="shared" si="1033"/>
        <v>1</v>
      </c>
      <c r="V316" s="1">
        <f t="shared" si="1033"/>
        <v>1.33223868246889</v>
      </c>
      <c r="W316" s="1">
        <f t="shared" si="1033"/>
        <v>1.1874701029605</v>
      </c>
      <c r="X316" s="1">
        <f t="shared" si="1033"/>
        <v>1.9748445353946</v>
      </c>
      <c r="Y316" s="1">
        <f t="shared" si="891"/>
        <v>5.14773147940657</v>
      </c>
      <c r="Z316" s="1">
        <f t="shared" si="892"/>
        <v>9.85659730547376</v>
      </c>
      <c r="AA316" s="1">
        <f t="shared" si="869"/>
        <v>1109418.54502119</v>
      </c>
      <c r="AB316" s="1">
        <f t="shared" si="870"/>
        <v>49642.1096824806</v>
      </c>
      <c r="AC316" s="1">
        <f t="shared" si="871"/>
        <v>33094.7397883204</v>
      </c>
      <c r="AD316" s="1">
        <f>AC316/(AC316+[1]战斗公式!$M$27)</f>
        <v>0.579646039390313</v>
      </c>
      <c r="AE316" s="1">
        <f t="shared" si="872"/>
        <v>2639248.46434675</v>
      </c>
      <c r="AF316" s="1">
        <f t="shared" si="873"/>
        <v>10.3279508615245</v>
      </c>
      <c r="AG316" s="1">
        <f t="shared" si="874"/>
        <v>5.39390178171414</v>
      </c>
      <c r="AH316" s="1">
        <f t="shared" si="875"/>
        <v>4.68034750065245</v>
      </c>
      <c r="AI316" s="1">
        <f t="shared" si="876"/>
        <v>1.37954406894189</v>
      </c>
      <c r="AJ316" s="1">
        <f t="shared" si="877"/>
        <v>1.00000019438116</v>
      </c>
      <c r="AK316" s="1">
        <f t="shared" si="878"/>
        <v>1.00168772485165</v>
      </c>
      <c r="AL316" s="1">
        <f t="shared" si="879"/>
        <v>0.915648594805734</v>
      </c>
      <c r="AM316" s="27">
        <f t="shared" si="880"/>
        <v>962655</v>
      </c>
      <c r="AN316" s="27">
        <f t="shared" si="881"/>
        <v>68483</v>
      </c>
      <c r="AO316" s="27">
        <f t="shared" si="882"/>
        <v>33095</v>
      </c>
      <c r="AP316" s="1">
        <f t="shared" si="883"/>
        <v>503607</v>
      </c>
      <c r="AQ316" s="1">
        <f t="shared" si="884"/>
        <v>62706</v>
      </c>
      <c r="AR316"/>
      <c r="AS316" s="1">
        <f t="shared" ref="AS316:AY316" si="1034">ROUNDUP(AS$10*$AP316,0)</f>
        <v>503607</v>
      </c>
      <c r="AT316" s="1">
        <f t="shared" si="1034"/>
        <v>1510821</v>
      </c>
      <c r="AU316" s="1">
        <f t="shared" si="1034"/>
        <v>906493</v>
      </c>
      <c r="AV316" s="1">
        <f t="shared" si="1034"/>
        <v>251804</v>
      </c>
      <c r="AW316" s="1">
        <f t="shared" si="1034"/>
        <v>75542</v>
      </c>
      <c r="AX316" s="1">
        <f t="shared" si="1034"/>
        <v>2014428</v>
      </c>
      <c r="AY316" s="1">
        <f t="shared" si="1034"/>
        <v>4532463</v>
      </c>
      <c r="AZ316" s="1">
        <f t="shared" si="886"/>
        <v>57759311</v>
      </c>
      <c r="BA316" s="1">
        <f t="shared" si="887"/>
        <v>28879656</v>
      </c>
      <c r="BC316" s="1">
        <f t="shared" si="888"/>
        <v>305</v>
      </c>
    </row>
    <row r="317" s="1" customFormat="1" spans="2:55">
      <c r="B317" s="4">
        <v>306</v>
      </c>
      <c r="C317" s="1">
        <f t="shared" ref="C317:I317" si="1035">C$5+(C$6-C$5)*(POWER(C$7,$B317-1)-1)/(POWER(C$7,$B$3-1)-1)</f>
        <v>24176.3371729149</v>
      </c>
      <c r="D317" s="1">
        <f t="shared" si="1035"/>
        <v>7252.90115187447</v>
      </c>
      <c r="E317" s="1">
        <f t="shared" si="1035"/>
        <v>4835.26743458298</v>
      </c>
      <c r="F317" s="1">
        <f t="shared" si="1035"/>
        <v>88748.5794955103</v>
      </c>
      <c r="G317" s="1">
        <f t="shared" si="1035"/>
        <v>26624.5738486531</v>
      </c>
      <c r="H317" s="1">
        <f t="shared" si="1035"/>
        <v>17749.7158991021</v>
      </c>
      <c r="I317" s="1">
        <f t="shared" si="1035"/>
        <v>0</v>
      </c>
      <c r="J317" s="1">
        <f>[1]标准模型!$I$65/1*$B317/$B$3</f>
        <v>2.2032</v>
      </c>
      <c r="K317" s="1">
        <f>J317*[1]标准模型!$J$63</f>
        <v>2.2032</v>
      </c>
      <c r="L317" s="1">
        <f t="shared" si="865"/>
        <v>112924.916668425</v>
      </c>
      <c r="M317" s="1">
        <f t="shared" si="866"/>
        <v>49857.0668183374</v>
      </c>
      <c r="N317" s="1">
        <f t="shared" si="867"/>
        <v>33238.0445455583</v>
      </c>
      <c r="O317" s="1">
        <f t="shared" ref="O317:X317" si="1036">O$5+(O$6-O$5)*(POWER(O$7,$B317-1)-1)/(POWER(O$7,$B$3-1)-1)</f>
        <v>0.805640866199676</v>
      </c>
      <c r="P317" s="1">
        <f t="shared" si="1036"/>
        <v>0.208360757418147</v>
      </c>
      <c r="Q317" s="1">
        <f t="shared" si="1036"/>
        <v>0.443102476409822</v>
      </c>
      <c r="R317" s="1">
        <f t="shared" si="1036"/>
        <v>1.12225634647987</v>
      </c>
      <c r="S317" s="1">
        <f t="shared" si="1036"/>
        <v>0.427897212679547</v>
      </c>
      <c r="T317" s="1">
        <f t="shared" si="1036"/>
        <v>3.19199937817874</v>
      </c>
      <c r="U317" s="1">
        <f t="shared" si="1036"/>
        <v>1</v>
      </c>
      <c r="V317" s="1">
        <f t="shared" si="1036"/>
        <v>1.33333140621435</v>
      </c>
      <c r="W317" s="1">
        <f t="shared" si="1036"/>
        <v>1.18808668689211</v>
      </c>
      <c r="X317" s="1">
        <f t="shared" si="1036"/>
        <v>1.97805077183896</v>
      </c>
      <c r="Y317" s="1">
        <f t="shared" si="891"/>
        <v>5.18273433317102</v>
      </c>
      <c r="Z317" s="1">
        <f t="shared" si="892"/>
        <v>9.92999400321125</v>
      </c>
      <c r="AA317" s="1">
        <f t="shared" si="869"/>
        <v>1121343.74533059</v>
      </c>
      <c r="AB317" s="1">
        <f t="shared" si="870"/>
        <v>49857.0668183374</v>
      </c>
      <c r="AC317" s="1">
        <f t="shared" si="871"/>
        <v>33238.0445455583</v>
      </c>
      <c r="AD317" s="1">
        <f>AC317/(AC317+[1]战斗公式!$M$27)</f>
        <v>0.580698463922936</v>
      </c>
      <c r="AE317" s="1">
        <f t="shared" si="872"/>
        <v>2674313.46858815</v>
      </c>
      <c r="AF317" s="1">
        <f t="shared" si="873"/>
        <v>10.3496732645908</v>
      </c>
      <c r="AG317" s="1">
        <f t="shared" si="874"/>
        <v>5.40177637047421</v>
      </c>
      <c r="AH317" s="1">
        <f t="shared" si="875"/>
        <v>4.68346254862861</v>
      </c>
      <c r="AI317" s="1">
        <f t="shared" si="876"/>
        <v>1.38340823776755</v>
      </c>
      <c r="AJ317" s="1">
        <f t="shared" si="877"/>
        <v>1.00000018466166</v>
      </c>
      <c r="AK317" s="1">
        <f t="shared" si="878"/>
        <v>1.00165330054723</v>
      </c>
      <c r="AL317" s="1">
        <f t="shared" si="879"/>
        <v>0.915881021484677</v>
      </c>
      <c r="AM317" s="27">
        <f t="shared" si="880"/>
        <v>972230</v>
      </c>
      <c r="AN317" s="27">
        <f t="shared" si="881"/>
        <v>68973</v>
      </c>
      <c r="AO317" s="27">
        <f t="shared" si="882"/>
        <v>33238</v>
      </c>
      <c r="AP317" s="1">
        <f t="shared" si="883"/>
        <v>508272</v>
      </c>
      <c r="AQ317" s="1">
        <f t="shared" si="884"/>
        <v>63171</v>
      </c>
      <c r="AR317"/>
      <c r="AS317" s="1">
        <f t="shared" ref="AS317:AY317" si="1037">ROUNDUP(AS$10*$AP317,0)</f>
        <v>508272</v>
      </c>
      <c r="AT317" s="1">
        <f t="shared" si="1037"/>
        <v>1524816</v>
      </c>
      <c r="AU317" s="1">
        <f t="shared" si="1037"/>
        <v>914890</v>
      </c>
      <c r="AV317" s="1">
        <f t="shared" si="1037"/>
        <v>254136</v>
      </c>
      <c r="AW317" s="1">
        <f t="shared" si="1037"/>
        <v>76241</v>
      </c>
      <c r="AX317" s="1">
        <f t="shared" si="1037"/>
        <v>2033088</v>
      </c>
      <c r="AY317" s="1">
        <f t="shared" si="1037"/>
        <v>4574448</v>
      </c>
      <c r="AZ317" s="1">
        <f t="shared" si="886"/>
        <v>58333811</v>
      </c>
      <c r="BA317" s="1">
        <f t="shared" si="887"/>
        <v>29166905</v>
      </c>
      <c r="BC317" s="1">
        <f t="shared" si="888"/>
        <v>306</v>
      </c>
    </row>
    <row r="318" s="1" customFormat="1" spans="2:55">
      <c r="B318" s="4">
        <v>307</v>
      </c>
      <c r="C318" s="1">
        <f t="shared" ref="C318:I318" si="1038">C$5+(C$6-C$5)*(POWER(C$7,$B318-1)-1)/(POWER(C$7,$B$3-1)-1)</f>
        <v>24255.3327482191</v>
      </c>
      <c r="D318" s="1">
        <f t="shared" si="1038"/>
        <v>7276.59982446572</v>
      </c>
      <c r="E318" s="1">
        <f t="shared" si="1038"/>
        <v>4851.06654964382</v>
      </c>
      <c r="F318" s="1">
        <f t="shared" si="1038"/>
        <v>89038.5632529561</v>
      </c>
      <c r="G318" s="1">
        <f t="shared" si="1038"/>
        <v>26711.5689758868</v>
      </c>
      <c r="H318" s="1">
        <f t="shared" si="1038"/>
        <v>17807.7126505912</v>
      </c>
      <c r="I318" s="1">
        <f t="shared" si="1038"/>
        <v>0</v>
      </c>
      <c r="J318" s="1">
        <f>[1]标准模型!$I$65/1*$B318/$B$3</f>
        <v>2.2104</v>
      </c>
      <c r="K318" s="1">
        <f>J318*[1]标准模型!$J$63</f>
        <v>2.2104</v>
      </c>
      <c r="L318" s="1">
        <f t="shared" si="865"/>
        <v>113293.896001175</v>
      </c>
      <c r="M318" s="1">
        <f t="shared" si="866"/>
        <v>50072.3650523515</v>
      </c>
      <c r="N318" s="1">
        <f t="shared" si="867"/>
        <v>33381.5767015677</v>
      </c>
      <c r="O318" s="1">
        <f t="shared" ref="O318:X318" si="1039">O$5+(O$6-O$5)*(POWER(O$7,$B318-1)-1)/(POWER(O$7,$B$3-1)-1)</f>
        <v>0.806642814086643</v>
      </c>
      <c r="P318" s="1">
        <f t="shared" si="1039"/>
        <v>0.209212555679804</v>
      </c>
      <c r="Q318" s="1">
        <f t="shared" si="1039"/>
        <v>0.443653547747653</v>
      </c>
      <c r="R318" s="1">
        <f t="shared" si="1039"/>
        <v>1.12265712563466</v>
      </c>
      <c r="S318" s="1">
        <f t="shared" si="1039"/>
        <v>0.4292999397213</v>
      </c>
      <c r="T318" s="1">
        <f t="shared" si="1039"/>
        <v>3.19590697493791</v>
      </c>
      <c r="U318" s="1">
        <f t="shared" si="1039"/>
        <v>1</v>
      </c>
      <c r="V318" s="1">
        <f t="shared" si="1039"/>
        <v>1.33442412886714</v>
      </c>
      <c r="W318" s="1">
        <f t="shared" si="1039"/>
        <v>1.18870327020716</v>
      </c>
      <c r="X318" s="1">
        <f t="shared" si="1039"/>
        <v>1.98125700507726</v>
      </c>
      <c r="Y318" s="1">
        <f t="shared" si="891"/>
        <v>5.21794673278494</v>
      </c>
      <c r="Z318" s="1">
        <f t="shared" si="892"/>
        <v>10.0038782998097</v>
      </c>
      <c r="AA318" s="1">
        <f t="shared" si="869"/>
        <v>1133378.34770705</v>
      </c>
      <c r="AB318" s="1">
        <f t="shared" si="870"/>
        <v>50072.3650523515</v>
      </c>
      <c r="AC318" s="1">
        <f t="shared" si="871"/>
        <v>33381.5767015677</v>
      </c>
      <c r="AD318" s="1">
        <f>AC318/(AC318+[1]战斗公式!$M$27)</f>
        <v>0.581747289294261</v>
      </c>
      <c r="AE318" s="1">
        <f t="shared" si="872"/>
        <v>2709793.19128534</v>
      </c>
      <c r="AF318" s="1">
        <f t="shared" si="873"/>
        <v>10.3714242834572</v>
      </c>
      <c r="AG318" s="1">
        <f t="shared" si="874"/>
        <v>5.40965591866721</v>
      </c>
      <c r="AH318" s="1">
        <f t="shared" si="875"/>
        <v>4.68655423374495</v>
      </c>
      <c r="AI318" s="1">
        <f t="shared" si="876"/>
        <v>1.38728013493086</v>
      </c>
      <c r="AJ318" s="1">
        <f t="shared" si="877"/>
        <v>1.00000017542814</v>
      </c>
      <c r="AK318" s="1">
        <f t="shared" si="878"/>
        <v>1.00161956472889</v>
      </c>
      <c r="AL318" s="1">
        <f t="shared" si="879"/>
        <v>0.916112750883582</v>
      </c>
      <c r="AM318" s="27">
        <f t="shared" si="880"/>
        <v>981881</v>
      </c>
      <c r="AN318" s="27">
        <f t="shared" si="881"/>
        <v>69464</v>
      </c>
      <c r="AO318" s="27">
        <f t="shared" si="882"/>
        <v>33382</v>
      </c>
      <c r="AP318" s="1">
        <f t="shared" si="883"/>
        <v>512971</v>
      </c>
      <c r="AQ318" s="1">
        <f t="shared" si="884"/>
        <v>63637</v>
      </c>
      <c r="AR318"/>
      <c r="AS318" s="1">
        <f t="shared" ref="AS318:AY318" si="1040">ROUNDUP(AS$10*$AP318,0)</f>
        <v>512971</v>
      </c>
      <c r="AT318" s="1">
        <f t="shared" si="1040"/>
        <v>1538913</v>
      </c>
      <c r="AU318" s="1">
        <f t="shared" si="1040"/>
        <v>923348</v>
      </c>
      <c r="AV318" s="1">
        <f t="shared" si="1040"/>
        <v>256486</v>
      </c>
      <c r="AW318" s="1">
        <f t="shared" si="1040"/>
        <v>76946</v>
      </c>
      <c r="AX318" s="1">
        <f t="shared" si="1040"/>
        <v>2051884</v>
      </c>
      <c r="AY318" s="1">
        <f t="shared" si="1040"/>
        <v>4616739</v>
      </c>
      <c r="AZ318" s="1">
        <f t="shared" si="886"/>
        <v>58912870</v>
      </c>
      <c r="BA318" s="1">
        <f t="shared" si="887"/>
        <v>29456435</v>
      </c>
      <c r="BC318" s="1">
        <f t="shared" si="888"/>
        <v>307</v>
      </c>
    </row>
    <row r="319" s="1" customFormat="1" spans="2:55">
      <c r="B319" s="4">
        <v>308</v>
      </c>
      <c r="C319" s="1">
        <f t="shared" ref="C319:I319" si="1041">C$5+(C$6-C$5)*(POWER(C$7,$B319-1)-1)/(POWER(C$7,$B$3-1)-1)</f>
        <v>24334.3282445229</v>
      </c>
      <c r="D319" s="1">
        <f t="shared" si="1041"/>
        <v>7300.29847335687</v>
      </c>
      <c r="E319" s="1">
        <f t="shared" si="1041"/>
        <v>4866.86564890458</v>
      </c>
      <c r="F319" s="1">
        <f t="shared" si="1041"/>
        <v>89328.5467204005</v>
      </c>
      <c r="G319" s="1">
        <f t="shared" si="1041"/>
        <v>26798.5640161201</v>
      </c>
      <c r="H319" s="1">
        <f t="shared" si="1041"/>
        <v>17865.7093440801</v>
      </c>
      <c r="I319" s="1">
        <f t="shared" si="1041"/>
        <v>0</v>
      </c>
      <c r="J319" s="1">
        <f>[1]标准模型!$I$65/1*$B319/$B$3</f>
        <v>2.2176</v>
      </c>
      <c r="K319" s="1">
        <f>J319*[1]标准模型!$J$63</f>
        <v>2.2176</v>
      </c>
      <c r="L319" s="1">
        <f t="shared" si="865"/>
        <v>113662.874964923</v>
      </c>
      <c r="M319" s="1">
        <f t="shared" si="866"/>
        <v>50288.0043839932</v>
      </c>
      <c r="N319" s="1">
        <f t="shared" si="867"/>
        <v>33525.3362559955</v>
      </c>
      <c r="O319" s="1">
        <f t="shared" ref="O319:X319" si="1042">O$5+(O$6-O$5)*(POWER(O$7,$B319-1)-1)/(POWER(O$7,$B$3-1)-1)</f>
        <v>0.8076447609716</v>
      </c>
      <c r="P319" s="1">
        <f t="shared" si="1042"/>
        <v>0.210065631638854</v>
      </c>
      <c r="Q319" s="1">
        <f t="shared" si="1042"/>
        <v>0.44420461853438</v>
      </c>
      <c r="R319" s="1">
        <f t="shared" si="1042"/>
        <v>1.12305790438864</v>
      </c>
      <c r="S319" s="1">
        <f t="shared" si="1042"/>
        <v>0.43070266536024</v>
      </c>
      <c r="T319" s="1">
        <f t="shared" si="1042"/>
        <v>3.19981456778924</v>
      </c>
      <c r="U319" s="1">
        <f t="shared" si="1042"/>
        <v>1</v>
      </c>
      <c r="V319" s="1">
        <f t="shared" si="1042"/>
        <v>1.33551685042715</v>
      </c>
      <c r="W319" s="1">
        <f t="shared" si="1042"/>
        <v>1.1893198529056</v>
      </c>
      <c r="X319" s="1">
        <f t="shared" si="1042"/>
        <v>1.98446323510912</v>
      </c>
      <c r="Y319" s="1">
        <f t="shared" si="891"/>
        <v>5.25336973715271</v>
      </c>
      <c r="Z319" s="1">
        <f t="shared" si="892"/>
        <v>10.0782529876579</v>
      </c>
      <c r="AA319" s="1">
        <f t="shared" si="869"/>
        <v>1145523.20920103</v>
      </c>
      <c r="AB319" s="1">
        <f t="shared" si="870"/>
        <v>50288.0043839932</v>
      </c>
      <c r="AC319" s="1">
        <f t="shared" si="871"/>
        <v>33525.3362559955</v>
      </c>
      <c r="AD319" s="1">
        <f>AC319/(AC319+[1]战斗公式!$M$27)</f>
        <v>0.582792530004574</v>
      </c>
      <c r="AE319" s="1">
        <f t="shared" si="872"/>
        <v>2745691.99159735</v>
      </c>
      <c r="AF319" s="1">
        <f t="shared" si="873"/>
        <v>10.3932038980328</v>
      </c>
      <c r="AG319" s="1">
        <f t="shared" si="874"/>
        <v>5.41754041070879</v>
      </c>
      <c r="AH319" s="1">
        <f t="shared" si="875"/>
        <v>4.68962273122292</v>
      </c>
      <c r="AI319" s="1">
        <f t="shared" si="876"/>
        <v>1.3911597758885</v>
      </c>
      <c r="AJ319" s="1">
        <f t="shared" si="877"/>
        <v>1.00000016665629</v>
      </c>
      <c r="AK319" s="1">
        <f t="shared" si="878"/>
        <v>1.00158650362693</v>
      </c>
      <c r="AL319" s="1">
        <f t="shared" si="879"/>
        <v>0.916343785094291</v>
      </c>
      <c r="AM319" s="27">
        <f t="shared" si="880"/>
        <v>991607</v>
      </c>
      <c r="AN319" s="27">
        <f t="shared" si="881"/>
        <v>69959</v>
      </c>
      <c r="AO319" s="27">
        <f t="shared" si="882"/>
        <v>33525</v>
      </c>
      <c r="AP319" s="1">
        <f t="shared" si="883"/>
        <v>517703</v>
      </c>
      <c r="AQ319" s="1">
        <f t="shared" si="884"/>
        <v>64106</v>
      </c>
      <c r="AR319"/>
      <c r="AS319" s="1">
        <f t="shared" ref="AS319:AY319" si="1043">ROUNDUP(AS$10*$AP319,0)</f>
        <v>517703</v>
      </c>
      <c r="AT319" s="1">
        <f t="shared" si="1043"/>
        <v>1553109</v>
      </c>
      <c r="AU319" s="1">
        <f t="shared" si="1043"/>
        <v>931866</v>
      </c>
      <c r="AV319" s="1">
        <f t="shared" si="1043"/>
        <v>258852</v>
      </c>
      <c r="AW319" s="1">
        <f t="shared" si="1043"/>
        <v>77656</v>
      </c>
      <c r="AX319" s="1">
        <f t="shared" si="1043"/>
        <v>2070812</v>
      </c>
      <c r="AY319" s="1">
        <f t="shared" si="1043"/>
        <v>4659327</v>
      </c>
      <c r="AZ319" s="1">
        <f t="shared" si="886"/>
        <v>59496430</v>
      </c>
      <c r="BA319" s="1">
        <f t="shared" si="887"/>
        <v>29748215</v>
      </c>
      <c r="BC319" s="1">
        <f t="shared" si="888"/>
        <v>308</v>
      </c>
    </row>
    <row r="320" s="1" customFormat="1" spans="2:55">
      <c r="B320" s="4">
        <v>309</v>
      </c>
      <c r="C320" s="1">
        <f t="shared" ref="C320:I320" si="1044">C$5+(C$6-C$5)*(POWER(C$7,$B320-1)-1)/(POWER(C$7,$B$3-1)-1)</f>
        <v>24413.3236618351</v>
      </c>
      <c r="D320" s="1">
        <f t="shared" si="1044"/>
        <v>7323.99709855053</v>
      </c>
      <c r="E320" s="1">
        <f t="shared" si="1044"/>
        <v>4882.66473236702</v>
      </c>
      <c r="F320" s="1">
        <f t="shared" si="1044"/>
        <v>89618.5298978757</v>
      </c>
      <c r="G320" s="1">
        <f t="shared" si="1044"/>
        <v>26885.5589693627</v>
      </c>
      <c r="H320" s="1">
        <f t="shared" si="1044"/>
        <v>17923.7059795751</v>
      </c>
      <c r="I320" s="1">
        <f t="shared" si="1044"/>
        <v>0</v>
      </c>
      <c r="J320" s="1">
        <f>[1]标准模型!$I$65/1*$B320/$B$3</f>
        <v>2.2248</v>
      </c>
      <c r="K320" s="1">
        <f>J320*[1]标准模型!$J$63</f>
        <v>2.2248</v>
      </c>
      <c r="L320" s="1">
        <f t="shared" si="865"/>
        <v>114031.853559711</v>
      </c>
      <c r="M320" s="1">
        <f t="shared" si="866"/>
        <v>50503.9848127685</v>
      </c>
      <c r="N320" s="1">
        <f t="shared" si="867"/>
        <v>33669.3232085123</v>
      </c>
      <c r="O320" s="1">
        <f t="shared" ref="O320:X320" si="1045">O$5+(O$6-O$5)*(POWER(O$7,$B320-1)-1)/(POWER(O$7,$B$3-1)-1)</f>
        <v>0.80864670685466</v>
      </c>
      <c r="P320" s="1">
        <f t="shared" si="1045"/>
        <v>0.210919987211841</v>
      </c>
      <c r="Q320" s="1">
        <f t="shared" si="1045"/>
        <v>0.444755688770063</v>
      </c>
      <c r="R320" s="1">
        <f t="shared" si="1045"/>
        <v>1.12345868274186</v>
      </c>
      <c r="S320" s="1">
        <f t="shared" si="1045"/>
        <v>0.432105389596524</v>
      </c>
      <c r="T320" s="1">
        <f t="shared" si="1045"/>
        <v>3.20372215673317</v>
      </c>
      <c r="U320" s="1">
        <f t="shared" si="1045"/>
        <v>1</v>
      </c>
      <c r="V320" s="1">
        <f t="shared" si="1045"/>
        <v>1.33660957089448</v>
      </c>
      <c r="W320" s="1">
        <f t="shared" si="1045"/>
        <v>1.18993643498748</v>
      </c>
      <c r="X320" s="1">
        <f t="shared" si="1045"/>
        <v>1.98766946193491</v>
      </c>
      <c r="Y320" s="1">
        <f t="shared" si="891"/>
        <v>5.28900440945106</v>
      </c>
      <c r="Z320" s="1">
        <f t="shared" si="892"/>
        <v>10.1531208723433</v>
      </c>
      <c r="AA320" s="1">
        <f t="shared" si="869"/>
        <v>1157779.19248909</v>
      </c>
      <c r="AB320" s="1">
        <f t="shared" si="870"/>
        <v>50503.9848127685</v>
      </c>
      <c r="AC320" s="1">
        <f t="shared" si="871"/>
        <v>33669.3232085123</v>
      </c>
      <c r="AD320" s="1">
        <f>AC320/(AC320+[1]战斗公式!$M$27)</f>
        <v>0.583834200494701</v>
      </c>
      <c r="AE320" s="1">
        <f t="shared" si="872"/>
        <v>2782014.26898932</v>
      </c>
      <c r="AF320" s="1">
        <f t="shared" si="873"/>
        <v>10.4150120882784</v>
      </c>
      <c r="AG320" s="1">
        <f t="shared" si="874"/>
        <v>5.42542983108178</v>
      </c>
      <c r="AH320" s="1">
        <f t="shared" si="875"/>
        <v>4.6926682149698</v>
      </c>
      <c r="AI320" s="1">
        <f t="shared" si="876"/>
        <v>1.39504717612805</v>
      </c>
      <c r="AJ320" s="1">
        <f t="shared" si="877"/>
        <v>1.00000015832304</v>
      </c>
      <c r="AK320" s="1">
        <f t="shared" si="878"/>
        <v>1.001554103747</v>
      </c>
      <c r="AL320" s="1">
        <f t="shared" si="879"/>
        <v>0.916574126202368</v>
      </c>
      <c r="AM320" s="27">
        <f t="shared" si="880"/>
        <v>1001409</v>
      </c>
      <c r="AN320" s="27">
        <f t="shared" si="881"/>
        <v>70455</v>
      </c>
      <c r="AO320" s="27">
        <f t="shared" si="882"/>
        <v>33669</v>
      </c>
      <c r="AP320" s="1">
        <f t="shared" si="883"/>
        <v>522469</v>
      </c>
      <c r="AQ320" s="1">
        <f t="shared" si="884"/>
        <v>64577</v>
      </c>
      <c r="AR320"/>
      <c r="AS320" s="1">
        <f t="shared" ref="AS320:AY320" si="1046">ROUNDUP(AS$10*$AP320,0)</f>
        <v>522469</v>
      </c>
      <c r="AT320" s="1">
        <f t="shared" si="1046"/>
        <v>1567407</v>
      </c>
      <c r="AU320" s="1">
        <f t="shared" si="1046"/>
        <v>940445</v>
      </c>
      <c r="AV320" s="1">
        <f t="shared" si="1046"/>
        <v>261235</v>
      </c>
      <c r="AW320" s="1">
        <f t="shared" si="1046"/>
        <v>78371</v>
      </c>
      <c r="AX320" s="1">
        <f t="shared" si="1046"/>
        <v>2089876</v>
      </c>
      <c r="AY320" s="1">
        <f t="shared" si="1046"/>
        <v>4702221</v>
      </c>
      <c r="AZ320" s="1">
        <f t="shared" si="886"/>
        <v>60084550</v>
      </c>
      <c r="BA320" s="1">
        <f t="shared" si="887"/>
        <v>30042275</v>
      </c>
      <c r="BC320" s="1">
        <f t="shared" si="888"/>
        <v>309</v>
      </c>
    </row>
    <row r="321" s="1" customFormat="1" spans="2:55">
      <c r="B321" s="4">
        <v>310</v>
      </c>
      <c r="C321" s="1">
        <f t="shared" ref="C321:I321" si="1047">C$5+(C$6-C$5)*(POWER(C$7,$B321-1)-1)/(POWER(C$7,$B$3-1)-1)</f>
        <v>24492.3190001557</v>
      </c>
      <c r="D321" s="1">
        <f t="shared" si="1047"/>
        <v>7347.69570004671</v>
      </c>
      <c r="E321" s="1">
        <f t="shared" si="1047"/>
        <v>4898.46380003114</v>
      </c>
      <c r="F321" s="1">
        <f t="shared" si="1047"/>
        <v>89908.5127853817</v>
      </c>
      <c r="G321" s="1">
        <f t="shared" si="1047"/>
        <v>26972.5538356145</v>
      </c>
      <c r="H321" s="1">
        <f t="shared" si="1047"/>
        <v>17981.7025570763</v>
      </c>
      <c r="I321" s="1">
        <f t="shared" si="1047"/>
        <v>0</v>
      </c>
      <c r="J321" s="1">
        <f>[1]标准模型!$I$65/1*$B321/$B$3</f>
        <v>2.232</v>
      </c>
      <c r="K321" s="1">
        <f>J321*[1]标准模型!$J$63</f>
        <v>2.232</v>
      </c>
      <c r="L321" s="1">
        <f t="shared" si="865"/>
        <v>114400.831785537</v>
      </c>
      <c r="M321" s="1">
        <f t="shared" si="866"/>
        <v>50720.3063381655</v>
      </c>
      <c r="N321" s="1">
        <f t="shared" si="867"/>
        <v>33813.5375587769</v>
      </c>
      <c r="O321" s="1">
        <f t="shared" ref="O321:X321" si="1048">O$5+(O$6-O$5)*(POWER(O$7,$B321-1)-1)/(POWER(O$7,$B$3-1)-1)</f>
        <v>0.809648651735822</v>
      </c>
      <c r="P321" s="1">
        <f t="shared" si="1048"/>
        <v>0.211775624318189</v>
      </c>
      <c r="Q321" s="1">
        <f t="shared" si="1048"/>
        <v>0.445306758454702</v>
      </c>
      <c r="R321" s="1">
        <f t="shared" si="1048"/>
        <v>1.12385946069433</v>
      </c>
      <c r="S321" s="1">
        <f t="shared" si="1048"/>
        <v>0.433508112430151</v>
      </c>
      <c r="T321" s="1">
        <f t="shared" si="1048"/>
        <v>3.20762974176971</v>
      </c>
      <c r="U321" s="1">
        <f t="shared" si="1048"/>
        <v>1</v>
      </c>
      <c r="V321" s="1">
        <f t="shared" si="1048"/>
        <v>1.33770229026915</v>
      </c>
      <c r="W321" s="1">
        <f t="shared" si="1048"/>
        <v>1.19055301645281</v>
      </c>
      <c r="X321" s="1">
        <f t="shared" si="1048"/>
        <v>1.99087568555463</v>
      </c>
      <c r="Y321" s="1">
        <f t="shared" si="891"/>
        <v>5.32485181713224</v>
      </c>
      <c r="Z321" s="1">
        <f t="shared" si="892"/>
        <v>10.2284847726785</v>
      </c>
      <c r="AA321" s="1">
        <f t="shared" si="869"/>
        <v>1170147.16590012</v>
      </c>
      <c r="AB321" s="1">
        <f t="shared" si="870"/>
        <v>50720.3063381655</v>
      </c>
      <c r="AC321" s="1">
        <f t="shared" si="871"/>
        <v>33813.5375587769</v>
      </c>
      <c r="AD321" s="1">
        <f>AC321/(AC321+[1]战斗公式!$M$27)</f>
        <v>0.584872315145911</v>
      </c>
      <c r="AE321" s="1">
        <f t="shared" si="872"/>
        <v>2818764.46354429</v>
      </c>
      <c r="AF321" s="1">
        <f t="shared" si="873"/>
        <v>10.4368488341963</v>
      </c>
      <c r="AG321" s="1">
        <f t="shared" si="874"/>
        <v>5.43332416433286</v>
      </c>
      <c r="AH321" s="1">
        <f t="shared" si="875"/>
        <v>4.69569085758858</v>
      </c>
      <c r="AI321" s="1">
        <f t="shared" si="876"/>
        <v>1.39894235116807</v>
      </c>
      <c r="AJ321" s="1">
        <f t="shared" si="877"/>
        <v>1.00000015040645</v>
      </c>
      <c r="AK321" s="1">
        <f t="shared" si="878"/>
        <v>1.00152235186467</v>
      </c>
      <c r="AL321" s="1">
        <f t="shared" si="879"/>
        <v>0.916803776287121</v>
      </c>
      <c r="AM321" s="27">
        <f t="shared" si="880"/>
        <v>1011287</v>
      </c>
      <c r="AN321" s="27">
        <f t="shared" si="881"/>
        <v>70955</v>
      </c>
      <c r="AO321" s="27">
        <f t="shared" si="882"/>
        <v>33814</v>
      </c>
      <c r="AP321" s="1">
        <f t="shared" si="883"/>
        <v>527268</v>
      </c>
      <c r="AQ321" s="1">
        <f t="shared" si="884"/>
        <v>65052</v>
      </c>
      <c r="AR321"/>
      <c r="AS321" s="1">
        <f t="shared" ref="AS321:AY321" si="1049">ROUNDUP(AS$10*$AP321,0)</f>
        <v>527268</v>
      </c>
      <c r="AT321" s="1">
        <f t="shared" si="1049"/>
        <v>1581804</v>
      </c>
      <c r="AU321" s="1">
        <f t="shared" si="1049"/>
        <v>949083</v>
      </c>
      <c r="AV321" s="1">
        <f t="shared" si="1049"/>
        <v>263634</v>
      </c>
      <c r="AW321" s="1">
        <f t="shared" si="1049"/>
        <v>79091</v>
      </c>
      <c r="AX321" s="1">
        <f t="shared" si="1049"/>
        <v>2109072</v>
      </c>
      <c r="AY321" s="1">
        <f t="shared" si="1049"/>
        <v>4745412</v>
      </c>
      <c r="AZ321" s="1">
        <f t="shared" si="886"/>
        <v>60677229</v>
      </c>
      <c r="BA321" s="1">
        <f t="shared" si="887"/>
        <v>30338615</v>
      </c>
      <c r="BC321" s="1">
        <f t="shared" si="888"/>
        <v>310</v>
      </c>
    </row>
    <row r="322" s="1" customFormat="1" spans="2:55">
      <c r="B322" s="4">
        <v>311</v>
      </c>
      <c r="C322" s="1">
        <f t="shared" ref="C322:I322" si="1050">C$5+(C$6-C$5)*(POWER(C$7,$B322-1)-1)/(POWER(C$7,$B$3-1)-1)</f>
        <v>24571.3142594759</v>
      </c>
      <c r="D322" s="1">
        <f t="shared" si="1050"/>
        <v>7371.39427784277</v>
      </c>
      <c r="E322" s="1">
        <f t="shared" si="1050"/>
        <v>4914.26285189518</v>
      </c>
      <c r="F322" s="1">
        <f t="shared" si="1050"/>
        <v>90198.4953828863</v>
      </c>
      <c r="G322" s="1">
        <f t="shared" si="1050"/>
        <v>27059.5486148659</v>
      </c>
      <c r="H322" s="1">
        <f t="shared" si="1050"/>
        <v>18039.6990765773</v>
      </c>
      <c r="I322" s="1">
        <f t="shared" si="1050"/>
        <v>0</v>
      </c>
      <c r="J322" s="1">
        <f>[1]标准模型!$I$65/1*$B322/$B$3</f>
        <v>2.2392</v>
      </c>
      <c r="K322" s="1">
        <f>J322*[1]标准模型!$J$63</f>
        <v>2.2392</v>
      </c>
      <c r="L322" s="1">
        <f t="shared" si="865"/>
        <v>114769.809642362</v>
      </c>
      <c r="M322" s="1">
        <f t="shared" si="866"/>
        <v>50936.9689596542</v>
      </c>
      <c r="N322" s="1">
        <f t="shared" si="867"/>
        <v>33957.9793064362</v>
      </c>
      <c r="O322" s="1">
        <f t="shared" ref="O322:X322" si="1051">O$5+(O$6-O$5)*(POWER(O$7,$B322-1)-1)/(POWER(O$7,$B$3-1)-1)</f>
        <v>0.810650595614976</v>
      </c>
      <c r="P322" s="1">
        <f t="shared" si="1051"/>
        <v>0.212632544880196</v>
      </c>
      <c r="Q322" s="1">
        <f t="shared" si="1051"/>
        <v>0.445857827588237</v>
      </c>
      <c r="R322" s="1">
        <f t="shared" si="1051"/>
        <v>1.12426023824599</v>
      </c>
      <c r="S322" s="1">
        <f t="shared" si="1051"/>
        <v>0.434910833860966</v>
      </c>
      <c r="T322" s="1">
        <f t="shared" si="1051"/>
        <v>3.21153732289841</v>
      </c>
      <c r="U322" s="1">
        <f t="shared" si="1051"/>
        <v>1</v>
      </c>
      <c r="V322" s="1">
        <f t="shared" si="1051"/>
        <v>1.33879500855103</v>
      </c>
      <c r="W322" s="1">
        <f t="shared" si="1051"/>
        <v>1.19116959730152</v>
      </c>
      <c r="X322" s="1">
        <f t="shared" si="1051"/>
        <v>1.99408190596792</v>
      </c>
      <c r="Y322" s="1">
        <f t="shared" si="891"/>
        <v>5.36091303193733</v>
      </c>
      <c r="Z322" s="1">
        <f t="shared" si="892"/>
        <v>10.3043475207509</v>
      </c>
      <c r="AA322" s="1">
        <f t="shared" si="869"/>
        <v>1182628.00344533</v>
      </c>
      <c r="AB322" s="1">
        <f t="shared" si="870"/>
        <v>50936.9689596542</v>
      </c>
      <c r="AC322" s="1">
        <f t="shared" si="871"/>
        <v>33957.9793064362</v>
      </c>
      <c r="AD322" s="1">
        <f>AC322/(AC322+[1]战斗公式!$M$27)</f>
        <v>0.585906888280095</v>
      </c>
      <c r="AE322" s="1">
        <f t="shared" si="872"/>
        <v>2855947.05628735</v>
      </c>
      <c r="AF322" s="1">
        <f t="shared" si="873"/>
        <v>10.4587141158301</v>
      </c>
      <c r="AG322" s="1">
        <f t="shared" si="874"/>
        <v>5.44122339507185</v>
      </c>
      <c r="AH322" s="1">
        <f t="shared" si="875"/>
        <v>4.69869083038772</v>
      </c>
      <c r="AI322" s="1">
        <f t="shared" si="876"/>
        <v>1.40284531655818</v>
      </c>
      <c r="AJ322" s="1">
        <f t="shared" si="877"/>
        <v>1.00000014288568</v>
      </c>
      <c r="AK322" s="1">
        <f t="shared" si="878"/>
        <v>1.00149123501999</v>
      </c>
      <c r="AL322" s="1">
        <f t="shared" si="879"/>
        <v>0.917032737421619</v>
      </c>
      <c r="AM322" s="27">
        <f t="shared" si="880"/>
        <v>1021242</v>
      </c>
      <c r="AN322" s="27">
        <f t="shared" si="881"/>
        <v>71457</v>
      </c>
      <c r="AO322" s="27">
        <f t="shared" si="882"/>
        <v>33958</v>
      </c>
      <c r="AP322" s="1">
        <f t="shared" si="883"/>
        <v>532101</v>
      </c>
      <c r="AQ322" s="1">
        <f t="shared" si="884"/>
        <v>65528</v>
      </c>
      <c r="AR322"/>
      <c r="AS322" s="1">
        <f t="shared" ref="AS322:AY322" si="1052">ROUNDUP(AS$10*$AP322,0)</f>
        <v>532101</v>
      </c>
      <c r="AT322" s="1">
        <f t="shared" si="1052"/>
        <v>1596303</v>
      </c>
      <c r="AU322" s="1">
        <f t="shared" si="1052"/>
        <v>957782</v>
      </c>
      <c r="AV322" s="1">
        <f t="shared" si="1052"/>
        <v>266051</v>
      </c>
      <c r="AW322" s="1">
        <f t="shared" si="1052"/>
        <v>79816</v>
      </c>
      <c r="AX322" s="1">
        <f t="shared" si="1052"/>
        <v>2128404</v>
      </c>
      <c r="AY322" s="1">
        <f t="shared" si="1052"/>
        <v>4788909</v>
      </c>
      <c r="AZ322" s="1">
        <f t="shared" si="886"/>
        <v>61274529</v>
      </c>
      <c r="BA322" s="1">
        <f t="shared" si="887"/>
        <v>30637264</v>
      </c>
      <c r="BC322" s="1">
        <f t="shared" si="888"/>
        <v>311</v>
      </c>
    </row>
    <row r="323" s="1" customFormat="1" spans="2:55">
      <c r="B323" s="4">
        <v>312</v>
      </c>
      <c r="C323" s="1">
        <f t="shared" ref="C323:I323" si="1053">C$5+(C$6-C$5)*(POWER(C$7,$B323-1)-1)/(POWER(C$7,$B$3-1)-1)</f>
        <v>24650.3094397958</v>
      </c>
      <c r="D323" s="1">
        <f t="shared" si="1053"/>
        <v>7395.09283193873</v>
      </c>
      <c r="E323" s="1">
        <f t="shared" si="1053"/>
        <v>4930.06188795915</v>
      </c>
      <c r="F323" s="1">
        <f t="shared" si="1053"/>
        <v>90488.4776903895</v>
      </c>
      <c r="G323" s="1">
        <f t="shared" si="1053"/>
        <v>27146.5433071168</v>
      </c>
      <c r="H323" s="1">
        <f t="shared" si="1053"/>
        <v>18097.6955380779</v>
      </c>
      <c r="I323" s="1">
        <f t="shared" si="1053"/>
        <v>0</v>
      </c>
      <c r="J323" s="1">
        <f>[1]标准模型!$I$65/1*$B323/$B$3</f>
        <v>2.2464</v>
      </c>
      <c r="K323" s="1">
        <f>J323*[1]标准模型!$J$63</f>
        <v>2.2464</v>
      </c>
      <c r="L323" s="1">
        <f t="shared" si="865"/>
        <v>115138.787130185</v>
      </c>
      <c r="M323" s="1">
        <f t="shared" si="866"/>
        <v>51153.9726767227</v>
      </c>
      <c r="N323" s="1">
        <f t="shared" si="867"/>
        <v>34102.6484511485</v>
      </c>
      <c r="O323" s="1">
        <f t="shared" ref="O323:X323" si="1054">O$5+(O$6-O$5)*(POWER(O$7,$B323-1)-1)/(POWER(O$7,$B$3-1)-1)</f>
        <v>0.81165253849212</v>
      </c>
      <c r="P323" s="1">
        <f t="shared" si="1054"/>
        <v>0.213490750823046</v>
      </c>
      <c r="Q323" s="1">
        <f t="shared" si="1054"/>
        <v>0.446408896170666</v>
      </c>
      <c r="R323" s="1">
        <f t="shared" si="1054"/>
        <v>1.12466101539685</v>
      </c>
      <c r="S323" s="1">
        <f t="shared" si="1054"/>
        <v>0.436313553888969</v>
      </c>
      <c r="T323" s="1">
        <f t="shared" si="1054"/>
        <v>3.21544490011927</v>
      </c>
      <c r="U323" s="1">
        <f t="shared" si="1054"/>
        <v>1</v>
      </c>
      <c r="V323" s="1">
        <f t="shared" si="1054"/>
        <v>1.33988772574012</v>
      </c>
      <c r="W323" s="1">
        <f t="shared" si="1054"/>
        <v>1.19178617753361</v>
      </c>
      <c r="X323" s="1">
        <f t="shared" si="1054"/>
        <v>1.99728812317479</v>
      </c>
      <c r="Y323" s="1">
        <f t="shared" si="891"/>
        <v>5.39718912991675</v>
      </c>
      <c r="Z323" s="1">
        <f t="shared" si="892"/>
        <v>10.3807119619882</v>
      </c>
      <c r="AA323" s="1">
        <f t="shared" si="869"/>
        <v>1195222.58485113</v>
      </c>
      <c r="AB323" s="1">
        <f t="shared" si="870"/>
        <v>51153.9726767227</v>
      </c>
      <c r="AC323" s="1">
        <f t="shared" si="871"/>
        <v>34102.6484511485</v>
      </c>
      <c r="AD323" s="1">
        <f>AC323/(AC323+[1]战斗公式!$M$27)</f>
        <v>0.586937934160115</v>
      </c>
      <c r="AE323" s="1">
        <f t="shared" si="872"/>
        <v>2893566.56951993</v>
      </c>
      <c r="AF323" s="1">
        <f t="shared" si="873"/>
        <v>10.4806079132703</v>
      </c>
      <c r="AG323" s="1">
        <f t="shared" si="874"/>
        <v>5.44912750797373</v>
      </c>
      <c r="AH323" s="1">
        <f t="shared" si="875"/>
        <v>4.70166830339086</v>
      </c>
      <c r="AI323" s="1">
        <f t="shared" si="876"/>
        <v>1.40675608787907</v>
      </c>
      <c r="AJ323" s="1">
        <f t="shared" si="877"/>
        <v>1.00000013574096</v>
      </c>
      <c r="AK323" s="1">
        <f t="shared" si="878"/>
        <v>1.0014607405122</v>
      </c>
      <c r="AL323" s="1">
        <f t="shared" si="879"/>
        <v>0.917261011672714</v>
      </c>
      <c r="AM323" s="27">
        <f t="shared" si="880"/>
        <v>1031273</v>
      </c>
      <c r="AN323" s="27">
        <f t="shared" si="881"/>
        <v>71961</v>
      </c>
      <c r="AO323" s="27">
        <f t="shared" si="882"/>
        <v>34103</v>
      </c>
      <c r="AP323" s="1">
        <f t="shared" si="883"/>
        <v>536968</v>
      </c>
      <c r="AQ323" s="1">
        <f t="shared" si="884"/>
        <v>66007</v>
      </c>
      <c r="AR323"/>
      <c r="AS323" s="1">
        <f t="shared" ref="AS323:AY323" si="1055">ROUNDUP(AS$10*$AP323,0)</f>
        <v>536968</v>
      </c>
      <c r="AT323" s="1">
        <f t="shared" si="1055"/>
        <v>1610904</v>
      </c>
      <c r="AU323" s="1">
        <f t="shared" si="1055"/>
        <v>966543</v>
      </c>
      <c r="AV323" s="1">
        <f t="shared" si="1055"/>
        <v>268484</v>
      </c>
      <c r="AW323" s="1">
        <f t="shared" si="1055"/>
        <v>80546</v>
      </c>
      <c r="AX323" s="1">
        <f t="shared" si="1055"/>
        <v>2147872</v>
      </c>
      <c r="AY323" s="1">
        <f t="shared" si="1055"/>
        <v>4832712</v>
      </c>
      <c r="AZ323" s="1">
        <f t="shared" si="886"/>
        <v>61876388</v>
      </c>
      <c r="BA323" s="1">
        <f t="shared" si="887"/>
        <v>30938194</v>
      </c>
      <c r="BC323" s="1">
        <f t="shared" si="888"/>
        <v>312</v>
      </c>
    </row>
    <row r="324" s="1" customFormat="1" spans="2:55">
      <c r="B324" s="4">
        <v>313</v>
      </c>
      <c r="C324" s="1">
        <f t="shared" ref="C324:I324" si="1056">C$5+(C$6-C$5)*(POWER(C$7,$B324-1)-1)/(POWER(C$7,$B$3-1)-1)</f>
        <v>24729.304541124</v>
      </c>
      <c r="D324" s="1">
        <f t="shared" si="1056"/>
        <v>7418.7913623372</v>
      </c>
      <c r="E324" s="1">
        <f t="shared" si="1056"/>
        <v>4945.8609082248</v>
      </c>
      <c r="F324" s="1">
        <f t="shared" si="1056"/>
        <v>90778.4597079235</v>
      </c>
      <c r="G324" s="1">
        <f t="shared" si="1056"/>
        <v>27233.5379123771</v>
      </c>
      <c r="H324" s="1">
        <f t="shared" si="1056"/>
        <v>18155.6919415847</v>
      </c>
      <c r="I324" s="1">
        <f t="shared" si="1056"/>
        <v>0</v>
      </c>
      <c r="J324" s="1">
        <f>[1]标准模型!$I$65/1*$B324/$B$3</f>
        <v>2.2536</v>
      </c>
      <c r="K324" s="1">
        <f>J324*[1]标准模型!$J$63</f>
        <v>2.2536</v>
      </c>
      <c r="L324" s="1">
        <f t="shared" si="865"/>
        <v>115507.764249047</v>
      </c>
      <c r="M324" s="1">
        <f t="shared" si="866"/>
        <v>51371.3174888774</v>
      </c>
      <c r="N324" s="1">
        <f t="shared" si="867"/>
        <v>34247.5449925849</v>
      </c>
      <c r="O324" s="1">
        <f t="shared" ref="O324:X324" si="1057">O$5+(O$6-O$5)*(POWER(O$7,$B324-1)-1)/(POWER(O$7,$B$3-1)-1)</f>
        <v>0.812654480367368</v>
      </c>
      <c r="P324" s="1">
        <f t="shared" si="1057"/>
        <v>0.21435024407481</v>
      </c>
      <c r="Q324" s="1">
        <f t="shared" si="1057"/>
        <v>0.446959964202052</v>
      </c>
      <c r="R324" s="1">
        <f t="shared" si="1057"/>
        <v>1.12506179214695</v>
      </c>
      <c r="S324" s="1">
        <f t="shared" si="1057"/>
        <v>0.437716272514315</v>
      </c>
      <c r="T324" s="1">
        <f t="shared" si="1057"/>
        <v>3.21935247343273</v>
      </c>
      <c r="U324" s="1">
        <f t="shared" si="1057"/>
        <v>1</v>
      </c>
      <c r="V324" s="1">
        <f t="shared" si="1057"/>
        <v>1.34098044183655</v>
      </c>
      <c r="W324" s="1">
        <f t="shared" si="1057"/>
        <v>1.19240275714915</v>
      </c>
      <c r="X324" s="1">
        <f t="shared" si="1057"/>
        <v>2.00049433717558</v>
      </c>
      <c r="Y324" s="1">
        <f t="shared" si="891"/>
        <v>5.43368119144381</v>
      </c>
      <c r="Z324" s="1">
        <f t="shared" si="892"/>
        <v>10.4575809552087</v>
      </c>
      <c r="AA324" s="1">
        <f t="shared" si="869"/>
        <v>1207931.79558958</v>
      </c>
      <c r="AB324" s="1">
        <f t="shared" si="870"/>
        <v>51371.3174888774</v>
      </c>
      <c r="AC324" s="1">
        <f t="shared" si="871"/>
        <v>34247.5449925849</v>
      </c>
      <c r="AD324" s="1">
        <f>AC324/(AC324+[1]战斗公式!$M$27)</f>
        <v>0.587965466989977</v>
      </c>
      <c r="AE324" s="1">
        <f t="shared" si="872"/>
        <v>2931627.56714908</v>
      </c>
      <c r="AF324" s="1">
        <f t="shared" si="873"/>
        <v>10.5025302066548</v>
      </c>
      <c r="AG324" s="1">
        <f t="shared" si="874"/>
        <v>5.45703648777844</v>
      </c>
      <c r="AH324" s="1">
        <f t="shared" si="875"/>
        <v>4.70462344534648</v>
      </c>
      <c r="AI324" s="1">
        <f t="shared" si="876"/>
        <v>1.4106746807426</v>
      </c>
      <c r="AJ324" s="1">
        <f t="shared" si="877"/>
        <v>1.00000012895347</v>
      </c>
      <c r="AK324" s="1">
        <f t="shared" si="878"/>
        <v>1.00143085589457</v>
      </c>
      <c r="AL324" s="1">
        <f t="shared" si="879"/>
        <v>0.917488601101055</v>
      </c>
      <c r="AM324" s="27">
        <f t="shared" si="880"/>
        <v>1041383</v>
      </c>
      <c r="AN324" s="27">
        <f t="shared" si="881"/>
        <v>72468</v>
      </c>
      <c r="AO324" s="27">
        <f t="shared" si="882"/>
        <v>34248</v>
      </c>
      <c r="AP324" s="1">
        <f t="shared" si="883"/>
        <v>541869</v>
      </c>
      <c r="AQ324" s="1">
        <f t="shared" si="884"/>
        <v>66489</v>
      </c>
      <c r="AR324"/>
      <c r="AS324" s="1">
        <f t="shared" ref="AS324:AY324" si="1058">ROUNDUP(AS$10*$AP324,0)</f>
        <v>541869</v>
      </c>
      <c r="AT324" s="1">
        <f t="shared" si="1058"/>
        <v>1625607</v>
      </c>
      <c r="AU324" s="1">
        <f t="shared" si="1058"/>
        <v>975365</v>
      </c>
      <c r="AV324" s="1">
        <f t="shared" si="1058"/>
        <v>270935</v>
      </c>
      <c r="AW324" s="1">
        <f t="shared" si="1058"/>
        <v>81281</v>
      </c>
      <c r="AX324" s="1">
        <f t="shared" si="1058"/>
        <v>2167476</v>
      </c>
      <c r="AY324" s="1">
        <f t="shared" si="1058"/>
        <v>4876821</v>
      </c>
      <c r="AZ324" s="1">
        <f t="shared" si="886"/>
        <v>62482988</v>
      </c>
      <c r="BA324" s="1">
        <f t="shared" si="887"/>
        <v>31241494</v>
      </c>
      <c r="BC324" s="1">
        <f t="shared" si="888"/>
        <v>313</v>
      </c>
    </row>
    <row r="325" s="1" customFormat="1" spans="2:55">
      <c r="B325" s="4">
        <v>314</v>
      </c>
      <c r="C325" s="1">
        <f t="shared" ref="C325:I325" si="1059">C$5+(C$6-C$5)*(POWER(C$7,$B325-1)-1)/(POWER(C$7,$B$3-1)-1)</f>
        <v>24808.2995634606</v>
      </c>
      <c r="D325" s="1">
        <f t="shared" si="1059"/>
        <v>7442.48986903819</v>
      </c>
      <c r="E325" s="1">
        <f t="shared" si="1059"/>
        <v>4961.65991269213</v>
      </c>
      <c r="F325" s="1">
        <f t="shared" si="1059"/>
        <v>91068.4414354884</v>
      </c>
      <c r="G325" s="1">
        <f t="shared" si="1059"/>
        <v>27320.5324306465</v>
      </c>
      <c r="H325" s="1">
        <f t="shared" si="1059"/>
        <v>18213.6882870977</v>
      </c>
      <c r="I325" s="1">
        <f t="shared" si="1059"/>
        <v>0</v>
      </c>
      <c r="J325" s="1">
        <f>[1]标准模型!$I$65/1*$B325/$B$3</f>
        <v>2.2608</v>
      </c>
      <c r="K325" s="1">
        <f>J325*[1]标准模型!$J$63</f>
        <v>2.2608</v>
      </c>
      <c r="L325" s="1">
        <f t="shared" si="865"/>
        <v>115876.740998949</v>
      </c>
      <c r="M325" s="1">
        <f t="shared" si="866"/>
        <v>51589.0033956062</v>
      </c>
      <c r="N325" s="1">
        <f t="shared" si="867"/>
        <v>34392.6689304042</v>
      </c>
      <c r="O325" s="1">
        <f t="shared" ref="O325:X325" si="1060">O$5+(O$6-O$5)*(POWER(O$7,$B325-1)-1)/(POWER(O$7,$B$3-1)-1)</f>
        <v>0.813656421240717</v>
      </c>
      <c r="P325" s="1">
        <f t="shared" si="1060"/>
        <v>0.215211026566452</v>
      </c>
      <c r="Q325" s="1">
        <f t="shared" si="1060"/>
        <v>0.447511031682395</v>
      </c>
      <c r="R325" s="1">
        <f t="shared" si="1060"/>
        <v>1.12546256849629</v>
      </c>
      <c r="S325" s="1">
        <f t="shared" si="1060"/>
        <v>0.439118989737004</v>
      </c>
      <c r="T325" s="1">
        <f t="shared" si="1060"/>
        <v>3.2232600428388</v>
      </c>
      <c r="U325" s="1">
        <f t="shared" si="1060"/>
        <v>1</v>
      </c>
      <c r="V325" s="1">
        <f t="shared" si="1060"/>
        <v>1.3420731568403</v>
      </c>
      <c r="W325" s="1">
        <f t="shared" si="1060"/>
        <v>1.19301933614813</v>
      </c>
      <c r="X325" s="1">
        <f t="shared" si="1060"/>
        <v>2.0037005479703</v>
      </c>
      <c r="Y325" s="1">
        <f t="shared" si="891"/>
        <v>5.47039030122128</v>
      </c>
      <c r="Z325" s="1">
        <f t="shared" si="892"/>
        <v>10.534957372656</v>
      </c>
      <c r="AA325" s="1">
        <f t="shared" si="869"/>
        <v>1220756.52690623</v>
      </c>
      <c r="AB325" s="1">
        <f t="shared" si="870"/>
        <v>51589.0033956062</v>
      </c>
      <c r="AC325" s="1">
        <f t="shared" si="871"/>
        <v>34392.6689304042</v>
      </c>
      <c r="AD325" s="1">
        <f>AC325/(AC325+[1]战斗公式!$M$27)</f>
        <v>0.588989500914839</v>
      </c>
      <c r="AE325" s="1">
        <f t="shared" si="872"/>
        <v>2970134.65501106</v>
      </c>
      <c r="AF325" s="1">
        <f t="shared" si="873"/>
        <v>10.5244809761618</v>
      </c>
      <c r="AG325" s="1">
        <f t="shared" si="874"/>
        <v>5.46495031928816</v>
      </c>
      <c r="AH325" s="1">
        <f t="shared" si="875"/>
        <v>4.70755642373743</v>
      </c>
      <c r="AI325" s="1">
        <f t="shared" si="876"/>
        <v>1.41460111079186</v>
      </c>
      <c r="AJ325" s="1">
        <f t="shared" si="877"/>
        <v>1.00000012250536</v>
      </c>
      <c r="AK325" s="1">
        <f t="shared" si="878"/>
        <v>1.00140156896929</v>
      </c>
      <c r="AL325" s="1">
        <f t="shared" si="879"/>
        <v>0.917715507761112</v>
      </c>
      <c r="AM325" s="27">
        <f t="shared" si="880"/>
        <v>1051570</v>
      </c>
      <c r="AN325" s="27">
        <f t="shared" si="881"/>
        <v>72978</v>
      </c>
      <c r="AO325" s="27">
        <f t="shared" si="882"/>
        <v>34393</v>
      </c>
      <c r="AP325" s="1">
        <f t="shared" si="883"/>
        <v>546805</v>
      </c>
      <c r="AQ325" s="1">
        <f t="shared" si="884"/>
        <v>66973</v>
      </c>
      <c r="AR325"/>
      <c r="AS325" s="1">
        <f t="shared" ref="AS325:AY325" si="1061">ROUNDUP(AS$10*$AP325,0)</f>
        <v>546805</v>
      </c>
      <c r="AT325" s="1">
        <f t="shared" si="1061"/>
        <v>1640415</v>
      </c>
      <c r="AU325" s="1">
        <f t="shared" si="1061"/>
        <v>984249</v>
      </c>
      <c r="AV325" s="1">
        <f t="shared" si="1061"/>
        <v>273403</v>
      </c>
      <c r="AW325" s="1">
        <f t="shared" si="1061"/>
        <v>82021</v>
      </c>
      <c r="AX325" s="1">
        <f t="shared" si="1061"/>
        <v>2187220</v>
      </c>
      <c r="AY325" s="1">
        <f t="shared" si="1061"/>
        <v>4921245</v>
      </c>
      <c r="AZ325" s="1">
        <f t="shared" si="886"/>
        <v>63094208</v>
      </c>
      <c r="BA325" s="1">
        <f t="shared" si="887"/>
        <v>31547104</v>
      </c>
      <c r="BC325" s="1">
        <f t="shared" si="888"/>
        <v>314</v>
      </c>
    </row>
    <row r="326" s="1" customFormat="1" spans="2:55">
      <c r="B326" s="4">
        <v>315</v>
      </c>
      <c r="C326" s="1">
        <f t="shared" ref="C326:I326" si="1062">C$5+(C$6-C$5)*(POWER(C$7,$B326-1)-1)/(POWER(C$7,$B$3-1)-1)</f>
        <v>24887.2945068057</v>
      </c>
      <c r="D326" s="1">
        <f t="shared" si="1062"/>
        <v>7466.1883520417</v>
      </c>
      <c r="E326" s="1">
        <f t="shared" si="1062"/>
        <v>4977.45890136113</v>
      </c>
      <c r="F326" s="1">
        <f t="shared" si="1062"/>
        <v>91358.4228730841</v>
      </c>
      <c r="G326" s="1">
        <f t="shared" si="1062"/>
        <v>27407.5268619252</v>
      </c>
      <c r="H326" s="1">
        <f t="shared" si="1062"/>
        <v>18271.6845746168</v>
      </c>
      <c r="I326" s="1">
        <f t="shared" si="1062"/>
        <v>0</v>
      </c>
      <c r="J326" s="1">
        <f>[1]标准模型!$I$65/1*$B326/$B$3</f>
        <v>2.268</v>
      </c>
      <c r="K326" s="1">
        <f>J326*[1]标准模型!$J$63</f>
        <v>2.268</v>
      </c>
      <c r="L326" s="1">
        <f t="shared" si="865"/>
        <v>116245.71737989</v>
      </c>
      <c r="M326" s="1">
        <f t="shared" si="866"/>
        <v>51807.0303963975</v>
      </c>
      <c r="N326" s="1">
        <f t="shared" si="867"/>
        <v>34538.020264265</v>
      </c>
      <c r="O326" s="1">
        <f t="shared" ref="O326:X326" si="1063">O$5+(O$6-O$5)*(POWER(O$7,$B326-1)-1)/(POWER(O$7,$B$3-1)-1)</f>
        <v>0.814658361112169</v>
      </c>
      <c r="P326" s="1">
        <f t="shared" si="1063"/>
        <v>0.216073100231831</v>
      </c>
      <c r="Q326" s="1">
        <f t="shared" si="1063"/>
        <v>0.448062098611693</v>
      </c>
      <c r="R326" s="1">
        <f t="shared" si="1063"/>
        <v>1.12586334444487</v>
      </c>
      <c r="S326" s="1">
        <f t="shared" si="1063"/>
        <v>0.440521705557037</v>
      </c>
      <c r="T326" s="1">
        <f t="shared" si="1063"/>
        <v>3.22716760833746</v>
      </c>
      <c r="U326" s="1">
        <f t="shared" si="1063"/>
        <v>1</v>
      </c>
      <c r="V326" s="1">
        <f t="shared" si="1063"/>
        <v>1.34316587075139</v>
      </c>
      <c r="W326" s="1">
        <f t="shared" si="1063"/>
        <v>1.19363591453057</v>
      </c>
      <c r="X326" s="1">
        <f t="shared" si="1063"/>
        <v>2.00690675555894</v>
      </c>
      <c r="Y326" s="1">
        <f t="shared" si="891"/>
        <v>5.50731754829847</v>
      </c>
      <c r="Z326" s="1">
        <f t="shared" si="892"/>
        <v>10.6128441000571</v>
      </c>
      <c r="AA326" s="1">
        <f t="shared" si="869"/>
        <v>1233697.67585207</v>
      </c>
      <c r="AB326" s="1">
        <f t="shared" si="870"/>
        <v>51807.0303963975</v>
      </c>
      <c r="AC326" s="1">
        <f t="shared" si="871"/>
        <v>34538.020264265</v>
      </c>
      <c r="AD326" s="1">
        <f>AC326/(AC326+[1]战斗公式!$M$27)</f>
        <v>0.590010050021268</v>
      </c>
      <c r="AE326" s="1">
        <f t="shared" si="872"/>
        <v>3009092.48120855</v>
      </c>
      <c r="AF326" s="1">
        <f t="shared" si="873"/>
        <v>10.5464602020127</v>
      </c>
      <c r="AG326" s="1">
        <f t="shared" si="874"/>
        <v>5.47286898736817</v>
      </c>
      <c r="AH326" s="1">
        <f t="shared" si="875"/>
        <v>4.71046740479046</v>
      </c>
      <c r="AI326" s="1">
        <f t="shared" si="876"/>
        <v>1.41853539370122</v>
      </c>
      <c r="AJ326" s="1">
        <f t="shared" si="877"/>
        <v>1.00000011637965</v>
      </c>
      <c r="AK326" s="1">
        <f t="shared" si="878"/>
        <v>1.00137286778252</v>
      </c>
      <c r="AL326" s="1">
        <f t="shared" si="879"/>
        <v>0.917941733701188</v>
      </c>
      <c r="AM326" s="27">
        <f t="shared" si="880"/>
        <v>1061837</v>
      </c>
      <c r="AN326" s="27">
        <f t="shared" si="881"/>
        <v>73490</v>
      </c>
      <c r="AO326" s="27">
        <f t="shared" si="882"/>
        <v>34538</v>
      </c>
      <c r="AP326" s="1">
        <f t="shared" si="883"/>
        <v>551775</v>
      </c>
      <c r="AQ326" s="1">
        <f t="shared" si="884"/>
        <v>67460</v>
      </c>
      <c r="AR326"/>
      <c r="AS326" s="1">
        <f t="shared" ref="AS326:AY326" si="1064">ROUNDUP(AS$10*$AP326,0)</f>
        <v>551775</v>
      </c>
      <c r="AT326" s="1">
        <f t="shared" si="1064"/>
        <v>1655325</v>
      </c>
      <c r="AU326" s="1">
        <f t="shared" si="1064"/>
        <v>993195</v>
      </c>
      <c r="AV326" s="1">
        <f t="shared" si="1064"/>
        <v>275888</v>
      </c>
      <c r="AW326" s="1">
        <f t="shared" si="1064"/>
        <v>82767</v>
      </c>
      <c r="AX326" s="1">
        <f t="shared" si="1064"/>
        <v>2207100</v>
      </c>
      <c r="AY326" s="1">
        <f t="shared" si="1064"/>
        <v>4965975</v>
      </c>
      <c r="AZ326" s="1">
        <f t="shared" si="886"/>
        <v>63710227</v>
      </c>
      <c r="BA326" s="1">
        <f t="shared" si="887"/>
        <v>31855114</v>
      </c>
      <c r="BC326" s="1">
        <f t="shared" si="888"/>
        <v>315</v>
      </c>
    </row>
    <row r="327" s="1" customFormat="1" spans="2:55">
      <c r="B327" s="4">
        <v>316</v>
      </c>
      <c r="C327" s="1">
        <f t="shared" ref="C327:I327" si="1065">C$5+(C$6-C$5)*(POWER(C$7,$B327-1)-1)/(POWER(C$7,$B$3-1)-1)</f>
        <v>24966.2893711503</v>
      </c>
      <c r="D327" s="1">
        <f t="shared" si="1065"/>
        <v>7489.88681134509</v>
      </c>
      <c r="E327" s="1">
        <f t="shared" si="1065"/>
        <v>4993.25787423006</v>
      </c>
      <c r="F327" s="1">
        <f t="shared" si="1065"/>
        <v>91648.4040206783</v>
      </c>
      <c r="G327" s="1">
        <f t="shared" si="1065"/>
        <v>27494.5212062035</v>
      </c>
      <c r="H327" s="1">
        <f t="shared" si="1065"/>
        <v>18329.6808041357</v>
      </c>
      <c r="I327" s="1">
        <f t="shared" si="1065"/>
        <v>0</v>
      </c>
      <c r="J327" s="1">
        <f>[1]标准模型!$I$65/1*$B327/$B$3</f>
        <v>2.2752</v>
      </c>
      <c r="K327" s="1">
        <f>J327*[1]标准模型!$J$63</f>
        <v>2.2752</v>
      </c>
      <c r="L327" s="1">
        <f t="shared" si="865"/>
        <v>116614.693391829</v>
      </c>
      <c r="M327" s="1">
        <f t="shared" si="866"/>
        <v>52025.3984907209</v>
      </c>
      <c r="N327" s="1">
        <f t="shared" si="867"/>
        <v>34683.598993814</v>
      </c>
      <c r="O327" s="1">
        <f t="shared" ref="O327:X327" si="1066">O$5+(O$6-O$5)*(POWER(O$7,$B327-1)-1)/(POWER(O$7,$B$3-1)-1)</f>
        <v>0.815660299981613</v>
      </c>
      <c r="P327" s="1">
        <f t="shared" si="1066"/>
        <v>0.216936467007708</v>
      </c>
      <c r="Q327" s="1">
        <f t="shared" si="1066"/>
        <v>0.448613164989887</v>
      </c>
      <c r="R327" s="1">
        <f t="shared" si="1066"/>
        <v>1.12626411999265</v>
      </c>
      <c r="S327" s="1">
        <f t="shared" si="1066"/>
        <v>0.441924419974258</v>
      </c>
      <c r="T327" s="1">
        <f t="shared" si="1066"/>
        <v>3.23107516992829</v>
      </c>
      <c r="U327" s="1">
        <f t="shared" si="1066"/>
        <v>1</v>
      </c>
      <c r="V327" s="1">
        <f t="shared" si="1066"/>
        <v>1.34425858356969</v>
      </c>
      <c r="W327" s="1">
        <f t="shared" si="1066"/>
        <v>1.19425249229638</v>
      </c>
      <c r="X327" s="1">
        <f t="shared" si="1066"/>
        <v>2.01011295994116</v>
      </c>
      <c r="Y327" s="1">
        <f t="shared" si="891"/>
        <v>5.54446402608122</v>
      </c>
      <c r="Z327" s="1">
        <f t="shared" si="892"/>
        <v>10.6912440366649</v>
      </c>
      <c r="AA327" s="1">
        <f t="shared" si="869"/>
        <v>1246756.14531289</v>
      </c>
      <c r="AB327" s="1">
        <f t="shared" si="870"/>
        <v>52025.3984907209</v>
      </c>
      <c r="AC327" s="1">
        <f t="shared" si="871"/>
        <v>34683.598993814</v>
      </c>
      <c r="AD327" s="1">
        <f>AC327/(AC327+[1]战斗公式!$M$27)</f>
        <v>0.591027128337342</v>
      </c>
      <c r="AE327" s="1">
        <f t="shared" si="872"/>
        <v>3048505.73644229</v>
      </c>
      <c r="AF327" s="1">
        <f t="shared" si="873"/>
        <v>10.5684678644682</v>
      </c>
      <c r="AG327" s="1">
        <f t="shared" si="874"/>
        <v>5.48079247694532</v>
      </c>
      <c r="AH327" s="1">
        <f t="shared" si="875"/>
        <v>4.71335655348558</v>
      </c>
      <c r="AI327" s="1">
        <f t="shared" si="876"/>
        <v>1.4224775451764</v>
      </c>
      <c r="AJ327" s="1">
        <f t="shared" si="877"/>
        <v>1.00000011056023</v>
      </c>
      <c r="AK327" s="1">
        <f t="shared" si="878"/>
        <v>1.00134474061948</v>
      </c>
      <c r="AL327" s="1">
        <f t="shared" si="879"/>
        <v>0.918167280963444</v>
      </c>
      <c r="AM327" s="27">
        <f t="shared" si="880"/>
        <v>1072182</v>
      </c>
      <c r="AN327" s="27">
        <f t="shared" si="881"/>
        <v>74005</v>
      </c>
      <c r="AO327" s="27">
        <f t="shared" si="882"/>
        <v>34684</v>
      </c>
      <c r="AP327" s="1">
        <f t="shared" si="883"/>
        <v>556780</v>
      </c>
      <c r="AQ327" s="1">
        <f t="shared" si="884"/>
        <v>67949</v>
      </c>
      <c r="AR327"/>
      <c r="AS327" s="1">
        <f t="shared" ref="AS327:AY327" si="1067">ROUNDUP(AS$10*$AP327,0)</f>
        <v>556780</v>
      </c>
      <c r="AT327" s="1">
        <f t="shared" si="1067"/>
        <v>1670340</v>
      </c>
      <c r="AU327" s="1">
        <f t="shared" si="1067"/>
        <v>1002204</v>
      </c>
      <c r="AV327" s="1">
        <f t="shared" si="1067"/>
        <v>278390</v>
      </c>
      <c r="AW327" s="1">
        <f t="shared" si="1067"/>
        <v>83517</v>
      </c>
      <c r="AX327" s="1">
        <f t="shared" si="1067"/>
        <v>2227120</v>
      </c>
      <c r="AY327" s="1">
        <f t="shared" si="1067"/>
        <v>5011020</v>
      </c>
      <c r="AZ327" s="1">
        <f t="shared" si="886"/>
        <v>64330927</v>
      </c>
      <c r="BA327" s="1">
        <f t="shared" si="887"/>
        <v>32165464</v>
      </c>
      <c r="BC327" s="1">
        <f t="shared" si="888"/>
        <v>316</v>
      </c>
    </row>
    <row r="328" s="1" customFormat="1" spans="2:55">
      <c r="B328" s="4">
        <v>317</v>
      </c>
      <c r="C328" s="1">
        <f t="shared" ref="C328:I328" si="1068">C$5+(C$6-C$5)*(POWER(C$7,$B328-1)-1)/(POWER(C$7,$B$3-1)-1)</f>
        <v>25045.2841564946</v>
      </c>
      <c r="D328" s="1">
        <f t="shared" si="1068"/>
        <v>7513.58524694837</v>
      </c>
      <c r="E328" s="1">
        <f t="shared" si="1068"/>
        <v>5009.05683129891</v>
      </c>
      <c r="F328" s="1">
        <f t="shared" si="1068"/>
        <v>91938.3848782712</v>
      </c>
      <c r="G328" s="1">
        <f t="shared" si="1068"/>
        <v>27581.5154634814</v>
      </c>
      <c r="H328" s="1">
        <f t="shared" si="1068"/>
        <v>18387.6769756542</v>
      </c>
      <c r="I328" s="1">
        <f t="shared" si="1068"/>
        <v>0</v>
      </c>
      <c r="J328" s="1">
        <f>[1]标准模型!$I$65/1*$B328/$B$3</f>
        <v>2.2824</v>
      </c>
      <c r="K328" s="1">
        <f>J328*[1]标准模型!$J$63</f>
        <v>2.2824</v>
      </c>
      <c r="L328" s="1">
        <f t="shared" si="865"/>
        <v>116983.669034766</v>
      </c>
      <c r="M328" s="1">
        <f t="shared" si="866"/>
        <v>52244.1076780647</v>
      </c>
      <c r="N328" s="1">
        <f t="shared" si="867"/>
        <v>34829.4051187097</v>
      </c>
      <c r="O328" s="1">
        <f t="shared" ref="O328:X328" si="1069">O$5+(O$6-O$5)*(POWER(O$7,$B328-1)-1)/(POWER(O$7,$B$3-1)-1)</f>
        <v>0.816662237849047</v>
      </c>
      <c r="P328" s="1">
        <f t="shared" si="1069"/>
        <v>0.21780112883375</v>
      </c>
      <c r="Q328" s="1">
        <f t="shared" si="1069"/>
        <v>0.449164230816976</v>
      </c>
      <c r="R328" s="1">
        <f t="shared" si="1069"/>
        <v>1.12666489513962</v>
      </c>
      <c r="S328" s="1">
        <f t="shared" si="1069"/>
        <v>0.443327132988666</v>
      </c>
      <c r="T328" s="1">
        <f t="shared" si="1069"/>
        <v>3.23498272761128</v>
      </c>
      <c r="U328" s="1">
        <f t="shared" si="1069"/>
        <v>1</v>
      </c>
      <c r="V328" s="1">
        <f t="shared" si="1069"/>
        <v>1.3453512952952</v>
      </c>
      <c r="W328" s="1">
        <f t="shared" si="1069"/>
        <v>1.19486906944557</v>
      </c>
      <c r="X328" s="1">
        <f t="shared" si="1069"/>
        <v>2.01331916111695</v>
      </c>
      <c r="Y328" s="1">
        <f t="shared" si="891"/>
        <v>5.58183083235278</v>
      </c>
      <c r="Z328" s="1">
        <f t="shared" si="892"/>
        <v>10.7701600953249</v>
      </c>
      <c r="AA328" s="1">
        <f t="shared" si="869"/>
        <v>1259932.84404293</v>
      </c>
      <c r="AB328" s="1">
        <f t="shared" si="870"/>
        <v>52244.1076780647</v>
      </c>
      <c r="AC328" s="1">
        <f t="shared" si="871"/>
        <v>34829.4051187097</v>
      </c>
      <c r="AD328" s="1">
        <f>AC328/(AC328+[1]战斗公式!$M$27)</f>
        <v>0.592040749832991</v>
      </c>
      <c r="AE328" s="1">
        <f t="shared" si="872"/>
        <v>3088379.15435707</v>
      </c>
      <c r="AF328" s="1">
        <f t="shared" si="873"/>
        <v>10.5905039438354</v>
      </c>
      <c r="AG328" s="1">
        <f t="shared" si="874"/>
        <v>5.48872077301011</v>
      </c>
      <c r="AH328" s="1">
        <f t="shared" si="875"/>
        <v>4.71622403356549</v>
      </c>
      <c r="AI328" s="1">
        <f t="shared" si="876"/>
        <v>1.42642758095452</v>
      </c>
      <c r="AJ328" s="1">
        <f t="shared" si="877"/>
        <v>1.00000010503177</v>
      </c>
      <c r="AK328" s="1">
        <f t="shared" si="878"/>
        <v>1.0013171759997</v>
      </c>
      <c r="AL328" s="1">
        <f t="shared" si="879"/>
        <v>0.918392151583914</v>
      </c>
      <c r="AM328" s="27">
        <f t="shared" si="880"/>
        <v>1082607</v>
      </c>
      <c r="AN328" s="27">
        <f t="shared" si="881"/>
        <v>74522</v>
      </c>
      <c r="AO328" s="27">
        <f t="shared" si="882"/>
        <v>34829</v>
      </c>
      <c r="AP328" s="1">
        <f t="shared" si="883"/>
        <v>561820</v>
      </c>
      <c r="AQ328" s="1">
        <f t="shared" si="884"/>
        <v>68440</v>
      </c>
      <c r="AR328"/>
      <c r="AS328" s="1">
        <f t="shared" ref="AS328:AY328" si="1070">ROUNDUP(AS$10*$AP328,0)</f>
        <v>561820</v>
      </c>
      <c r="AT328" s="1">
        <f t="shared" si="1070"/>
        <v>1685460</v>
      </c>
      <c r="AU328" s="1">
        <f t="shared" si="1070"/>
        <v>1011276</v>
      </c>
      <c r="AV328" s="1">
        <f t="shared" si="1070"/>
        <v>280910</v>
      </c>
      <c r="AW328" s="1">
        <f t="shared" si="1070"/>
        <v>84273</v>
      </c>
      <c r="AX328" s="1">
        <f t="shared" si="1070"/>
        <v>2247280</v>
      </c>
      <c r="AY328" s="1">
        <f t="shared" si="1070"/>
        <v>5056380</v>
      </c>
      <c r="AZ328" s="1">
        <f t="shared" si="886"/>
        <v>64956427</v>
      </c>
      <c r="BA328" s="1">
        <f t="shared" si="887"/>
        <v>32478213</v>
      </c>
      <c r="BC328" s="1">
        <f t="shared" si="888"/>
        <v>317</v>
      </c>
    </row>
    <row r="329" s="1" customFormat="1" spans="2:55">
      <c r="B329" s="4">
        <v>318</v>
      </c>
      <c r="C329" s="1">
        <f t="shared" ref="C329:I329" si="1071">C$5+(C$6-C$5)*(POWER(C$7,$B329-1)-1)/(POWER(C$7,$B$3-1)-1)</f>
        <v>25124.278862856</v>
      </c>
      <c r="D329" s="1">
        <f t="shared" si="1071"/>
        <v>7537.2836588568</v>
      </c>
      <c r="E329" s="1">
        <f t="shared" si="1071"/>
        <v>5024.8557725712</v>
      </c>
      <c r="F329" s="1">
        <f t="shared" si="1071"/>
        <v>92228.3654459271</v>
      </c>
      <c r="G329" s="1">
        <f t="shared" si="1071"/>
        <v>27668.5096337781</v>
      </c>
      <c r="H329" s="1">
        <f t="shared" si="1071"/>
        <v>18445.6730891854</v>
      </c>
      <c r="I329" s="1">
        <f t="shared" si="1071"/>
        <v>0</v>
      </c>
      <c r="J329" s="1">
        <f>[1]标准模型!$I$65/1*$B329/$B$3</f>
        <v>2.2896</v>
      </c>
      <c r="K329" s="1">
        <f>J329*[1]标准模型!$J$63</f>
        <v>2.2896</v>
      </c>
      <c r="L329" s="1">
        <f t="shared" si="865"/>
        <v>117352.644308783</v>
      </c>
      <c r="M329" s="1">
        <f t="shared" si="866"/>
        <v>52463.1579579534</v>
      </c>
      <c r="N329" s="1">
        <f t="shared" si="867"/>
        <v>34975.4386386356</v>
      </c>
      <c r="O329" s="1">
        <f t="shared" ref="O329:X329" si="1072">O$5+(O$6-O$5)*(POWER(O$7,$B329-1)-1)/(POWER(O$7,$B$3-1)-1)</f>
        <v>0.817664174714695</v>
      </c>
      <c r="P329" s="1">
        <f t="shared" si="1072"/>
        <v>0.21866708765253</v>
      </c>
      <c r="Q329" s="1">
        <f t="shared" si="1072"/>
        <v>0.449715296093082</v>
      </c>
      <c r="R329" s="1">
        <f t="shared" si="1072"/>
        <v>1.12706566988588</v>
      </c>
      <c r="S329" s="1">
        <f t="shared" si="1072"/>
        <v>0.444729844600573</v>
      </c>
      <c r="T329" s="1">
        <f t="shared" si="1072"/>
        <v>3.23889028138731</v>
      </c>
      <c r="U329" s="1">
        <f t="shared" si="1072"/>
        <v>1</v>
      </c>
      <c r="V329" s="1">
        <f t="shared" si="1072"/>
        <v>1.34644400592816</v>
      </c>
      <c r="W329" s="1">
        <f t="shared" si="1072"/>
        <v>1.19548564597827</v>
      </c>
      <c r="X329" s="1">
        <f t="shared" si="1072"/>
        <v>2.01652535908702</v>
      </c>
      <c r="Y329" s="1">
        <f t="shared" si="891"/>
        <v>5.61941906929127</v>
      </c>
      <c r="Z329" s="1">
        <f t="shared" si="892"/>
        <v>10.8495952025345</v>
      </c>
      <c r="AA329" s="1">
        <f t="shared" si="869"/>
        <v>1273228.68669731</v>
      </c>
      <c r="AB329" s="1">
        <f t="shared" si="870"/>
        <v>52463.1579579534</v>
      </c>
      <c r="AC329" s="1">
        <f t="shared" si="871"/>
        <v>34975.4386386356</v>
      </c>
      <c r="AD329" s="1">
        <f>AC329/(AC329+[1]战斗公式!$M$27)</f>
        <v>0.593050928420272</v>
      </c>
      <c r="AE329" s="1">
        <f t="shared" si="872"/>
        <v>3128717.51188616</v>
      </c>
      <c r="AF329" s="1">
        <f t="shared" si="873"/>
        <v>10.6125684204698</v>
      </c>
      <c r="AG329" s="1">
        <f t="shared" si="874"/>
        <v>5.49665386061732</v>
      </c>
      <c r="AH329" s="1">
        <f t="shared" si="875"/>
        <v>4.7190700075448</v>
      </c>
      <c r="AI329" s="1">
        <f t="shared" si="876"/>
        <v>1.4303855168042</v>
      </c>
      <c r="AJ329" s="1">
        <f t="shared" si="877"/>
        <v>1.00000009977975</v>
      </c>
      <c r="AK329" s="1">
        <f t="shared" si="878"/>
        <v>1.00129016267232</v>
      </c>
      <c r="AL329" s="1">
        <f t="shared" si="879"/>
        <v>0.918616347592522</v>
      </c>
      <c r="AM329" s="27">
        <f t="shared" si="880"/>
        <v>1093111</v>
      </c>
      <c r="AN329" s="27">
        <f t="shared" si="881"/>
        <v>75043</v>
      </c>
      <c r="AO329" s="27">
        <f t="shared" si="882"/>
        <v>34975</v>
      </c>
      <c r="AP329" s="1">
        <f t="shared" si="883"/>
        <v>566895</v>
      </c>
      <c r="AQ329" s="1">
        <f t="shared" si="884"/>
        <v>68936</v>
      </c>
      <c r="AR329"/>
      <c r="AS329" s="1">
        <f t="shared" ref="AS329:AY329" si="1073">ROUNDUP(AS$10*$AP329,0)</f>
        <v>566895</v>
      </c>
      <c r="AT329" s="1">
        <f t="shared" si="1073"/>
        <v>1700685</v>
      </c>
      <c r="AU329" s="1">
        <f t="shared" si="1073"/>
        <v>1020411</v>
      </c>
      <c r="AV329" s="1">
        <f t="shared" si="1073"/>
        <v>283448</v>
      </c>
      <c r="AW329" s="1">
        <f t="shared" si="1073"/>
        <v>85035</v>
      </c>
      <c r="AX329" s="1">
        <f t="shared" si="1073"/>
        <v>2267580</v>
      </c>
      <c r="AY329" s="1">
        <f t="shared" si="1073"/>
        <v>5102055</v>
      </c>
      <c r="AZ329" s="1">
        <f t="shared" si="886"/>
        <v>65586667</v>
      </c>
      <c r="BA329" s="1">
        <f t="shared" si="887"/>
        <v>32793333</v>
      </c>
      <c r="BC329" s="1">
        <f t="shared" si="888"/>
        <v>318</v>
      </c>
    </row>
    <row r="330" s="1" customFormat="1" spans="2:55">
      <c r="B330" s="4">
        <v>319</v>
      </c>
      <c r="C330" s="1">
        <f t="shared" ref="C330:I330" si="1074">C$5+(C$6-C$5)*(POWER(C$7,$B330-1)-1)/(POWER(C$7,$B$3-1)-1)</f>
        <v>25203.2734902083</v>
      </c>
      <c r="D330" s="1">
        <f t="shared" si="1074"/>
        <v>7560.98204706249</v>
      </c>
      <c r="E330" s="1">
        <f t="shared" si="1074"/>
        <v>5040.65469804166</v>
      </c>
      <c r="F330" s="1">
        <f t="shared" si="1074"/>
        <v>92518.3457235494</v>
      </c>
      <c r="G330" s="1">
        <f t="shared" si="1074"/>
        <v>27755.5037170648</v>
      </c>
      <c r="H330" s="1">
        <f t="shared" si="1074"/>
        <v>18503.6691447099</v>
      </c>
      <c r="I330" s="1">
        <f t="shared" si="1074"/>
        <v>0</v>
      </c>
      <c r="J330" s="1">
        <f>[1]标准模型!$I$65/1*$B330/$B$3</f>
        <v>2.2968</v>
      </c>
      <c r="K330" s="1">
        <f>J330*[1]标准模型!$J$63</f>
        <v>2.2968</v>
      </c>
      <c r="L330" s="1">
        <f t="shared" si="865"/>
        <v>117721.619213758</v>
      </c>
      <c r="M330" s="1">
        <f t="shared" si="866"/>
        <v>52682.5493298204</v>
      </c>
      <c r="N330" s="1">
        <f t="shared" si="867"/>
        <v>35121.6995532136</v>
      </c>
      <c r="O330" s="1">
        <f t="shared" ref="O330:X330" si="1075">O$5+(O$6-O$5)*(POWER(O$7,$B330-1)-1)/(POWER(O$7,$B$3-1)-1)</f>
        <v>0.818666110578223</v>
      </c>
      <c r="P330" s="1">
        <f t="shared" si="1075"/>
        <v>0.219534345409538</v>
      </c>
      <c r="Q330" s="1">
        <f t="shared" si="1075"/>
        <v>0.450266360818023</v>
      </c>
      <c r="R330" s="1">
        <f t="shared" si="1075"/>
        <v>1.12746644423129</v>
      </c>
      <c r="S330" s="1">
        <f t="shared" si="1075"/>
        <v>0.446132554809513</v>
      </c>
      <c r="T330" s="1">
        <f t="shared" si="1075"/>
        <v>3.24279783125507</v>
      </c>
      <c r="U330" s="1">
        <f t="shared" si="1075"/>
        <v>1</v>
      </c>
      <c r="V330" s="1">
        <f t="shared" si="1075"/>
        <v>1.34753671546822</v>
      </c>
      <c r="W330" s="1">
        <f t="shared" si="1075"/>
        <v>1.19610222189429</v>
      </c>
      <c r="X330" s="1">
        <f t="shared" si="1075"/>
        <v>2.01973155385031</v>
      </c>
      <c r="Y330" s="1">
        <f t="shared" si="891"/>
        <v>5.65722984345785</v>
      </c>
      <c r="Z330" s="1">
        <f t="shared" si="892"/>
        <v>10.9295522984372</v>
      </c>
      <c r="AA330" s="1">
        <f t="shared" si="869"/>
        <v>1286644.59385347</v>
      </c>
      <c r="AB330" s="1">
        <f t="shared" si="870"/>
        <v>52682.5493298204</v>
      </c>
      <c r="AC330" s="1">
        <f t="shared" si="871"/>
        <v>35121.6995532136</v>
      </c>
      <c r="AD330" s="1">
        <f>AC330/(AC330+[1]战斗公式!$M$27)</f>
        <v>0.594057677952943</v>
      </c>
      <c r="AE330" s="1">
        <f t="shared" si="872"/>
        <v>3169525.62956548</v>
      </c>
      <c r="AF330" s="1">
        <f t="shared" si="873"/>
        <v>10.6346612747528</v>
      </c>
      <c r="AG330" s="1">
        <f t="shared" si="874"/>
        <v>5.50459172487786</v>
      </c>
      <c r="AH330" s="1">
        <f t="shared" si="875"/>
        <v>4.72189463671927</v>
      </c>
      <c r="AI330" s="1">
        <f t="shared" si="876"/>
        <v>1.43435136852559</v>
      </c>
      <c r="AJ330" s="1">
        <f t="shared" si="877"/>
        <v>1.00000009479032</v>
      </c>
      <c r="AK330" s="1">
        <f t="shared" si="878"/>
        <v>1.00126368961148</v>
      </c>
      <c r="AL330" s="1">
        <f t="shared" si="879"/>
        <v>0.918839871013104</v>
      </c>
      <c r="AM330" s="27">
        <f t="shared" si="880"/>
        <v>1103697</v>
      </c>
      <c r="AN330" s="27">
        <f t="shared" si="881"/>
        <v>75565</v>
      </c>
      <c r="AO330" s="27">
        <f t="shared" si="882"/>
        <v>35122</v>
      </c>
      <c r="AP330" s="1">
        <f t="shared" si="883"/>
        <v>572005</v>
      </c>
      <c r="AQ330" s="1">
        <f t="shared" si="884"/>
        <v>69432</v>
      </c>
      <c r="AR330"/>
      <c r="AS330" s="1">
        <f t="shared" ref="AS330:AY330" si="1076">ROUNDUP(AS$10*$AP330,0)</f>
        <v>572005</v>
      </c>
      <c r="AT330" s="1">
        <f t="shared" si="1076"/>
        <v>1716015</v>
      </c>
      <c r="AU330" s="1">
        <f t="shared" si="1076"/>
        <v>1029609</v>
      </c>
      <c r="AV330" s="1">
        <f t="shared" si="1076"/>
        <v>286003</v>
      </c>
      <c r="AW330" s="1">
        <f t="shared" si="1076"/>
        <v>85801</v>
      </c>
      <c r="AX330" s="1">
        <f t="shared" si="1076"/>
        <v>2288020</v>
      </c>
      <c r="AY330" s="1">
        <f t="shared" si="1076"/>
        <v>5148045</v>
      </c>
      <c r="AZ330" s="1">
        <f t="shared" si="886"/>
        <v>66221826</v>
      </c>
      <c r="BA330" s="1">
        <f t="shared" si="887"/>
        <v>33110913</v>
      </c>
      <c r="BC330" s="1">
        <f t="shared" si="888"/>
        <v>319</v>
      </c>
    </row>
    <row r="331" s="1" customFormat="1" spans="2:55">
      <c r="B331" s="4">
        <v>320</v>
      </c>
      <c r="C331" s="1">
        <f t="shared" ref="C331:I331" si="1077">C$5+(C$6-C$5)*(POWER(C$7,$B331-1)-1)/(POWER(C$7,$B$3-1)-1)</f>
        <v>25282.2680385777</v>
      </c>
      <c r="D331" s="1">
        <f t="shared" si="1077"/>
        <v>7584.68041157332</v>
      </c>
      <c r="E331" s="1">
        <f t="shared" si="1077"/>
        <v>5056.45360771555</v>
      </c>
      <c r="F331" s="1">
        <f t="shared" si="1077"/>
        <v>92808.3257112347</v>
      </c>
      <c r="G331" s="1">
        <f t="shared" si="1077"/>
        <v>27842.4977133704</v>
      </c>
      <c r="H331" s="1">
        <f t="shared" si="1077"/>
        <v>18561.6651422469</v>
      </c>
      <c r="I331" s="1">
        <f t="shared" si="1077"/>
        <v>0</v>
      </c>
      <c r="J331" s="1">
        <f>[1]标准模型!$I$65/1*$B331/$B$3</f>
        <v>2.304</v>
      </c>
      <c r="K331" s="1">
        <f>J331*[1]标准模型!$J$63</f>
        <v>2.304</v>
      </c>
      <c r="L331" s="1">
        <f t="shared" si="865"/>
        <v>118090.593749812</v>
      </c>
      <c r="M331" s="1">
        <f t="shared" si="866"/>
        <v>52902.2817932086</v>
      </c>
      <c r="N331" s="1">
        <f t="shared" si="867"/>
        <v>35268.1878621391</v>
      </c>
      <c r="O331" s="1">
        <f t="shared" ref="O331:X331" si="1078">O$5+(O$6-O$5)*(POWER(O$7,$B331-1)-1)/(POWER(O$7,$B$3-1)-1)</f>
        <v>0.819668045439965</v>
      </c>
      <c r="P331" s="1">
        <f t="shared" si="1078"/>
        <v>0.220402904053182</v>
      </c>
      <c r="Q331" s="1">
        <f t="shared" si="1078"/>
        <v>0.450817424991981</v>
      </c>
      <c r="R331" s="1">
        <f t="shared" si="1078"/>
        <v>1.12786721817599</v>
      </c>
      <c r="S331" s="1">
        <f t="shared" si="1078"/>
        <v>0.447535263615951</v>
      </c>
      <c r="T331" s="1">
        <f t="shared" si="1078"/>
        <v>3.24670537721586</v>
      </c>
      <c r="U331" s="1">
        <f t="shared" si="1078"/>
        <v>1</v>
      </c>
      <c r="V331" s="1">
        <f t="shared" si="1078"/>
        <v>1.34862942391572</v>
      </c>
      <c r="W331" s="1">
        <f t="shared" si="1078"/>
        <v>1.19671879719382</v>
      </c>
      <c r="X331" s="1">
        <f t="shared" si="1078"/>
        <v>2.02293774540789</v>
      </c>
      <c r="Y331" s="1">
        <f t="shared" si="891"/>
        <v>5.69526426585075</v>
      </c>
      <c r="Z331" s="1">
        <f t="shared" si="892"/>
        <v>11.0100343369633</v>
      </c>
      <c r="AA331" s="1">
        <f t="shared" si="869"/>
        <v>1300181.49205782</v>
      </c>
      <c r="AB331" s="1">
        <f t="shared" si="870"/>
        <v>52902.2817932086</v>
      </c>
      <c r="AC331" s="1">
        <f t="shared" si="871"/>
        <v>35268.1878621391</v>
      </c>
      <c r="AD331" s="1">
        <f>AC331/(AC331+[1]战斗公式!$M$27)</f>
        <v>0.595061012227584</v>
      </c>
      <c r="AE331" s="1">
        <f t="shared" si="872"/>
        <v>3210808.3719233</v>
      </c>
      <c r="AF331" s="1">
        <f t="shared" si="873"/>
        <v>10.6567824871273</v>
      </c>
      <c r="AG331" s="1">
        <f t="shared" si="874"/>
        <v>5.51253435097099</v>
      </c>
      <c r="AH331" s="1">
        <f t="shared" si="875"/>
        <v>4.72469808117493</v>
      </c>
      <c r="AI331" s="1">
        <f t="shared" si="876"/>
        <v>1.43832515195041</v>
      </c>
      <c r="AJ331" s="1">
        <f t="shared" si="877"/>
        <v>1.00000009005036</v>
      </c>
      <c r="AK331" s="1">
        <f t="shared" si="878"/>
        <v>1.00123774601187</v>
      </c>
      <c r="AL331" s="1">
        <f t="shared" si="879"/>
        <v>0.919062723863424</v>
      </c>
      <c r="AM331" s="27">
        <f t="shared" si="880"/>
        <v>1114363</v>
      </c>
      <c r="AN331" s="27">
        <f t="shared" si="881"/>
        <v>76091</v>
      </c>
      <c r="AO331" s="27">
        <f t="shared" si="882"/>
        <v>35268</v>
      </c>
      <c r="AP331" s="1">
        <f t="shared" si="883"/>
        <v>577151</v>
      </c>
      <c r="AQ331" s="1">
        <f t="shared" si="884"/>
        <v>69932</v>
      </c>
      <c r="AR331"/>
      <c r="AS331" s="1">
        <f t="shared" ref="AS331:AY331" si="1079">ROUNDUP(AS$10*$AP331,0)</f>
        <v>577151</v>
      </c>
      <c r="AT331" s="1">
        <f t="shared" si="1079"/>
        <v>1731453</v>
      </c>
      <c r="AU331" s="1">
        <f t="shared" si="1079"/>
        <v>1038872</v>
      </c>
      <c r="AV331" s="1">
        <f t="shared" si="1079"/>
        <v>288576</v>
      </c>
      <c r="AW331" s="1">
        <f t="shared" si="1079"/>
        <v>86573</v>
      </c>
      <c r="AX331" s="1">
        <f t="shared" si="1079"/>
        <v>2308604</v>
      </c>
      <c r="AY331" s="1">
        <f t="shared" si="1079"/>
        <v>5194359</v>
      </c>
      <c r="AZ331" s="1">
        <f t="shared" si="886"/>
        <v>66861786</v>
      </c>
      <c r="BA331" s="1">
        <f t="shared" si="887"/>
        <v>33430893</v>
      </c>
      <c r="BC331" s="1">
        <f t="shared" si="888"/>
        <v>320</v>
      </c>
    </row>
    <row r="332" s="1" customFormat="1" spans="2:55">
      <c r="B332" s="4">
        <v>321</v>
      </c>
      <c r="C332" s="1">
        <f t="shared" ref="C332:I332" si="1080">C$5+(C$6-C$5)*(POWER(C$7,$B332-1)-1)/(POWER(C$7,$B$3-1)-1)</f>
        <v>25361.2625079468</v>
      </c>
      <c r="D332" s="1">
        <f t="shared" si="1080"/>
        <v>7608.37875238404</v>
      </c>
      <c r="E332" s="1">
        <f t="shared" si="1080"/>
        <v>5072.25250158936</v>
      </c>
      <c r="F332" s="1">
        <f t="shared" si="1080"/>
        <v>93098.3054089187</v>
      </c>
      <c r="G332" s="1">
        <f t="shared" si="1080"/>
        <v>27929.4916226756</v>
      </c>
      <c r="H332" s="1">
        <f t="shared" si="1080"/>
        <v>18619.6610817837</v>
      </c>
      <c r="I332" s="1">
        <f t="shared" si="1080"/>
        <v>0</v>
      </c>
      <c r="J332" s="1">
        <f>[1]标准模型!$I$65/1*$B332/$B$3</f>
        <v>2.3112</v>
      </c>
      <c r="K332" s="1">
        <f>J332*[1]标准模型!$J$63</f>
        <v>2.3112</v>
      </c>
      <c r="L332" s="1">
        <f t="shared" ref="L332:L395" si="1081">C332*(1+I332)+F332</f>
        <v>118459.567916866</v>
      </c>
      <c r="M332" s="1">
        <f t="shared" ref="M332:M395" si="1082">D332*(1+J332)+G332</f>
        <v>53122.3553475696</v>
      </c>
      <c r="N332" s="1">
        <f t="shared" ref="N332:N395" si="1083">E332*(1+K332)+H332</f>
        <v>35414.9035650464</v>
      </c>
      <c r="O332" s="1">
        <f t="shared" ref="O332:X332" si="1084">O$5+(O$6-O$5)*(POWER(O$7,$B332-1)-1)/(POWER(O$7,$B$3-1)-1)</f>
        <v>0.820669979299698</v>
      </c>
      <c r="P332" s="1">
        <f t="shared" si="1084"/>
        <v>0.221272765534791</v>
      </c>
      <c r="Q332" s="1">
        <f t="shared" si="1084"/>
        <v>0.451368488614834</v>
      </c>
      <c r="R332" s="1">
        <f t="shared" si="1084"/>
        <v>1.12826799171988</v>
      </c>
      <c r="S332" s="1">
        <f t="shared" si="1084"/>
        <v>0.448937971019578</v>
      </c>
      <c r="T332" s="1">
        <f t="shared" si="1084"/>
        <v>3.25061291926882</v>
      </c>
      <c r="U332" s="1">
        <f t="shared" si="1084"/>
        <v>1</v>
      </c>
      <c r="V332" s="1">
        <f t="shared" si="1084"/>
        <v>1.34972213127044</v>
      </c>
      <c r="W332" s="1">
        <f t="shared" si="1084"/>
        <v>1.19733537187674</v>
      </c>
      <c r="X332" s="1">
        <f t="shared" si="1084"/>
        <v>2.02614393375903</v>
      </c>
      <c r="Y332" s="1">
        <f t="shared" si="891"/>
        <v>5.73352345187873</v>
      </c>
      <c r="Z332" s="1">
        <f t="shared" si="892"/>
        <v>11.0910442857913</v>
      </c>
      <c r="AA332" s="1">
        <f t="shared" ref="AA332:AA395" si="1085">Z332*L332</f>
        <v>1313840.31384166</v>
      </c>
      <c r="AB332" s="1">
        <f t="shared" ref="AB332:AB395" si="1086">M332</f>
        <v>53122.3553475696</v>
      </c>
      <c r="AC332" s="1">
        <f t="shared" ref="AC332:AC395" si="1087">N332</f>
        <v>35414.9035650464</v>
      </c>
      <c r="AD332" s="1">
        <f>AC332/(AC332+[1]战斗公式!$M$27)</f>
        <v>0.596060944982849</v>
      </c>
      <c r="AE332" s="1">
        <f t="shared" ref="AE332:AE395" si="1088">AA332/(1-AD332)</f>
        <v>3252570.64778219</v>
      </c>
      <c r="AF332" s="1">
        <f t="shared" ref="AF332:AF395" si="1089">AE332/AB332/Y332</f>
        <v>10.678932038061</v>
      </c>
      <c r="AG332" s="1">
        <f t="shared" ref="AG332:AG395" si="1090">AE332/AB332/Z332</f>
        <v>5.52048172413133</v>
      </c>
      <c r="AH332" s="1">
        <f t="shared" ref="AH332:AH395" si="1091">AH$5+(AH$6-AH$5)*(POWER(AH$7,$B332-1)-1)/(POWER(AH$7,$B$3-1)-1)</f>
        <v>4.72748049979717</v>
      </c>
      <c r="AI332" s="1">
        <f t="shared" ref="AI332:AI395" si="1092">$AI$5+($AI$6-$AI$5)*(POWER($AI$7,$B332-1)-1)/(POWER($AI$7,$B$3-1)-1)</f>
        <v>1.44230688294208</v>
      </c>
      <c r="AJ332" s="1">
        <f t="shared" ref="AJ332:AJ395" si="1093">$AJ$5+($AJ$6-$AJ$5)*(POWER($AJ$7,$B332-1)-1)/(POWER($AJ$7,$B$3-1)-1)</f>
        <v>1.0000000855474</v>
      </c>
      <c r="AK332" s="1">
        <f t="shared" ref="AK332:AK395" si="1094">$AK$5+($AK$6-$AK$5)*(POWER($AK$7,$B332-1)-1)/(POWER($AK$7,$B$3-1)-1)</f>
        <v>1.00121232128424</v>
      </c>
      <c r="AL332" s="1">
        <f t="shared" ref="AL332:AL395" si="1095">$AL$5+($AL$6-$AL$5)*(POWER($AL$7,$B332-1)-1)/(POWER($AL$7,$B$3-1)-1)</f>
        <v>0.919284908155194</v>
      </c>
      <c r="AM332" s="27">
        <f t="shared" ref="AM332:AM395" si="1096">ROUND(AA332/AG332*AH332,0)</f>
        <v>1125111</v>
      </c>
      <c r="AN332" s="27">
        <f t="shared" ref="AN332:AN395" si="1097">ROUND(AB332*AI332,0)</f>
        <v>76619</v>
      </c>
      <c r="AO332" s="27">
        <f t="shared" ref="AO332:AO395" si="1098">ROUND(AC332,0)</f>
        <v>35415</v>
      </c>
      <c r="AP332" s="1">
        <f t="shared" ref="AP332:AP395" si="1099">ROUND(AA332/$AF332*AH332*AK332,0)</f>
        <v>582332</v>
      </c>
      <c r="AQ332" s="1">
        <f t="shared" ref="AQ332:AQ395" si="1100">ROUND(AN332*AL332,0)</f>
        <v>70435</v>
      </c>
      <c r="AR332"/>
      <c r="AS332" s="1">
        <f t="shared" ref="AS332:AY332" si="1101">ROUNDUP(AS$10*$AP332,0)</f>
        <v>582332</v>
      </c>
      <c r="AT332" s="1">
        <f t="shared" si="1101"/>
        <v>1746996</v>
      </c>
      <c r="AU332" s="1">
        <f t="shared" si="1101"/>
        <v>1048198</v>
      </c>
      <c r="AV332" s="1">
        <f t="shared" si="1101"/>
        <v>291166</v>
      </c>
      <c r="AW332" s="1">
        <f t="shared" si="1101"/>
        <v>87350</v>
      </c>
      <c r="AX332" s="1">
        <f t="shared" si="1101"/>
        <v>2329328</v>
      </c>
      <c r="AY332" s="1">
        <f t="shared" si="1101"/>
        <v>5240988</v>
      </c>
      <c r="AZ332" s="1">
        <f t="shared" ref="AZ332:AZ395" si="1102">ROUND(AM332*$AZ$10*AJ332,0)</f>
        <v>67506666</v>
      </c>
      <c r="BA332" s="1">
        <f t="shared" ref="BA332:BA395" si="1103">ROUND(AM332*$BA$10*AJ332,0)</f>
        <v>33753333</v>
      </c>
      <c r="BC332" s="1">
        <f t="shared" ref="BC332:BC395" si="1104">B332</f>
        <v>321</v>
      </c>
    </row>
    <row r="333" s="1" customFormat="1" spans="2:55">
      <c r="B333" s="4">
        <v>322</v>
      </c>
      <c r="C333" s="1">
        <f t="shared" ref="C333:I333" si="1105">C$5+(C$6-C$5)*(POWER(C$7,$B333-1)-1)/(POWER(C$7,$B$3-1)-1)</f>
        <v>25440.2568983243</v>
      </c>
      <c r="D333" s="1">
        <f t="shared" si="1105"/>
        <v>7632.07706949728</v>
      </c>
      <c r="E333" s="1">
        <f t="shared" si="1105"/>
        <v>5088.05137966486</v>
      </c>
      <c r="F333" s="1">
        <f t="shared" si="1105"/>
        <v>93388.2848166334</v>
      </c>
      <c r="G333" s="1">
        <f t="shared" si="1105"/>
        <v>28016.48544499</v>
      </c>
      <c r="H333" s="1">
        <f t="shared" si="1105"/>
        <v>18677.6569633267</v>
      </c>
      <c r="I333" s="1">
        <f t="shared" si="1105"/>
        <v>0</v>
      </c>
      <c r="J333" s="1">
        <f>[1]标准模型!$I$65/1*$B333/$B$3</f>
        <v>2.3184</v>
      </c>
      <c r="K333" s="1">
        <f>J333*[1]标准模型!$J$63</f>
        <v>2.3184</v>
      </c>
      <c r="L333" s="1">
        <f t="shared" si="1081"/>
        <v>118828.541714958</v>
      </c>
      <c r="M333" s="1">
        <f t="shared" si="1082"/>
        <v>53342.7699924098</v>
      </c>
      <c r="N333" s="1">
        <f t="shared" si="1083"/>
        <v>35561.8466616066</v>
      </c>
      <c r="O333" s="1">
        <f t="shared" ref="O333:X333" si="1106">O$5+(O$6-O$5)*(POWER(O$7,$B333-1)-1)/(POWER(O$7,$B$3-1)-1)</f>
        <v>0.821671912157534</v>
      </c>
      <c r="P333" s="1">
        <f t="shared" si="1106"/>
        <v>0.222143931808623</v>
      </c>
      <c r="Q333" s="1">
        <f t="shared" si="1106"/>
        <v>0.451919551686644</v>
      </c>
      <c r="R333" s="1">
        <f t="shared" si="1106"/>
        <v>1.12866876486301</v>
      </c>
      <c r="S333" s="1">
        <f t="shared" si="1106"/>
        <v>0.450340677020547</v>
      </c>
      <c r="T333" s="1">
        <f t="shared" si="1106"/>
        <v>3.25452045741438</v>
      </c>
      <c r="U333" s="1">
        <f t="shared" si="1106"/>
        <v>1</v>
      </c>
      <c r="V333" s="1">
        <f t="shared" si="1106"/>
        <v>1.35081483753249</v>
      </c>
      <c r="W333" s="1">
        <f t="shared" si="1106"/>
        <v>1.1979519459431</v>
      </c>
      <c r="X333" s="1">
        <f t="shared" si="1106"/>
        <v>2.02935011890411</v>
      </c>
      <c r="Y333" s="1">
        <f t="shared" ref="Y333:Y396" si="1107">(1+S333*(T333-1))*U333*X333*(O333+P333)*R333*W333</f>
        <v>5.77200852140439</v>
      </c>
      <c r="Z333" s="1">
        <f t="shared" ref="Z333:Z396" si="1108">(1+S333*(T333-1))*(O333+P333+Q333)*U333*V333*X333*R333*W333</f>
        <v>11.172585126465</v>
      </c>
      <c r="AA333" s="1">
        <f t="shared" si="1085"/>
        <v>1327621.99776406</v>
      </c>
      <c r="AB333" s="1">
        <f t="shared" si="1086"/>
        <v>53342.7699924098</v>
      </c>
      <c r="AC333" s="1">
        <f t="shared" si="1087"/>
        <v>35561.8466616066</v>
      </c>
      <c r="AD333" s="1">
        <f>AC333/(AC333+[1]战斗公式!$M$27)</f>
        <v>0.59705748990032</v>
      </c>
      <c r="AE333" s="1">
        <f t="shared" si="1088"/>
        <v>3294817.41064161</v>
      </c>
      <c r="AF333" s="1">
        <f t="shared" si="1089"/>
        <v>10.7011099080727</v>
      </c>
      <c r="AG333" s="1">
        <f t="shared" si="1090"/>
        <v>5.52843382965779</v>
      </c>
      <c r="AH333" s="1">
        <f t="shared" si="1091"/>
        <v>4.73024205027974</v>
      </c>
      <c r="AI333" s="1">
        <f t="shared" si="1092"/>
        <v>1.44629657739574</v>
      </c>
      <c r="AJ333" s="1">
        <f t="shared" si="1093"/>
        <v>1.00000008126959</v>
      </c>
      <c r="AK333" s="1">
        <f t="shared" si="1094"/>
        <v>1.00118740505117</v>
      </c>
      <c r="AL333" s="1">
        <f t="shared" si="1095"/>
        <v>0.919506425894088</v>
      </c>
      <c r="AM333" s="27">
        <f t="shared" si="1096"/>
        <v>1135941</v>
      </c>
      <c r="AN333" s="27">
        <f t="shared" si="1097"/>
        <v>77149</v>
      </c>
      <c r="AO333" s="27">
        <f t="shared" si="1098"/>
        <v>35562</v>
      </c>
      <c r="AP333" s="1">
        <f t="shared" si="1099"/>
        <v>587549</v>
      </c>
      <c r="AQ333" s="1">
        <f t="shared" si="1100"/>
        <v>70939</v>
      </c>
      <c r="AR333"/>
      <c r="AS333" s="1">
        <f t="shared" ref="AS333:AY333" si="1109">ROUNDUP(AS$10*$AP333,0)</f>
        <v>587549</v>
      </c>
      <c r="AT333" s="1">
        <f t="shared" si="1109"/>
        <v>1762647</v>
      </c>
      <c r="AU333" s="1">
        <f t="shared" si="1109"/>
        <v>1057589</v>
      </c>
      <c r="AV333" s="1">
        <f t="shared" si="1109"/>
        <v>293775</v>
      </c>
      <c r="AW333" s="1">
        <f t="shared" si="1109"/>
        <v>88133</v>
      </c>
      <c r="AX333" s="1">
        <f t="shared" si="1109"/>
        <v>2350196</v>
      </c>
      <c r="AY333" s="1">
        <f t="shared" si="1109"/>
        <v>5287941</v>
      </c>
      <c r="AZ333" s="1">
        <f t="shared" si="1102"/>
        <v>68156466</v>
      </c>
      <c r="BA333" s="1">
        <f t="shared" si="1103"/>
        <v>34078233</v>
      </c>
      <c r="BC333" s="1">
        <f t="shared" si="1104"/>
        <v>322</v>
      </c>
    </row>
    <row r="334" s="1" customFormat="1" spans="2:55">
      <c r="B334" s="4">
        <v>323</v>
      </c>
      <c r="C334" s="1">
        <f t="shared" ref="C334:I334" si="1110">C$5+(C$6-C$5)*(POWER(C$7,$B334-1)-1)/(POWER(C$7,$B$3-1)-1)</f>
        <v>25519.2512097101</v>
      </c>
      <c r="D334" s="1">
        <f t="shared" si="1110"/>
        <v>7655.77536291304</v>
      </c>
      <c r="E334" s="1">
        <f t="shared" si="1110"/>
        <v>5103.85024194203</v>
      </c>
      <c r="F334" s="1">
        <f t="shared" si="1110"/>
        <v>93678.263934379</v>
      </c>
      <c r="G334" s="1">
        <f t="shared" si="1110"/>
        <v>28103.4791803137</v>
      </c>
      <c r="H334" s="1">
        <f t="shared" si="1110"/>
        <v>18735.6527868758</v>
      </c>
      <c r="I334" s="1">
        <f t="shared" si="1110"/>
        <v>0</v>
      </c>
      <c r="J334" s="1">
        <f>[1]标准模型!$I$65/1*$B334/$B$3</f>
        <v>2.3256</v>
      </c>
      <c r="K334" s="1">
        <f>J334*[1]标准模型!$J$63</f>
        <v>2.3256</v>
      </c>
      <c r="L334" s="1">
        <f t="shared" si="1081"/>
        <v>119197.515144089</v>
      </c>
      <c r="M334" s="1">
        <f t="shared" si="1082"/>
        <v>53563.5257272173</v>
      </c>
      <c r="N334" s="1">
        <f t="shared" si="1083"/>
        <v>35709.0171514782</v>
      </c>
      <c r="O334" s="1">
        <f t="shared" ref="O334:X334" si="1111">O$5+(O$6-O$5)*(POWER(O$7,$B334-1)-1)/(POWER(O$7,$B$3-1)-1)</f>
        <v>0.822673844013472</v>
      </c>
      <c r="P334" s="1">
        <f t="shared" si="1111"/>
        <v>0.223016404831866</v>
      </c>
      <c r="Q334" s="1">
        <f t="shared" si="1111"/>
        <v>0.45247061420741</v>
      </c>
      <c r="R334" s="1">
        <f t="shared" si="1111"/>
        <v>1.12906953760539</v>
      </c>
      <c r="S334" s="1">
        <f t="shared" si="1111"/>
        <v>0.45174338161886</v>
      </c>
      <c r="T334" s="1">
        <f t="shared" si="1111"/>
        <v>3.25842799165254</v>
      </c>
      <c r="U334" s="1">
        <f t="shared" si="1111"/>
        <v>1</v>
      </c>
      <c r="V334" s="1">
        <f t="shared" si="1111"/>
        <v>1.35190754270187</v>
      </c>
      <c r="W334" s="1">
        <f t="shared" si="1111"/>
        <v>1.19856851939291</v>
      </c>
      <c r="X334" s="1">
        <f t="shared" si="1111"/>
        <v>2.03255630084311</v>
      </c>
      <c r="Y334" s="1">
        <f t="shared" si="1107"/>
        <v>5.81072059874329</v>
      </c>
      <c r="Z334" s="1">
        <f t="shared" si="1108"/>
        <v>11.2546598544126</v>
      </c>
      <c r="AA334" s="1">
        <f t="shared" si="1085"/>
        <v>1341527.48843792</v>
      </c>
      <c r="AB334" s="1">
        <f t="shared" si="1086"/>
        <v>53563.5257272173</v>
      </c>
      <c r="AC334" s="1">
        <f t="shared" si="1087"/>
        <v>35709.0171514782</v>
      </c>
      <c r="AD334" s="1">
        <f>AC334/(AC334+[1]战斗公式!$M$27)</f>
        <v>0.598050660604353</v>
      </c>
      <c r="AE334" s="1">
        <f t="shared" si="1088"/>
        <v>3337553.6590133</v>
      </c>
      <c r="AF334" s="1">
        <f t="shared" si="1089"/>
        <v>10.723316077719</v>
      </c>
      <c r="AG334" s="1">
        <f t="shared" si="1090"/>
        <v>5.5363906529087</v>
      </c>
      <c r="AH334" s="1">
        <f t="shared" si="1091"/>
        <v>4.7329828891337</v>
      </c>
      <c r="AI334" s="1">
        <f t="shared" si="1092"/>
        <v>1.45029425123831</v>
      </c>
      <c r="AJ334" s="1">
        <f t="shared" si="1093"/>
        <v>1.00000007720567</v>
      </c>
      <c r="AK334" s="1">
        <f t="shared" si="1094"/>
        <v>1.00116298714276</v>
      </c>
      <c r="AL334" s="1">
        <f t="shared" si="1095"/>
        <v>0.919727279079765</v>
      </c>
      <c r="AM334" s="27">
        <f t="shared" si="1096"/>
        <v>1146853</v>
      </c>
      <c r="AN334" s="27">
        <f t="shared" si="1097"/>
        <v>77683</v>
      </c>
      <c r="AO334" s="27">
        <f t="shared" si="1098"/>
        <v>35709</v>
      </c>
      <c r="AP334" s="1">
        <f t="shared" si="1099"/>
        <v>592803</v>
      </c>
      <c r="AQ334" s="1">
        <f t="shared" si="1100"/>
        <v>71447</v>
      </c>
      <c r="AR334"/>
      <c r="AS334" s="1">
        <f t="shared" ref="AS334:AY334" si="1112">ROUNDUP(AS$10*$AP334,0)</f>
        <v>592803</v>
      </c>
      <c r="AT334" s="1">
        <f t="shared" si="1112"/>
        <v>1778409</v>
      </c>
      <c r="AU334" s="1">
        <f t="shared" si="1112"/>
        <v>1067046</v>
      </c>
      <c r="AV334" s="1">
        <f t="shared" si="1112"/>
        <v>296402</v>
      </c>
      <c r="AW334" s="1">
        <f t="shared" si="1112"/>
        <v>88921</v>
      </c>
      <c r="AX334" s="1">
        <f t="shared" si="1112"/>
        <v>2371212</v>
      </c>
      <c r="AY334" s="1">
        <f t="shared" si="1112"/>
        <v>5335227</v>
      </c>
      <c r="AZ334" s="1">
        <f t="shared" si="1102"/>
        <v>68811185</v>
      </c>
      <c r="BA334" s="1">
        <f t="shared" si="1103"/>
        <v>34405593</v>
      </c>
      <c r="BC334" s="1">
        <f t="shared" si="1104"/>
        <v>323</v>
      </c>
    </row>
    <row r="335" s="1" customFormat="1" spans="2:55">
      <c r="B335" s="4">
        <v>324</v>
      </c>
      <c r="C335" s="1">
        <f t="shared" ref="C335:I335" si="1113">C$5+(C$6-C$5)*(POWER(C$7,$B335-1)-1)/(POWER(C$7,$B$3-1)-1)</f>
        <v>25598.2454420956</v>
      </c>
      <c r="D335" s="1">
        <f t="shared" si="1113"/>
        <v>7679.47363262869</v>
      </c>
      <c r="E335" s="1">
        <f t="shared" si="1113"/>
        <v>5119.64908841912</v>
      </c>
      <c r="F335" s="1">
        <f t="shared" si="1113"/>
        <v>93968.2427621232</v>
      </c>
      <c r="G335" s="1">
        <f t="shared" si="1113"/>
        <v>28190.4728286369</v>
      </c>
      <c r="H335" s="1">
        <f t="shared" si="1113"/>
        <v>18793.6485524246</v>
      </c>
      <c r="I335" s="1">
        <f t="shared" si="1113"/>
        <v>0</v>
      </c>
      <c r="J335" s="1">
        <f>[1]标准模型!$I$65/1*$B335/$B$3</f>
        <v>2.3328</v>
      </c>
      <c r="K335" s="1">
        <f>J335*[1]标准模型!$J$63</f>
        <v>2.3328</v>
      </c>
      <c r="L335" s="1">
        <f t="shared" si="1081"/>
        <v>119566.488204219</v>
      </c>
      <c r="M335" s="1">
        <f t="shared" si="1082"/>
        <v>53784.6225514618</v>
      </c>
      <c r="N335" s="1">
        <f t="shared" si="1083"/>
        <v>35856.4150343079</v>
      </c>
      <c r="O335" s="1">
        <f t="shared" ref="O335:X335" si="1114">O$5+(O$6-O$5)*(POWER(O$7,$B335-1)-1)/(POWER(O$7,$B$3-1)-1)</f>
        <v>0.823675774867401</v>
      </c>
      <c r="P335" s="1">
        <f t="shared" si="1114"/>
        <v>0.223890186564643</v>
      </c>
      <c r="Q335" s="1">
        <f t="shared" si="1114"/>
        <v>0.453021676177071</v>
      </c>
      <c r="R335" s="1">
        <f t="shared" si="1114"/>
        <v>1.12947030994696</v>
      </c>
      <c r="S335" s="1">
        <f t="shared" si="1114"/>
        <v>0.453146084814361</v>
      </c>
      <c r="T335" s="1">
        <f t="shared" si="1114"/>
        <v>3.26233552198286</v>
      </c>
      <c r="U335" s="1">
        <f t="shared" si="1114"/>
        <v>1</v>
      </c>
      <c r="V335" s="1">
        <f t="shared" si="1114"/>
        <v>1.35300024677846</v>
      </c>
      <c r="W335" s="1">
        <f t="shared" si="1114"/>
        <v>1.19918509222609</v>
      </c>
      <c r="X335" s="1">
        <f t="shared" si="1114"/>
        <v>2.03576247957568</v>
      </c>
      <c r="Y335" s="1">
        <f t="shared" si="1107"/>
        <v>5.84966081267783</v>
      </c>
      <c r="Z335" s="1">
        <f t="shared" si="1108"/>
        <v>11.3372714789979</v>
      </c>
      <c r="AA335" s="1">
        <f t="shared" si="1085"/>
        <v>1355557.73656163</v>
      </c>
      <c r="AB335" s="1">
        <f t="shared" si="1086"/>
        <v>53784.6225514618</v>
      </c>
      <c r="AC335" s="1">
        <f t="shared" si="1087"/>
        <v>35856.4150343079</v>
      </c>
      <c r="AD335" s="1">
        <f>AC335/(AC335+[1]战斗公式!$M$27)</f>
        <v>0.599040470662268</v>
      </c>
      <c r="AE335" s="1">
        <f t="shared" si="1088"/>
        <v>3380784.43677499</v>
      </c>
      <c r="AF335" s="1">
        <f t="shared" si="1089"/>
        <v>10.7455505275935</v>
      </c>
      <c r="AG335" s="1">
        <f t="shared" si="1090"/>
        <v>5.54435217930139</v>
      </c>
      <c r="AH335" s="1">
        <f t="shared" si="1091"/>
        <v>4.73570317169625</v>
      </c>
      <c r="AI335" s="1">
        <f t="shared" si="1092"/>
        <v>1.45429992042856</v>
      </c>
      <c r="AJ335" s="1">
        <f t="shared" si="1093"/>
        <v>1.00000007334495</v>
      </c>
      <c r="AK335" s="1">
        <f t="shared" si="1094"/>
        <v>1.00113905759251</v>
      </c>
      <c r="AL335" s="1">
        <f t="shared" si="1095"/>
        <v>0.919947469705886</v>
      </c>
      <c r="AM335" s="27">
        <f t="shared" si="1096"/>
        <v>1157848</v>
      </c>
      <c r="AN335" s="27">
        <f t="shared" si="1097"/>
        <v>78219</v>
      </c>
      <c r="AO335" s="27">
        <f t="shared" si="1098"/>
        <v>35856</v>
      </c>
      <c r="AP335" s="1">
        <f t="shared" si="1099"/>
        <v>598092</v>
      </c>
      <c r="AQ335" s="1">
        <f t="shared" si="1100"/>
        <v>71957</v>
      </c>
      <c r="AR335"/>
      <c r="AS335" s="1">
        <f t="shared" ref="AS335:AY335" si="1115">ROUNDUP(AS$10*$AP335,0)</f>
        <v>598092</v>
      </c>
      <c r="AT335" s="1">
        <f t="shared" si="1115"/>
        <v>1794276</v>
      </c>
      <c r="AU335" s="1">
        <f t="shared" si="1115"/>
        <v>1076566</v>
      </c>
      <c r="AV335" s="1">
        <f t="shared" si="1115"/>
        <v>299046</v>
      </c>
      <c r="AW335" s="1">
        <f t="shared" si="1115"/>
        <v>89714</v>
      </c>
      <c r="AX335" s="1">
        <f t="shared" si="1115"/>
        <v>2392368</v>
      </c>
      <c r="AY335" s="1">
        <f t="shared" si="1115"/>
        <v>5382828</v>
      </c>
      <c r="AZ335" s="1">
        <f t="shared" si="1102"/>
        <v>69470885</v>
      </c>
      <c r="BA335" s="1">
        <f t="shared" si="1103"/>
        <v>34735443</v>
      </c>
      <c r="BC335" s="1">
        <f t="shared" si="1104"/>
        <v>324</v>
      </c>
    </row>
    <row r="336" s="1" customFormat="1" spans="2:55">
      <c r="B336" s="4">
        <v>325</v>
      </c>
      <c r="C336" s="1">
        <f t="shared" ref="C336:I336" si="1116">C$5+(C$6-C$5)*(POWER(C$7,$B336-1)-1)/(POWER(C$7,$B$3-1)-1)</f>
        <v>25677.2395954895</v>
      </c>
      <c r="D336" s="1">
        <f t="shared" si="1116"/>
        <v>7703.17187864685</v>
      </c>
      <c r="E336" s="1">
        <f t="shared" si="1116"/>
        <v>5135.4479190979</v>
      </c>
      <c r="F336" s="1">
        <f t="shared" si="1116"/>
        <v>94258.2212998982</v>
      </c>
      <c r="G336" s="1">
        <f t="shared" si="1116"/>
        <v>28277.4663899694</v>
      </c>
      <c r="H336" s="1">
        <f t="shared" si="1116"/>
        <v>18851.6442599796</v>
      </c>
      <c r="I336" s="1">
        <f t="shared" si="1116"/>
        <v>0</v>
      </c>
      <c r="J336" s="1">
        <f>[1]标准模型!$I$65/1*$B336/$B$3</f>
        <v>2.34</v>
      </c>
      <c r="K336" s="1">
        <f>J336*[1]标准模型!$J$63</f>
        <v>2.34</v>
      </c>
      <c r="L336" s="1">
        <f t="shared" si="1081"/>
        <v>119935.460895388</v>
      </c>
      <c r="M336" s="1">
        <f t="shared" si="1082"/>
        <v>54006.0604646499</v>
      </c>
      <c r="N336" s="1">
        <f t="shared" si="1083"/>
        <v>36004.0403097666</v>
      </c>
      <c r="O336" s="1">
        <f t="shared" ref="O336:X336" si="1117">O$5+(O$6-O$5)*(POWER(O$7,$B336-1)-1)/(POWER(O$7,$B$3-1)-1)</f>
        <v>0.824677704719432</v>
      </c>
      <c r="P336" s="1">
        <f t="shared" si="1117"/>
        <v>0.22476527897002</v>
      </c>
      <c r="Q336" s="1">
        <f t="shared" si="1117"/>
        <v>0.453572737595688</v>
      </c>
      <c r="R336" s="1">
        <f t="shared" si="1117"/>
        <v>1.12987108188777</v>
      </c>
      <c r="S336" s="1">
        <f t="shared" si="1117"/>
        <v>0.454548786607205</v>
      </c>
      <c r="T336" s="1">
        <f t="shared" si="1117"/>
        <v>3.26624304840579</v>
      </c>
      <c r="U336" s="1">
        <f t="shared" si="1117"/>
        <v>1</v>
      </c>
      <c r="V336" s="1">
        <f t="shared" si="1117"/>
        <v>1.35409294976239</v>
      </c>
      <c r="W336" s="1">
        <f t="shared" si="1117"/>
        <v>1.19980166444273</v>
      </c>
      <c r="X336" s="1">
        <f t="shared" si="1117"/>
        <v>2.03896865510218</v>
      </c>
      <c r="Y336" s="1">
        <f t="shared" si="1107"/>
        <v>5.88883029648253</v>
      </c>
      <c r="Z336" s="1">
        <f t="shared" si="1108"/>
        <v>11.4204230235978</v>
      </c>
      <c r="AA336" s="1">
        <f t="shared" si="1085"/>
        <v>1369713.6989555</v>
      </c>
      <c r="AB336" s="1">
        <f t="shared" si="1086"/>
        <v>54006.0604646499</v>
      </c>
      <c r="AC336" s="1">
        <f t="shared" si="1087"/>
        <v>36004.0403097666</v>
      </c>
      <c r="AD336" s="1">
        <f>AC336/(AC336+[1]战斗公式!$M$27)</f>
        <v>0.600026933584777</v>
      </c>
      <c r="AE336" s="1">
        <f t="shared" si="1088"/>
        <v>3424514.83354022</v>
      </c>
      <c r="AF336" s="1">
        <f t="shared" si="1089"/>
        <v>10.7678132383372</v>
      </c>
      <c r="AG336" s="1">
        <f t="shared" si="1090"/>
        <v>5.55231839431543</v>
      </c>
      <c r="AH336" s="1">
        <f t="shared" si="1091"/>
        <v>4.73840305213958</v>
      </c>
      <c r="AI336" s="1">
        <f t="shared" si="1092"/>
        <v>1.45831360095719</v>
      </c>
      <c r="AJ336" s="1">
        <f t="shared" si="1093"/>
        <v>1.00000006967726</v>
      </c>
      <c r="AK336" s="1">
        <f t="shared" si="1094"/>
        <v>1.00111560663327</v>
      </c>
      <c r="AL336" s="1">
        <f t="shared" si="1095"/>
        <v>0.920166999760128</v>
      </c>
      <c r="AM336" s="27">
        <f t="shared" si="1096"/>
        <v>1168927</v>
      </c>
      <c r="AN336" s="27">
        <f t="shared" si="1097"/>
        <v>78758</v>
      </c>
      <c r="AO336" s="27">
        <f t="shared" si="1098"/>
        <v>36004</v>
      </c>
      <c r="AP336" s="1">
        <f t="shared" si="1099"/>
        <v>603418</v>
      </c>
      <c r="AQ336" s="1">
        <f t="shared" si="1100"/>
        <v>72471</v>
      </c>
      <c r="AR336"/>
      <c r="AS336" s="1">
        <f t="shared" ref="AS336:AY336" si="1118">ROUNDUP(AS$10*$AP336,0)</f>
        <v>603418</v>
      </c>
      <c r="AT336" s="1">
        <f t="shared" si="1118"/>
        <v>1810254</v>
      </c>
      <c r="AU336" s="1">
        <f t="shared" si="1118"/>
        <v>1086153</v>
      </c>
      <c r="AV336" s="1">
        <f t="shared" si="1118"/>
        <v>301709</v>
      </c>
      <c r="AW336" s="1">
        <f t="shared" si="1118"/>
        <v>90513</v>
      </c>
      <c r="AX336" s="1">
        <f t="shared" si="1118"/>
        <v>2413672</v>
      </c>
      <c r="AY336" s="1">
        <f t="shared" si="1118"/>
        <v>5430762</v>
      </c>
      <c r="AZ336" s="1">
        <f t="shared" si="1102"/>
        <v>70135625</v>
      </c>
      <c r="BA336" s="1">
        <f t="shared" si="1103"/>
        <v>35067812</v>
      </c>
      <c r="BC336" s="1">
        <f t="shared" si="1104"/>
        <v>325</v>
      </c>
    </row>
    <row r="337" s="1" customFormat="1" spans="2:55">
      <c r="B337" s="4">
        <v>326</v>
      </c>
      <c r="C337" s="1">
        <f t="shared" ref="C337:I337" si="1119">C$5+(C$6-C$5)*(POWER(C$7,$B337-1)-1)/(POWER(C$7,$B$3-1)-1)</f>
        <v>25756.2336698918</v>
      </c>
      <c r="D337" s="1">
        <f t="shared" si="1119"/>
        <v>7726.87010096753</v>
      </c>
      <c r="E337" s="1">
        <f t="shared" si="1119"/>
        <v>5151.24673397835</v>
      </c>
      <c r="F337" s="1">
        <f t="shared" si="1119"/>
        <v>94548.199547704</v>
      </c>
      <c r="G337" s="1">
        <f t="shared" si="1119"/>
        <v>28364.4598643112</v>
      </c>
      <c r="H337" s="1">
        <f t="shared" si="1119"/>
        <v>18909.6399095408</v>
      </c>
      <c r="I337" s="1">
        <f t="shared" si="1119"/>
        <v>0</v>
      </c>
      <c r="J337" s="1">
        <f>[1]标准模型!$I$65/1*$B337/$B$3</f>
        <v>2.3472</v>
      </c>
      <c r="K337" s="1">
        <f>J337*[1]标准模型!$J$63</f>
        <v>2.3472</v>
      </c>
      <c r="L337" s="1">
        <f t="shared" si="1081"/>
        <v>120304.433217596</v>
      </c>
      <c r="M337" s="1">
        <f t="shared" si="1082"/>
        <v>54227.8394662697</v>
      </c>
      <c r="N337" s="1">
        <f t="shared" si="1083"/>
        <v>36151.8929775131</v>
      </c>
      <c r="O337" s="1">
        <f t="shared" ref="O337:X337" si="1120">O$5+(O$6-O$5)*(POWER(O$7,$B337-1)-1)/(POWER(O$7,$B$3-1)-1)</f>
        <v>0.825679633569567</v>
      </c>
      <c r="P337" s="1">
        <f t="shared" si="1120"/>
        <v>0.225641684014005</v>
      </c>
      <c r="Q337" s="1">
        <f t="shared" si="1120"/>
        <v>0.454123798463262</v>
      </c>
      <c r="R337" s="1">
        <f t="shared" si="1120"/>
        <v>1.13027185342783</v>
      </c>
      <c r="S337" s="1">
        <f t="shared" si="1120"/>
        <v>0.455951486997393</v>
      </c>
      <c r="T337" s="1">
        <f t="shared" si="1120"/>
        <v>3.27015057092131</v>
      </c>
      <c r="U337" s="1">
        <f t="shared" si="1120"/>
        <v>1</v>
      </c>
      <c r="V337" s="1">
        <f t="shared" si="1120"/>
        <v>1.35518565165365</v>
      </c>
      <c r="W337" s="1">
        <f t="shared" si="1120"/>
        <v>1.20041823604281</v>
      </c>
      <c r="X337" s="1">
        <f t="shared" si="1120"/>
        <v>2.04217482742261</v>
      </c>
      <c r="Y337" s="1">
        <f t="shared" si="1107"/>
        <v>5.92823018792673</v>
      </c>
      <c r="Z337" s="1">
        <f t="shared" si="1108"/>
        <v>11.5041175256292</v>
      </c>
      <c r="AA337" s="1">
        <f t="shared" si="1085"/>
        <v>1383996.33858943</v>
      </c>
      <c r="AB337" s="1">
        <f t="shared" si="1086"/>
        <v>54227.8394662697</v>
      </c>
      <c r="AC337" s="1">
        <f t="shared" si="1087"/>
        <v>36151.8929775131</v>
      </c>
      <c r="AD337" s="1">
        <f>AC337/(AC337+[1]战斗公式!$M$27)</f>
        <v>0.601010062825919</v>
      </c>
      <c r="AE337" s="1">
        <f t="shared" si="1088"/>
        <v>3468749.98500423</v>
      </c>
      <c r="AF337" s="1">
        <f t="shared" si="1089"/>
        <v>10.7901041906273</v>
      </c>
      <c r="AG337" s="1">
        <f t="shared" si="1090"/>
        <v>5.56028928348878</v>
      </c>
      <c r="AH337" s="1">
        <f t="shared" si="1091"/>
        <v>4.74108268347958</v>
      </c>
      <c r="AI337" s="1">
        <f t="shared" si="1092"/>
        <v>1.46233530884687</v>
      </c>
      <c r="AJ337" s="1">
        <f t="shared" si="1093"/>
        <v>1.00000006619296</v>
      </c>
      <c r="AK337" s="1">
        <f t="shared" si="1094"/>
        <v>1.00109262469322</v>
      </c>
      <c r="AL337" s="1">
        <f t="shared" si="1095"/>
        <v>0.920385871224207</v>
      </c>
      <c r="AM337" s="27">
        <f t="shared" si="1096"/>
        <v>1180090</v>
      </c>
      <c r="AN337" s="27">
        <f t="shared" si="1097"/>
        <v>79299</v>
      </c>
      <c r="AO337" s="27">
        <f t="shared" si="1098"/>
        <v>36152</v>
      </c>
      <c r="AP337" s="1">
        <f t="shared" si="1099"/>
        <v>608781</v>
      </c>
      <c r="AQ337" s="1">
        <f t="shared" si="1100"/>
        <v>72986</v>
      </c>
      <c r="AR337"/>
      <c r="AS337" s="1">
        <f t="shared" ref="AS337:AY337" si="1121">ROUNDUP(AS$10*$AP337,0)</f>
        <v>608781</v>
      </c>
      <c r="AT337" s="1">
        <f t="shared" si="1121"/>
        <v>1826343</v>
      </c>
      <c r="AU337" s="1">
        <f t="shared" si="1121"/>
        <v>1095806</v>
      </c>
      <c r="AV337" s="1">
        <f t="shared" si="1121"/>
        <v>304391</v>
      </c>
      <c r="AW337" s="1">
        <f t="shared" si="1121"/>
        <v>91318</v>
      </c>
      <c r="AX337" s="1">
        <f t="shared" si="1121"/>
        <v>2435124</v>
      </c>
      <c r="AY337" s="1">
        <f t="shared" si="1121"/>
        <v>5479029</v>
      </c>
      <c r="AZ337" s="1">
        <f t="shared" si="1102"/>
        <v>70805405</v>
      </c>
      <c r="BA337" s="1">
        <f t="shared" si="1103"/>
        <v>35402702</v>
      </c>
      <c r="BC337" s="1">
        <f t="shared" si="1104"/>
        <v>326</v>
      </c>
    </row>
    <row r="338" s="1" customFormat="1" spans="2:55">
      <c r="B338" s="4">
        <v>327</v>
      </c>
      <c r="C338" s="1">
        <f t="shared" ref="C338:I338" si="1122">C$5+(C$6-C$5)*(POWER(C$7,$B338-1)-1)/(POWER(C$7,$B$3-1)-1)</f>
        <v>25835.2276652937</v>
      </c>
      <c r="D338" s="1">
        <f t="shared" si="1122"/>
        <v>7750.5682995881</v>
      </c>
      <c r="E338" s="1">
        <f t="shared" si="1122"/>
        <v>5167.04553305873</v>
      </c>
      <c r="F338" s="1">
        <f t="shared" si="1122"/>
        <v>94838.1775055084</v>
      </c>
      <c r="G338" s="1">
        <f t="shared" si="1122"/>
        <v>28451.4532516525</v>
      </c>
      <c r="H338" s="1">
        <f t="shared" si="1122"/>
        <v>18967.6355011017</v>
      </c>
      <c r="I338" s="1">
        <f t="shared" si="1122"/>
        <v>0</v>
      </c>
      <c r="J338" s="1">
        <f>[1]标准模型!$I$65/1*$B338/$B$3</f>
        <v>2.3544</v>
      </c>
      <c r="K338" s="1">
        <f>J338*[1]标准模型!$J$63</f>
        <v>2.3544</v>
      </c>
      <c r="L338" s="1">
        <f t="shared" si="1081"/>
        <v>120673.405170802</v>
      </c>
      <c r="M338" s="1">
        <f t="shared" si="1082"/>
        <v>54449.9595557908</v>
      </c>
      <c r="N338" s="1">
        <f t="shared" si="1083"/>
        <v>36299.9730371939</v>
      </c>
      <c r="O338" s="1">
        <f t="shared" ref="O338:X338" si="1123">O$5+(O$6-O$5)*(POWER(O$7,$B338-1)-1)/(POWER(O$7,$B$3-1)-1)</f>
        <v>0.826681561417692</v>
      </c>
      <c r="P338" s="1">
        <f t="shared" si="1123"/>
        <v>0.226519403665555</v>
      </c>
      <c r="Q338" s="1">
        <f t="shared" si="1123"/>
        <v>0.454674858779731</v>
      </c>
      <c r="R338" s="1">
        <f t="shared" si="1123"/>
        <v>1.13067262456708</v>
      </c>
      <c r="S338" s="1">
        <f t="shared" si="1123"/>
        <v>0.457354185984769</v>
      </c>
      <c r="T338" s="1">
        <f t="shared" si="1123"/>
        <v>3.274058089529</v>
      </c>
      <c r="U338" s="1">
        <f t="shared" si="1123"/>
        <v>1</v>
      </c>
      <c r="V338" s="1">
        <f t="shared" si="1123"/>
        <v>1.35627835245212</v>
      </c>
      <c r="W338" s="1">
        <f t="shared" si="1123"/>
        <v>1.20103480702627</v>
      </c>
      <c r="X338" s="1">
        <f t="shared" si="1123"/>
        <v>2.04538099653661</v>
      </c>
      <c r="Y338" s="1">
        <f t="shared" si="1107"/>
        <v>5.96786162928857</v>
      </c>
      <c r="Z338" s="1">
        <f t="shared" si="1108"/>
        <v>11.5883580366009</v>
      </c>
      <c r="AA338" s="1">
        <f t="shared" si="1085"/>
        <v>1398406.62461506</v>
      </c>
      <c r="AB338" s="1">
        <f t="shared" si="1086"/>
        <v>54449.9595557908</v>
      </c>
      <c r="AC338" s="1">
        <f t="shared" si="1087"/>
        <v>36299.9730371939</v>
      </c>
      <c r="AD338" s="1">
        <f>AC338/(AC338+[1]战斗公式!$M$27)</f>
        <v>0.601989871783252</v>
      </c>
      <c r="AE338" s="1">
        <f t="shared" si="1088"/>
        <v>3513495.07330506</v>
      </c>
      <c r="AF338" s="1">
        <f t="shared" si="1089"/>
        <v>10.812423365178</v>
      </c>
      <c r="AG338" s="1">
        <f t="shared" si="1090"/>
        <v>5.56826483241763</v>
      </c>
      <c r="AH338" s="1">
        <f t="shared" si="1091"/>
        <v>4.74374221758454</v>
      </c>
      <c r="AI338" s="1">
        <f t="shared" si="1092"/>
        <v>1.46636506015234</v>
      </c>
      <c r="AJ338" s="1">
        <f t="shared" si="1093"/>
        <v>1.00000006288287</v>
      </c>
      <c r="AK338" s="1">
        <f t="shared" si="1094"/>
        <v>1.00107010239197</v>
      </c>
      <c r="AL338" s="1">
        <f t="shared" si="1095"/>
        <v>0.920604086073894</v>
      </c>
      <c r="AM338" s="27">
        <f t="shared" si="1096"/>
        <v>1191337</v>
      </c>
      <c r="AN338" s="27">
        <f t="shared" si="1097"/>
        <v>79844</v>
      </c>
      <c r="AO338" s="27">
        <f t="shared" si="1098"/>
        <v>36300</v>
      </c>
      <c r="AP338" s="1">
        <f t="shared" si="1099"/>
        <v>614180</v>
      </c>
      <c r="AQ338" s="1">
        <f t="shared" si="1100"/>
        <v>73505</v>
      </c>
      <c r="AR338"/>
      <c r="AS338" s="1">
        <f t="shared" ref="AS338:AY338" si="1124">ROUNDUP(AS$10*$AP338,0)</f>
        <v>614180</v>
      </c>
      <c r="AT338" s="1">
        <f t="shared" si="1124"/>
        <v>1842540</v>
      </c>
      <c r="AU338" s="1">
        <f t="shared" si="1124"/>
        <v>1105524</v>
      </c>
      <c r="AV338" s="1">
        <f t="shared" si="1124"/>
        <v>307090</v>
      </c>
      <c r="AW338" s="1">
        <f t="shared" si="1124"/>
        <v>92127</v>
      </c>
      <c r="AX338" s="1">
        <f t="shared" si="1124"/>
        <v>2456720</v>
      </c>
      <c r="AY338" s="1">
        <f t="shared" si="1124"/>
        <v>5527620</v>
      </c>
      <c r="AZ338" s="1">
        <f t="shared" si="1102"/>
        <v>71480224</v>
      </c>
      <c r="BA338" s="1">
        <f t="shared" si="1103"/>
        <v>35740112</v>
      </c>
      <c r="BC338" s="1">
        <f t="shared" si="1104"/>
        <v>327</v>
      </c>
    </row>
    <row r="339" s="1" customFormat="1" spans="2:55">
      <c r="B339" s="4">
        <v>328</v>
      </c>
      <c r="C339" s="1">
        <f t="shared" ref="C339:I339" si="1125">C$5+(C$6-C$5)*(POWER(C$7,$B339-1)-1)/(POWER(C$7,$B$3-1)-1)</f>
        <v>25914.2215817039</v>
      </c>
      <c r="D339" s="1">
        <f t="shared" si="1125"/>
        <v>7774.26647451118</v>
      </c>
      <c r="E339" s="1">
        <f t="shared" si="1125"/>
        <v>5182.84431634079</v>
      </c>
      <c r="F339" s="1">
        <f t="shared" si="1125"/>
        <v>95128.1551733436</v>
      </c>
      <c r="G339" s="1">
        <f t="shared" si="1125"/>
        <v>28538.4465520031</v>
      </c>
      <c r="H339" s="1">
        <f t="shared" si="1125"/>
        <v>19025.6310346687</v>
      </c>
      <c r="I339" s="1">
        <f t="shared" si="1125"/>
        <v>0</v>
      </c>
      <c r="J339" s="1">
        <f>[1]标准模型!$I$65/1*$B339/$B$3</f>
        <v>2.3616</v>
      </c>
      <c r="K339" s="1">
        <f>J339*[1]标准模型!$J$63</f>
        <v>2.3616</v>
      </c>
      <c r="L339" s="1">
        <f t="shared" si="1081"/>
        <v>121042.376755048</v>
      </c>
      <c r="M339" s="1">
        <f t="shared" si="1082"/>
        <v>54672.4207327199</v>
      </c>
      <c r="N339" s="1">
        <f t="shared" si="1083"/>
        <v>36448.2804884799</v>
      </c>
      <c r="O339" s="1">
        <f t="shared" ref="O339:X339" si="1126">O$5+(O$6-O$5)*(POWER(O$7,$B339-1)-1)/(POWER(O$7,$B$3-1)-1)</f>
        <v>0.82768348826392</v>
      </c>
      <c r="P339" s="1">
        <f t="shared" si="1126"/>
        <v>0.227398439896583</v>
      </c>
      <c r="Q339" s="1">
        <f t="shared" si="1126"/>
        <v>0.455225918545156</v>
      </c>
      <c r="R339" s="1">
        <f t="shared" si="1126"/>
        <v>1.13107339530557</v>
      </c>
      <c r="S339" s="1">
        <f t="shared" si="1126"/>
        <v>0.458756883569487</v>
      </c>
      <c r="T339" s="1">
        <f t="shared" si="1126"/>
        <v>3.27796560422929</v>
      </c>
      <c r="U339" s="1">
        <f t="shared" si="1126"/>
        <v>1</v>
      </c>
      <c r="V339" s="1">
        <f t="shared" si="1126"/>
        <v>1.35737105215792</v>
      </c>
      <c r="W339" s="1">
        <f t="shared" si="1126"/>
        <v>1.20165137739318</v>
      </c>
      <c r="X339" s="1">
        <f t="shared" si="1126"/>
        <v>2.04858716244454</v>
      </c>
      <c r="Y339" s="1">
        <f t="shared" si="1107"/>
        <v>6.00772576738062</v>
      </c>
      <c r="Z339" s="1">
        <f t="shared" si="1108"/>
        <v>11.6731476221922</v>
      </c>
      <c r="AA339" s="1">
        <f t="shared" si="1085"/>
        <v>1412945.53240268</v>
      </c>
      <c r="AB339" s="1">
        <f t="shared" si="1086"/>
        <v>54672.4207327199</v>
      </c>
      <c r="AC339" s="1">
        <f t="shared" si="1087"/>
        <v>36448.2804884799</v>
      </c>
      <c r="AD339" s="1">
        <f>AC339/(AC339+[1]战斗公式!$M$27)</f>
        <v>0.602966373798278</v>
      </c>
      <c r="AE339" s="1">
        <f t="shared" si="1088"/>
        <v>3558755.32740091</v>
      </c>
      <c r="AF339" s="1">
        <f t="shared" si="1089"/>
        <v>10.8347707427494</v>
      </c>
      <c r="AG339" s="1">
        <f t="shared" si="1090"/>
        <v>5.57624502675936</v>
      </c>
      <c r="AH339" s="1">
        <f t="shared" si="1091"/>
        <v>4.74638180518371</v>
      </c>
      <c r="AI339" s="1">
        <f t="shared" si="1092"/>
        <v>1.47040287096042</v>
      </c>
      <c r="AJ339" s="1">
        <f t="shared" si="1093"/>
        <v>1.00000005973829</v>
      </c>
      <c r="AK339" s="1">
        <f t="shared" si="1094"/>
        <v>1.00104803053674</v>
      </c>
      <c r="AL339" s="1">
        <f t="shared" si="1095"/>
        <v>0.920821646279032</v>
      </c>
      <c r="AM339" s="27">
        <f t="shared" si="1096"/>
        <v>1202669</v>
      </c>
      <c r="AN339" s="27">
        <f t="shared" si="1097"/>
        <v>80390</v>
      </c>
      <c r="AO339" s="27">
        <f t="shared" si="1098"/>
        <v>36448</v>
      </c>
      <c r="AP339" s="1">
        <f t="shared" si="1099"/>
        <v>619617</v>
      </c>
      <c r="AQ339" s="1">
        <f t="shared" si="1100"/>
        <v>74025</v>
      </c>
      <c r="AR339"/>
      <c r="AS339" s="1">
        <f t="shared" ref="AS339:AY339" si="1127">ROUNDUP(AS$10*$AP339,0)</f>
        <v>619617</v>
      </c>
      <c r="AT339" s="1">
        <f t="shared" si="1127"/>
        <v>1858851</v>
      </c>
      <c r="AU339" s="1">
        <f t="shared" si="1127"/>
        <v>1115311</v>
      </c>
      <c r="AV339" s="1">
        <f t="shared" si="1127"/>
        <v>309809</v>
      </c>
      <c r="AW339" s="1">
        <f t="shared" si="1127"/>
        <v>92943</v>
      </c>
      <c r="AX339" s="1">
        <f t="shared" si="1127"/>
        <v>2478468</v>
      </c>
      <c r="AY339" s="1">
        <f t="shared" si="1127"/>
        <v>5576553</v>
      </c>
      <c r="AZ339" s="1">
        <f t="shared" si="1102"/>
        <v>72160144</v>
      </c>
      <c r="BA339" s="1">
        <f t="shared" si="1103"/>
        <v>36080072</v>
      </c>
      <c r="BC339" s="1">
        <f t="shared" si="1104"/>
        <v>328</v>
      </c>
    </row>
    <row r="340" s="1" customFormat="1" spans="2:55">
      <c r="B340" s="4">
        <v>329</v>
      </c>
      <c r="C340" s="1">
        <f t="shared" ref="C340:I340" si="1128">C$5+(C$6-C$5)*(POWER(C$7,$B340-1)-1)/(POWER(C$7,$B$3-1)-1)</f>
        <v>25993.2154191226</v>
      </c>
      <c r="D340" s="1">
        <f t="shared" si="1128"/>
        <v>7797.96462573679</v>
      </c>
      <c r="E340" s="1">
        <f t="shared" si="1128"/>
        <v>5198.64308382453</v>
      </c>
      <c r="F340" s="1">
        <f t="shared" si="1128"/>
        <v>95418.1325512097</v>
      </c>
      <c r="G340" s="1">
        <f t="shared" si="1128"/>
        <v>28625.4397653629</v>
      </c>
      <c r="H340" s="1">
        <f t="shared" si="1128"/>
        <v>19083.6265102419</v>
      </c>
      <c r="I340" s="1">
        <f t="shared" si="1128"/>
        <v>0</v>
      </c>
      <c r="J340" s="1">
        <f>[1]标准模型!$I$65/1*$B340/$B$3</f>
        <v>2.3688</v>
      </c>
      <c r="K340" s="1">
        <f>J340*[1]标准模型!$J$63</f>
        <v>2.3688</v>
      </c>
      <c r="L340" s="1">
        <f t="shared" si="1081"/>
        <v>121411.347970332</v>
      </c>
      <c r="M340" s="1">
        <f t="shared" si="1082"/>
        <v>54895.222996545</v>
      </c>
      <c r="N340" s="1">
        <f t="shared" si="1083"/>
        <v>36596.81533103</v>
      </c>
      <c r="O340" s="1">
        <f t="shared" ref="O340:X340" si="1129">O$5+(O$6-O$5)*(POWER(O$7,$B340-1)-1)/(POWER(O$7,$B$3-1)-1)</f>
        <v>0.82868541410825</v>
      </c>
      <c r="P340" s="1">
        <f t="shared" si="1129"/>
        <v>0.228278794681958</v>
      </c>
      <c r="Q340" s="1">
        <f t="shared" si="1129"/>
        <v>0.455776977759537</v>
      </c>
      <c r="R340" s="1">
        <f t="shared" si="1129"/>
        <v>1.1314741656433</v>
      </c>
      <c r="S340" s="1">
        <f t="shared" si="1129"/>
        <v>0.46015957975155</v>
      </c>
      <c r="T340" s="1">
        <f t="shared" si="1129"/>
        <v>3.28187311502217</v>
      </c>
      <c r="U340" s="1">
        <f t="shared" si="1129"/>
        <v>1</v>
      </c>
      <c r="V340" s="1">
        <f t="shared" si="1129"/>
        <v>1.35846375077105</v>
      </c>
      <c r="W340" s="1">
        <f t="shared" si="1129"/>
        <v>1.20226794714354</v>
      </c>
      <c r="X340" s="1">
        <f t="shared" si="1129"/>
        <v>2.0517933251464</v>
      </c>
      <c r="Y340" s="1">
        <f t="shared" si="1107"/>
        <v>6.04782375355248</v>
      </c>
      <c r="Z340" s="1">
        <f t="shared" si="1108"/>
        <v>11.7584893622795</v>
      </c>
      <c r="AA340" s="1">
        <f t="shared" si="1085"/>
        <v>1427614.04356917</v>
      </c>
      <c r="AB340" s="1">
        <f t="shared" si="1086"/>
        <v>54895.222996545</v>
      </c>
      <c r="AC340" s="1">
        <f t="shared" si="1087"/>
        <v>36596.81533103</v>
      </c>
      <c r="AD340" s="1">
        <f>AC340/(AC340+[1]战斗公式!$M$27)</f>
        <v>0.603939582156387</v>
      </c>
      <c r="AE340" s="1">
        <f t="shared" si="1088"/>
        <v>3604536.02342275</v>
      </c>
      <c r="AF340" s="1">
        <f t="shared" si="1089"/>
        <v>10.8571463041375</v>
      </c>
      <c r="AG340" s="1">
        <f t="shared" si="1090"/>
        <v>5.58422985222891</v>
      </c>
      <c r="AH340" s="1">
        <f t="shared" si="1091"/>
        <v>4.74900159587588</v>
      </c>
      <c r="AI340" s="1">
        <f t="shared" si="1092"/>
        <v>1.47444875739011</v>
      </c>
      <c r="AJ340" s="1">
        <f t="shared" si="1093"/>
        <v>1.00000005675093</v>
      </c>
      <c r="AK340" s="1">
        <f t="shared" si="1094"/>
        <v>1.00102640011862</v>
      </c>
      <c r="AL340" s="1">
        <f t="shared" si="1095"/>
        <v>0.921038553803555</v>
      </c>
      <c r="AM340" s="27">
        <f t="shared" si="1096"/>
        <v>1214087</v>
      </c>
      <c r="AN340" s="27">
        <f t="shared" si="1097"/>
        <v>80940</v>
      </c>
      <c r="AO340" s="27">
        <f t="shared" si="1098"/>
        <v>36597</v>
      </c>
      <c r="AP340" s="1">
        <f t="shared" si="1099"/>
        <v>625091</v>
      </c>
      <c r="AQ340" s="1">
        <f t="shared" si="1100"/>
        <v>74549</v>
      </c>
      <c r="AR340"/>
      <c r="AS340" s="1">
        <f t="shared" ref="AS340:AY340" si="1130">ROUNDUP(AS$10*$AP340,0)</f>
        <v>625091</v>
      </c>
      <c r="AT340" s="1">
        <f t="shared" si="1130"/>
        <v>1875273</v>
      </c>
      <c r="AU340" s="1">
        <f t="shared" si="1130"/>
        <v>1125164</v>
      </c>
      <c r="AV340" s="1">
        <f t="shared" si="1130"/>
        <v>312546</v>
      </c>
      <c r="AW340" s="1">
        <f t="shared" si="1130"/>
        <v>93764</v>
      </c>
      <c r="AX340" s="1">
        <f t="shared" si="1130"/>
        <v>2500364</v>
      </c>
      <c r="AY340" s="1">
        <f t="shared" si="1130"/>
        <v>5625819</v>
      </c>
      <c r="AZ340" s="1">
        <f t="shared" si="1102"/>
        <v>72845224</v>
      </c>
      <c r="BA340" s="1">
        <f t="shared" si="1103"/>
        <v>36422612</v>
      </c>
      <c r="BC340" s="1">
        <f t="shared" si="1104"/>
        <v>329</v>
      </c>
    </row>
    <row r="341" s="1" customFormat="1" spans="2:55">
      <c r="B341" s="4">
        <v>330</v>
      </c>
      <c r="C341" s="1">
        <f t="shared" ref="C341:I341" si="1131">C$5+(C$6-C$5)*(POWER(C$7,$B341-1)-1)/(POWER(C$7,$B$3-1)-1)</f>
        <v>26072.2091775497</v>
      </c>
      <c r="D341" s="1">
        <f t="shared" si="1131"/>
        <v>7821.66275326491</v>
      </c>
      <c r="E341" s="1">
        <f t="shared" si="1131"/>
        <v>5214.44183550994</v>
      </c>
      <c r="F341" s="1">
        <f t="shared" si="1131"/>
        <v>95708.1096391065</v>
      </c>
      <c r="G341" s="1">
        <f t="shared" si="1131"/>
        <v>28712.432891732</v>
      </c>
      <c r="H341" s="1">
        <f t="shared" si="1131"/>
        <v>19141.6219278213</v>
      </c>
      <c r="I341" s="1">
        <f t="shared" si="1131"/>
        <v>0</v>
      </c>
      <c r="J341" s="1">
        <f>[1]标准模型!$I$65/1*$B341/$B$3</f>
        <v>2.376</v>
      </c>
      <c r="K341" s="1">
        <f>J341*[1]标准模型!$J$63</f>
        <v>2.376</v>
      </c>
      <c r="L341" s="1">
        <f t="shared" si="1081"/>
        <v>121780.318816656</v>
      </c>
      <c r="M341" s="1">
        <f t="shared" si="1082"/>
        <v>55118.3663467543</v>
      </c>
      <c r="N341" s="1">
        <f t="shared" si="1083"/>
        <v>36745.5775645029</v>
      </c>
      <c r="O341" s="1">
        <f t="shared" ref="O341:X341" si="1132">O$5+(O$6-O$5)*(POWER(O$7,$B341-1)-1)/(POWER(O$7,$B$3-1)-1)</f>
        <v>0.829687338950682</v>
      </c>
      <c r="P341" s="1">
        <f t="shared" si="1132"/>
        <v>0.22916046999951</v>
      </c>
      <c r="Q341" s="1">
        <f t="shared" si="1132"/>
        <v>0.456328036422875</v>
      </c>
      <c r="R341" s="1">
        <f t="shared" si="1132"/>
        <v>1.13187493558027</v>
      </c>
      <c r="S341" s="1">
        <f t="shared" si="1132"/>
        <v>0.461562274530955</v>
      </c>
      <c r="T341" s="1">
        <f t="shared" si="1132"/>
        <v>3.28578062190766</v>
      </c>
      <c r="U341" s="1">
        <f t="shared" si="1132"/>
        <v>1</v>
      </c>
      <c r="V341" s="1">
        <f t="shared" si="1132"/>
        <v>1.35955644829151</v>
      </c>
      <c r="W341" s="1">
        <f t="shared" si="1132"/>
        <v>1.20288451627734</v>
      </c>
      <c r="X341" s="1">
        <f t="shared" si="1132"/>
        <v>2.05499948464218</v>
      </c>
      <c r="Y341" s="1">
        <f t="shared" si="1107"/>
        <v>6.08815674370879</v>
      </c>
      <c r="Z341" s="1">
        <f t="shared" si="1108"/>
        <v>11.8443863509978</v>
      </c>
      <c r="AA341" s="1">
        <f t="shared" si="1085"/>
        <v>1442413.14601216</v>
      </c>
      <c r="AB341" s="1">
        <f t="shared" si="1086"/>
        <v>55118.3663467543</v>
      </c>
      <c r="AC341" s="1">
        <f t="shared" si="1087"/>
        <v>36745.5775645029</v>
      </c>
      <c r="AD341" s="1">
        <f>AC341/(AC341+[1]战斗公式!$M$27)</f>
        <v>0.604909510087125</v>
      </c>
      <c r="AE341" s="1">
        <f t="shared" si="1088"/>
        <v>3650842.48504751</v>
      </c>
      <c r="AF341" s="1">
        <f t="shared" si="1089"/>
        <v>10.8795500301774</v>
      </c>
      <c r="AG341" s="1">
        <f t="shared" si="1090"/>
        <v>5.59221929459957</v>
      </c>
      <c r="AH341" s="1">
        <f t="shared" si="1091"/>
        <v>4.75160173813786</v>
      </c>
      <c r="AI341" s="1">
        <f t="shared" si="1092"/>
        <v>1.47850273559267</v>
      </c>
      <c r="AJ341" s="1">
        <f t="shared" si="1093"/>
        <v>1.00000005391294</v>
      </c>
      <c r="AK341" s="1">
        <f t="shared" si="1094"/>
        <v>1.00100520230886</v>
      </c>
      <c r="AL341" s="1">
        <f t="shared" si="1095"/>
        <v>0.921254810605504</v>
      </c>
      <c r="AM341" s="27">
        <f t="shared" si="1096"/>
        <v>1225591</v>
      </c>
      <c r="AN341" s="27">
        <f t="shared" si="1097"/>
        <v>81493</v>
      </c>
      <c r="AO341" s="27">
        <f t="shared" si="1098"/>
        <v>36746</v>
      </c>
      <c r="AP341" s="1">
        <f t="shared" si="1099"/>
        <v>630602</v>
      </c>
      <c r="AQ341" s="1">
        <f t="shared" si="1100"/>
        <v>75076</v>
      </c>
      <c r="AR341"/>
      <c r="AS341" s="1">
        <f t="shared" ref="AS341:AY341" si="1133">ROUNDUP(AS$10*$AP341,0)</f>
        <v>630602</v>
      </c>
      <c r="AT341" s="1">
        <f t="shared" si="1133"/>
        <v>1891806</v>
      </c>
      <c r="AU341" s="1">
        <f t="shared" si="1133"/>
        <v>1135084</v>
      </c>
      <c r="AV341" s="1">
        <f t="shared" si="1133"/>
        <v>315301</v>
      </c>
      <c r="AW341" s="1">
        <f t="shared" si="1133"/>
        <v>94591</v>
      </c>
      <c r="AX341" s="1">
        <f t="shared" si="1133"/>
        <v>2522408</v>
      </c>
      <c r="AY341" s="1">
        <f t="shared" si="1133"/>
        <v>5675418</v>
      </c>
      <c r="AZ341" s="1">
        <f t="shared" si="1102"/>
        <v>73535464</v>
      </c>
      <c r="BA341" s="1">
        <f t="shared" si="1103"/>
        <v>36767732</v>
      </c>
      <c r="BC341" s="1">
        <f t="shared" si="1104"/>
        <v>330</v>
      </c>
    </row>
    <row r="342" s="1" customFormat="1" spans="2:55">
      <c r="B342" s="4">
        <v>331</v>
      </c>
      <c r="C342" s="1">
        <f t="shared" ref="C342:I342" si="1134">C$5+(C$6-C$5)*(POWER(C$7,$B342-1)-1)/(POWER(C$7,$B$3-1)-1)</f>
        <v>26151.2028569764</v>
      </c>
      <c r="D342" s="1">
        <f t="shared" si="1134"/>
        <v>7845.36085709292</v>
      </c>
      <c r="E342" s="1">
        <f t="shared" si="1134"/>
        <v>5230.24057139528</v>
      </c>
      <c r="F342" s="1">
        <f t="shared" si="1134"/>
        <v>95998.086437002</v>
      </c>
      <c r="G342" s="1">
        <f t="shared" si="1134"/>
        <v>28799.4259311006</v>
      </c>
      <c r="H342" s="1">
        <f t="shared" si="1134"/>
        <v>19199.6172874004</v>
      </c>
      <c r="I342" s="1">
        <f t="shared" si="1134"/>
        <v>0</v>
      </c>
      <c r="J342" s="1">
        <f>[1]标准模型!$I$65/1*$B342/$B$3</f>
        <v>2.3832</v>
      </c>
      <c r="K342" s="1">
        <f>J342*[1]标准模型!$J$63</f>
        <v>2.3832</v>
      </c>
      <c r="L342" s="1">
        <f t="shared" si="1081"/>
        <v>122149.289293978</v>
      </c>
      <c r="M342" s="1">
        <f t="shared" si="1082"/>
        <v>55341.8507828174</v>
      </c>
      <c r="N342" s="1">
        <f t="shared" si="1083"/>
        <v>36894.5671885449</v>
      </c>
      <c r="O342" s="1">
        <f t="shared" ref="O342:X342" si="1135">O$5+(O$6-O$5)*(POWER(O$7,$B342-1)-1)/(POWER(O$7,$B$3-1)-1)</f>
        <v>0.830689262791106</v>
      </c>
      <c r="P342" s="1">
        <f t="shared" si="1135"/>
        <v>0.230043467830039</v>
      </c>
      <c r="Q342" s="1">
        <f t="shared" si="1135"/>
        <v>0.456879094535108</v>
      </c>
      <c r="R342" s="1">
        <f t="shared" si="1135"/>
        <v>1.13227570511644</v>
      </c>
      <c r="S342" s="1">
        <f t="shared" si="1135"/>
        <v>0.462964967907549</v>
      </c>
      <c r="T342" s="1">
        <f t="shared" si="1135"/>
        <v>3.28968812488531</v>
      </c>
      <c r="U342" s="1">
        <f t="shared" si="1135"/>
        <v>1</v>
      </c>
      <c r="V342" s="1">
        <f t="shared" si="1135"/>
        <v>1.36064914471919</v>
      </c>
      <c r="W342" s="1">
        <f t="shared" si="1135"/>
        <v>1.20350108479453</v>
      </c>
      <c r="X342" s="1">
        <f t="shared" si="1135"/>
        <v>2.05820564093154</v>
      </c>
      <c r="Y342" s="1">
        <f t="shared" si="1107"/>
        <v>6.12872589831949</v>
      </c>
      <c r="Z342" s="1">
        <f t="shared" si="1108"/>
        <v>11.9308416967847</v>
      </c>
      <c r="AA342" s="1">
        <f t="shared" si="1085"/>
        <v>1457343.83394121</v>
      </c>
      <c r="AB342" s="1">
        <f t="shared" si="1086"/>
        <v>55341.8507828174</v>
      </c>
      <c r="AC342" s="1">
        <f t="shared" si="1087"/>
        <v>36894.5671885449</v>
      </c>
      <c r="AD342" s="1">
        <f>AC342/(AC342+[1]战斗公式!$M$27)</f>
        <v>0.605876170764299</v>
      </c>
      <c r="AE342" s="1">
        <f t="shared" si="1088"/>
        <v>3697680.08386436</v>
      </c>
      <c r="AF342" s="1">
        <f t="shared" si="1089"/>
        <v>10.9019819017398</v>
      </c>
      <c r="AG342" s="1">
        <f t="shared" si="1090"/>
        <v>5.6002133397017</v>
      </c>
      <c r="AH342" s="1">
        <f t="shared" si="1091"/>
        <v>4.75418237933288</v>
      </c>
      <c r="AI342" s="1">
        <f t="shared" si="1092"/>
        <v>1.48256482175162</v>
      </c>
      <c r="AJ342" s="1">
        <f t="shared" si="1093"/>
        <v>1.00000005121686</v>
      </c>
      <c r="AK342" s="1">
        <f t="shared" si="1094"/>
        <v>1.00098442845529</v>
      </c>
      <c r="AL342" s="1">
        <f t="shared" si="1095"/>
        <v>0.921470418637047</v>
      </c>
      <c r="AM342" s="27">
        <f t="shared" si="1096"/>
        <v>1237181</v>
      </c>
      <c r="AN342" s="27">
        <f t="shared" si="1097"/>
        <v>82048</v>
      </c>
      <c r="AO342" s="27">
        <f t="shared" si="1098"/>
        <v>36895</v>
      </c>
      <c r="AP342" s="1">
        <f t="shared" si="1099"/>
        <v>636150</v>
      </c>
      <c r="AQ342" s="1">
        <f t="shared" si="1100"/>
        <v>75605</v>
      </c>
      <c r="AR342"/>
      <c r="AS342" s="1">
        <f t="shared" ref="AS342:AY342" si="1136">ROUNDUP(AS$10*$AP342,0)</f>
        <v>636150</v>
      </c>
      <c r="AT342" s="1">
        <f t="shared" si="1136"/>
        <v>1908450</v>
      </c>
      <c r="AU342" s="1">
        <f t="shared" si="1136"/>
        <v>1145070</v>
      </c>
      <c r="AV342" s="1">
        <f t="shared" si="1136"/>
        <v>318075</v>
      </c>
      <c r="AW342" s="1">
        <f t="shared" si="1136"/>
        <v>95423</v>
      </c>
      <c r="AX342" s="1">
        <f t="shared" si="1136"/>
        <v>2544600</v>
      </c>
      <c r="AY342" s="1">
        <f t="shared" si="1136"/>
        <v>5725350</v>
      </c>
      <c r="AZ342" s="1">
        <f t="shared" si="1102"/>
        <v>74230864</v>
      </c>
      <c r="BA342" s="1">
        <f t="shared" si="1103"/>
        <v>37115432</v>
      </c>
      <c r="BC342" s="1">
        <f t="shared" si="1104"/>
        <v>331</v>
      </c>
    </row>
    <row r="343" s="1" customFormat="1" spans="2:55">
      <c r="B343" s="4">
        <v>332</v>
      </c>
      <c r="C343" s="1">
        <f t="shared" ref="C343:I343" si="1137">C$5+(C$6-C$5)*(POWER(C$7,$B343-1)-1)/(POWER(C$7,$B$3-1)-1)</f>
        <v>26230.1964574115</v>
      </c>
      <c r="D343" s="1">
        <f t="shared" si="1137"/>
        <v>7869.05893722345</v>
      </c>
      <c r="E343" s="1">
        <f t="shared" si="1137"/>
        <v>5246.0392914823</v>
      </c>
      <c r="F343" s="1">
        <f t="shared" si="1137"/>
        <v>96288.0629449282</v>
      </c>
      <c r="G343" s="1">
        <f t="shared" si="1137"/>
        <v>28886.4188834785</v>
      </c>
      <c r="H343" s="1">
        <f t="shared" si="1137"/>
        <v>19257.6125889857</v>
      </c>
      <c r="I343" s="1">
        <f t="shared" si="1137"/>
        <v>0</v>
      </c>
      <c r="J343" s="1">
        <f>[1]标准模型!$I$65/1*$B343/$B$3</f>
        <v>2.3904</v>
      </c>
      <c r="K343" s="1">
        <f>J343*[1]标准模型!$J$63</f>
        <v>2.3904</v>
      </c>
      <c r="L343" s="1">
        <f t="shared" si="1081"/>
        <v>122518.25940234</v>
      </c>
      <c r="M343" s="1">
        <f t="shared" si="1082"/>
        <v>55565.6763042409</v>
      </c>
      <c r="N343" s="1">
        <f t="shared" si="1083"/>
        <v>37043.7842028273</v>
      </c>
      <c r="O343" s="1">
        <f t="shared" ref="O343:X343" si="1138">O$5+(O$6-O$5)*(POWER(O$7,$B343-1)-1)/(POWER(O$7,$B$3-1)-1)</f>
        <v>0.831691185629633</v>
      </c>
      <c r="P343" s="1">
        <f t="shared" si="1138"/>
        <v>0.230927790157314</v>
      </c>
      <c r="Q343" s="1">
        <f t="shared" si="1138"/>
        <v>0.457430152096298</v>
      </c>
      <c r="R343" s="1">
        <f t="shared" si="1138"/>
        <v>1.13267647425185</v>
      </c>
      <c r="S343" s="1">
        <f t="shared" si="1138"/>
        <v>0.464367659881486</v>
      </c>
      <c r="T343" s="1">
        <f t="shared" si="1138"/>
        <v>3.29359562395557</v>
      </c>
      <c r="U343" s="1">
        <f t="shared" si="1138"/>
        <v>1</v>
      </c>
      <c r="V343" s="1">
        <f t="shared" si="1138"/>
        <v>1.3617418400542</v>
      </c>
      <c r="W343" s="1">
        <f t="shared" si="1138"/>
        <v>1.20411765269516</v>
      </c>
      <c r="X343" s="1">
        <f t="shared" si="1138"/>
        <v>2.06141179401482</v>
      </c>
      <c r="Y343" s="1">
        <f t="shared" si="1107"/>
        <v>6.16953238244586</v>
      </c>
      <c r="Z343" s="1">
        <f t="shared" si="1108"/>
        <v>12.0178585224601</v>
      </c>
      <c r="AA343" s="1">
        <f t="shared" si="1085"/>
        <v>1472407.10791539</v>
      </c>
      <c r="AB343" s="1">
        <f t="shared" si="1086"/>
        <v>55565.6763042409</v>
      </c>
      <c r="AC343" s="1">
        <f t="shared" si="1087"/>
        <v>37043.7842028273</v>
      </c>
      <c r="AD343" s="1">
        <f>AC343/(AC343+[1]战斗公式!$M$27)</f>
        <v>0.606839577306408</v>
      </c>
      <c r="AE343" s="1">
        <f t="shared" si="1088"/>
        <v>3745054.23976234</v>
      </c>
      <c r="AF343" s="1">
        <f t="shared" si="1089"/>
        <v>10.9244418997403</v>
      </c>
      <c r="AG343" s="1">
        <f t="shared" si="1090"/>
        <v>5.60821197342562</v>
      </c>
      <c r="AH343" s="1">
        <f t="shared" si="1091"/>
        <v>4.75674366571894</v>
      </c>
      <c r="AI343" s="1">
        <f t="shared" si="1092"/>
        <v>1.4866350320829</v>
      </c>
      <c r="AJ343" s="1">
        <f t="shared" si="1093"/>
        <v>1.00000004865557</v>
      </c>
      <c r="AK343" s="1">
        <f t="shared" si="1094"/>
        <v>1.0009640700788</v>
      </c>
      <c r="AL343" s="1">
        <f t="shared" si="1095"/>
        <v>0.921685379844495</v>
      </c>
      <c r="AM343" s="27">
        <f t="shared" si="1096"/>
        <v>1248858</v>
      </c>
      <c r="AN343" s="27">
        <f t="shared" si="1097"/>
        <v>82606</v>
      </c>
      <c r="AO343" s="27">
        <f t="shared" si="1098"/>
        <v>37044</v>
      </c>
      <c r="AP343" s="1">
        <f t="shared" si="1099"/>
        <v>641737</v>
      </c>
      <c r="AQ343" s="1">
        <f t="shared" si="1100"/>
        <v>76137</v>
      </c>
      <c r="AR343"/>
      <c r="AS343" s="1">
        <f t="shared" ref="AS343:AY343" si="1139">ROUNDUP(AS$10*$AP343,0)</f>
        <v>641737</v>
      </c>
      <c r="AT343" s="1">
        <f t="shared" si="1139"/>
        <v>1925211</v>
      </c>
      <c r="AU343" s="1">
        <f t="shared" si="1139"/>
        <v>1155127</v>
      </c>
      <c r="AV343" s="1">
        <f t="shared" si="1139"/>
        <v>320869</v>
      </c>
      <c r="AW343" s="1">
        <f t="shared" si="1139"/>
        <v>96261</v>
      </c>
      <c r="AX343" s="1">
        <f t="shared" si="1139"/>
        <v>2566948</v>
      </c>
      <c r="AY343" s="1">
        <f t="shared" si="1139"/>
        <v>5775633</v>
      </c>
      <c r="AZ343" s="1">
        <f t="shared" si="1102"/>
        <v>74931484</v>
      </c>
      <c r="BA343" s="1">
        <f t="shared" si="1103"/>
        <v>37465742</v>
      </c>
      <c r="BC343" s="1">
        <f t="shared" si="1104"/>
        <v>332</v>
      </c>
    </row>
    <row r="344" s="1" customFormat="1" spans="2:55">
      <c r="B344" s="4">
        <v>333</v>
      </c>
      <c r="C344" s="1">
        <f t="shared" ref="C344:I344" si="1140">C$5+(C$6-C$5)*(POWER(C$7,$B344-1)-1)/(POWER(C$7,$B$3-1)-1)</f>
        <v>26309.189978855</v>
      </c>
      <c r="D344" s="1">
        <f t="shared" si="1140"/>
        <v>7892.75699365649</v>
      </c>
      <c r="E344" s="1">
        <f t="shared" si="1140"/>
        <v>5261.83799577099</v>
      </c>
      <c r="F344" s="1">
        <f t="shared" si="1140"/>
        <v>96578.0391628853</v>
      </c>
      <c r="G344" s="1">
        <f t="shared" si="1140"/>
        <v>28973.4117488656</v>
      </c>
      <c r="H344" s="1">
        <f t="shared" si="1140"/>
        <v>19315.6078325771</v>
      </c>
      <c r="I344" s="1">
        <f t="shared" si="1140"/>
        <v>0</v>
      </c>
      <c r="J344" s="1">
        <f>[1]标准模型!$I$65/1*$B344/$B$3</f>
        <v>2.3976</v>
      </c>
      <c r="K344" s="1">
        <f>J344*[1]标准模型!$J$63</f>
        <v>2.3976</v>
      </c>
      <c r="L344" s="1">
        <f t="shared" si="1081"/>
        <v>122887.22914174</v>
      </c>
      <c r="M344" s="1">
        <f t="shared" si="1082"/>
        <v>55789.8429105129</v>
      </c>
      <c r="N344" s="1">
        <f t="shared" si="1083"/>
        <v>37193.2286070086</v>
      </c>
      <c r="O344" s="1">
        <f t="shared" ref="O344:X344" si="1141">O$5+(O$6-O$5)*(POWER(O$7,$B344-1)-1)/(POWER(O$7,$B$3-1)-1)</f>
        <v>0.832693107466261</v>
      </c>
      <c r="P344" s="1">
        <f t="shared" si="1141"/>
        <v>0.231813438968079</v>
      </c>
      <c r="Q344" s="1">
        <f t="shared" si="1141"/>
        <v>0.457981209106444</v>
      </c>
      <c r="R344" s="1">
        <f t="shared" si="1141"/>
        <v>1.1330772429865</v>
      </c>
      <c r="S344" s="1">
        <f t="shared" si="1141"/>
        <v>0.465770350452766</v>
      </c>
      <c r="T344" s="1">
        <f t="shared" si="1141"/>
        <v>3.29750311911842</v>
      </c>
      <c r="U344" s="1">
        <f t="shared" si="1141"/>
        <v>1</v>
      </c>
      <c r="V344" s="1">
        <f t="shared" si="1141"/>
        <v>1.36283453429654</v>
      </c>
      <c r="W344" s="1">
        <f t="shared" si="1141"/>
        <v>1.20473421997924</v>
      </c>
      <c r="X344" s="1">
        <f t="shared" si="1141"/>
        <v>2.06461794389204</v>
      </c>
      <c r="Y344" s="1">
        <f t="shared" si="1107"/>
        <v>6.21057736574306</v>
      </c>
      <c r="Z344" s="1">
        <f t="shared" si="1108"/>
        <v>12.1054399652529</v>
      </c>
      <c r="AA344" s="1">
        <f t="shared" si="1085"/>
        <v>1487603.97487161</v>
      </c>
      <c r="AB344" s="1">
        <f t="shared" si="1086"/>
        <v>55789.8429105129</v>
      </c>
      <c r="AC344" s="1">
        <f t="shared" si="1087"/>
        <v>37193.2286070086</v>
      </c>
      <c r="AD344" s="1">
        <f>AC344/(AC344+[1]战斗公式!$M$27)</f>
        <v>0.607799742776585</v>
      </c>
      <c r="AE344" s="1">
        <f t="shared" si="1088"/>
        <v>3792970.42129221</v>
      </c>
      <c r="AF344" s="1">
        <f t="shared" si="1089"/>
        <v>10.9469300051291</v>
      </c>
      <c r="AG344" s="1">
        <f t="shared" si="1090"/>
        <v>5.61621518171793</v>
      </c>
      <c r="AH344" s="1">
        <f t="shared" si="1091"/>
        <v>4.7592857424571</v>
      </c>
      <c r="AI344" s="1">
        <f t="shared" si="1092"/>
        <v>1.49071338283484</v>
      </c>
      <c r="AJ344" s="1">
        <f t="shared" si="1093"/>
        <v>1.00000004622235</v>
      </c>
      <c r="AK344" s="1">
        <f t="shared" si="1094"/>
        <v>1.00094411886983</v>
      </c>
      <c r="AL344" s="1">
        <f t="shared" si="1095"/>
        <v>0.921899696168321</v>
      </c>
      <c r="AM344" s="27">
        <f t="shared" si="1096"/>
        <v>1260623</v>
      </c>
      <c r="AN344" s="27">
        <f t="shared" si="1097"/>
        <v>83167</v>
      </c>
      <c r="AO344" s="27">
        <f t="shared" si="1098"/>
        <v>37193</v>
      </c>
      <c r="AP344" s="1">
        <f t="shared" si="1099"/>
        <v>647361</v>
      </c>
      <c r="AQ344" s="1">
        <f t="shared" si="1100"/>
        <v>76672</v>
      </c>
      <c r="AR344"/>
      <c r="AS344" s="1">
        <f t="shared" ref="AS344:AY344" si="1142">ROUNDUP(AS$10*$AP344,0)</f>
        <v>647361</v>
      </c>
      <c r="AT344" s="1">
        <f t="shared" si="1142"/>
        <v>1942083</v>
      </c>
      <c r="AU344" s="1">
        <f t="shared" si="1142"/>
        <v>1165250</v>
      </c>
      <c r="AV344" s="1">
        <f t="shared" si="1142"/>
        <v>323681</v>
      </c>
      <c r="AW344" s="1">
        <f t="shared" si="1142"/>
        <v>97105</v>
      </c>
      <c r="AX344" s="1">
        <f t="shared" si="1142"/>
        <v>2589444</v>
      </c>
      <c r="AY344" s="1">
        <f t="shared" si="1142"/>
        <v>5826249</v>
      </c>
      <c r="AZ344" s="1">
        <f t="shared" si="1102"/>
        <v>75637383</v>
      </c>
      <c r="BA344" s="1">
        <f t="shared" si="1103"/>
        <v>37818692</v>
      </c>
      <c r="BC344" s="1">
        <f t="shared" si="1104"/>
        <v>333</v>
      </c>
    </row>
    <row r="345" s="1" customFormat="1" spans="2:55">
      <c r="B345" s="4">
        <v>334</v>
      </c>
      <c r="C345" s="1">
        <f t="shared" ref="C345:I345" si="1143">C$5+(C$6-C$5)*(POWER(C$7,$B345-1)-1)/(POWER(C$7,$B$3-1)-1)</f>
        <v>26388.1834213069</v>
      </c>
      <c r="D345" s="1">
        <f t="shared" si="1143"/>
        <v>7916.45502639205</v>
      </c>
      <c r="E345" s="1">
        <f t="shared" si="1143"/>
        <v>5277.63668426137</v>
      </c>
      <c r="F345" s="1">
        <f t="shared" si="1143"/>
        <v>96868.0150908732</v>
      </c>
      <c r="G345" s="1">
        <f t="shared" si="1143"/>
        <v>29060.404527262</v>
      </c>
      <c r="H345" s="1">
        <f t="shared" si="1143"/>
        <v>19373.6030181747</v>
      </c>
      <c r="I345" s="1">
        <f t="shared" si="1143"/>
        <v>0</v>
      </c>
      <c r="J345" s="1">
        <f>[1]标准模型!$I$65/1*$B345/$B$3</f>
        <v>2.4048</v>
      </c>
      <c r="K345" s="1">
        <f>J345*[1]标准模型!$J$63</f>
        <v>2.4048</v>
      </c>
      <c r="L345" s="1">
        <f t="shared" si="1081"/>
        <v>123256.19851218</v>
      </c>
      <c r="M345" s="1">
        <f t="shared" si="1082"/>
        <v>56014.3506011217</v>
      </c>
      <c r="N345" s="1">
        <f t="shared" si="1083"/>
        <v>37342.9004007478</v>
      </c>
      <c r="O345" s="1">
        <f t="shared" ref="O345:X345" si="1144">O$5+(O$6-O$5)*(POWER(O$7,$B345-1)-1)/(POWER(O$7,$B$3-1)-1)</f>
        <v>0.833695028300993</v>
      </c>
      <c r="P345" s="1">
        <f t="shared" si="1144"/>
        <v>0.232700416252061</v>
      </c>
      <c r="Q345" s="1">
        <f t="shared" si="1144"/>
        <v>0.458532265565546</v>
      </c>
      <c r="R345" s="1">
        <f t="shared" si="1144"/>
        <v>1.1334780113204</v>
      </c>
      <c r="S345" s="1">
        <f t="shared" si="1144"/>
        <v>0.467173039621389</v>
      </c>
      <c r="T345" s="1">
        <f t="shared" si="1144"/>
        <v>3.30141061037387</v>
      </c>
      <c r="U345" s="1">
        <f t="shared" si="1144"/>
        <v>1</v>
      </c>
      <c r="V345" s="1">
        <f t="shared" si="1144"/>
        <v>1.36392722744621</v>
      </c>
      <c r="W345" s="1">
        <f t="shared" si="1144"/>
        <v>1.20535078664676</v>
      </c>
      <c r="X345" s="1">
        <f t="shared" si="1144"/>
        <v>2.06782409056318</v>
      </c>
      <c r="Y345" s="1">
        <f t="shared" si="1107"/>
        <v>6.25186202247833</v>
      </c>
      <c r="Z345" s="1">
        <f t="shared" si="1108"/>
        <v>12.1935891768635</v>
      </c>
      <c r="AA345" s="1">
        <f t="shared" si="1085"/>
        <v>1502935.44815946</v>
      </c>
      <c r="AB345" s="1">
        <f t="shared" si="1086"/>
        <v>56014.3506011217</v>
      </c>
      <c r="AC345" s="1">
        <f t="shared" si="1087"/>
        <v>37342.9004007478</v>
      </c>
      <c r="AD345" s="1">
        <f>AC345/(AC345+[1]战斗公式!$M$27)</f>
        <v>0.608756680182872</v>
      </c>
      <c r="AE345" s="1">
        <f t="shared" si="1088"/>
        <v>3841434.14604996</v>
      </c>
      <c r="AF345" s="1">
        <f t="shared" si="1089"/>
        <v>10.9694461988952</v>
      </c>
      <c r="AG345" s="1">
        <f t="shared" si="1090"/>
        <v>5.62422295058265</v>
      </c>
      <c r="AH345" s="1">
        <f t="shared" si="1091"/>
        <v>4.76180875361972</v>
      </c>
      <c r="AI345" s="1">
        <f t="shared" si="1092"/>
        <v>1.49479989028828</v>
      </c>
      <c r="AJ345" s="1">
        <f t="shared" si="1093"/>
        <v>1.0000000439108</v>
      </c>
      <c r="AK345" s="1">
        <f t="shared" si="1094"/>
        <v>1.00092456668505</v>
      </c>
      <c r="AL345" s="1">
        <f t="shared" si="1095"/>
        <v>0.922113369543176</v>
      </c>
      <c r="AM345" s="27">
        <f t="shared" si="1096"/>
        <v>1272476</v>
      </c>
      <c r="AN345" s="27">
        <f t="shared" si="1097"/>
        <v>83730</v>
      </c>
      <c r="AO345" s="27">
        <f t="shared" si="1098"/>
        <v>37343</v>
      </c>
      <c r="AP345" s="1">
        <f t="shared" si="1099"/>
        <v>653024</v>
      </c>
      <c r="AQ345" s="1">
        <f t="shared" si="1100"/>
        <v>77209</v>
      </c>
      <c r="AR345"/>
      <c r="AS345" s="1">
        <f t="shared" ref="AS345:AY345" si="1145">ROUNDUP(AS$10*$AP345,0)</f>
        <v>653024</v>
      </c>
      <c r="AT345" s="1">
        <f t="shared" si="1145"/>
        <v>1959072</v>
      </c>
      <c r="AU345" s="1">
        <f t="shared" si="1145"/>
        <v>1175444</v>
      </c>
      <c r="AV345" s="1">
        <f t="shared" si="1145"/>
        <v>326512</v>
      </c>
      <c r="AW345" s="1">
        <f t="shared" si="1145"/>
        <v>97954</v>
      </c>
      <c r="AX345" s="1">
        <f t="shared" si="1145"/>
        <v>2612096</v>
      </c>
      <c r="AY345" s="1">
        <f t="shared" si="1145"/>
        <v>5877216</v>
      </c>
      <c r="AZ345" s="1">
        <f t="shared" si="1102"/>
        <v>76348563</v>
      </c>
      <c r="BA345" s="1">
        <f t="shared" si="1103"/>
        <v>38174282</v>
      </c>
      <c r="BC345" s="1">
        <f t="shared" si="1104"/>
        <v>334</v>
      </c>
    </row>
    <row r="346" s="1" customFormat="1" spans="2:55">
      <c r="B346" s="4">
        <v>335</v>
      </c>
      <c r="C346" s="1">
        <f t="shared" ref="C346:I346" si="1146">C$5+(C$6-C$5)*(POWER(C$7,$B346-1)-1)/(POWER(C$7,$B$3-1)-1)</f>
        <v>26467.1767847584</v>
      </c>
      <c r="D346" s="1">
        <f t="shared" si="1146"/>
        <v>7940.1530354275</v>
      </c>
      <c r="E346" s="1">
        <f t="shared" si="1146"/>
        <v>5293.43535695167</v>
      </c>
      <c r="F346" s="1">
        <f t="shared" si="1146"/>
        <v>97157.9907288598</v>
      </c>
      <c r="G346" s="1">
        <f t="shared" si="1146"/>
        <v>29147.3972186579</v>
      </c>
      <c r="H346" s="1">
        <f t="shared" si="1146"/>
        <v>19431.598145772</v>
      </c>
      <c r="I346" s="1">
        <f t="shared" si="1146"/>
        <v>0</v>
      </c>
      <c r="J346" s="1">
        <f>[1]标准模型!$I$65/1*$B346/$B$3</f>
        <v>2.412</v>
      </c>
      <c r="K346" s="1">
        <f>J346*[1]标准模型!$J$63</f>
        <v>2.412</v>
      </c>
      <c r="L346" s="1">
        <f t="shared" si="1081"/>
        <v>123625.167513618</v>
      </c>
      <c r="M346" s="1">
        <f t="shared" si="1082"/>
        <v>56239.1993755365</v>
      </c>
      <c r="N346" s="1">
        <f t="shared" si="1083"/>
        <v>37492.7995836911</v>
      </c>
      <c r="O346" s="1">
        <f t="shared" ref="O346:X346" si="1147">O$5+(O$6-O$5)*(POWER(O$7,$B346-1)-1)/(POWER(O$7,$B$3-1)-1)</f>
        <v>0.834696948133715</v>
      </c>
      <c r="P346" s="1">
        <f t="shared" si="1147"/>
        <v>0.233588724001969</v>
      </c>
      <c r="Q346" s="1">
        <f t="shared" si="1147"/>
        <v>0.459083321473543</v>
      </c>
      <c r="R346" s="1">
        <f t="shared" si="1147"/>
        <v>1.13387877925349</v>
      </c>
      <c r="S346" s="1">
        <f t="shared" si="1147"/>
        <v>0.468575727387201</v>
      </c>
      <c r="T346" s="1">
        <f t="shared" si="1147"/>
        <v>3.30531809772149</v>
      </c>
      <c r="U346" s="1">
        <f t="shared" si="1147"/>
        <v>1</v>
      </c>
      <c r="V346" s="1">
        <f t="shared" si="1147"/>
        <v>1.36501991950309</v>
      </c>
      <c r="W346" s="1">
        <f t="shared" si="1147"/>
        <v>1.20596735269767</v>
      </c>
      <c r="X346" s="1">
        <f t="shared" si="1147"/>
        <v>2.07103023402789</v>
      </c>
      <c r="Y346" s="1">
        <f t="shared" si="1107"/>
        <v>6.29338753154136</v>
      </c>
      <c r="Z346" s="1">
        <f t="shared" si="1108"/>
        <v>12.282309323508</v>
      </c>
      <c r="AA346" s="1">
        <f t="shared" si="1085"/>
        <v>1518402.54757275</v>
      </c>
      <c r="AB346" s="1">
        <f t="shared" si="1086"/>
        <v>56239.1993755365</v>
      </c>
      <c r="AC346" s="1">
        <f t="shared" si="1087"/>
        <v>37492.7995836911</v>
      </c>
      <c r="AD346" s="1">
        <f>AC346/(AC346+[1]战斗公式!$M$27)</f>
        <v>0.609710402478322</v>
      </c>
      <c r="AE346" s="1">
        <f t="shared" si="1088"/>
        <v>3890450.98105238</v>
      </c>
      <c r="AF346" s="1">
        <f t="shared" si="1089"/>
        <v>10.9919904620611</v>
      </c>
      <c r="AG346" s="1">
        <f t="shared" si="1090"/>
        <v>5.63223526607935</v>
      </c>
      <c r="AH346" s="1">
        <f t="shared" si="1091"/>
        <v>4.76431284219863</v>
      </c>
      <c r="AI346" s="1">
        <f t="shared" si="1092"/>
        <v>1.49889457075663</v>
      </c>
      <c r="AJ346" s="1">
        <f t="shared" si="1093"/>
        <v>1.00000004171482</v>
      </c>
      <c r="AK346" s="1">
        <f t="shared" si="1094"/>
        <v>1.00090540554396</v>
      </c>
      <c r="AL346" s="1">
        <f t="shared" si="1095"/>
        <v>0.922326401897906</v>
      </c>
      <c r="AM346" s="27">
        <f t="shared" si="1096"/>
        <v>1284418</v>
      </c>
      <c r="AN346" s="27">
        <f t="shared" si="1097"/>
        <v>84297</v>
      </c>
      <c r="AO346" s="27">
        <f t="shared" si="1098"/>
        <v>37493</v>
      </c>
      <c r="AP346" s="1">
        <f t="shared" si="1099"/>
        <v>658725</v>
      </c>
      <c r="AQ346" s="1">
        <f t="shared" si="1100"/>
        <v>77749</v>
      </c>
      <c r="AR346"/>
      <c r="AS346" s="1">
        <f t="shared" ref="AS346:AY346" si="1148">ROUNDUP(AS$10*$AP346,0)</f>
        <v>658725</v>
      </c>
      <c r="AT346" s="1">
        <f t="shared" si="1148"/>
        <v>1976175</v>
      </c>
      <c r="AU346" s="1">
        <f t="shared" si="1148"/>
        <v>1185705</v>
      </c>
      <c r="AV346" s="1">
        <f t="shared" si="1148"/>
        <v>329363</v>
      </c>
      <c r="AW346" s="1">
        <f t="shared" si="1148"/>
        <v>98809</v>
      </c>
      <c r="AX346" s="1">
        <f t="shared" si="1148"/>
        <v>2634900</v>
      </c>
      <c r="AY346" s="1">
        <f t="shared" si="1148"/>
        <v>5928525</v>
      </c>
      <c r="AZ346" s="1">
        <f t="shared" si="1102"/>
        <v>77065083</v>
      </c>
      <c r="BA346" s="1">
        <f t="shared" si="1103"/>
        <v>38532542</v>
      </c>
      <c r="BC346" s="1">
        <f t="shared" si="1104"/>
        <v>335</v>
      </c>
    </row>
    <row r="347" s="1" customFormat="1" spans="2:55">
      <c r="B347" s="4">
        <v>336</v>
      </c>
      <c r="C347" s="1">
        <f t="shared" ref="C347:I347" si="1149">C$5+(C$6-C$5)*(POWER(C$7,$B347-1)-1)/(POWER(C$7,$B$3-1)-1)</f>
        <v>26546.170069227</v>
      </c>
      <c r="D347" s="1">
        <f t="shared" si="1149"/>
        <v>7963.85102076811</v>
      </c>
      <c r="E347" s="1">
        <f t="shared" si="1149"/>
        <v>5309.2340138454</v>
      </c>
      <c r="F347" s="1">
        <f t="shared" si="1149"/>
        <v>97447.9660769093</v>
      </c>
      <c r="G347" s="1">
        <f t="shared" si="1149"/>
        <v>29234.3898230728</v>
      </c>
      <c r="H347" s="1">
        <f t="shared" si="1149"/>
        <v>19489.5932153819</v>
      </c>
      <c r="I347" s="1">
        <f t="shared" si="1149"/>
        <v>0</v>
      </c>
      <c r="J347" s="1">
        <f>[1]标准模型!$I$65/1*$B347/$B$3</f>
        <v>2.4192</v>
      </c>
      <c r="K347" s="1">
        <f>J347*[1]标准模型!$J$63</f>
        <v>2.4192</v>
      </c>
      <c r="L347" s="1">
        <f t="shared" si="1081"/>
        <v>123994.136146136</v>
      </c>
      <c r="M347" s="1">
        <f t="shared" si="1082"/>
        <v>56464.3892332831</v>
      </c>
      <c r="N347" s="1">
        <f t="shared" si="1083"/>
        <v>37642.9261555221</v>
      </c>
      <c r="O347" s="1">
        <f t="shared" ref="O347:X347" si="1150">O$5+(O$6-O$5)*(POWER(O$7,$B347-1)-1)/(POWER(O$7,$B$3-1)-1)</f>
        <v>0.835698866964651</v>
      </c>
      <c r="P347" s="1">
        <f t="shared" si="1150"/>
        <v>0.234478364213501</v>
      </c>
      <c r="Q347" s="1">
        <f t="shared" si="1150"/>
        <v>0.459634376830558</v>
      </c>
      <c r="R347" s="1">
        <f t="shared" si="1150"/>
        <v>1.13427954678586</v>
      </c>
      <c r="S347" s="1">
        <f t="shared" si="1150"/>
        <v>0.469978413750511</v>
      </c>
      <c r="T347" s="1">
        <f t="shared" si="1150"/>
        <v>3.30922558116214</v>
      </c>
      <c r="U347" s="1">
        <f t="shared" si="1150"/>
        <v>1</v>
      </c>
      <c r="V347" s="1">
        <f t="shared" si="1150"/>
        <v>1.36611261046743</v>
      </c>
      <c r="W347" s="1">
        <f t="shared" si="1150"/>
        <v>1.20658391813209</v>
      </c>
      <c r="X347" s="1">
        <f t="shared" si="1150"/>
        <v>2.07423637428688</v>
      </c>
      <c r="Y347" s="1">
        <f t="shared" si="1107"/>
        <v>6.3351550764748</v>
      </c>
      <c r="Z347" s="1">
        <f t="shared" si="1108"/>
        <v>12.3716035860085</v>
      </c>
      <c r="AA347" s="1">
        <f t="shared" si="1085"/>
        <v>1534006.29938957</v>
      </c>
      <c r="AB347" s="1">
        <f t="shared" si="1086"/>
        <v>56464.3892332831</v>
      </c>
      <c r="AC347" s="1">
        <f t="shared" si="1087"/>
        <v>37642.9261555221</v>
      </c>
      <c r="AD347" s="1">
        <f>AC347/(AC347+[1]战斗公式!$M$27)</f>
        <v>0.610660922561509</v>
      </c>
      <c r="AE347" s="1">
        <f t="shared" si="1088"/>
        <v>3940026.54314071</v>
      </c>
      <c r="AF347" s="1">
        <f t="shared" si="1089"/>
        <v>11.0145627756974</v>
      </c>
      <c r="AG347" s="1">
        <f t="shared" si="1090"/>
        <v>5.64025211432778</v>
      </c>
      <c r="AH347" s="1">
        <f t="shared" si="1091"/>
        <v>4.76679815011319</v>
      </c>
      <c r="AI347" s="1">
        <f t="shared" si="1092"/>
        <v>1.50299744058592</v>
      </c>
      <c r="AJ347" s="1">
        <f t="shared" si="1093"/>
        <v>1.00000003962864</v>
      </c>
      <c r="AK347" s="1">
        <f t="shared" si="1094"/>
        <v>1.00088662762569</v>
      </c>
      <c r="AL347" s="1">
        <f t="shared" si="1095"/>
        <v>0.922538795155572</v>
      </c>
      <c r="AM347" s="27">
        <f t="shared" si="1096"/>
        <v>1296449</v>
      </c>
      <c r="AN347" s="27">
        <f t="shared" si="1097"/>
        <v>84866</v>
      </c>
      <c r="AO347" s="27">
        <f t="shared" si="1098"/>
        <v>37643</v>
      </c>
      <c r="AP347" s="1">
        <f t="shared" si="1099"/>
        <v>664464</v>
      </c>
      <c r="AQ347" s="1">
        <f t="shared" si="1100"/>
        <v>78292</v>
      </c>
      <c r="AR347"/>
      <c r="AS347" s="1">
        <f t="shared" ref="AS347:AY347" si="1151">ROUNDUP(AS$10*$AP347,0)</f>
        <v>664464</v>
      </c>
      <c r="AT347" s="1">
        <f t="shared" si="1151"/>
        <v>1993392</v>
      </c>
      <c r="AU347" s="1">
        <f t="shared" si="1151"/>
        <v>1196036</v>
      </c>
      <c r="AV347" s="1">
        <f t="shared" si="1151"/>
        <v>332232</v>
      </c>
      <c r="AW347" s="1">
        <f t="shared" si="1151"/>
        <v>99670</v>
      </c>
      <c r="AX347" s="1">
        <f t="shared" si="1151"/>
        <v>2657856</v>
      </c>
      <c r="AY347" s="1">
        <f t="shared" si="1151"/>
        <v>5980176</v>
      </c>
      <c r="AZ347" s="1">
        <f t="shared" si="1102"/>
        <v>77786943</v>
      </c>
      <c r="BA347" s="1">
        <f t="shared" si="1103"/>
        <v>38893472</v>
      </c>
      <c r="BC347" s="1">
        <f t="shared" si="1104"/>
        <v>336</v>
      </c>
    </row>
    <row r="348" s="1" customFormat="1" spans="2:55">
      <c r="B348" s="4">
        <v>337</v>
      </c>
      <c r="C348" s="1">
        <f t="shared" ref="C348:I348" si="1152">C$5+(C$6-C$5)*(POWER(C$7,$B348-1)-1)/(POWER(C$7,$B$3-1)-1)</f>
        <v>26625.1632746953</v>
      </c>
      <c r="D348" s="1">
        <f t="shared" si="1152"/>
        <v>7987.54898240859</v>
      </c>
      <c r="E348" s="1">
        <f t="shared" si="1152"/>
        <v>5325.03265493906</v>
      </c>
      <c r="F348" s="1">
        <f t="shared" si="1152"/>
        <v>97737.9411349575</v>
      </c>
      <c r="G348" s="1">
        <f t="shared" si="1152"/>
        <v>29321.3823404872</v>
      </c>
      <c r="H348" s="1">
        <f t="shared" si="1152"/>
        <v>19547.5882269915</v>
      </c>
      <c r="I348" s="1">
        <f t="shared" si="1152"/>
        <v>0</v>
      </c>
      <c r="J348" s="1">
        <f>[1]标准模型!$I$65/1*$B348/$B$3</f>
        <v>2.4264</v>
      </c>
      <c r="K348" s="1">
        <f>J348*[1]标准模型!$J$63</f>
        <v>2.4264</v>
      </c>
      <c r="L348" s="1">
        <f t="shared" si="1081"/>
        <v>124363.104409653</v>
      </c>
      <c r="M348" s="1">
        <f t="shared" si="1082"/>
        <v>56689.920173812</v>
      </c>
      <c r="N348" s="1">
        <f t="shared" si="1083"/>
        <v>37793.2801158747</v>
      </c>
      <c r="O348" s="1">
        <f t="shared" ref="O348:X348" si="1153">O$5+(O$6-O$5)*(POWER(O$7,$B348-1)-1)/(POWER(O$7,$B$3-1)-1)</f>
        <v>0.836700784793578</v>
      </c>
      <c r="P348" s="1">
        <f t="shared" si="1153"/>
        <v>0.235369338885351</v>
      </c>
      <c r="Q348" s="1">
        <f t="shared" si="1153"/>
        <v>0.460185431636468</v>
      </c>
      <c r="R348" s="1">
        <f t="shared" si="1153"/>
        <v>1.13468031391743</v>
      </c>
      <c r="S348" s="1">
        <f t="shared" si="1153"/>
        <v>0.47138109871101</v>
      </c>
      <c r="T348" s="1">
        <f t="shared" si="1153"/>
        <v>3.31313306069496</v>
      </c>
      <c r="U348" s="1">
        <f t="shared" si="1153"/>
        <v>1</v>
      </c>
      <c r="V348" s="1">
        <f t="shared" si="1153"/>
        <v>1.36720530033898</v>
      </c>
      <c r="W348" s="1">
        <f t="shared" si="1153"/>
        <v>1.20720048294989</v>
      </c>
      <c r="X348" s="1">
        <f t="shared" si="1153"/>
        <v>2.07744251133945</v>
      </c>
      <c r="Y348" s="1">
        <f t="shared" si="1107"/>
        <v>6.37716584546046</v>
      </c>
      <c r="Z348" s="1">
        <f t="shared" si="1108"/>
        <v>12.4614751597832</v>
      </c>
      <c r="AA348" s="1">
        <f t="shared" si="1085"/>
        <v>1549747.73639441</v>
      </c>
      <c r="AB348" s="1">
        <f t="shared" si="1086"/>
        <v>56689.920173812</v>
      </c>
      <c r="AC348" s="1">
        <f t="shared" si="1087"/>
        <v>37793.2801158747</v>
      </c>
      <c r="AD348" s="1">
        <f>AC348/(AC348+[1]战斗公式!$M$27)</f>
        <v>0.611608253276162</v>
      </c>
      <c r="AE348" s="1">
        <f t="shared" si="1088"/>
        <v>3990166.49933177</v>
      </c>
      <c r="AF348" s="1">
        <f t="shared" si="1089"/>
        <v>11.0371631208981</v>
      </c>
      <c r="AG348" s="1">
        <f t="shared" si="1090"/>
        <v>5.64827348149939</v>
      </c>
      <c r="AH348" s="1">
        <f t="shared" si="1091"/>
        <v>4.76926481821839</v>
      </c>
      <c r="AI348" s="1">
        <f t="shared" si="1092"/>
        <v>1.50710851615486</v>
      </c>
      <c r="AJ348" s="1">
        <f t="shared" si="1093"/>
        <v>1.00000003764676</v>
      </c>
      <c r="AK348" s="1">
        <f t="shared" si="1094"/>
        <v>1.00086822526579</v>
      </c>
      <c r="AL348" s="1">
        <f t="shared" si="1095"/>
        <v>0.922750551233465</v>
      </c>
      <c r="AM348" s="27">
        <f t="shared" si="1096"/>
        <v>1308569</v>
      </c>
      <c r="AN348" s="27">
        <f t="shared" si="1097"/>
        <v>85438</v>
      </c>
      <c r="AO348" s="27">
        <f t="shared" si="1098"/>
        <v>37793</v>
      </c>
      <c r="AP348" s="1">
        <f t="shared" si="1099"/>
        <v>670242</v>
      </c>
      <c r="AQ348" s="1">
        <f t="shared" si="1100"/>
        <v>78838</v>
      </c>
      <c r="AR348"/>
      <c r="AS348" s="1">
        <f t="shared" ref="AS348:AY348" si="1154">ROUNDUP(AS$10*$AP348,0)</f>
        <v>670242</v>
      </c>
      <c r="AT348" s="1">
        <f t="shared" si="1154"/>
        <v>2010726</v>
      </c>
      <c r="AU348" s="1">
        <f t="shared" si="1154"/>
        <v>1206436</v>
      </c>
      <c r="AV348" s="1">
        <f t="shared" si="1154"/>
        <v>335121</v>
      </c>
      <c r="AW348" s="1">
        <f t="shared" si="1154"/>
        <v>100537</v>
      </c>
      <c r="AX348" s="1">
        <f t="shared" si="1154"/>
        <v>2680968</v>
      </c>
      <c r="AY348" s="1">
        <f t="shared" si="1154"/>
        <v>6032178</v>
      </c>
      <c r="AZ348" s="1">
        <f t="shared" si="1102"/>
        <v>78514143</v>
      </c>
      <c r="BA348" s="1">
        <f t="shared" si="1103"/>
        <v>39257071</v>
      </c>
      <c r="BC348" s="1">
        <f t="shared" si="1104"/>
        <v>337</v>
      </c>
    </row>
    <row r="349" s="1" customFormat="1" spans="2:55">
      <c r="B349" s="4">
        <v>338</v>
      </c>
      <c r="C349" s="1">
        <f t="shared" ref="C349:I349" si="1155">C$5+(C$6-C$5)*(POWER(C$7,$B349-1)-1)/(POWER(C$7,$B$3-1)-1)</f>
        <v>26704.156401172</v>
      </c>
      <c r="D349" s="1">
        <f t="shared" si="1155"/>
        <v>8011.2469203516</v>
      </c>
      <c r="E349" s="1">
        <f t="shared" si="1155"/>
        <v>5340.8312802344</v>
      </c>
      <c r="F349" s="1">
        <f t="shared" si="1155"/>
        <v>98027.9159030364</v>
      </c>
      <c r="G349" s="1">
        <f t="shared" si="1155"/>
        <v>29408.3747709109</v>
      </c>
      <c r="H349" s="1">
        <f t="shared" si="1155"/>
        <v>19605.5831806073</v>
      </c>
      <c r="I349" s="1">
        <f t="shared" si="1155"/>
        <v>0</v>
      </c>
      <c r="J349" s="1">
        <f>[1]标准模型!$I$65/1*$B349/$B$3</f>
        <v>2.4336</v>
      </c>
      <c r="K349" s="1">
        <f>J349*[1]标准模型!$J$63</f>
        <v>2.4336</v>
      </c>
      <c r="L349" s="1">
        <f t="shared" si="1081"/>
        <v>124732.072304208</v>
      </c>
      <c r="M349" s="1">
        <f t="shared" si="1082"/>
        <v>56915.7921966302</v>
      </c>
      <c r="N349" s="1">
        <f t="shared" si="1083"/>
        <v>37943.8614644201</v>
      </c>
      <c r="O349" s="1">
        <f t="shared" ref="O349:X349" si="1156">O$5+(O$6-O$5)*(POWER(O$7,$B349-1)-1)/(POWER(O$7,$B$3-1)-1)</f>
        <v>0.837702701620608</v>
      </c>
      <c r="P349" s="1">
        <f t="shared" si="1156"/>
        <v>0.236261650019209</v>
      </c>
      <c r="Q349" s="1">
        <f t="shared" si="1156"/>
        <v>0.460736485891335</v>
      </c>
      <c r="R349" s="1">
        <f t="shared" si="1156"/>
        <v>1.13508108064824</v>
      </c>
      <c r="S349" s="1">
        <f t="shared" si="1156"/>
        <v>0.472783782268851</v>
      </c>
      <c r="T349" s="1">
        <f t="shared" si="1156"/>
        <v>3.31704053632037</v>
      </c>
      <c r="U349" s="1">
        <f t="shared" si="1156"/>
        <v>1</v>
      </c>
      <c r="V349" s="1">
        <f t="shared" si="1156"/>
        <v>1.36829798911786</v>
      </c>
      <c r="W349" s="1">
        <f t="shared" si="1156"/>
        <v>1.20781704715114</v>
      </c>
      <c r="X349" s="1">
        <f t="shared" si="1156"/>
        <v>2.08064864518595</v>
      </c>
      <c r="Y349" s="1">
        <f t="shared" si="1107"/>
        <v>6.41942103136207</v>
      </c>
      <c r="Z349" s="1">
        <f t="shared" si="1108"/>
        <v>12.5519272549646</v>
      </c>
      <c r="AA349" s="1">
        <f t="shared" si="1085"/>
        <v>1565627.89792341</v>
      </c>
      <c r="AB349" s="1">
        <f t="shared" si="1086"/>
        <v>56915.7921966302</v>
      </c>
      <c r="AC349" s="1">
        <f t="shared" si="1087"/>
        <v>37943.8614644201</v>
      </c>
      <c r="AD349" s="1">
        <f>AC349/(AC349+[1]战斗公式!$M$27)</f>
        <v>0.612552407411906</v>
      </c>
      <c r="AE349" s="1">
        <f t="shared" si="1088"/>
        <v>4040876.56724162</v>
      </c>
      <c r="AF349" s="1">
        <f t="shared" si="1089"/>
        <v>11.0597914788045</v>
      </c>
      <c r="AG349" s="1">
        <f t="shared" si="1090"/>
        <v>5.65629935382517</v>
      </c>
      <c r="AH349" s="1">
        <f t="shared" si="1091"/>
        <v>4.77171298631281</v>
      </c>
      <c r="AI349" s="1">
        <f t="shared" si="1092"/>
        <v>1.51122781387495</v>
      </c>
      <c r="AJ349" s="1">
        <f t="shared" si="1093"/>
        <v>1.00000003576398</v>
      </c>
      <c r="AK349" s="1">
        <f t="shared" si="1094"/>
        <v>1.00085019095308</v>
      </c>
      <c r="AL349" s="1">
        <f t="shared" si="1095"/>
        <v>0.922961672043125</v>
      </c>
      <c r="AM349" s="27">
        <f t="shared" si="1096"/>
        <v>1320780</v>
      </c>
      <c r="AN349" s="27">
        <f t="shared" si="1097"/>
        <v>86013</v>
      </c>
      <c r="AO349" s="27">
        <f t="shared" si="1098"/>
        <v>37944</v>
      </c>
      <c r="AP349" s="1">
        <f t="shared" si="1099"/>
        <v>676060</v>
      </c>
      <c r="AQ349" s="1">
        <f t="shared" si="1100"/>
        <v>79387</v>
      </c>
      <c r="AR349"/>
      <c r="AS349" s="1">
        <f t="shared" ref="AS349:AY349" si="1157">ROUNDUP(AS$10*$AP349,0)</f>
        <v>676060</v>
      </c>
      <c r="AT349" s="1">
        <f t="shared" si="1157"/>
        <v>2028180</v>
      </c>
      <c r="AU349" s="1">
        <f t="shared" si="1157"/>
        <v>1216908</v>
      </c>
      <c r="AV349" s="1">
        <f t="shared" si="1157"/>
        <v>338030</v>
      </c>
      <c r="AW349" s="1">
        <f t="shared" si="1157"/>
        <v>101409</v>
      </c>
      <c r="AX349" s="1">
        <f t="shared" si="1157"/>
        <v>2704240</v>
      </c>
      <c r="AY349" s="1">
        <f t="shared" si="1157"/>
        <v>6084540</v>
      </c>
      <c r="AZ349" s="1">
        <f t="shared" si="1102"/>
        <v>79246803</v>
      </c>
      <c r="BA349" s="1">
        <f t="shared" si="1103"/>
        <v>39623401</v>
      </c>
      <c r="BC349" s="1">
        <f t="shared" si="1104"/>
        <v>338</v>
      </c>
    </row>
    <row r="350" s="1" customFormat="1" spans="2:55">
      <c r="B350" s="4">
        <v>339</v>
      </c>
      <c r="C350" s="1">
        <f t="shared" ref="C350:I350" si="1158">C$5+(C$6-C$5)*(POWER(C$7,$B350-1)-1)/(POWER(C$7,$B$3-1)-1)</f>
        <v>26783.1494486571</v>
      </c>
      <c r="D350" s="1">
        <f t="shared" si="1158"/>
        <v>8034.94483459712</v>
      </c>
      <c r="E350" s="1">
        <f t="shared" si="1158"/>
        <v>5356.62988973141</v>
      </c>
      <c r="F350" s="1">
        <f t="shared" si="1158"/>
        <v>98317.8903811462</v>
      </c>
      <c r="G350" s="1">
        <f t="shared" si="1158"/>
        <v>29495.3671143439</v>
      </c>
      <c r="H350" s="1">
        <f t="shared" si="1158"/>
        <v>19663.5780762292</v>
      </c>
      <c r="I350" s="1">
        <f t="shared" si="1158"/>
        <v>0</v>
      </c>
      <c r="J350" s="1">
        <f>[1]标准模型!$I$65/1*$B350/$B$3</f>
        <v>2.4408</v>
      </c>
      <c r="K350" s="1">
        <f>J350*[1]标准模型!$J$63</f>
        <v>2.4408</v>
      </c>
      <c r="L350" s="1">
        <f t="shared" si="1081"/>
        <v>125101.039829803</v>
      </c>
      <c r="M350" s="1">
        <f t="shared" si="1082"/>
        <v>57142.0053012257</v>
      </c>
      <c r="N350" s="1">
        <f t="shared" si="1083"/>
        <v>38094.670200817</v>
      </c>
      <c r="O350" s="1">
        <f t="shared" ref="O350:X350" si="1159">O$5+(O$6-O$5)*(POWER(O$7,$B350-1)-1)/(POWER(O$7,$B$3-1)-1)</f>
        <v>0.83870461744574</v>
      </c>
      <c r="P350" s="1">
        <f t="shared" si="1159"/>
        <v>0.237155299619767</v>
      </c>
      <c r="Q350" s="1">
        <f t="shared" si="1159"/>
        <v>0.461287539595157</v>
      </c>
      <c r="R350" s="1">
        <f t="shared" si="1159"/>
        <v>1.1354818469783</v>
      </c>
      <c r="S350" s="1">
        <f t="shared" si="1159"/>
        <v>0.474186464424037</v>
      </c>
      <c r="T350" s="1">
        <f t="shared" si="1159"/>
        <v>3.32094800803839</v>
      </c>
      <c r="U350" s="1">
        <f t="shared" si="1159"/>
        <v>1</v>
      </c>
      <c r="V350" s="1">
        <f t="shared" si="1159"/>
        <v>1.36939067680407</v>
      </c>
      <c r="W350" s="1">
        <f t="shared" si="1159"/>
        <v>1.20843361073584</v>
      </c>
      <c r="X350" s="1">
        <f t="shared" si="1159"/>
        <v>2.08385477582637</v>
      </c>
      <c r="Y350" s="1">
        <f t="shared" si="1107"/>
        <v>6.46192183172365</v>
      </c>
      <c r="Z350" s="1">
        <f t="shared" si="1108"/>
        <v>12.6429630964169</v>
      </c>
      <c r="AA350" s="1">
        <f t="shared" si="1085"/>
        <v>1581647.82989158</v>
      </c>
      <c r="AB350" s="1">
        <f t="shared" si="1086"/>
        <v>57142.0053012257</v>
      </c>
      <c r="AC350" s="1">
        <f t="shared" si="1087"/>
        <v>38094.670200817</v>
      </c>
      <c r="AD350" s="1">
        <f>AC350/(AC350+[1]战斗公式!$M$27)</f>
        <v>0.613493397704136</v>
      </c>
      <c r="AE350" s="1">
        <f t="shared" si="1088"/>
        <v>4092162.51545648</v>
      </c>
      <c r="AF350" s="1">
        <f t="shared" si="1089"/>
        <v>11.0824478305912</v>
      </c>
      <c r="AG350" s="1">
        <f t="shared" si="1090"/>
        <v>5.66432971759063</v>
      </c>
      <c r="AH350" s="1">
        <f t="shared" si="1091"/>
        <v>4.77414279314652</v>
      </c>
      <c r="AI350" s="1">
        <f t="shared" si="1092"/>
        <v>1.51535535019047</v>
      </c>
      <c r="AJ350" s="1">
        <f t="shared" si="1093"/>
        <v>1.00000003397535</v>
      </c>
      <c r="AK350" s="1">
        <f t="shared" si="1094"/>
        <v>1.00083251732663</v>
      </c>
      <c r="AL350" s="1">
        <f t="shared" si="1095"/>
        <v>0.923172159490355</v>
      </c>
      <c r="AM350" s="27">
        <f t="shared" si="1096"/>
        <v>1333081</v>
      </c>
      <c r="AN350" s="27">
        <f t="shared" si="1097"/>
        <v>86590</v>
      </c>
      <c r="AO350" s="27">
        <f t="shared" si="1098"/>
        <v>38095</v>
      </c>
      <c r="AP350" s="1">
        <f t="shared" si="1099"/>
        <v>681916</v>
      </c>
      <c r="AQ350" s="1">
        <f t="shared" si="1100"/>
        <v>79937</v>
      </c>
      <c r="AR350"/>
      <c r="AS350" s="1">
        <f t="shared" ref="AS350:AY350" si="1160">ROUNDUP(AS$10*$AP350,0)</f>
        <v>681916</v>
      </c>
      <c r="AT350" s="1">
        <f t="shared" si="1160"/>
        <v>2045748</v>
      </c>
      <c r="AU350" s="1">
        <f t="shared" si="1160"/>
        <v>1227449</v>
      </c>
      <c r="AV350" s="1">
        <f t="shared" si="1160"/>
        <v>340958</v>
      </c>
      <c r="AW350" s="1">
        <f t="shared" si="1160"/>
        <v>102288</v>
      </c>
      <c r="AX350" s="1">
        <f t="shared" si="1160"/>
        <v>2727664</v>
      </c>
      <c r="AY350" s="1">
        <f t="shared" si="1160"/>
        <v>6137244</v>
      </c>
      <c r="AZ350" s="1">
        <f t="shared" si="1102"/>
        <v>79984863</v>
      </c>
      <c r="BA350" s="1">
        <f t="shared" si="1103"/>
        <v>39992431</v>
      </c>
      <c r="BC350" s="1">
        <f t="shared" si="1104"/>
        <v>339</v>
      </c>
    </row>
    <row r="351" s="1" customFormat="1" spans="2:55">
      <c r="B351" s="4">
        <v>340</v>
      </c>
      <c r="C351" s="1">
        <f t="shared" ref="C351:I351" si="1161">C$5+(C$6-C$5)*(POWER(C$7,$B351-1)-1)/(POWER(C$7,$B$3-1)-1)</f>
        <v>26862.1424171418</v>
      </c>
      <c r="D351" s="1">
        <f t="shared" si="1161"/>
        <v>8058.64272514253</v>
      </c>
      <c r="E351" s="1">
        <f t="shared" si="1161"/>
        <v>5372.42848342835</v>
      </c>
      <c r="F351" s="1">
        <f t="shared" si="1161"/>
        <v>98607.8645692546</v>
      </c>
      <c r="G351" s="1">
        <f t="shared" si="1161"/>
        <v>29582.3593707764</v>
      </c>
      <c r="H351" s="1">
        <f t="shared" si="1161"/>
        <v>19721.5729138509</v>
      </c>
      <c r="I351" s="1">
        <f t="shared" si="1161"/>
        <v>0</v>
      </c>
      <c r="J351" s="1">
        <f>[1]标准模型!$I$65/1*$B351/$B$3</f>
        <v>2.448</v>
      </c>
      <c r="K351" s="1">
        <f>J351*[1]标准模型!$J$63</f>
        <v>2.448</v>
      </c>
      <c r="L351" s="1">
        <f t="shared" si="1081"/>
        <v>125470.006986396</v>
      </c>
      <c r="M351" s="1">
        <f t="shared" si="1082"/>
        <v>57368.5594870678</v>
      </c>
      <c r="N351" s="1">
        <f t="shared" si="1083"/>
        <v>38245.7063247118</v>
      </c>
      <c r="O351" s="1">
        <f t="shared" ref="O351:X351" si="1162">O$5+(O$6-O$5)*(POWER(O$7,$B351-1)-1)/(POWER(O$7,$B$3-1)-1)</f>
        <v>0.839706532268864</v>
      </c>
      <c r="P351" s="1">
        <f t="shared" si="1162"/>
        <v>0.238050289694727</v>
      </c>
      <c r="Q351" s="1">
        <f t="shared" si="1162"/>
        <v>0.461838592747875</v>
      </c>
      <c r="R351" s="1">
        <f t="shared" si="1162"/>
        <v>1.13588261290755</v>
      </c>
      <c r="S351" s="1">
        <f t="shared" si="1162"/>
        <v>0.475589145176409</v>
      </c>
      <c r="T351" s="1">
        <f t="shared" si="1162"/>
        <v>3.32485547584857</v>
      </c>
      <c r="U351" s="1">
        <f t="shared" si="1162"/>
        <v>1</v>
      </c>
      <c r="V351" s="1">
        <f t="shared" si="1162"/>
        <v>1.3704833633975</v>
      </c>
      <c r="W351" s="1">
        <f t="shared" si="1162"/>
        <v>1.20905017370392</v>
      </c>
      <c r="X351" s="1">
        <f t="shared" si="1162"/>
        <v>2.08706090326036</v>
      </c>
      <c r="Y351" s="1">
        <f t="shared" si="1107"/>
        <v>6.50466944878396</v>
      </c>
      <c r="Z351" s="1">
        <f t="shared" si="1108"/>
        <v>12.7345859237903</v>
      </c>
      <c r="AA351" s="1">
        <f t="shared" si="1085"/>
        <v>1597808.58482683</v>
      </c>
      <c r="AB351" s="1">
        <f t="shared" si="1086"/>
        <v>57368.5594870678</v>
      </c>
      <c r="AC351" s="1">
        <f t="shared" si="1087"/>
        <v>38245.7063247118</v>
      </c>
      <c r="AD351" s="1">
        <f>AC351/(AC351+[1]战斗公式!$M$27)</f>
        <v>0.614431236834212</v>
      </c>
      <c r="AE351" s="1">
        <f t="shared" si="1088"/>
        <v>4144030.16392643</v>
      </c>
      <c r="AF351" s="1">
        <f t="shared" si="1089"/>
        <v>11.105132157466</v>
      </c>
      <c r="AG351" s="1">
        <f t="shared" si="1090"/>
        <v>5.67236455913575</v>
      </c>
      <c r="AH351" s="1">
        <f t="shared" si="1091"/>
        <v>4.77655437642897</v>
      </c>
      <c r="AI351" s="1">
        <f t="shared" si="1092"/>
        <v>1.51949114157862</v>
      </c>
      <c r="AJ351" s="1">
        <f t="shared" si="1093"/>
        <v>1.00000003227614</v>
      </c>
      <c r="AK351" s="1">
        <f t="shared" si="1094"/>
        <v>1.00081519717271</v>
      </c>
      <c r="AL351" s="1">
        <f t="shared" si="1095"/>
        <v>0.923382015475243</v>
      </c>
      <c r="AM351" s="27">
        <f t="shared" si="1096"/>
        <v>1345474</v>
      </c>
      <c r="AN351" s="27">
        <f t="shared" si="1097"/>
        <v>87171</v>
      </c>
      <c r="AO351" s="27">
        <f t="shared" si="1098"/>
        <v>38246</v>
      </c>
      <c r="AP351" s="1">
        <f t="shared" si="1099"/>
        <v>687812</v>
      </c>
      <c r="AQ351" s="1">
        <f t="shared" si="1100"/>
        <v>80492</v>
      </c>
      <c r="AR351"/>
      <c r="AS351" s="1">
        <f t="shared" ref="AS351:AY351" si="1163">ROUNDUP(AS$10*$AP351,0)</f>
        <v>687812</v>
      </c>
      <c r="AT351" s="1">
        <f t="shared" si="1163"/>
        <v>2063436</v>
      </c>
      <c r="AU351" s="1">
        <f t="shared" si="1163"/>
        <v>1238062</v>
      </c>
      <c r="AV351" s="1">
        <f t="shared" si="1163"/>
        <v>343906</v>
      </c>
      <c r="AW351" s="1">
        <f t="shared" si="1163"/>
        <v>103172</v>
      </c>
      <c r="AX351" s="1">
        <f t="shared" si="1163"/>
        <v>2751248</v>
      </c>
      <c r="AY351" s="1">
        <f t="shared" si="1163"/>
        <v>6190308</v>
      </c>
      <c r="AZ351" s="1">
        <f t="shared" si="1102"/>
        <v>80728443</v>
      </c>
      <c r="BA351" s="1">
        <f t="shared" si="1103"/>
        <v>40364221</v>
      </c>
      <c r="BC351" s="1">
        <f t="shared" si="1104"/>
        <v>340</v>
      </c>
    </row>
    <row r="352" s="1" customFormat="1" spans="2:55">
      <c r="B352" s="4">
        <v>341</v>
      </c>
      <c r="C352" s="1">
        <f t="shared" ref="C352:I352" si="1164">C$5+(C$6-C$5)*(POWER(C$7,$B352-1)-1)/(POWER(C$7,$B$3-1)-1)</f>
        <v>26941.1353066436</v>
      </c>
      <c r="D352" s="1">
        <f t="shared" si="1164"/>
        <v>8082.34059199309</v>
      </c>
      <c r="E352" s="1">
        <f t="shared" si="1164"/>
        <v>5388.22706132873</v>
      </c>
      <c r="F352" s="1">
        <f t="shared" si="1164"/>
        <v>98897.838467426</v>
      </c>
      <c r="G352" s="1">
        <f t="shared" si="1164"/>
        <v>29669.3515402278</v>
      </c>
      <c r="H352" s="1">
        <f t="shared" si="1164"/>
        <v>19779.5676934852</v>
      </c>
      <c r="I352" s="1">
        <f t="shared" si="1164"/>
        <v>0</v>
      </c>
      <c r="J352" s="1">
        <f>[1]标准模型!$I$65/1*$B352/$B$3</f>
        <v>2.4552</v>
      </c>
      <c r="K352" s="1">
        <f>J352*[1]标准模型!$J$63</f>
        <v>2.4552</v>
      </c>
      <c r="L352" s="1">
        <f t="shared" si="1081"/>
        <v>125838.97377407</v>
      </c>
      <c r="M352" s="1">
        <f t="shared" si="1082"/>
        <v>57595.4547536823</v>
      </c>
      <c r="N352" s="1">
        <f t="shared" si="1083"/>
        <v>38396.9698357882</v>
      </c>
      <c r="O352" s="1">
        <f t="shared" ref="O352:X352" si="1165">O$5+(O$6-O$5)*(POWER(O$7,$B352-1)-1)/(POWER(O$7,$B$3-1)-1)</f>
        <v>0.840708446090201</v>
      </c>
      <c r="P352" s="1">
        <f t="shared" si="1165"/>
        <v>0.238946622254798</v>
      </c>
      <c r="Q352" s="1">
        <f t="shared" si="1165"/>
        <v>0.462389645349611</v>
      </c>
      <c r="R352" s="1">
        <f t="shared" si="1165"/>
        <v>1.13628337843608</v>
      </c>
      <c r="S352" s="1">
        <f t="shared" si="1165"/>
        <v>0.476991824526281</v>
      </c>
      <c r="T352" s="1">
        <f t="shared" si="1165"/>
        <v>3.32876293975178</v>
      </c>
      <c r="U352" s="1">
        <f t="shared" si="1165"/>
        <v>1</v>
      </c>
      <c r="V352" s="1">
        <f t="shared" si="1165"/>
        <v>1.37157604889837</v>
      </c>
      <c r="W352" s="1">
        <f t="shared" si="1165"/>
        <v>1.20966673605551</v>
      </c>
      <c r="X352" s="1">
        <f t="shared" si="1165"/>
        <v>2.09026702748864</v>
      </c>
      <c r="Y352" s="1">
        <f t="shared" si="1107"/>
        <v>6.54766508950768</v>
      </c>
      <c r="Z352" s="1">
        <f t="shared" si="1108"/>
        <v>12.8267989916131</v>
      </c>
      <c r="AA352" s="1">
        <f t="shared" si="1085"/>
        <v>1614111.22191086</v>
      </c>
      <c r="AB352" s="1">
        <f t="shared" si="1086"/>
        <v>57595.4547536823</v>
      </c>
      <c r="AC352" s="1">
        <f t="shared" si="1087"/>
        <v>38396.9698357882</v>
      </c>
      <c r="AD352" s="1">
        <f>AC352/(AC352+[1]战斗公式!$M$27)</f>
        <v>0.615365937429951</v>
      </c>
      <c r="AE352" s="1">
        <f t="shared" si="1088"/>
        <v>4196485.38438247</v>
      </c>
      <c r="AF352" s="1">
        <f t="shared" si="1089"/>
        <v>11.1278444406825</v>
      </c>
      <c r="AG352" s="1">
        <f t="shared" si="1090"/>
        <v>5.68040386485904</v>
      </c>
      <c r="AH352" s="1">
        <f t="shared" si="1091"/>
        <v>4.7789478728368</v>
      </c>
      <c r="AI352" s="1">
        <f t="shared" si="1092"/>
        <v>1.52363520454955</v>
      </c>
      <c r="AJ352" s="1">
        <f t="shared" si="1093"/>
        <v>1.00000003066189</v>
      </c>
      <c r="AK352" s="1">
        <f t="shared" si="1094"/>
        <v>1.00079822342187</v>
      </c>
      <c r="AL352" s="1">
        <f t="shared" si="1095"/>
        <v>0.923591241892177</v>
      </c>
      <c r="AM352" s="27">
        <f t="shared" si="1096"/>
        <v>1357959</v>
      </c>
      <c r="AN352" s="27">
        <f t="shared" si="1097"/>
        <v>87754</v>
      </c>
      <c r="AO352" s="27">
        <f t="shared" si="1098"/>
        <v>38397</v>
      </c>
      <c r="AP352" s="1">
        <f t="shared" si="1099"/>
        <v>693747</v>
      </c>
      <c r="AQ352" s="1">
        <f t="shared" si="1100"/>
        <v>81049</v>
      </c>
      <c r="AR352"/>
      <c r="AS352" s="1">
        <f t="shared" ref="AS352:AY352" si="1166">ROUNDUP(AS$10*$AP352,0)</f>
        <v>693747</v>
      </c>
      <c r="AT352" s="1">
        <f t="shared" si="1166"/>
        <v>2081241</v>
      </c>
      <c r="AU352" s="1">
        <f t="shared" si="1166"/>
        <v>1248745</v>
      </c>
      <c r="AV352" s="1">
        <f t="shared" si="1166"/>
        <v>346874</v>
      </c>
      <c r="AW352" s="1">
        <f t="shared" si="1166"/>
        <v>104063</v>
      </c>
      <c r="AX352" s="1">
        <f t="shared" si="1166"/>
        <v>2774988</v>
      </c>
      <c r="AY352" s="1">
        <f t="shared" si="1166"/>
        <v>6243723</v>
      </c>
      <c r="AZ352" s="1">
        <f t="shared" si="1102"/>
        <v>81477542</v>
      </c>
      <c r="BA352" s="1">
        <f t="shared" si="1103"/>
        <v>40738771</v>
      </c>
      <c r="BC352" s="1">
        <f t="shared" si="1104"/>
        <v>341</v>
      </c>
    </row>
    <row r="353" s="1" customFormat="1" spans="2:55">
      <c r="B353" s="4">
        <v>342</v>
      </c>
      <c r="C353" s="1">
        <f t="shared" ref="C353:I353" si="1167">C$5+(C$6-C$5)*(POWER(C$7,$B353-1)-1)/(POWER(C$7,$B$3-1)-1)</f>
        <v>27020.1281171451</v>
      </c>
      <c r="D353" s="1">
        <f t="shared" si="1167"/>
        <v>8106.03843514354</v>
      </c>
      <c r="E353" s="1">
        <f t="shared" si="1167"/>
        <v>5404.02562342902</v>
      </c>
      <c r="F353" s="1">
        <f t="shared" si="1167"/>
        <v>99187.812075596</v>
      </c>
      <c r="G353" s="1">
        <f t="shared" si="1167"/>
        <v>29756.3436226788</v>
      </c>
      <c r="H353" s="1">
        <f t="shared" si="1167"/>
        <v>19837.5624151192</v>
      </c>
      <c r="I353" s="1">
        <f t="shared" si="1167"/>
        <v>0</v>
      </c>
      <c r="J353" s="1">
        <f>[1]标准模型!$I$65/1*$B353/$B$3</f>
        <v>2.4624</v>
      </c>
      <c r="K353" s="1">
        <f>J353*[1]标准模型!$J$63</f>
        <v>2.4624</v>
      </c>
      <c r="L353" s="1">
        <f t="shared" si="1081"/>
        <v>126207.940192741</v>
      </c>
      <c r="M353" s="1">
        <f t="shared" si="1082"/>
        <v>57822.6911005198</v>
      </c>
      <c r="N353" s="1">
        <f t="shared" si="1083"/>
        <v>38548.4607336798</v>
      </c>
      <c r="O353" s="1">
        <f t="shared" ref="O353:X353" si="1168">O$5+(O$6-O$5)*(POWER(O$7,$B353-1)-1)/(POWER(O$7,$B$3-1)-1)</f>
        <v>0.841710358909529</v>
      </c>
      <c r="P353" s="1">
        <f t="shared" si="1168"/>
        <v>0.23984429931371</v>
      </c>
      <c r="Q353" s="1">
        <f t="shared" si="1168"/>
        <v>0.462940697400241</v>
      </c>
      <c r="R353" s="1">
        <f t="shared" si="1168"/>
        <v>1.13668414356381</v>
      </c>
      <c r="S353" s="1">
        <f t="shared" si="1168"/>
        <v>0.478394502473341</v>
      </c>
      <c r="T353" s="1">
        <f t="shared" si="1168"/>
        <v>3.33267039974716</v>
      </c>
      <c r="U353" s="1">
        <f t="shared" si="1168"/>
        <v>1</v>
      </c>
      <c r="V353" s="1">
        <f t="shared" si="1168"/>
        <v>1.37266873330646</v>
      </c>
      <c r="W353" s="1">
        <f t="shared" si="1168"/>
        <v>1.21028329779048</v>
      </c>
      <c r="X353" s="1">
        <f t="shared" si="1168"/>
        <v>2.09347314851049</v>
      </c>
      <c r="Y353" s="1">
        <f t="shared" si="1107"/>
        <v>6.59090996557098</v>
      </c>
      <c r="Z353" s="1">
        <f t="shared" si="1108"/>
        <v>12.919605569281</v>
      </c>
      <c r="AA353" s="1">
        <f t="shared" si="1085"/>
        <v>1630556.80700162</v>
      </c>
      <c r="AB353" s="1">
        <f t="shared" si="1086"/>
        <v>57822.6911005198</v>
      </c>
      <c r="AC353" s="1">
        <f t="shared" si="1087"/>
        <v>38548.4607336798</v>
      </c>
      <c r="AD353" s="1">
        <f>AC353/(AC353+[1]战斗公式!$M$27)</f>
        <v>0.616297512065281</v>
      </c>
      <c r="AE353" s="1">
        <f t="shared" si="1088"/>
        <v>4249534.10069897</v>
      </c>
      <c r="AF353" s="1">
        <f t="shared" si="1089"/>
        <v>11.1505846615178</v>
      </c>
      <c r="AG353" s="1">
        <f t="shared" si="1090"/>
        <v>5.68844762120941</v>
      </c>
      <c r="AH353" s="1">
        <f t="shared" si="1091"/>
        <v>4.78132341802158</v>
      </c>
      <c r="AI353" s="1">
        <f t="shared" si="1092"/>
        <v>1.52778755564643</v>
      </c>
      <c r="AJ353" s="1">
        <f t="shared" si="1093"/>
        <v>1.00000002912836</v>
      </c>
      <c r="AK353" s="1">
        <f t="shared" si="1094"/>
        <v>1.00078158914605</v>
      </c>
      <c r="AL353" s="1">
        <f t="shared" si="1095"/>
        <v>0.923799840629861</v>
      </c>
      <c r="AM353" s="27">
        <f t="shared" si="1096"/>
        <v>1370536</v>
      </c>
      <c r="AN353" s="27">
        <f t="shared" si="1097"/>
        <v>88341</v>
      </c>
      <c r="AO353" s="27">
        <f t="shared" si="1098"/>
        <v>38548</v>
      </c>
      <c r="AP353" s="1">
        <f t="shared" si="1099"/>
        <v>699722</v>
      </c>
      <c r="AQ353" s="1">
        <f t="shared" si="1100"/>
        <v>81609</v>
      </c>
      <c r="AR353"/>
      <c r="AS353" s="1">
        <f t="shared" ref="AS353:AY353" si="1169">ROUNDUP(AS$10*$AP353,0)</f>
        <v>699722</v>
      </c>
      <c r="AT353" s="1">
        <f t="shared" si="1169"/>
        <v>2099166</v>
      </c>
      <c r="AU353" s="1">
        <f t="shared" si="1169"/>
        <v>1259500</v>
      </c>
      <c r="AV353" s="1">
        <f t="shared" si="1169"/>
        <v>349861</v>
      </c>
      <c r="AW353" s="1">
        <f t="shared" si="1169"/>
        <v>104959</v>
      </c>
      <c r="AX353" s="1">
        <f t="shared" si="1169"/>
        <v>2798888</v>
      </c>
      <c r="AY353" s="1">
        <f t="shared" si="1169"/>
        <v>6297498</v>
      </c>
      <c r="AZ353" s="1">
        <f t="shared" si="1102"/>
        <v>82232162</v>
      </c>
      <c r="BA353" s="1">
        <f t="shared" si="1103"/>
        <v>41116081</v>
      </c>
      <c r="BC353" s="1">
        <f t="shared" si="1104"/>
        <v>342</v>
      </c>
    </row>
    <row r="354" s="1" customFormat="1" spans="2:55">
      <c r="B354" s="4">
        <v>343</v>
      </c>
      <c r="C354" s="1">
        <f t="shared" ref="C354:I354" si="1170">C$5+(C$6-C$5)*(POWER(C$7,$B354-1)-1)/(POWER(C$7,$B$3-1)-1)</f>
        <v>27099.120848655</v>
      </c>
      <c r="D354" s="1">
        <f t="shared" si="1170"/>
        <v>8129.7362545965</v>
      </c>
      <c r="E354" s="1">
        <f t="shared" si="1170"/>
        <v>5419.824169731</v>
      </c>
      <c r="F354" s="1">
        <f t="shared" si="1170"/>
        <v>99477.7853937968</v>
      </c>
      <c r="G354" s="1">
        <f t="shared" si="1170"/>
        <v>29843.335618139</v>
      </c>
      <c r="H354" s="1">
        <f t="shared" si="1170"/>
        <v>19895.5570787594</v>
      </c>
      <c r="I354" s="1">
        <f t="shared" si="1170"/>
        <v>0</v>
      </c>
      <c r="J354" s="1">
        <f>[1]标准模型!$I$65/1*$B354/$B$3</f>
        <v>2.4696</v>
      </c>
      <c r="K354" s="1">
        <f>J354*[1]标准模型!$J$63</f>
        <v>2.4696</v>
      </c>
      <c r="L354" s="1">
        <f t="shared" si="1081"/>
        <v>126576.906242452</v>
      </c>
      <c r="M354" s="1">
        <f t="shared" si="1082"/>
        <v>58050.268527087</v>
      </c>
      <c r="N354" s="1">
        <f t="shared" si="1083"/>
        <v>38700.1790180581</v>
      </c>
      <c r="O354" s="1">
        <f t="shared" ref="O354:X354" si="1171">O$5+(O$6-O$5)*(POWER(O$7,$B354-1)-1)/(POWER(O$7,$B$3-1)-1)</f>
        <v>0.84271227072696</v>
      </c>
      <c r="P354" s="1">
        <f t="shared" si="1171"/>
        <v>0.24074332288821</v>
      </c>
      <c r="Q354" s="1">
        <f t="shared" si="1171"/>
        <v>0.463491748899828</v>
      </c>
      <c r="R354" s="1">
        <f t="shared" si="1171"/>
        <v>1.13708490829078</v>
      </c>
      <c r="S354" s="1">
        <f t="shared" si="1171"/>
        <v>0.479797179017744</v>
      </c>
      <c r="T354" s="1">
        <f t="shared" si="1171"/>
        <v>3.33657785583514</v>
      </c>
      <c r="U354" s="1">
        <f t="shared" si="1171"/>
        <v>1</v>
      </c>
      <c r="V354" s="1">
        <f t="shared" si="1171"/>
        <v>1.37376141662188</v>
      </c>
      <c r="W354" s="1">
        <f t="shared" si="1171"/>
        <v>1.2108998589089</v>
      </c>
      <c r="X354" s="1">
        <f t="shared" si="1171"/>
        <v>2.09667926632627</v>
      </c>
      <c r="Y354" s="1">
        <f t="shared" si="1107"/>
        <v>6.63440529340537</v>
      </c>
      <c r="Z354" s="1">
        <f t="shared" si="1108"/>
        <v>13.0130089411774</v>
      </c>
      <c r="AA354" s="1">
        <f t="shared" si="1085"/>
        <v>1647146.4126796</v>
      </c>
      <c r="AB354" s="1">
        <f t="shared" si="1086"/>
        <v>58050.268527087</v>
      </c>
      <c r="AC354" s="1">
        <f t="shared" si="1087"/>
        <v>38700.1790180581</v>
      </c>
      <c r="AD354" s="1">
        <f>AC354/(AC354+[1]战斗公式!$M$27)</f>
        <v>0.617225973260972</v>
      </c>
      <c r="AE354" s="1">
        <f t="shared" si="1088"/>
        <v>4303182.2893318</v>
      </c>
      <c r="AF354" s="1">
        <f t="shared" si="1089"/>
        <v>11.173352801294</v>
      </c>
      <c r="AG354" s="1">
        <f t="shared" si="1090"/>
        <v>5.69649581469382</v>
      </c>
      <c r="AH354" s="1">
        <f t="shared" si="1091"/>
        <v>4.78368114661747</v>
      </c>
      <c r="AI354" s="1">
        <f t="shared" si="1092"/>
        <v>1.53194821144549</v>
      </c>
      <c r="AJ354" s="1">
        <f t="shared" si="1093"/>
        <v>1.0000000276715</v>
      </c>
      <c r="AK354" s="1">
        <f t="shared" si="1094"/>
        <v>1.00076528755574</v>
      </c>
      <c r="AL354" s="1">
        <f t="shared" si="1095"/>
        <v>0.924007813571331</v>
      </c>
      <c r="AM354" s="27">
        <f t="shared" si="1096"/>
        <v>1383205</v>
      </c>
      <c r="AN354" s="27">
        <f t="shared" si="1097"/>
        <v>88930</v>
      </c>
      <c r="AO354" s="27">
        <f t="shared" si="1098"/>
        <v>38700</v>
      </c>
      <c r="AP354" s="1">
        <f t="shared" si="1099"/>
        <v>705737</v>
      </c>
      <c r="AQ354" s="1">
        <f t="shared" si="1100"/>
        <v>82172</v>
      </c>
      <c r="AR354"/>
      <c r="AS354" s="1">
        <f t="shared" ref="AS354:AY354" si="1172">ROUNDUP(AS$10*$AP354,0)</f>
        <v>705737</v>
      </c>
      <c r="AT354" s="1">
        <f t="shared" si="1172"/>
        <v>2117211</v>
      </c>
      <c r="AU354" s="1">
        <f t="shared" si="1172"/>
        <v>1270327</v>
      </c>
      <c r="AV354" s="1">
        <f t="shared" si="1172"/>
        <v>352869</v>
      </c>
      <c r="AW354" s="1">
        <f t="shared" si="1172"/>
        <v>105861</v>
      </c>
      <c r="AX354" s="1">
        <f t="shared" si="1172"/>
        <v>2822948</v>
      </c>
      <c r="AY354" s="1">
        <f t="shared" si="1172"/>
        <v>6351633</v>
      </c>
      <c r="AZ354" s="1">
        <f t="shared" si="1102"/>
        <v>82992302</v>
      </c>
      <c r="BA354" s="1">
        <f t="shared" si="1103"/>
        <v>41496151</v>
      </c>
      <c r="BC354" s="1">
        <f t="shared" si="1104"/>
        <v>343</v>
      </c>
    </row>
    <row r="355" s="1" customFormat="1" spans="2:55">
      <c r="B355" s="4">
        <v>344</v>
      </c>
      <c r="C355" s="1">
        <f t="shared" ref="C355:I355" si="1173">C$5+(C$6-C$5)*(POWER(C$7,$B355-1)-1)/(POWER(C$7,$B$3-1)-1)</f>
        <v>27178.1135011733</v>
      </c>
      <c r="D355" s="1">
        <f t="shared" si="1173"/>
        <v>8153.43405035198</v>
      </c>
      <c r="E355" s="1">
        <f t="shared" si="1173"/>
        <v>5435.62270023465</v>
      </c>
      <c r="F355" s="1">
        <f t="shared" si="1173"/>
        <v>99767.7584220285</v>
      </c>
      <c r="G355" s="1">
        <f t="shared" si="1173"/>
        <v>29930.3275266085</v>
      </c>
      <c r="H355" s="1">
        <f t="shared" si="1173"/>
        <v>19953.5516844057</v>
      </c>
      <c r="I355" s="1">
        <f t="shared" si="1173"/>
        <v>0</v>
      </c>
      <c r="J355" s="1">
        <f>[1]标准模型!$I$65/1*$B355/$B$3</f>
        <v>2.4768</v>
      </c>
      <c r="K355" s="1">
        <f>J355*[1]标准模型!$J$63</f>
        <v>2.4768</v>
      </c>
      <c r="L355" s="1">
        <f t="shared" si="1081"/>
        <v>126945.871923202</v>
      </c>
      <c r="M355" s="1">
        <f t="shared" si="1082"/>
        <v>58278.1870328723</v>
      </c>
      <c r="N355" s="1">
        <f t="shared" si="1083"/>
        <v>38852.1246885815</v>
      </c>
      <c r="O355" s="1">
        <f t="shared" ref="O355:X355" si="1174">O$5+(O$6-O$5)*(POWER(O$7,$B355-1)-1)/(POWER(O$7,$B$3-1)-1)</f>
        <v>0.843714181542494</v>
      </c>
      <c r="P355" s="1">
        <f t="shared" si="1174"/>
        <v>0.241643694998072</v>
      </c>
      <c r="Q355" s="1">
        <f t="shared" si="1174"/>
        <v>0.464042799848371</v>
      </c>
      <c r="R355" s="1">
        <f t="shared" si="1174"/>
        <v>1.137485672617</v>
      </c>
      <c r="S355" s="1">
        <f t="shared" si="1174"/>
        <v>0.481199854159491</v>
      </c>
      <c r="T355" s="1">
        <f t="shared" si="1174"/>
        <v>3.34048530801572</v>
      </c>
      <c r="U355" s="1">
        <f t="shared" si="1174"/>
        <v>1</v>
      </c>
      <c r="V355" s="1">
        <f t="shared" si="1174"/>
        <v>1.37485409884463</v>
      </c>
      <c r="W355" s="1">
        <f t="shared" si="1174"/>
        <v>1.21151641941077</v>
      </c>
      <c r="X355" s="1">
        <f t="shared" si="1174"/>
        <v>2.09988538093598</v>
      </c>
      <c r="Y355" s="1">
        <f t="shared" si="1107"/>
        <v>6.67815229419571</v>
      </c>
      <c r="Z355" s="1">
        <f t="shared" si="1108"/>
        <v>13.107012406691</v>
      </c>
      <c r="AA355" s="1">
        <f t="shared" si="1085"/>
        <v>1663881.11827561</v>
      </c>
      <c r="AB355" s="1">
        <f t="shared" si="1086"/>
        <v>58278.1870328723</v>
      </c>
      <c r="AC355" s="1">
        <f t="shared" si="1087"/>
        <v>38852.1246885815</v>
      </c>
      <c r="AD355" s="1">
        <f>AC355/(AC355+[1]战斗公式!$M$27)</f>
        <v>0.618151333484513</v>
      </c>
      <c r="AE355" s="1">
        <f t="shared" si="1088"/>
        <v>4357435.97970146</v>
      </c>
      <c r="AF355" s="1">
        <f t="shared" si="1089"/>
        <v>11.1961488413655</v>
      </c>
      <c r="AG355" s="1">
        <f t="shared" si="1090"/>
        <v>5.70454843187244</v>
      </c>
      <c r="AH355" s="1">
        <f t="shared" si="1091"/>
        <v>4.78602119224889</v>
      </c>
      <c r="AI355" s="1">
        <f t="shared" si="1092"/>
        <v>1.53611718855616</v>
      </c>
      <c r="AJ355" s="1">
        <f t="shared" si="1093"/>
        <v>1.00000002628748</v>
      </c>
      <c r="AK355" s="1">
        <f t="shared" si="1094"/>
        <v>1.00074931199723</v>
      </c>
      <c r="AL355" s="1">
        <f t="shared" si="1095"/>
        <v>0.924215162593976</v>
      </c>
      <c r="AM355" s="27">
        <f t="shared" si="1096"/>
        <v>1395969</v>
      </c>
      <c r="AN355" s="27">
        <f t="shared" si="1097"/>
        <v>89522</v>
      </c>
      <c r="AO355" s="27">
        <f t="shared" si="1098"/>
        <v>38852</v>
      </c>
      <c r="AP355" s="1">
        <f t="shared" si="1099"/>
        <v>711793</v>
      </c>
      <c r="AQ355" s="1">
        <f t="shared" si="1100"/>
        <v>82738</v>
      </c>
      <c r="AR355"/>
      <c r="AS355" s="1">
        <f t="shared" ref="AS355:AY355" si="1175">ROUNDUP(AS$10*$AP355,0)</f>
        <v>711793</v>
      </c>
      <c r="AT355" s="1">
        <f t="shared" si="1175"/>
        <v>2135379</v>
      </c>
      <c r="AU355" s="1">
        <f t="shared" si="1175"/>
        <v>1281228</v>
      </c>
      <c r="AV355" s="1">
        <f t="shared" si="1175"/>
        <v>355897</v>
      </c>
      <c r="AW355" s="1">
        <f t="shared" si="1175"/>
        <v>106769</v>
      </c>
      <c r="AX355" s="1">
        <f t="shared" si="1175"/>
        <v>2847172</v>
      </c>
      <c r="AY355" s="1">
        <f t="shared" si="1175"/>
        <v>6406137</v>
      </c>
      <c r="AZ355" s="1">
        <f t="shared" si="1102"/>
        <v>83758142</v>
      </c>
      <c r="BA355" s="1">
        <f t="shared" si="1103"/>
        <v>41879071</v>
      </c>
      <c r="BC355" s="1">
        <f t="shared" si="1104"/>
        <v>344</v>
      </c>
    </row>
    <row r="356" s="1" customFormat="1" spans="2:55">
      <c r="B356" s="4">
        <v>345</v>
      </c>
      <c r="C356" s="1">
        <f t="shared" ref="C356:I356" si="1176">C$5+(C$6-C$5)*(POWER(C$7,$B356-1)-1)/(POWER(C$7,$B$3-1)-1)</f>
        <v>27257.1060746999</v>
      </c>
      <c r="D356" s="1">
        <f t="shared" si="1176"/>
        <v>8177.13182240998</v>
      </c>
      <c r="E356" s="1">
        <f t="shared" si="1176"/>
        <v>5451.42121493999</v>
      </c>
      <c r="F356" s="1">
        <f t="shared" si="1176"/>
        <v>100057.731160291</v>
      </c>
      <c r="G356" s="1">
        <f t="shared" si="1176"/>
        <v>30017.3193480873</v>
      </c>
      <c r="H356" s="1">
        <f t="shared" si="1176"/>
        <v>20011.5462320582</v>
      </c>
      <c r="I356" s="1">
        <f t="shared" si="1176"/>
        <v>0</v>
      </c>
      <c r="J356" s="1">
        <f>[1]标准模型!$I$65/1*$B356/$B$3</f>
        <v>2.484</v>
      </c>
      <c r="K356" s="1">
        <f>J356*[1]标准模型!$J$63</f>
        <v>2.484</v>
      </c>
      <c r="L356" s="1">
        <f t="shared" si="1081"/>
        <v>127314.837234991</v>
      </c>
      <c r="M356" s="1">
        <f t="shared" si="1082"/>
        <v>58506.4466173637</v>
      </c>
      <c r="N356" s="1">
        <f t="shared" si="1083"/>
        <v>39004.2977449091</v>
      </c>
      <c r="O356" s="1">
        <f t="shared" ref="O356:X356" si="1177">O$5+(O$6-O$5)*(POWER(O$7,$B356-1)-1)/(POWER(O$7,$B$3-1)-1)</f>
        <v>0.844716091356129</v>
      </c>
      <c r="P356" s="1">
        <f t="shared" si="1177"/>
        <v>0.242545417666099</v>
      </c>
      <c r="Q356" s="1">
        <f t="shared" si="1177"/>
        <v>0.464593850245871</v>
      </c>
      <c r="R356" s="1">
        <f t="shared" si="1177"/>
        <v>1.13788643654245</v>
      </c>
      <c r="S356" s="1">
        <f t="shared" si="1177"/>
        <v>0.482602527898581</v>
      </c>
      <c r="T356" s="1">
        <f t="shared" si="1177"/>
        <v>3.3443927562889</v>
      </c>
      <c r="U356" s="1">
        <f t="shared" si="1177"/>
        <v>1</v>
      </c>
      <c r="V356" s="1">
        <f t="shared" si="1177"/>
        <v>1.37594677997472</v>
      </c>
      <c r="W356" s="1">
        <f t="shared" si="1177"/>
        <v>1.21213297929608</v>
      </c>
      <c r="X356" s="1">
        <f t="shared" si="1177"/>
        <v>2.10309149233961</v>
      </c>
      <c r="Y356" s="1">
        <f t="shared" si="1107"/>
        <v>6.72215219389917</v>
      </c>
      <c r="Z356" s="1">
        <f t="shared" si="1108"/>
        <v>13.2016192802807</v>
      </c>
      <c r="AA356" s="1">
        <f t="shared" si="1085"/>
        <v>1680762.00990726</v>
      </c>
      <c r="AB356" s="1">
        <f t="shared" si="1086"/>
        <v>58506.4466173637</v>
      </c>
      <c r="AC356" s="1">
        <f t="shared" si="1087"/>
        <v>39004.2977449091</v>
      </c>
      <c r="AD356" s="1">
        <f>AC356/(AC356+[1]战斗公式!$M$27)</f>
        <v>0.619073605150384</v>
      </c>
      <c r="AE356" s="1">
        <f t="shared" si="1088"/>
        <v>4412301.25460537</v>
      </c>
      <c r="AF356" s="1">
        <f t="shared" si="1089"/>
        <v>11.2189727631225</v>
      </c>
      <c r="AG356" s="1">
        <f t="shared" si="1090"/>
        <v>5.71260545935963</v>
      </c>
      <c r="AH356" s="1">
        <f t="shared" si="1091"/>
        <v>4.78834368753808</v>
      </c>
      <c r="AI356" s="1">
        <f t="shared" si="1092"/>
        <v>1.54029450362104</v>
      </c>
      <c r="AJ356" s="1">
        <f t="shared" si="1093"/>
        <v>1.00000002497267</v>
      </c>
      <c r="AK356" s="1">
        <f t="shared" si="1094"/>
        <v>1.0007336559499</v>
      </c>
      <c r="AL356" s="1">
        <f t="shared" si="1095"/>
        <v>0.924421889569554</v>
      </c>
      <c r="AM356" s="27">
        <f t="shared" si="1096"/>
        <v>1408826</v>
      </c>
      <c r="AN356" s="27">
        <f t="shared" si="1097"/>
        <v>90117</v>
      </c>
      <c r="AO356" s="27">
        <f t="shared" si="1098"/>
        <v>39004</v>
      </c>
      <c r="AP356" s="1">
        <f t="shared" si="1099"/>
        <v>717888</v>
      </c>
      <c r="AQ356" s="1">
        <f t="shared" si="1100"/>
        <v>83306</v>
      </c>
      <c r="AR356"/>
      <c r="AS356" s="1">
        <f t="shared" ref="AS356:AY356" si="1178">ROUNDUP(AS$10*$AP356,0)</f>
        <v>717888</v>
      </c>
      <c r="AT356" s="1">
        <f t="shared" si="1178"/>
        <v>2153664</v>
      </c>
      <c r="AU356" s="1">
        <f t="shared" si="1178"/>
        <v>1292199</v>
      </c>
      <c r="AV356" s="1">
        <f t="shared" si="1178"/>
        <v>358944</v>
      </c>
      <c r="AW356" s="1">
        <f t="shared" si="1178"/>
        <v>107684</v>
      </c>
      <c r="AX356" s="1">
        <f t="shared" si="1178"/>
        <v>2871552</v>
      </c>
      <c r="AY356" s="1">
        <f t="shared" si="1178"/>
        <v>6460992</v>
      </c>
      <c r="AZ356" s="1">
        <f t="shared" si="1102"/>
        <v>84529562</v>
      </c>
      <c r="BA356" s="1">
        <f t="shared" si="1103"/>
        <v>42264781</v>
      </c>
      <c r="BC356" s="1">
        <f t="shared" si="1104"/>
        <v>345</v>
      </c>
    </row>
    <row r="357" s="1" customFormat="1" spans="2:55">
      <c r="B357" s="4">
        <v>346</v>
      </c>
      <c r="C357" s="1">
        <f t="shared" ref="C357:I357" si="1179">C$5+(C$6-C$5)*(POWER(C$7,$B357-1)-1)/(POWER(C$7,$B$3-1)-1)</f>
        <v>27336.098569235</v>
      </c>
      <c r="D357" s="1">
        <f t="shared" si="1179"/>
        <v>8200.8295707705</v>
      </c>
      <c r="E357" s="1">
        <f t="shared" si="1179"/>
        <v>5467.219713847</v>
      </c>
      <c r="F357" s="1">
        <f t="shared" si="1179"/>
        <v>100347.703608584</v>
      </c>
      <c r="G357" s="1">
        <f t="shared" si="1179"/>
        <v>30104.3110825753</v>
      </c>
      <c r="H357" s="1">
        <f t="shared" si="1179"/>
        <v>20069.5407217168</v>
      </c>
      <c r="I357" s="1">
        <f t="shared" si="1179"/>
        <v>0</v>
      </c>
      <c r="J357" s="1">
        <f>[1]标准模型!$I$65/1*$B357/$B$3</f>
        <v>2.4912</v>
      </c>
      <c r="K357" s="1">
        <f>J357*[1]标准模型!$J$63</f>
        <v>2.4912</v>
      </c>
      <c r="L357" s="1">
        <f t="shared" si="1081"/>
        <v>127683.802177819</v>
      </c>
      <c r="M357" s="1">
        <f t="shared" si="1082"/>
        <v>58735.0472800493</v>
      </c>
      <c r="N357" s="1">
        <f t="shared" si="1083"/>
        <v>39156.6981866994</v>
      </c>
      <c r="O357" s="1">
        <f t="shared" ref="O357:X357" si="1180">O$5+(O$6-O$5)*(POWER(O$7,$B357-1)-1)/(POWER(O$7,$B$3-1)-1)</f>
        <v>0.845718000167867</v>
      </c>
      <c r="P357" s="1">
        <f t="shared" si="1180"/>
        <v>0.243448492918128</v>
      </c>
      <c r="Q357" s="1">
        <f t="shared" si="1180"/>
        <v>0.465144900092327</v>
      </c>
      <c r="R357" s="1">
        <f t="shared" si="1180"/>
        <v>1.13828720006715</v>
      </c>
      <c r="S357" s="1">
        <f t="shared" si="1180"/>
        <v>0.484005200235014</v>
      </c>
      <c r="T357" s="1">
        <f t="shared" si="1180"/>
        <v>3.34830020065468</v>
      </c>
      <c r="U357" s="1">
        <f t="shared" si="1180"/>
        <v>1</v>
      </c>
      <c r="V357" s="1">
        <f t="shared" si="1180"/>
        <v>1.37703946001214</v>
      </c>
      <c r="W357" s="1">
        <f t="shared" si="1180"/>
        <v>1.21274953856484</v>
      </c>
      <c r="X357" s="1">
        <f t="shared" si="1180"/>
        <v>2.10629760053718</v>
      </c>
      <c r="Y357" s="1">
        <f t="shared" si="1107"/>
        <v>6.76640622326003</v>
      </c>
      <c r="Z357" s="1">
        <f t="shared" si="1108"/>
        <v>13.2968328915307</v>
      </c>
      <c r="AA357" s="1">
        <f t="shared" si="1085"/>
        <v>1697790.18051372</v>
      </c>
      <c r="AB357" s="1">
        <f t="shared" si="1086"/>
        <v>58735.0472800493</v>
      </c>
      <c r="AC357" s="1">
        <f t="shared" si="1087"/>
        <v>39156.6981866994</v>
      </c>
      <c r="AD357" s="1">
        <f>AC357/(AC357+[1]战斗公式!$M$27)</f>
        <v>0.619992800620247</v>
      </c>
      <c r="AE357" s="1">
        <f t="shared" si="1088"/>
        <v>4467784.25062696</v>
      </c>
      <c r="AF357" s="1">
        <f t="shared" si="1089"/>
        <v>11.2418245479895</v>
      </c>
      <c r="AG357" s="1">
        <f t="shared" si="1090"/>
        <v>5.72066688382342</v>
      </c>
      <c r="AH357" s="1">
        <f t="shared" si="1091"/>
        <v>4.7906487641126</v>
      </c>
      <c r="AI357" s="1">
        <f t="shared" si="1092"/>
        <v>1.54448017331606</v>
      </c>
      <c r="AJ357" s="1">
        <f t="shared" si="1093"/>
        <v>1.00000002372359</v>
      </c>
      <c r="AK357" s="1">
        <f t="shared" si="1094"/>
        <v>1.00071831302351</v>
      </c>
      <c r="AL357" s="1">
        <f t="shared" si="1095"/>
        <v>0.924627996364205</v>
      </c>
      <c r="AM357" s="27">
        <f t="shared" si="1096"/>
        <v>1421778</v>
      </c>
      <c r="AN357" s="27">
        <f t="shared" si="1097"/>
        <v>90715</v>
      </c>
      <c r="AO357" s="27">
        <f t="shared" si="1098"/>
        <v>39157</v>
      </c>
      <c r="AP357" s="1">
        <f t="shared" si="1099"/>
        <v>724025</v>
      </c>
      <c r="AQ357" s="1">
        <f t="shared" si="1100"/>
        <v>83878</v>
      </c>
      <c r="AR357"/>
      <c r="AS357" s="1">
        <f t="shared" ref="AS357:AY357" si="1181">ROUNDUP(AS$10*$AP357,0)</f>
        <v>724025</v>
      </c>
      <c r="AT357" s="1">
        <f t="shared" si="1181"/>
        <v>2172075</v>
      </c>
      <c r="AU357" s="1">
        <f t="shared" si="1181"/>
        <v>1303245</v>
      </c>
      <c r="AV357" s="1">
        <f t="shared" si="1181"/>
        <v>362013</v>
      </c>
      <c r="AW357" s="1">
        <f t="shared" si="1181"/>
        <v>108604</v>
      </c>
      <c r="AX357" s="1">
        <f t="shared" si="1181"/>
        <v>2896100</v>
      </c>
      <c r="AY357" s="1">
        <f t="shared" si="1181"/>
        <v>6516225</v>
      </c>
      <c r="AZ357" s="1">
        <f t="shared" si="1102"/>
        <v>85306682</v>
      </c>
      <c r="BA357" s="1">
        <f t="shared" si="1103"/>
        <v>42653341</v>
      </c>
      <c r="BC357" s="1">
        <f t="shared" si="1104"/>
        <v>346</v>
      </c>
    </row>
    <row r="358" s="1" customFormat="1" spans="2:55">
      <c r="B358" s="4">
        <v>347</v>
      </c>
      <c r="C358" s="1">
        <f t="shared" ref="C358:I358" si="1182">C$5+(C$6-C$5)*(POWER(C$7,$B358-1)-1)/(POWER(C$7,$B$3-1)-1)</f>
        <v>27415.0909847697</v>
      </c>
      <c r="D358" s="1">
        <f t="shared" si="1182"/>
        <v>8224.52729543091</v>
      </c>
      <c r="E358" s="1">
        <f t="shared" si="1182"/>
        <v>5483.01819695394</v>
      </c>
      <c r="F358" s="1">
        <f t="shared" si="1182"/>
        <v>100637.675766876</v>
      </c>
      <c r="G358" s="1">
        <f t="shared" si="1182"/>
        <v>30191.3027300628</v>
      </c>
      <c r="H358" s="1">
        <f t="shared" si="1182"/>
        <v>20127.5351533752</v>
      </c>
      <c r="I358" s="1">
        <f t="shared" si="1182"/>
        <v>0</v>
      </c>
      <c r="J358" s="1">
        <f>[1]标准模型!$I$65/1*$B358/$B$3</f>
        <v>2.4984</v>
      </c>
      <c r="K358" s="1">
        <f>J358*[1]标准模型!$J$63</f>
        <v>2.4984</v>
      </c>
      <c r="L358" s="1">
        <f t="shared" si="1081"/>
        <v>128052.766751646</v>
      </c>
      <c r="M358" s="1">
        <f t="shared" si="1082"/>
        <v>58963.9890203983</v>
      </c>
      <c r="N358" s="1">
        <f t="shared" si="1083"/>
        <v>39309.3260135989</v>
      </c>
      <c r="O358" s="1">
        <f t="shared" ref="O358:X358" si="1183">O$5+(O$6-O$5)*(POWER(O$7,$B358-1)-1)/(POWER(O$7,$B$3-1)-1)</f>
        <v>0.846719907977597</v>
      </c>
      <c r="P358" s="1">
        <f t="shared" si="1183"/>
        <v>0.244352922783035</v>
      </c>
      <c r="Q358" s="1">
        <f t="shared" si="1183"/>
        <v>0.465695949387678</v>
      </c>
      <c r="R358" s="1">
        <f t="shared" si="1183"/>
        <v>1.13868796319104</v>
      </c>
      <c r="S358" s="1">
        <f t="shared" si="1183"/>
        <v>0.485407871168636</v>
      </c>
      <c r="T358" s="1">
        <f t="shared" si="1183"/>
        <v>3.35220764111263</v>
      </c>
      <c r="U358" s="1">
        <f t="shared" si="1183"/>
        <v>1</v>
      </c>
      <c r="V358" s="1">
        <f t="shared" si="1183"/>
        <v>1.37813213895676</v>
      </c>
      <c r="W358" s="1">
        <f t="shared" si="1183"/>
        <v>1.21336609721698</v>
      </c>
      <c r="X358" s="1">
        <f t="shared" si="1183"/>
        <v>2.10950370552831</v>
      </c>
      <c r="Y358" s="1">
        <f t="shared" si="1107"/>
        <v>6.8109156178202</v>
      </c>
      <c r="Z358" s="1">
        <f t="shared" si="1108"/>
        <v>13.3926565851967</v>
      </c>
      <c r="AA358" s="1">
        <f t="shared" si="1085"/>
        <v>1714966.72988908</v>
      </c>
      <c r="AB358" s="1">
        <f t="shared" si="1086"/>
        <v>58963.9890203983</v>
      </c>
      <c r="AC358" s="1">
        <f t="shared" si="1087"/>
        <v>39309.3260135989</v>
      </c>
      <c r="AD358" s="1">
        <f>AC358/(AC358+[1]战斗公式!$M$27)</f>
        <v>0.620908932203057</v>
      </c>
      <c r="AE358" s="1">
        <f t="shared" si="1088"/>
        <v>4523891.15854264</v>
      </c>
      <c r="AF358" s="1">
        <f t="shared" si="1089"/>
        <v>11.2647041774234</v>
      </c>
      <c r="AG358" s="1">
        <f t="shared" si="1090"/>
        <v>5.72873269198446</v>
      </c>
      <c r="AH358" s="1">
        <f t="shared" si="1091"/>
        <v>4.7929365526128</v>
      </c>
      <c r="AI358" s="1">
        <f t="shared" si="1092"/>
        <v>1.54867421435046</v>
      </c>
      <c r="AJ358" s="1">
        <f t="shared" si="1093"/>
        <v>1.00000002253697</v>
      </c>
      <c r="AK358" s="1">
        <f t="shared" si="1094"/>
        <v>1.00070327695566</v>
      </c>
      <c r="AL358" s="1">
        <f t="shared" si="1095"/>
        <v>0.924833484838472</v>
      </c>
      <c r="AM358" s="27">
        <f t="shared" si="1096"/>
        <v>1434825</v>
      </c>
      <c r="AN358" s="27">
        <f t="shared" si="1097"/>
        <v>91316</v>
      </c>
      <c r="AO358" s="27">
        <f t="shared" si="1098"/>
        <v>39309</v>
      </c>
      <c r="AP358" s="1">
        <f t="shared" si="1099"/>
        <v>730202</v>
      </c>
      <c r="AQ358" s="1">
        <f t="shared" si="1100"/>
        <v>84452</v>
      </c>
      <c r="AR358"/>
      <c r="AS358" s="1">
        <f t="shared" ref="AS358:AY358" si="1184">ROUNDUP(AS$10*$AP358,0)</f>
        <v>730202</v>
      </c>
      <c r="AT358" s="1">
        <f t="shared" si="1184"/>
        <v>2190606</v>
      </c>
      <c r="AU358" s="1">
        <f t="shared" si="1184"/>
        <v>1314364</v>
      </c>
      <c r="AV358" s="1">
        <f t="shared" si="1184"/>
        <v>365101</v>
      </c>
      <c r="AW358" s="1">
        <f t="shared" si="1184"/>
        <v>109531</v>
      </c>
      <c r="AX358" s="1">
        <f t="shared" si="1184"/>
        <v>2920808</v>
      </c>
      <c r="AY358" s="1">
        <f t="shared" si="1184"/>
        <v>6571818</v>
      </c>
      <c r="AZ358" s="1">
        <f t="shared" si="1102"/>
        <v>86089502</v>
      </c>
      <c r="BA358" s="1">
        <f t="shared" si="1103"/>
        <v>43044751</v>
      </c>
      <c r="BC358" s="1">
        <f t="shared" si="1104"/>
        <v>347</v>
      </c>
    </row>
    <row r="359" s="1" customFormat="1" spans="2:55">
      <c r="B359" s="4">
        <v>348</v>
      </c>
      <c r="C359" s="1">
        <f t="shared" ref="C359:I359" si="1185">C$5+(C$6-C$5)*(POWER(C$7,$B359-1)-1)/(POWER(C$7,$B$3-1)-1)</f>
        <v>27494.0833213215</v>
      </c>
      <c r="D359" s="1">
        <f t="shared" si="1185"/>
        <v>8248.22499639647</v>
      </c>
      <c r="E359" s="1">
        <f t="shared" si="1185"/>
        <v>5498.81666426431</v>
      </c>
      <c r="F359" s="1">
        <f t="shared" si="1185"/>
        <v>100927.647635231</v>
      </c>
      <c r="G359" s="1">
        <f t="shared" si="1185"/>
        <v>30278.2942905693</v>
      </c>
      <c r="H359" s="1">
        <f t="shared" si="1185"/>
        <v>20185.5295270462</v>
      </c>
      <c r="I359" s="1">
        <f t="shared" si="1185"/>
        <v>0</v>
      </c>
      <c r="J359" s="1">
        <f>[1]标准模型!$I$65/1*$B359/$B$3</f>
        <v>2.5056</v>
      </c>
      <c r="K359" s="1">
        <f>J359*[1]标准模型!$J$63</f>
        <v>2.5056</v>
      </c>
      <c r="L359" s="1">
        <f t="shared" si="1081"/>
        <v>128421.730956553</v>
      </c>
      <c r="M359" s="1">
        <f t="shared" si="1082"/>
        <v>59193.2718379368</v>
      </c>
      <c r="N359" s="1">
        <f t="shared" si="1083"/>
        <v>39462.1812252912</v>
      </c>
      <c r="O359" s="1">
        <f t="shared" ref="O359:X359" si="1186">O$5+(O$6-O$5)*(POWER(O$7,$B359-1)-1)/(POWER(O$7,$B$3-1)-1)</f>
        <v>0.84772181478554</v>
      </c>
      <c r="P359" s="1">
        <f t="shared" si="1186"/>
        <v>0.245258709292739</v>
      </c>
      <c r="Q359" s="1">
        <f t="shared" si="1186"/>
        <v>0.466246998132047</v>
      </c>
      <c r="R359" s="1">
        <f t="shared" si="1186"/>
        <v>1.13908872591422</v>
      </c>
      <c r="S359" s="1">
        <f t="shared" si="1186"/>
        <v>0.486810540699756</v>
      </c>
      <c r="T359" s="1">
        <f t="shared" si="1186"/>
        <v>3.35611507766361</v>
      </c>
      <c r="U359" s="1">
        <f t="shared" si="1186"/>
        <v>1</v>
      </c>
      <c r="V359" s="1">
        <f t="shared" si="1186"/>
        <v>1.37922481680885</v>
      </c>
      <c r="W359" s="1">
        <f t="shared" si="1186"/>
        <v>1.21398265525264</v>
      </c>
      <c r="X359" s="1">
        <f t="shared" si="1186"/>
        <v>2.11270980731373</v>
      </c>
      <c r="Y359" s="1">
        <f t="shared" si="1107"/>
        <v>6.85568161795137</v>
      </c>
      <c r="Z359" s="1">
        <f t="shared" si="1108"/>
        <v>13.4890937213003</v>
      </c>
      <c r="AA359" s="1">
        <f t="shared" si="1085"/>
        <v>1732292.76472455</v>
      </c>
      <c r="AB359" s="1">
        <f t="shared" si="1086"/>
        <v>59193.2718379368</v>
      </c>
      <c r="AC359" s="1">
        <f t="shared" si="1087"/>
        <v>39462.1812252912</v>
      </c>
      <c r="AD359" s="1">
        <f>AC359/(AC359+[1]战斗公式!$M$27)</f>
        <v>0.621822012155557</v>
      </c>
      <c r="AE359" s="1">
        <f t="shared" si="1088"/>
        <v>4580628.22375875</v>
      </c>
      <c r="AF359" s="1">
        <f t="shared" si="1089"/>
        <v>11.2876116329249</v>
      </c>
      <c r="AG359" s="1">
        <f t="shared" si="1090"/>
        <v>5.73680287061996</v>
      </c>
      <c r="AH359" s="1">
        <f t="shared" si="1091"/>
        <v>4.79520718269926</v>
      </c>
      <c r="AI359" s="1">
        <f t="shared" si="1092"/>
        <v>1.55287664346694</v>
      </c>
      <c r="AJ359" s="1">
        <f t="shared" si="1093"/>
        <v>1.00000002140969</v>
      </c>
      <c r="AK359" s="1">
        <f t="shared" si="1094"/>
        <v>1.00068854160915</v>
      </c>
      <c r="AL359" s="1">
        <f t="shared" si="1095"/>
        <v>0.925038356847317</v>
      </c>
      <c r="AM359" s="27">
        <f t="shared" si="1096"/>
        <v>1447967</v>
      </c>
      <c r="AN359" s="27">
        <f t="shared" si="1097"/>
        <v>91920</v>
      </c>
      <c r="AO359" s="27">
        <f t="shared" si="1098"/>
        <v>39462</v>
      </c>
      <c r="AP359" s="1">
        <f t="shared" si="1099"/>
        <v>736420</v>
      </c>
      <c r="AQ359" s="1">
        <f t="shared" si="1100"/>
        <v>85030</v>
      </c>
      <c r="AR359"/>
      <c r="AS359" s="1">
        <f t="shared" ref="AS359:AY359" si="1187">ROUNDUP(AS$10*$AP359,0)</f>
        <v>736420</v>
      </c>
      <c r="AT359" s="1">
        <f t="shared" si="1187"/>
        <v>2209260</v>
      </c>
      <c r="AU359" s="1">
        <f t="shared" si="1187"/>
        <v>1325556</v>
      </c>
      <c r="AV359" s="1">
        <f t="shared" si="1187"/>
        <v>368210</v>
      </c>
      <c r="AW359" s="1">
        <f t="shared" si="1187"/>
        <v>110463</v>
      </c>
      <c r="AX359" s="1">
        <f t="shared" si="1187"/>
        <v>2945680</v>
      </c>
      <c r="AY359" s="1">
        <f t="shared" si="1187"/>
        <v>6627780</v>
      </c>
      <c r="AZ359" s="1">
        <f t="shared" si="1102"/>
        <v>86878022</v>
      </c>
      <c r="BA359" s="1">
        <f t="shared" si="1103"/>
        <v>43439011</v>
      </c>
      <c r="BC359" s="1">
        <f t="shared" si="1104"/>
        <v>348</v>
      </c>
    </row>
    <row r="360" s="1" customFormat="1" spans="2:55">
      <c r="B360" s="4">
        <v>349</v>
      </c>
      <c r="C360" s="1">
        <f t="shared" ref="C360:I360" si="1188">C$5+(C$6-C$5)*(POWER(C$7,$B360-1)-1)/(POWER(C$7,$B$3-1)-1)</f>
        <v>27573.075578873</v>
      </c>
      <c r="D360" s="1">
        <f t="shared" si="1188"/>
        <v>8271.92267366191</v>
      </c>
      <c r="E360" s="1">
        <f t="shared" si="1188"/>
        <v>5514.6151157746</v>
      </c>
      <c r="F360" s="1">
        <f t="shared" si="1188"/>
        <v>101217.619213585</v>
      </c>
      <c r="G360" s="1">
        <f t="shared" si="1188"/>
        <v>30365.2857640754</v>
      </c>
      <c r="H360" s="1">
        <f t="shared" si="1188"/>
        <v>20243.5238427169</v>
      </c>
      <c r="I360" s="1">
        <f t="shared" si="1188"/>
        <v>0</v>
      </c>
      <c r="J360" s="1">
        <f>[1]标准模型!$I$65/1*$B360/$B$3</f>
        <v>2.5128</v>
      </c>
      <c r="K360" s="1">
        <f>J360*[1]标准模型!$J$63</f>
        <v>2.5128</v>
      </c>
      <c r="L360" s="1">
        <f t="shared" si="1081"/>
        <v>128790.694792458</v>
      </c>
      <c r="M360" s="1">
        <f t="shared" si="1082"/>
        <v>59422.895732115</v>
      </c>
      <c r="N360" s="1">
        <f t="shared" si="1083"/>
        <v>39615.2638214099</v>
      </c>
      <c r="O360" s="1">
        <f t="shared" ref="O360:X360" si="1189">O$5+(O$6-O$5)*(POWER(O$7,$B360-1)-1)/(POWER(O$7,$B$3-1)-1)</f>
        <v>0.848723720591474</v>
      </c>
      <c r="P360" s="1">
        <f t="shared" si="1189"/>
        <v>0.246165854482208</v>
      </c>
      <c r="Q360" s="1">
        <f t="shared" si="1189"/>
        <v>0.466798046325311</v>
      </c>
      <c r="R360" s="1">
        <f t="shared" si="1189"/>
        <v>1.13948948823659</v>
      </c>
      <c r="S360" s="1">
        <f t="shared" si="1189"/>
        <v>0.488213208828064</v>
      </c>
      <c r="T360" s="1">
        <f t="shared" si="1189"/>
        <v>3.36002251030675</v>
      </c>
      <c r="U360" s="1">
        <f t="shared" si="1189"/>
        <v>1</v>
      </c>
      <c r="V360" s="1">
        <f t="shared" si="1189"/>
        <v>1.38031749356814</v>
      </c>
      <c r="W360" s="1">
        <f t="shared" si="1189"/>
        <v>1.21459921267168</v>
      </c>
      <c r="X360" s="1">
        <f t="shared" si="1189"/>
        <v>2.11591590589272</v>
      </c>
      <c r="Y360" s="1">
        <f t="shared" si="1107"/>
        <v>6.9007054688397</v>
      </c>
      <c r="Z360" s="1">
        <f t="shared" si="1108"/>
        <v>13.5861476751167</v>
      </c>
      <c r="AA360" s="1">
        <f t="shared" si="1085"/>
        <v>1749769.39863122</v>
      </c>
      <c r="AB360" s="1">
        <f t="shared" si="1086"/>
        <v>59422.895732115</v>
      </c>
      <c r="AC360" s="1">
        <f t="shared" si="1087"/>
        <v>39615.2638214099</v>
      </c>
      <c r="AD360" s="1">
        <f>AC360/(AC360+[1]战斗公式!$M$27)</f>
        <v>0.622732052681943</v>
      </c>
      <c r="AE360" s="1">
        <f t="shared" si="1088"/>
        <v>4638001.74668978</v>
      </c>
      <c r="AF360" s="1">
        <f t="shared" si="1089"/>
        <v>11.3105468960161</v>
      </c>
      <c r="AG360" s="1">
        <f t="shared" si="1090"/>
        <v>5.74487740655563</v>
      </c>
      <c r="AH360" s="1">
        <f t="shared" si="1091"/>
        <v>4.79746078306007</v>
      </c>
      <c r="AI360" s="1">
        <f t="shared" si="1092"/>
        <v>1.55708747744164</v>
      </c>
      <c r="AJ360" s="1">
        <f t="shared" si="1093"/>
        <v>1.00000002033876</v>
      </c>
      <c r="AK360" s="1">
        <f t="shared" si="1094"/>
        <v>1.00067410096958</v>
      </c>
      <c r="AL360" s="1">
        <f t="shared" si="1095"/>
        <v>0.925242614240134</v>
      </c>
      <c r="AM360" s="27">
        <f t="shared" si="1096"/>
        <v>1461206</v>
      </c>
      <c r="AN360" s="27">
        <f t="shared" si="1097"/>
        <v>92527</v>
      </c>
      <c r="AO360" s="27">
        <f t="shared" si="1098"/>
        <v>39615</v>
      </c>
      <c r="AP360" s="1">
        <f t="shared" si="1099"/>
        <v>742679</v>
      </c>
      <c r="AQ360" s="1">
        <f t="shared" si="1100"/>
        <v>85610</v>
      </c>
      <c r="AR360"/>
      <c r="AS360" s="1">
        <f t="shared" ref="AS360:AY360" si="1190">ROUNDUP(AS$10*$AP360,0)</f>
        <v>742679</v>
      </c>
      <c r="AT360" s="1">
        <f t="shared" si="1190"/>
        <v>2228037</v>
      </c>
      <c r="AU360" s="1">
        <f t="shared" si="1190"/>
        <v>1336823</v>
      </c>
      <c r="AV360" s="1">
        <f t="shared" si="1190"/>
        <v>371340</v>
      </c>
      <c r="AW360" s="1">
        <f t="shared" si="1190"/>
        <v>111402</v>
      </c>
      <c r="AX360" s="1">
        <f t="shared" si="1190"/>
        <v>2970716</v>
      </c>
      <c r="AY360" s="1">
        <f t="shared" si="1190"/>
        <v>6684111</v>
      </c>
      <c r="AZ360" s="1">
        <f t="shared" si="1102"/>
        <v>87672362</v>
      </c>
      <c r="BA360" s="1">
        <f t="shared" si="1103"/>
        <v>43836181</v>
      </c>
      <c r="BC360" s="1">
        <f t="shared" si="1104"/>
        <v>349</v>
      </c>
    </row>
    <row r="361" s="1" customFormat="1" spans="2:55">
      <c r="B361" s="4">
        <v>350</v>
      </c>
      <c r="C361" s="1">
        <f t="shared" ref="C361:I361" si="1191">C$5+(C$6-C$5)*(POWER(C$7,$B361-1)-1)/(POWER(C$7,$B$3-1)-1)</f>
        <v>27652.0677574417</v>
      </c>
      <c r="D361" s="1">
        <f t="shared" si="1191"/>
        <v>8295.6203272325</v>
      </c>
      <c r="E361" s="1">
        <f t="shared" si="1191"/>
        <v>5530.41355148833</v>
      </c>
      <c r="F361" s="1">
        <f t="shared" si="1191"/>
        <v>101507.590502001</v>
      </c>
      <c r="G361" s="1">
        <f t="shared" si="1191"/>
        <v>30452.2771506003</v>
      </c>
      <c r="H361" s="1">
        <f t="shared" si="1191"/>
        <v>20301.5181004002</v>
      </c>
      <c r="I361" s="1">
        <f t="shared" si="1191"/>
        <v>0</v>
      </c>
      <c r="J361" s="1">
        <f>[1]标准模型!$I$65/1*$B361/$B$3</f>
        <v>2.52</v>
      </c>
      <c r="K361" s="1">
        <f>J361*[1]标准模型!$J$63</f>
        <v>2.52</v>
      </c>
      <c r="L361" s="1">
        <f t="shared" si="1081"/>
        <v>129159.658259443</v>
      </c>
      <c r="M361" s="1">
        <f t="shared" si="1082"/>
        <v>59652.8607024587</v>
      </c>
      <c r="N361" s="1">
        <f t="shared" si="1083"/>
        <v>39768.5738016391</v>
      </c>
      <c r="O361" s="1">
        <f t="shared" ref="O361:X361" si="1192">O$5+(O$6-O$5)*(POWER(O$7,$B361-1)-1)/(POWER(O$7,$B$3-1)-1)</f>
        <v>0.849725625395622</v>
      </c>
      <c r="P361" s="1">
        <f t="shared" si="1192"/>
        <v>0.24707436038946</v>
      </c>
      <c r="Q361" s="1">
        <f t="shared" si="1192"/>
        <v>0.467349093967592</v>
      </c>
      <c r="R361" s="1">
        <f t="shared" si="1192"/>
        <v>1.13989025015825</v>
      </c>
      <c r="S361" s="1">
        <f t="shared" si="1192"/>
        <v>0.489615875553871</v>
      </c>
      <c r="T361" s="1">
        <f t="shared" si="1192"/>
        <v>3.36392993904293</v>
      </c>
      <c r="U361" s="1">
        <f t="shared" si="1192"/>
        <v>1</v>
      </c>
      <c r="V361" s="1">
        <f t="shared" si="1192"/>
        <v>1.38141016923488</v>
      </c>
      <c r="W361" s="1">
        <f t="shared" si="1192"/>
        <v>1.21521576947423</v>
      </c>
      <c r="X361" s="1">
        <f t="shared" si="1192"/>
        <v>2.11912200126599</v>
      </c>
      <c r="Y361" s="1">
        <f t="shared" si="1107"/>
        <v>6.94598842053548</v>
      </c>
      <c r="Z361" s="1">
        <f t="shared" si="1108"/>
        <v>13.6838218373095</v>
      </c>
      <c r="AA361" s="1">
        <f t="shared" si="1085"/>
        <v>1767397.75218999</v>
      </c>
      <c r="AB361" s="1">
        <f t="shared" si="1086"/>
        <v>59652.8607024587</v>
      </c>
      <c r="AC361" s="1">
        <f t="shared" si="1087"/>
        <v>39768.5738016391</v>
      </c>
      <c r="AD361" s="1">
        <f>AC361/(AC361+[1]战斗公式!$M$27)</f>
        <v>0.623639065934652</v>
      </c>
      <c r="AE361" s="1">
        <f t="shared" si="1088"/>
        <v>4696018.0832241</v>
      </c>
      <c r="AF361" s="1">
        <f t="shared" si="1089"/>
        <v>11.3335099482664</v>
      </c>
      <c r="AG361" s="1">
        <f t="shared" si="1090"/>
        <v>5.75295628667441</v>
      </c>
      <c r="AH361" s="1">
        <f t="shared" si="1091"/>
        <v>4.79969748141817</v>
      </c>
      <c r="AI361" s="1">
        <f t="shared" si="1092"/>
        <v>1.5613067330843</v>
      </c>
      <c r="AJ361" s="1">
        <f t="shared" si="1093"/>
        <v>1.00000001932138</v>
      </c>
      <c r="AK361" s="1">
        <f t="shared" si="1094"/>
        <v>1.0006599491428</v>
      </c>
      <c r="AL361" s="1">
        <f t="shared" si="1095"/>
        <v>0.925446258860774</v>
      </c>
      <c r="AM361" s="27">
        <f t="shared" si="1096"/>
        <v>1474542</v>
      </c>
      <c r="AN361" s="27">
        <f t="shared" si="1097"/>
        <v>93136</v>
      </c>
      <c r="AO361" s="27">
        <f t="shared" si="1098"/>
        <v>39769</v>
      </c>
      <c r="AP361" s="1">
        <f t="shared" si="1099"/>
        <v>748980</v>
      </c>
      <c r="AQ361" s="1">
        <f t="shared" si="1100"/>
        <v>86192</v>
      </c>
      <c r="AR361"/>
      <c r="AS361" s="1">
        <f t="shared" ref="AS361:AY361" si="1193">ROUNDUP(AS$10*$AP361,0)</f>
        <v>748980</v>
      </c>
      <c r="AT361" s="1">
        <f t="shared" si="1193"/>
        <v>2246940</v>
      </c>
      <c r="AU361" s="1">
        <f t="shared" si="1193"/>
        <v>1348164</v>
      </c>
      <c r="AV361" s="1">
        <f t="shared" si="1193"/>
        <v>374490</v>
      </c>
      <c r="AW361" s="1">
        <f t="shared" si="1193"/>
        <v>112347</v>
      </c>
      <c r="AX361" s="1">
        <f t="shared" si="1193"/>
        <v>2995920</v>
      </c>
      <c r="AY361" s="1">
        <f t="shared" si="1193"/>
        <v>6740820</v>
      </c>
      <c r="AZ361" s="1">
        <f t="shared" si="1102"/>
        <v>88472522</v>
      </c>
      <c r="BA361" s="1">
        <f t="shared" si="1103"/>
        <v>44236261</v>
      </c>
      <c r="BC361" s="1">
        <f t="shared" si="1104"/>
        <v>350</v>
      </c>
    </row>
    <row r="362" s="1" customFormat="1" spans="2:55">
      <c r="B362" s="4">
        <v>351</v>
      </c>
      <c r="C362" s="1">
        <f t="shared" ref="C362:I362" si="1194">C$5+(C$6-C$5)*(POWER(C$7,$B362-1)-1)/(POWER(C$7,$B$3-1)-1)</f>
        <v>27731.0598570099</v>
      </c>
      <c r="D362" s="1">
        <f t="shared" si="1194"/>
        <v>8319.31795710298</v>
      </c>
      <c r="E362" s="1">
        <f t="shared" si="1194"/>
        <v>5546.21197140198</v>
      </c>
      <c r="F362" s="1">
        <f t="shared" si="1194"/>
        <v>101797.561500416</v>
      </c>
      <c r="G362" s="1">
        <f t="shared" si="1194"/>
        <v>30539.2684501249</v>
      </c>
      <c r="H362" s="1">
        <f t="shared" si="1194"/>
        <v>20359.5123000832</v>
      </c>
      <c r="I362" s="1">
        <f t="shared" si="1194"/>
        <v>0</v>
      </c>
      <c r="J362" s="1">
        <f>[1]标准模型!$I$65/1*$B362/$B$3</f>
        <v>2.5272</v>
      </c>
      <c r="K362" s="1">
        <f>J362*[1]标准模型!$J$63</f>
        <v>2.5272</v>
      </c>
      <c r="L362" s="1">
        <f t="shared" si="1081"/>
        <v>129528.621357426</v>
      </c>
      <c r="M362" s="1">
        <f t="shared" si="1082"/>
        <v>59883.1667484185</v>
      </c>
      <c r="N362" s="1">
        <f t="shared" si="1083"/>
        <v>39922.1111656123</v>
      </c>
      <c r="O362" s="1">
        <f t="shared" ref="O362:X362" si="1195">O$5+(O$6-O$5)*(POWER(O$7,$B362-1)-1)/(POWER(O$7,$B$3-1)-1)</f>
        <v>0.850727529197762</v>
      </c>
      <c r="P362" s="1">
        <f t="shared" si="1195"/>
        <v>0.247984229055574</v>
      </c>
      <c r="Q362" s="1">
        <f t="shared" si="1195"/>
        <v>0.467900141058769</v>
      </c>
      <c r="R362" s="1">
        <f t="shared" si="1195"/>
        <v>1.1402910116791</v>
      </c>
      <c r="S362" s="1">
        <f t="shared" si="1195"/>
        <v>0.491018540876866</v>
      </c>
      <c r="T362" s="1">
        <f t="shared" si="1195"/>
        <v>3.36783736387127</v>
      </c>
      <c r="U362" s="1">
        <f t="shared" si="1195"/>
        <v>1</v>
      </c>
      <c r="V362" s="1">
        <f t="shared" si="1195"/>
        <v>1.38250284380884</v>
      </c>
      <c r="W362" s="1">
        <f t="shared" si="1195"/>
        <v>1.21583232566016</v>
      </c>
      <c r="X362" s="1">
        <f t="shared" si="1195"/>
        <v>2.12232809343284</v>
      </c>
      <c r="Y362" s="1">
        <f t="shared" si="1107"/>
        <v>6.99153172793324</v>
      </c>
      <c r="Z362" s="1">
        <f t="shared" si="1108"/>
        <v>13.7821196139076</v>
      </c>
      <c r="AA362" s="1">
        <f t="shared" si="1085"/>
        <v>1785178.95297259</v>
      </c>
      <c r="AB362" s="1">
        <f t="shared" si="1086"/>
        <v>59883.1667484185</v>
      </c>
      <c r="AC362" s="1">
        <f t="shared" si="1087"/>
        <v>39922.1111656123</v>
      </c>
      <c r="AD362" s="1">
        <f>AC362/(AC362+[1]战斗公式!$M$27)</f>
        <v>0.624543064013957</v>
      </c>
      <c r="AE362" s="1">
        <f t="shared" si="1088"/>
        <v>4754683.64510105</v>
      </c>
      <c r="AF362" s="1">
        <f t="shared" si="1089"/>
        <v>11.3565007712661</v>
      </c>
      <c r="AG362" s="1">
        <f t="shared" si="1090"/>
        <v>5.76103949790735</v>
      </c>
      <c r="AH362" s="1">
        <f t="shared" si="1091"/>
        <v>4.80191740453859</v>
      </c>
      <c r="AI362" s="1">
        <f t="shared" si="1092"/>
        <v>1.56553442723824</v>
      </c>
      <c r="AJ362" s="1">
        <f t="shared" si="1093"/>
        <v>1.00000001835487</v>
      </c>
      <c r="AK362" s="1">
        <f t="shared" si="1094"/>
        <v>1.00064608035256</v>
      </c>
      <c r="AL362" s="1">
        <f t="shared" si="1095"/>
        <v>0.925649292547551</v>
      </c>
      <c r="AM362" s="27">
        <f t="shared" si="1096"/>
        <v>1487975</v>
      </c>
      <c r="AN362" s="27">
        <f t="shared" si="1097"/>
        <v>93749</v>
      </c>
      <c r="AO362" s="27">
        <f t="shared" si="1098"/>
        <v>39922</v>
      </c>
      <c r="AP362" s="1">
        <f t="shared" si="1099"/>
        <v>755322</v>
      </c>
      <c r="AQ362" s="1">
        <f t="shared" si="1100"/>
        <v>86779</v>
      </c>
      <c r="AR362"/>
      <c r="AS362" s="1">
        <f t="shared" ref="AS362:AY362" si="1196">ROUNDUP(AS$10*$AP362,0)</f>
        <v>755322</v>
      </c>
      <c r="AT362" s="1">
        <f t="shared" si="1196"/>
        <v>2265966</v>
      </c>
      <c r="AU362" s="1">
        <f t="shared" si="1196"/>
        <v>1359580</v>
      </c>
      <c r="AV362" s="1">
        <f t="shared" si="1196"/>
        <v>377661</v>
      </c>
      <c r="AW362" s="1">
        <f t="shared" si="1196"/>
        <v>113299</v>
      </c>
      <c r="AX362" s="1">
        <f t="shared" si="1196"/>
        <v>3021288</v>
      </c>
      <c r="AY362" s="1">
        <f t="shared" si="1196"/>
        <v>6797898</v>
      </c>
      <c r="AZ362" s="1">
        <f t="shared" si="1102"/>
        <v>89278502</v>
      </c>
      <c r="BA362" s="1">
        <f t="shared" si="1103"/>
        <v>44639251</v>
      </c>
      <c r="BC362" s="1">
        <f t="shared" si="1104"/>
        <v>351</v>
      </c>
    </row>
    <row r="363" s="1" customFormat="1" spans="2:55">
      <c r="B363" s="4">
        <v>352</v>
      </c>
      <c r="C363" s="1">
        <f t="shared" ref="C363:I363" si="1197">C$5+(C$6-C$5)*(POWER(C$7,$B363-1)-1)/(POWER(C$7,$B$3-1)-1)</f>
        <v>27810.0518775954</v>
      </c>
      <c r="D363" s="1">
        <f t="shared" si="1197"/>
        <v>8343.01556327861</v>
      </c>
      <c r="E363" s="1">
        <f t="shared" si="1197"/>
        <v>5562.01037551907</v>
      </c>
      <c r="F363" s="1">
        <f t="shared" si="1197"/>
        <v>102087.532208894</v>
      </c>
      <c r="G363" s="1">
        <f t="shared" si="1197"/>
        <v>30626.2596626683</v>
      </c>
      <c r="H363" s="1">
        <f t="shared" si="1197"/>
        <v>20417.5064417789</v>
      </c>
      <c r="I363" s="1">
        <f t="shared" si="1197"/>
        <v>0</v>
      </c>
      <c r="J363" s="1">
        <f>[1]标准模型!$I$65/1*$B363/$B$3</f>
        <v>2.5344</v>
      </c>
      <c r="K363" s="1">
        <f>J363*[1]标准模型!$J$63</f>
        <v>2.5344</v>
      </c>
      <c r="L363" s="1">
        <f t="shared" si="1081"/>
        <v>129897.584086489</v>
      </c>
      <c r="M363" s="1">
        <f t="shared" si="1082"/>
        <v>60113.8138695202</v>
      </c>
      <c r="N363" s="1">
        <f t="shared" si="1083"/>
        <v>40075.8759130135</v>
      </c>
      <c r="O363" s="1">
        <f t="shared" ref="O363:X363" si="1198">O$5+(O$6-O$5)*(POWER(O$7,$B363-1)-1)/(POWER(O$7,$B$3-1)-1)</f>
        <v>0.851729431998115</v>
      </c>
      <c r="P363" s="1">
        <f t="shared" si="1198"/>
        <v>0.248895462524687</v>
      </c>
      <c r="Q363" s="1">
        <f t="shared" si="1198"/>
        <v>0.468451187598963</v>
      </c>
      <c r="R363" s="1">
        <f t="shared" si="1198"/>
        <v>1.14069177279925</v>
      </c>
      <c r="S363" s="1">
        <f t="shared" si="1198"/>
        <v>0.49242120479736</v>
      </c>
      <c r="T363" s="1">
        <f t="shared" si="1198"/>
        <v>3.37174478479265</v>
      </c>
      <c r="U363" s="1">
        <f t="shared" si="1198"/>
        <v>1</v>
      </c>
      <c r="V363" s="1">
        <f t="shared" si="1198"/>
        <v>1.38359551729025</v>
      </c>
      <c r="W363" s="1">
        <f t="shared" si="1198"/>
        <v>1.21644888122961</v>
      </c>
      <c r="X363" s="1">
        <f t="shared" si="1198"/>
        <v>2.12553418239397</v>
      </c>
      <c r="Y363" s="1">
        <f t="shared" si="1107"/>
        <v>7.03733665082193</v>
      </c>
      <c r="Z363" s="1">
        <f t="shared" si="1108"/>
        <v>13.8810444264416</v>
      </c>
      <c r="AA363" s="1">
        <f t="shared" si="1085"/>
        <v>1803114.13559199</v>
      </c>
      <c r="AB363" s="1">
        <f t="shared" si="1086"/>
        <v>60113.8138695202</v>
      </c>
      <c r="AC363" s="1">
        <f t="shared" si="1087"/>
        <v>40075.8759130135</v>
      </c>
      <c r="AD363" s="1">
        <f>AC363/(AC363+[1]战斗公式!$M$27)</f>
        <v>0.625444058968756</v>
      </c>
      <c r="AE363" s="1">
        <f t="shared" si="1088"/>
        <v>4814004.90038304</v>
      </c>
      <c r="AF363" s="1">
        <f t="shared" si="1089"/>
        <v>11.3795193466523</v>
      </c>
      <c r="AG363" s="1">
        <f t="shared" si="1090"/>
        <v>5.76912702724218</v>
      </c>
      <c r="AH363" s="1">
        <f t="shared" si="1091"/>
        <v>4.8041206782356</v>
      </c>
      <c r="AI363" s="1">
        <f t="shared" si="1092"/>
        <v>1.56977057678049</v>
      </c>
      <c r="AJ363" s="1">
        <f t="shared" si="1093"/>
        <v>1.00000001743669</v>
      </c>
      <c r="AK363" s="1">
        <f t="shared" si="1094"/>
        <v>1.00063248893812</v>
      </c>
      <c r="AL363" s="1">
        <f t="shared" si="1095"/>
        <v>0.925851717133268</v>
      </c>
      <c r="AM363" s="27">
        <f t="shared" si="1096"/>
        <v>1501506</v>
      </c>
      <c r="AN363" s="27">
        <f t="shared" si="1097"/>
        <v>94365</v>
      </c>
      <c r="AO363" s="27">
        <f t="shared" si="1098"/>
        <v>40076</v>
      </c>
      <c r="AP363" s="1">
        <f t="shared" si="1099"/>
        <v>761707</v>
      </c>
      <c r="AQ363" s="1">
        <f t="shared" si="1100"/>
        <v>87368</v>
      </c>
      <c r="AR363"/>
      <c r="AS363" s="1">
        <f t="shared" ref="AS363:AY363" si="1199">ROUNDUP(AS$10*$AP363,0)</f>
        <v>761707</v>
      </c>
      <c r="AT363" s="1">
        <f t="shared" si="1199"/>
        <v>2285121</v>
      </c>
      <c r="AU363" s="1">
        <f t="shared" si="1199"/>
        <v>1371073</v>
      </c>
      <c r="AV363" s="1">
        <f t="shared" si="1199"/>
        <v>380854</v>
      </c>
      <c r="AW363" s="1">
        <f t="shared" si="1199"/>
        <v>114257</v>
      </c>
      <c r="AX363" s="1">
        <f t="shared" si="1199"/>
        <v>3046828</v>
      </c>
      <c r="AY363" s="1">
        <f t="shared" si="1199"/>
        <v>6855363</v>
      </c>
      <c r="AZ363" s="1">
        <f t="shared" si="1102"/>
        <v>90090362</v>
      </c>
      <c r="BA363" s="1">
        <f t="shared" si="1103"/>
        <v>45045181</v>
      </c>
      <c r="BC363" s="1">
        <f t="shared" si="1104"/>
        <v>352</v>
      </c>
    </row>
    <row r="364" s="1" customFormat="1" spans="2:55">
      <c r="B364" s="4">
        <v>353</v>
      </c>
      <c r="C364" s="1">
        <f t="shared" ref="C364:I364" si="1200">C$5+(C$6-C$5)*(POWER(C$7,$B364-1)-1)/(POWER(C$7,$B$3-1)-1)</f>
        <v>27889.0438191804</v>
      </c>
      <c r="D364" s="1">
        <f t="shared" si="1200"/>
        <v>8366.71314575412</v>
      </c>
      <c r="E364" s="1">
        <f t="shared" si="1200"/>
        <v>5577.80876383608</v>
      </c>
      <c r="F364" s="1">
        <f t="shared" si="1200"/>
        <v>102377.502627371</v>
      </c>
      <c r="G364" s="1">
        <f t="shared" si="1200"/>
        <v>30713.2507882113</v>
      </c>
      <c r="H364" s="1">
        <f t="shared" si="1200"/>
        <v>20475.5005254742</v>
      </c>
      <c r="I364" s="1">
        <f t="shared" si="1200"/>
        <v>0</v>
      </c>
      <c r="J364" s="1">
        <f>[1]标准模型!$I$65/1*$B364/$B$3</f>
        <v>2.5416</v>
      </c>
      <c r="K364" s="1">
        <f>J364*[1]标准模型!$J$63</f>
        <v>2.5416</v>
      </c>
      <c r="L364" s="1">
        <f t="shared" si="1081"/>
        <v>130266.546446551</v>
      </c>
      <c r="M364" s="1">
        <f t="shared" si="1082"/>
        <v>60344.8020652141</v>
      </c>
      <c r="N364" s="1">
        <f t="shared" si="1083"/>
        <v>40229.8680434761</v>
      </c>
      <c r="O364" s="1">
        <f t="shared" ref="O364:X364" si="1201">O$5+(O$6-O$5)*(POWER(O$7,$B364-1)-1)/(POWER(O$7,$B$3-1)-1)</f>
        <v>0.852731333796459</v>
      </c>
      <c r="P364" s="1">
        <f t="shared" si="1201"/>
        <v>0.249808062844004</v>
      </c>
      <c r="Q364" s="1">
        <f t="shared" si="1201"/>
        <v>0.469002233588052</v>
      </c>
      <c r="R364" s="1">
        <f t="shared" si="1201"/>
        <v>1.14109253351858</v>
      </c>
      <c r="S364" s="1">
        <f t="shared" si="1201"/>
        <v>0.493823867315042</v>
      </c>
      <c r="T364" s="1">
        <f t="shared" si="1201"/>
        <v>3.37565220180619</v>
      </c>
      <c r="U364" s="1">
        <f t="shared" si="1201"/>
        <v>1</v>
      </c>
      <c r="V364" s="1">
        <f t="shared" si="1201"/>
        <v>1.38468818967887</v>
      </c>
      <c r="W364" s="1">
        <f t="shared" si="1201"/>
        <v>1.21706543618244</v>
      </c>
      <c r="X364" s="1">
        <f t="shared" si="1201"/>
        <v>2.12874026814867</v>
      </c>
      <c r="Y364" s="1">
        <f t="shared" si="1107"/>
        <v>7.08340445386466</v>
      </c>
      <c r="Z364" s="1">
        <f t="shared" si="1108"/>
        <v>13.98059971192</v>
      </c>
      <c r="AA364" s="1">
        <f t="shared" si="1085"/>
        <v>1821204.44172347</v>
      </c>
      <c r="AB364" s="1">
        <f t="shared" si="1086"/>
        <v>60344.8020652141</v>
      </c>
      <c r="AC364" s="1">
        <f t="shared" si="1087"/>
        <v>40229.8680434761</v>
      </c>
      <c r="AD364" s="1">
        <f>AC364/(AC364+[1]战斗公式!$M$27)</f>
        <v>0.626342062796162</v>
      </c>
      <c r="AE364" s="1">
        <f t="shared" si="1088"/>
        <v>4873988.37383712</v>
      </c>
      <c r="AF364" s="1">
        <f t="shared" si="1089"/>
        <v>11.4025656560824</v>
      </c>
      <c r="AG364" s="1">
        <f t="shared" si="1090"/>
        <v>5.77721886171405</v>
      </c>
      <c r="AH364" s="1">
        <f t="shared" si="1091"/>
        <v>4.80630742737989</v>
      </c>
      <c r="AI364" s="1">
        <f t="shared" si="1092"/>
        <v>1.57401519862183</v>
      </c>
      <c r="AJ364" s="1">
        <f t="shared" si="1093"/>
        <v>1.00000001656441</v>
      </c>
      <c r="AK364" s="1">
        <f t="shared" si="1094"/>
        <v>1.00061916935197</v>
      </c>
      <c r="AL364" s="1">
        <f t="shared" si="1095"/>
        <v>0.926053534445228</v>
      </c>
      <c r="AM364" s="27">
        <f t="shared" si="1096"/>
        <v>1515135</v>
      </c>
      <c r="AN364" s="27">
        <f t="shared" si="1097"/>
        <v>94984</v>
      </c>
      <c r="AO364" s="27">
        <f t="shared" si="1098"/>
        <v>40230</v>
      </c>
      <c r="AP364" s="1">
        <f t="shared" si="1099"/>
        <v>768133</v>
      </c>
      <c r="AQ364" s="1">
        <f t="shared" si="1100"/>
        <v>87960</v>
      </c>
      <c r="AR364"/>
      <c r="AS364" s="1">
        <f t="shared" ref="AS364:AY364" si="1202">ROUNDUP(AS$10*$AP364,0)</f>
        <v>768133</v>
      </c>
      <c r="AT364" s="1">
        <f t="shared" si="1202"/>
        <v>2304399</v>
      </c>
      <c r="AU364" s="1">
        <f t="shared" si="1202"/>
        <v>1382640</v>
      </c>
      <c r="AV364" s="1">
        <f t="shared" si="1202"/>
        <v>384067</v>
      </c>
      <c r="AW364" s="1">
        <f t="shared" si="1202"/>
        <v>115220</v>
      </c>
      <c r="AX364" s="1">
        <f t="shared" si="1202"/>
        <v>3072532</v>
      </c>
      <c r="AY364" s="1">
        <f t="shared" si="1202"/>
        <v>6913197</v>
      </c>
      <c r="AZ364" s="1">
        <f t="shared" si="1102"/>
        <v>90908102</v>
      </c>
      <c r="BA364" s="1">
        <f t="shared" si="1103"/>
        <v>45454051</v>
      </c>
      <c r="BC364" s="1">
        <f t="shared" si="1104"/>
        <v>353</v>
      </c>
    </row>
    <row r="365" s="1" customFormat="1" spans="2:55">
      <c r="B365" s="4">
        <v>354</v>
      </c>
      <c r="C365" s="1">
        <f t="shared" ref="C365:I365" si="1203">C$5+(C$6-C$5)*(POWER(C$7,$B365-1)-1)/(POWER(C$7,$B$3-1)-1)</f>
        <v>27968.0356817739</v>
      </c>
      <c r="D365" s="1">
        <f t="shared" si="1203"/>
        <v>8390.41070453216</v>
      </c>
      <c r="E365" s="1">
        <f t="shared" si="1203"/>
        <v>5593.60713635477</v>
      </c>
      <c r="F365" s="1">
        <f t="shared" si="1203"/>
        <v>102667.472755879</v>
      </c>
      <c r="G365" s="1">
        <f t="shared" si="1203"/>
        <v>30800.2418267636</v>
      </c>
      <c r="H365" s="1">
        <f t="shared" si="1203"/>
        <v>20533.4945511757</v>
      </c>
      <c r="I365" s="1">
        <f t="shared" si="1203"/>
        <v>0</v>
      </c>
      <c r="J365" s="1">
        <f>[1]标准模型!$I$65/1*$B365/$B$3</f>
        <v>2.5488</v>
      </c>
      <c r="K365" s="1">
        <f>J365*[1]标准模型!$J$63</f>
        <v>2.5488</v>
      </c>
      <c r="L365" s="1">
        <f t="shared" si="1081"/>
        <v>130635.508437653</v>
      </c>
      <c r="M365" s="1">
        <f t="shared" si="1082"/>
        <v>60576.1313350073</v>
      </c>
      <c r="N365" s="1">
        <f t="shared" si="1083"/>
        <v>40384.0875566715</v>
      </c>
      <c r="O365" s="1">
        <f t="shared" ref="O365:X365" si="1204">O$5+(O$6-O$5)*(POWER(O$7,$B365-1)-1)/(POWER(O$7,$B$3-1)-1)</f>
        <v>0.853733234592905</v>
      </c>
      <c r="P365" s="1">
        <f t="shared" si="1204"/>
        <v>0.2507220320638</v>
      </c>
      <c r="Q365" s="1">
        <f t="shared" si="1204"/>
        <v>0.469553279026098</v>
      </c>
      <c r="R365" s="1">
        <f t="shared" si="1204"/>
        <v>1.14149329383716</v>
      </c>
      <c r="S365" s="1">
        <f t="shared" si="1204"/>
        <v>0.495226528430068</v>
      </c>
      <c r="T365" s="1">
        <f t="shared" si="1204"/>
        <v>3.37955961491233</v>
      </c>
      <c r="U365" s="1">
        <f t="shared" si="1204"/>
        <v>1</v>
      </c>
      <c r="V365" s="1">
        <f t="shared" si="1204"/>
        <v>1.38578086097483</v>
      </c>
      <c r="W365" s="1">
        <f t="shared" si="1204"/>
        <v>1.21768199051871</v>
      </c>
      <c r="X365" s="1">
        <f t="shared" si="1204"/>
        <v>2.1319463506973</v>
      </c>
      <c r="Y365" s="1">
        <f t="shared" si="1107"/>
        <v>7.12973640664486</v>
      </c>
      <c r="Z365" s="1">
        <f t="shared" si="1108"/>
        <v>14.0807889229566</v>
      </c>
      <c r="AA365" s="1">
        <f t="shared" si="1085"/>
        <v>1839451.02015371</v>
      </c>
      <c r="AB365" s="1">
        <f t="shared" si="1086"/>
        <v>60576.1313350073</v>
      </c>
      <c r="AC365" s="1">
        <f t="shared" si="1087"/>
        <v>40384.0875566715</v>
      </c>
      <c r="AD365" s="1">
        <f>AC365/(AC365+[1]战斗公式!$M$27)</f>
        <v>0.62723708744222</v>
      </c>
      <c r="AE365" s="1">
        <f t="shared" si="1088"/>
        <v>4934640.64740772</v>
      </c>
      <c r="AF365" s="1">
        <f t="shared" si="1089"/>
        <v>11.425639681257</v>
      </c>
      <c r="AG365" s="1">
        <f t="shared" si="1090"/>
        <v>5.78531498841324</v>
      </c>
      <c r="AH365" s="1">
        <f t="shared" si="1091"/>
        <v>4.80847777590559</v>
      </c>
      <c r="AI365" s="1">
        <f t="shared" si="1092"/>
        <v>1.57826830970684</v>
      </c>
      <c r="AJ365" s="1">
        <f t="shared" si="1093"/>
        <v>1.00000001573575</v>
      </c>
      <c r="AK365" s="1">
        <f t="shared" si="1094"/>
        <v>1.00060611615754</v>
      </c>
      <c r="AL365" s="1">
        <f t="shared" si="1095"/>
        <v>0.926254746305252</v>
      </c>
      <c r="AM365" s="27">
        <f t="shared" si="1096"/>
        <v>1528864</v>
      </c>
      <c r="AN365" s="27">
        <f t="shared" si="1097"/>
        <v>95605</v>
      </c>
      <c r="AO365" s="27">
        <f t="shared" si="1098"/>
        <v>40384</v>
      </c>
      <c r="AP365" s="1">
        <f t="shared" si="1099"/>
        <v>774602</v>
      </c>
      <c r="AQ365" s="1">
        <f t="shared" si="1100"/>
        <v>88555</v>
      </c>
      <c r="AR365"/>
      <c r="AS365" s="1">
        <f t="shared" ref="AS365:AY365" si="1205">ROUNDUP(AS$10*$AP365,0)</f>
        <v>774602</v>
      </c>
      <c r="AT365" s="1">
        <f t="shared" si="1205"/>
        <v>2323806</v>
      </c>
      <c r="AU365" s="1">
        <f t="shared" si="1205"/>
        <v>1394284</v>
      </c>
      <c r="AV365" s="1">
        <f t="shared" si="1205"/>
        <v>387301</v>
      </c>
      <c r="AW365" s="1">
        <f t="shared" si="1205"/>
        <v>116191</v>
      </c>
      <c r="AX365" s="1">
        <f t="shared" si="1205"/>
        <v>3098408</v>
      </c>
      <c r="AY365" s="1">
        <f t="shared" si="1205"/>
        <v>6971418</v>
      </c>
      <c r="AZ365" s="1">
        <f t="shared" si="1102"/>
        <v>91731841</v>
      </c>
      <c r="BA365" s="1">
        <f t="shared" si="1103"/>
        <v>45865921</v>
      </c>
      <c r="BC365" s="1">
        <f t="shared" si="1104"/>
        <v>354</v>
      </c>
    </row>
    <row r="366" s="1" customFormat="1" spans="2:55">
      <c r="B366" s="4">
        <v>355</v>
      </c>
      <c r="C366" s="1">
        <f t="shared" ref="C366:I366" si="1206">C$5+(C$6-C$5)*(POWER(C$7,$B366-1)-1)/(POWER(C$7,$B$3-1)-1)</f>
        <v>28047.0274653757</v>
      </c>
      <c r="D366" s="1">
        <f t="shared" si="1206"/>
        <v>8414.10823961271</v>
      </c>
      <c r="E366" s="1">
        <f t="shared" si="1206"/>
        <v>5609.40549307514</v>
      </c>
      <c r="F366" s="1">
        <f t="shared" si="1206"/>
        <v>102957.442594417</v>
      </c>
      <c r="G366" s="1">
        <f t="shared" si="1206"/>
        <v>30887.2327783251</v>
      </c>
      <c r="H366" s="1">
        <f t="shared" si="1206"/>
        <v>20591.4885188834</v>
      </c>
      <c r="I366" s="1">
        <f t="shared" si="1206"/>
        <v>0</v>
      </c>
      <c r="J366" s="1">
        <f>[1]标准模型!$I$65/1*$B366/$B$3</f>
        <v>2.556</v>
      </c>
      <c r="K366" s="1">
        <f>J366*[1]标准模型!$J$63</f>
        <v>2.556</v>
      </c>
      <c r="L366" s="1">
        <f t="shared" si="1081"/>
        <v>131004.470059793</v>
      </c>
      <c r="M366" s="1">
        <f t="shared" si="1082"/>
        <v>60807.8016783879</v>
      </c>
      <c r="N366" s="1">
        <f t="shared" si="1083"/>
        <v>40538.5344522586</v>
      </c>
      <c r="O366" s="1">
        <f t="shared" ref="O366:X366" si="1207">O$5+(O$6-O$5)*(POWER(O$7,$B366-1)-1)/(POWER(O$7,$B$3-1)-1)</f>
        <v>0.854735134387455</v>
      </c>
      <c r="P366" s="1">
        <f t="shared" si="1207"/>
        <v>0.251637372237425</v>
      </c>
      <c r="Q366" s="1">
        <f t="shared" si="1207"/>
        <v>0.4701043239131</v>
      </c>
      <c r="R366" s="1">
        <f t="shared" si="1207"/>
        <v>1.14189405375498</v>
      </c>
      <c r="S366" s="1">
        <f t="shared" si="1207"/>
        <v>0.496629188142436</v>
      </c>
      <c r="T366" s="1">
        <f t="shared" si="1207"/>
        <v>3.38346702411107</v>
      </c>
      <c r="U366" s="1">
        <f t="shared" si="1207"/>
        <v>1</v>
      </c>
      <c r="V366" s="1">
        <f t="shared" si="1207"/>
        <v>1.38687353117811</v>
      </c>
      <c r="W366" s="1">
        <f t="shared" si="1207"/>
        <v>1.21829854423843</v>
      </c>
      <c r="X366" s="1">
        <f t="shared" si="1207"/>
        <v>2.13515243003985</v>
      </c>
      <c r="Y366" s="1">
        <f t="shared" si="1107"/>
        <v>7.17633378366376</v>
      </c>
      <c r="Z366" s="1">
        <f t="shared" si="1108"/>
        <v>14.1816155277869</v>
      </c>
      <c r="AA366" s="1">
        <f t="shared" si="1085"/>
        <v>1857855.02680945</v>
      </c>
      <c r="AB366" s="1">
        <f t="shared" si="1086"/>
        <v>60807.8016783879</v>
      </c>
      <c r="AC366" s="1">
        <f t="shared" si="1087"/>
        <v>40538.5344522586</v>
      </c>
      <c r="AD366" s="1">
        <f>AC366/(AC366+[1]战斗公式!$M$27)</f>
        <v>0.628129144801798</v>
      </c>
      <c r="AE366" s="1">
        <f t="shared" si="1088"/>
        <v>4995968.36062681</v>
      </c>
      <c r="AF366" s="1">
        <f t="shared" si="1089"/>
        <v>11.448741403906</v>
      </c>
      <c r="AG366" s="1">
        <f t="shared" si="1090"/>
        <v>5.79341539448027</v>
      </c>
      <c r="AH366" s="1">
        <f t="shared" si="1091"/>
        <v>4.81063184681735</v>
      </c>
      <c r="AI366" s="1">
        <f t="shared" si="1092"/>
        <v>1.58252992701403</v>
      </c>
      <c r="AJ366" s="1">
        <f t="shared" si="1093"/>
        <v>1.00000001494853</v>
      </c>
      <c r="AK366" s="1">
        <f t="shared" si="1094"/>
        <v>1.000593324027</v>
      </c>
      <c r="AL366" s="1">
        <f t="shared" si="1095"/>
        <v>0.926455354529696</v>
      </c>
      <c r="AM366" s="27">
        <f t="shared" si="1096"/>
        <v>1542692</v>
      </c>
      <c r="AN366" s="27">
        <f t="shared" si="1097"/>
        <v>96230</v>
      </c>
      <c r="AO366" s="27">
        <f t="shared" si="1098"/>
        <v>40539</v>
      </c>
      <c r="AP366" s="1">
        <f t="shared" si="1099"/>
        <v>781113</v>
      </c>
      <c r="AQ366" s="1">
        <f t="shared" si="1100"/>
        <v>89153</v>
      </c>
      <c r="AR366"/>
      <c r="AS366" s="1">
        <f t="shared" ref="AS366:AY366" si="1208">ROUNDUP(AS$10*$AP366,0)</f>
        <v>781113</v>
      </c>
      <c r="AT366" s="1">
        <f t="shared" si="1208"/>
        <v>2343339</v>
      </c>
      <c r="AU366" s="1">
        <f t="shared" si="1208"/>
        <v>1406004</v>
      </c>
      <c r="AV366" s="1">
        <f t="shared" si="1208"/>
        <v>390557</v>
      </c>
      <c r="AW366" s="1">
        <f t="shared" si="1208"/>
        <v>117167</v>
      </c>
      <c r="AX366" s="1">
        <f t="shared" si="1208"/>
        <v>3124452</v>
      </c>
      <c r="AY366" s="1">
        <f t="shared" si="1208"/>
        <v>7030017</v>
      </c>
      <c r="AZ366" s="1">
        <f t="shared" si="1102"/>
        <v>92561521</v>
      </c>
      <c r="BA366" s="1">
        <f t="shared" si="1103"/>
        <v>46280761</v>
      </c>
      <c r="BC366" s="1">
        <f t="shared" si="1104"/>
        <v>355</v>
      </c>
    </row>
    <row r="367" s="1" customFormat="1" spans="2:55">
      <c r="B367" s="4">
        <v>356</v>
      </c>
      <c r="C367" s="1">
        <f t="shared" ref="C367:I367" si="1209">C$5+(C$6-C$5)*(POWER(C$7,$B367-1)-1)/(POWER(C$7,$B$3-1)-1)</f>
        <v>28126.0191699859</v>
      </c>
      <c r="D367" s="1">
        <f t="shared" si="1209"/>
        <v>8437.80575099578</v>
      </c>
      <c r="E367" s="1">
        <f t="shared" si="1209"/>
        <v>5625.20383399718</v>
      </c>
      <c r="F367" s="1">
        <f t="shared" si="1209"/>
        <v>103247.412142986</v>
      </c>
      <c r="G367" s="1">
        <f t="shared" si="1209"/>
        <v>30974.2236428959</v>
      </c>
      <c r="H367" s="1">
        <f t="shared" si="1209"/>
        <v>20649.4824285973</v>
      </c>
      <c r="I367" s="1">
        <f t="shared" si="1209"/>
        <v>0</v>
      </c>
      <c r="J367" s="1">
        <f>[1]标准模型!$I$65/1*$B367/$B$3</f>
        <v>2.5632</v>
      </c>
      <c r="K367" s="1">
        <f>J367*[1]标准模型!$J$63</f>
        <v>2.5632</v>
      </c>
      <c r="L367" s="1">
        <f t="shared" si="1081"/>
        <v>131373.431312972</v>
      </c>
      <c r="M367" s="1">
        <f t="shared" si="1082"/>
        <v>61039.8130948441</v>
      </c>
      <c r="N367" s="1">
        <f t="shared" si="1083"/>
        <v>40693.2087298961</v>
      </c>
      <c r="O367" s="1">
        <f t="shared" ref="O367:X367" si="1210">O$5+(O$6-O$5)*(POWER(O$7,$B367-1)-1)/(POWER(O$7,$B$3-1)-1)</f>
        <v>0.855737033180106</v>
      </c>
      <c r="P367" s="1">
        <f t="shared" si="1210"/>
        <v>0.252554085421311</v>
      </c>
      <c r="Q367" s="1">
        <f t="shared" si="1210"/>
        <v>0.470655368249058</v>
      </c>
      <c r="R367" s="1">
        <f t="shared" si="1210"/>
        <v>1.14229481327204</v>
      </c>
      <c r="S367" s="1">
        <f t="shared" si="1210"/>
        <v>0.498031846452148</v>
      </c>
      <c r="T367" s="1">
        <f t="shared" si="1210"/>
        <v>3.38737442940241</v>
      </c>
      <c r="U367" s="1">
        <f t="shared" si="1210"/>
        <v>1</v>
      </c>
      <c r="V367" s="1">
        <f t="shared" si="1210"/>
        <v>1.38796620028873</v>
      </c>
      <c r="W367" s="1">
        <f t="shared" si="1210"/>
        <v>1.2189150973416</v>
      </c>
      <c r="X367" s="1">
        <f t="shared" si="1210"/>
        <v>2.13835850617634</v>
      </c>
      <c r="Y367" s="1">
        <f t="shared" si="1107"/>
        <v>7.22319786435997</v>
      </c>
      <c r="Z367" s="1">
        <f t="shared" si="1108"/>
        <v>14.2830830103358</v>
      </c>
      <c r="AA367" s="1">
        <f t="shared" si="1085"/>
        <v>1876417.62479583</v>
      </c>
      <c r="AB367" s="1">
        <f t="shared" si="1086"/>
        <v>61039.8130948441</v>
      </c>
      <c r="AC367" s="1">
        <f t="shared" si="1087"/>
        <v>40693.2087298961</v>
      </c>
      <c r="AD367" s="1">
        <f>AC367/(AC367+[1]战斗公式!$M$27)</f>
        <v>0.629018246718854</v>
      </c>
      <c r="AE367" s="1">
        <f t="shared" si="1088"/>
        <v>5057978.21105718</v>
      </c>
      <c r="AF367" s="1">
        <f t="shared" si="1089"/>
        <v>11.4718708057931</v>
      </c>
      <c r="AG367" s="1">
        <f t="shared" si="1090"/>
        <v>5.80152006710701</v>
      </c>
      <c r="AH367" s="1">
        <f t="shared" si="1091"/>
        <v>4.81276976219727</v>
      </c>
      <c r="AI367" s="1">
        <f t="shared" si="1092"/>
        <v>1.58680006755583</v>
      </c>
      <c r="AJ367" s="1">
        <f t="shared" si="1093"/>
        <v>1.00000001420066</v>
      </c>
      <c r="AK367" s="1">
        <f t="shared" si="1094"/>
        <v>1.00058078773907</v>
      </c>
      <c r="AL367" s="1">
        <f t="shared" si="1095"/>
        <v>0.926655360929466</v>
      </c>
      <c r="AM367" s="27">
        <f t="shared" si="1096"/>
        <v>1556621</v>
      </c>
      <c r="AN367" s="27">
        <f t="shared" si="1097"/>
        <v>96858</v>
      </c>
      <c r="AO367" s="27">
        <f t="shared" si="1098"/>
        <v>40693</v>
      </c>
      <c r="AP367" s="1">
        <f t="shared" si="1099"/>
        <v>787667</v>
      </c>
      <c r="AQ367" s="1">
        <f t="shared" si="1100"/>
        <v>89754</v>
      </c>
      <c r="AR367"/>
      <c r="AS367" s="1">
        <f t="shared" ref="AS367:AY367" si="1211">ROUNDUP(AS$10*$AP367,0)</f>
        <v>787667</v>
      </c>
      <c r="AT367" s="1">
        <f t="shared" si="1211"/>
        <v>2363001</v>
      </c>
      <c r="AU367" s="1">
        <f t="shared" si="1211"/>
        <v>1417801</v>
      </c>
      <c r="AV367" s="1">
        <f t="shared" si="1211"/>
        <v>393834</v>
      </c>
      <c r="AW367" s="1">
        <f t="shared" si="1211"/>
        <v>118151</v>
      </c>
      <c r="AX367" s="1">
        <f t="shared" si="1211"/>
        <v>3150668</v>
      </c>
      <c r="AY367" s="1">
        <f t="shared" si="1211"/>
        <v>7089003</v>
      </c>
      <c r="AZ367" s="1">
        <f t="shared" si="1102"/>
        <v>93397261</v>
      </c>
      <c r="BA367" s="1">
        <f t="shared" si="1103"/>
        <v>46698631</v>
      </c>
      <c r="BC367" s="1">
        <f t="shared" si="1104"/>
        <v>356</v>
      </c>
    </row>
    <row r="368" s="1" customFormat="1" spans="2:55">
      <c r="B368" s="4">
        <v>357</v>
      </c>
      <c r="C368" s="1">
        <f t="shared" ref="C368:I368" si="1212">C$5+(C$6-C$5)*(POWER(C$7,$B368-1)-1)/(POWER(C$7,$B$3-1)-1)</f>
        <v>28205.0107956133</v>
      </c>
      <c r="D368" s="1">
        <f t="shared" si="1212"/>
        <v>8461.503238684</v>
      </c>
      <c r="E368" s="1">
        <f t="shared" si="1212"/>
        <v>5641.00215912267</v>
      </c>
      <c r="F368" s="1">
        <f t="shared" si="1212"/>
        <v>103537.381401619</v>
      </c>
      <c r="G368" s="1">
        <f t="shared" si="1212"/>
        <v>31061.2144204856</v>
      </c>
      <c r="H368" s="1">
        <f t="shared" si="1212"/>
        <v>20707.4762803237</v>
      </c>
      <c r="I368" s="1">
        <f t="shared" si="1212"/>
        <v>0</v>
      </c>
      <c r="J368" s="1">
        <f>[1]标准模型!$I$65/1*$B368/$B$3</f>
        <v>2.5704</v>
      </c>
      <c r="K368" s="1">
        <f>J368*[1]标准模型!$J$63</f>
        <v>2.5704</v>
      </c>
      <c r="L368" s="1">
        <f t="shared" si="1081"/>
        <v>131742.392197232</v>
      </c>
      <c r="M368" s="1">
        <f t="shared" si="1082"/>
        <v>61272.165583883</v>
      </c>
      <c r="N368" s="1">
        <f t="shared" si="1083"/>
        <v>40848.1103892553</v>
      </c>
      <c r="O368" s="1">
        <f t="shared" ref="O368:X368" si="1213">O$5+(O$6-O$5)*(POWER(O$7,$B368-1)-1)/(POWER(O$7,$B$3-1)-1)</f>
        <v>0.856738930970971</v>
      </c>
      <c r="P368" s="1">
        <f t="shared" si="1213"/>
        <v>0.253472173674972</v>
      </c>
      <c r="Q368" s="1">
        <f t="shared" si="1213"/>
        <v>0.471206412034034</v>
      </c>
      <c r="R368" s="1">
        <f t="shared" si="1213"/>
        <v>1.14269557238839</v>
      </c>
      <c r="S368" s="1">
        <f t="shared" si="1213"/>
        <v>0.49943450335936</v>
      </c>
      <c r="T368" s="1">
        <f t="shared" si="1213"/>
        <v>3.39128183078679</v>
      </c>
      <c r="U368" s="1">
        <f t="shared" si="1213"/>
        <v>1</v>
      </c>
      <c r="V368" s="1">
        <f t="shared" si="1213"/>
        <v>1.3890588683068</v>
      </c>
      <c r="W368" s="1">
        <f t="shared" si="1213"/>
        <v>1.21953164982829</v>
      </c>
      <c r="X368" s="1">
        <f t="shared" si="1213"/>
        <v>2.14156457910711</v>
      </c>
      <c r="Y368" s="1">
        <f t="shared" si="1107"/>
        <v>7.27032993312938</v>
      </c>
      <c r="Z368" s="1">
        <f t="shared" si="1108"/>
        <v>14.385194870285</v>
      </c>
      <c r="AA368" s="1">
        <f t="shared" si="1085"/>
        <v>1895139.9844347</v>
      </c>
      <c r="AB368" s="1">
        <f t="shared" si="1086"/>
        <v>61272.165583883</v>
      </c>
      <c r="AC368" s="1">
        <f t="shared" si="1087"/>
        <v>40848.1103892553</v>
      </c>
      <c r="AD368" s="1">
        <f>AC368/(AC368+[1]战斗公式!$M$27)</f>
        <v>0.629904404986694</v>
      </c>
      <c r="AE368" s="1">
        <f t="shared" si="1088"/>
        <v>5120676.95473804</v>
      </c>
      <c r="AF368" s="1">
        <f t="shared" si="1089"/>
        <v>11.4950278687173</v>
      </c>
      <c r="AG368" s="1">
        <f t="shared" si="1090"/>
        <v>5.80962899353731</v>
      </c>
      <c r="AH368" s="1">
        <f t="shared" si="1091"/>
        <v>4.81489164321185</v>
      </c>
      <c r="AI368" s="1">
        <f t="shared" si="1092"/>
        <v>1.59107874837872</v>
      </c>
      <c r="AJ368" s="1">
        <f t="shared" si="1093"/>
        <v>1.00000001349019</v>
      </c>
      <c r="AK368" s="1">
        <f t="shared" si="1094"/>
        <v>1.0005685021769</v>
      </c>
      <c r="AL368" s="1">
        <f t="shared" si="1095"/>
        <v>0.926854767310038</v>
      </c>
      <c r="AM368" s="27">
        <f t="shared" si="1096"/>
        <v>1570650</v>
      </c>
      <c r="AN368" s="27">
        <f t="shared" si="1097"/>
        <v>97489</v>
      </c>
      <c r="AO368" s="27">
        <f t="shared" si="1098"/>
        <v>40848</v>
      </c>
      <c r="AP368" s="1">
        <f t="shared" si="1099"/>
        <v>794264</v>
      </c>
      <c r="AQ368" s="1">
        <f t="shared" si="1100"/>
        <v>90358</v>
      </c>
      <c r="AR368"/>
      <c r="AS368" s="1">
        <f t="shared" ref="AS368:AY368" si="1214">ROUNDUP(AS$10*$AP368,0)</f>
        <v>794264</v>
      </c>
      <c r="AT368" s="1">
        <f t="shared" si="1214"/>
        <v>2382792</v>
      </c>
      <c r="AU368" s="1">
        <f t="shared" si="1214"/>
        <v>1429676</v>
      </c>
      <c r="AV368" s="1">
        <f t="shared" si="1214"/>
        <v>397132</v>
      </c>
      <c r="AW368" s="1">
        <f t="shared" si="1214"/>
        <v>119140</v>
      </c>
      <c r="AX368" s="1">
        <f t="shared" si="1214"/>
        <v>3177056</v>
      </c>
      <c r="AY368" s="1">
        <f t="shared" si="1214"/>
        <v>7148376</v>
      </c>
      <c r="AZ368" s="1">
        <f t="shared" si="1102"/>
        <v>94239001</v>
      </c>
      <c r="BA368" s="1">
        <f t="shared" si="1103"/>
        <v>47119501</v>
      </c>
      <c r="BC368" s="1">
        <f t="shared" si="1104"/>
        <v>357</v>
      </c>
    </row>
    <row r="369" s="1" customFormat="1" spans="2:55">
      <c r="B369" s="4">
        <v>358</v>
      </c>
      <c r="C369" s="1">
        <f t="shared" ref="C369:I369" si="1215">C$5+(C$6-C$5)*(POWER(C$7,$B369-1)-1)/(POWER(C$7,$B$3-1)-1)</f>
        <v>28284.0023422403</v>
      </c>
      <c r="D369" s="1">
        <f t="shared" si="1215"/>
        <v>8485.2007026721</v>
      </c>
      <c r="E369" s="1">
        <f t="shared" si="1215"/>
        <v>5656.80046844807</v>
      </c>
      <c r="F369" s="1">
        <f t="shared" si="1215"/>
        <v>103827.350370249</v>
      </c>
      <c r="G369" s="1">
        <f t="shared" si="1215"/>
        <v>31148.2051110748</v>
      </c>
      <c r="H369" s="1">
        <f t="shared" si="1215"/>
        <v>20765.4700740499</v>
      </c>
      <c r="I369" s="1">
        <f t="shared" si="1215"/>
        <v>0</v>
      </c>
      <c r="J369" s="1">
        <f>[1]标准模型!$I$65/1*$B369/$B$3</f>
        <v>2.5776</v>
      </c>
      <c r="K369" s="1">
        <f>J369*[1]标准模型!$J$63</f>
        <v>2.5776</v>
      </c>
      <c r="L369" s="1">
        <f t="shared" si="1081"/>
        <v>132111.352712489</v>
      </c>
      <c r="M369" s="1">
        <f t="shared" si="1082"/>
        <v>61504.8591449545</v>
      </c>
      <c r="N369" s="1">
        <f t="shared" si="1083"/>
        <v>41003.2394299697</v>
      </c>
      <c r="O369" s="1">
        <f t="shared" ref="O369:X369" si="1216">O$5+(O$6-O$5)*(POWER(O$7,$B369-1)-1)/(POWER(O$7,$B$3-1)-1)</f>
        <v>0.857740827759828</v>
      </c>
      <c r="P369" s="1">
        <f t="shared" si="1216"/>
        <v>0.254391639061014</v>
      </c>
      <c r="Q369" s="1">
        <f t="shared" si="1216"/>
        <v>0.471757455267905</v>
      </c>
      <c r="R369" s="1">
        <f t="shared" si="1216"/>
        <v>1.14309633110393</v>
      </c>
      <c r="S369" s="1">
        <f t="shared" si="1216"/>
        <v>0.500837158863759</v>
      </c>
      <c r="T369" s="1">
        <f t="shared" si="1216"/>
        <v>3.39518922826333</v>
      </c>
      <c r="U369" s="1">
        <f t="shared" si="1216"/>
        <v>1</v>
      </c>
      <c r="V369" s="1">
        <f t="shared" si="1216"/>
        <v>1.39015153523209</v>
      </c>
      <c r="W369" s="1">
        <f t="shared" si="1216"/>
        <v>1.22014820169836</v>
      </c>
      <c r="X369" s="1">
        <f t="shared" si="1216"/>
        <v>2.14477064883145</v>
      </c>
      <c r="Y369" s="1">
        <f t="shared" si="1107"/>
        <v>7.31773127932212</v>
      </c>
      <c r="Z369" s="1">
        <f t="shared" si="1108"/>
        <v>14.4879546230885</v>
      </c>
      <c r="AA369" s="1">
        <f t="shared" si="1085"/>
        <v>1914023.28329339</v>
      </c>
      <c r="AB369" s="1">
        <f t="shared" si="1086"/>
        <v>61504.8591449545</v>
      </c>
      <c r="AC369" s="1">
        <f t="shared" si="1087"/>
        <v>41003.2394299697</v>
      </c>
      <c r="AD369" s="1">
        <f>AC369/(AC369+[1]战斗公式!$M$27)</f>
        <v>0.63078763134788</v>
      </c>
      <c r="AE369" s="1">
        <f t="shared" si="1088"/>
        <v>5184071.40660238</v>
      </c>
      <c r="AF369" s="1">
        <f t="shared" si="1089"/>
        <v>11.5182125744998</v>
      </c>
      <c r="AG369" s="1">
        <f t="shared" si="1090"/>
        <v>5.81774216106226</v>
      </c>
      <c r="AH369" s="1">
        <f t="shared" si="1091"/>
        <v>4.81699761011881</v>
      </c>
      <c r="AI369" s="1">
        <f t="shared" si="1092"/>
        <v>1.59536598656325</v>
      </c>
      <c r="AJ369" s="1">
        <f t="shared" si="1093"/>
        <v>1.00000001281524</v>
      </c>
      <c r="AK369" s="1">
        <f t="shared" si="1094"/>
        <v>1.00055646232598</v>
      </c>
      <c r="AL369" s="1">
        <f t="shared" si="1095"/>
        <v>0.927053575471467</v>
      </c>
      <c r="AM369" s="27">
        <f t="shared" si="1096"/>
        <v>1584781</v>
      </c>
      <c r="AN369" s="27">
        <f t="shared" si="1097"/>
        <v>98123</v>
      </c>
      <c r="AO369" s="27">
        <f t="shared" si="1098"/>
        <v>41003</v>
      </c>
      <c r="AP369" s="1">
        <f t="shared" si="1099"/>
        <v>800903</v>
      </c>
      <c r="AQ369" s="1">
        <f t="shared" si="1100"/>
        <v>90965</v>
      </c>
      <c r="AR369"/>
      <c r="AS369" s="1">
        <f t="shared" ref="AS369:AY369" si="1217">ROUNDUP(AS$10*$AP369,0)</f>
        <v>800903</v>
      </c>
      <c r="AT369" s="1">
        <f t="shared" si="1217"/>
        <v>2402709</v>
      </c>
      <c r="AU369" s="1">
        <f t="shared" si="1217"/>
        <v>1441626</v>
      </c>
      <c r="AV369" s="1">
        <f t="shared" si="1217"/>
        <v>400452</v>
      </c>
      <c r="AW369" s="1">
        <f t="shared" si="1217"/>
        <v>120136</v>
      </c>
      <c r="AX369" s="1">
        <f t="shared" si="1217"/>
        <v>3203612</v>
      </c>
      <c r="AY369" s="1">
        <f t="shared" si="1217"/>
        <v>7208127</v>
      </c>
      <c r="AZ369" s="1">
        <f t="shared" si="1102"/>
        <v>95086861</v>
      </c>
      <c r="BA369" s="1">
        <f t="shared" si="1103"/>
        <v>47543431</v>
      </c>
      <c r="BC369" s="1">
        <f t="shared" si="1104"/>
        <v>358</v>
      </c>
    </row>
    <row r="370" s="1" customFormat="1" spans="2:55">
      <c r="B370" s="4">
        <v>359</v>
      </c>
      <c r="C370" s="1">
        <f t="shared" ref="C370:I370" si="1218">C$5+(C$6-C$5)*(POWER(C$7,$B370-1)-1)/(POWER(C$7,$B$3-1)-1)</f>
        <v>28362.9938098758</v>
      </c>
      <c r="D370" s="1">
        <f t="shared" si="1218"/>
        <v>8508.89814296273</v>
      </c>
      <c r="E370" s="1">
        <f t="shared" si="1218"/>
        <v>5672.59876197515</v>
      </c>
      <c r="F370" s="1">
        <f t="shared" si="1218"/>
        <v>104117.319048911</v>
      </c>
      <c r="G370" s="1">
        <f t="shared" si="1218"/>
        <v>31235.1957146733</v>
      </c>
      <c r="H370" s="1">
        <f t="shared" si="1218"/>
        <v>20823.4638097822</v>
      </c>
      <c r="I370" s="1">
        <f t="shared" si="1218"/>
        <v>0</v>
      </c>
      <c r="J370" s="1">
        <f>[1]标准模型!$I$65/1*$B370/$B$3</f>
        <v>2.5848</v>
      </c>
      <c r="K370" s="1">
        <f>J370*[1]标准模型!$J$63</f>
        <v>2.5848</v>
      </c>
      <c r="L370" s="1">
        <f t="shared" si="1081"/>
        <v>132480.312858787</v>
      </c>
      <c r="M370" s="1">
        <f t="shared" si="1082"/>
        <v>61737.8937775661</v>
      </c>
      <c r="N370" s="1">
        <f t="shared" si="1083"/>
        <v>41158.5958517107</v>
      </c>
      <c r="O370" s="1">
        <f t="shared" ref="O370:X370" si="1219">O$5+(O$6-O$5)*(POWER(O$7,$B370-1)-1)/(POWER(O$7,$B$3-1)-1)</f>
        <v>0.858742723546787</v>
      </c>
      <c r="P370" s="1">
        <f t="shared" si="1219"/>
        <v>0.255312483645136</v>
      </c>
      <c r="Q370" s="1">
        <f t="shared" si="1219"/>
        <v>0.472308497950733</v>
      </c>
      <c r="R370" s="1">
        <f t="shared" si="1219"/>
        <v>1.14349708941871</v>
      </c>
      <c r="S370" s="1">
        <f t="shared" si="1219"/>
        <v>0.502239812965501</v>
      </c>
      <c r="T370" s="1">
        <f t="shared" si="1219"/>
        <v>3.39909662183247</v>
      </c>
      <c r="U370" s="1">
        <f t="shared" si="1219"/>
        <v>1</v>
      </c>
      <c r="V370" s="1">
        <f t="shared" si="1219"/>
        <v>1.3912442010647</v>
      </c>
      <c r="W370" s="1">
        <f t="shared" si="1219"/>
        <v>1.22076475295187</v>
      </c>
      <c r="X370" s="1">
        <f t="shared" si="1219"/>
        <v>2.14797671534972</v>
      </c>
      <c r="Y370" s="1">
        <f t="shared" si="1107"/>
        <v>7.36540319728535</v>
      </c>
      <c r="Z370" s="1">
        <f t="shared" si="1108"/>
        <v>14.5913658000936</v>
      </c>
      <c r="AA370" s="1">
        <f t="shared" si="1085"/>
        <v>1933068.7062334</v>
      </c>
      <c r="AB370" s="1">
        <f t="shared" si="1086"/>
        <v>61737.8937775661</v>
      </c>
      <c r="AC370" s="1">
        <f t="shared" si="1087"/>
        <v>41158.5958517107</v>
      </c>
      <c r="AD370" s="1">
        <f>AC370/(AC370+[1]战斗公式!$M$27)</f>
        <v>0.631667937494852</v>
      </c>
      <c r="AE370" s="1">
        <f t="shared" si="1088"/>
        <v>5248168.44096048</v>
      </c>
      <c r="AF370" s="1">
        <f t="shared" si="1089"/>
        <v>11.5414249050047</v>
      </c>
      <c r="AG370" s="1">
        <f t="shared" si="1090"/>
        <v>5.8258595570269</v>
      </c>
      <c r="AH370" s="1">
        <f t="shared" si="1091"/>
        <v>4.81908778227397</v>
      </c>
      <c r="AI370" s="1">
        <f t="shared" si="1092"/>
        <v>1.59966179922415</v>
      </c>
      <c r="AJ370" s="1">
        <f t="shared" si="1093"/>
        <v>1.00000001217403</v>
      </c>
      <c r="AK370" s="1">
        <f t="shared" si="1094"/>
        <v>1.00054466327207</v>
      </c>
      <c r="AL370" s="1">
        <f t="shared" si="1095"/>
        <v>0.927251787208413</v>
      </c>
      <c r="AM370" s="27">
        <f t="shared" si="1096"/>
        <v>1599013</v>
      </c>
      <c r="AN370" s="27">
        <f t="shared" si="1097"/>
        <v>98760</v>
      </c>
      <c r="AO370" s="27">
        <f t="shared" si="1098"/>
        <v>41159</v>
      </c>
      <c r="AP370" s="1">
        <f t="shared" si="1099"/>
        <v>807587</v>
      </c>
      <c r="AQ370" s="1">
        <f t="shared" si="1100"/>
        <v>91575</v>
      </c>
      <c r="AR370"/>
      <c r="AS370" s="1">
        <f t="shared" ref="AS370:AY370" si="1220">ROUNDUP(AS$10*$AP370,0)</f>
        <v>807587</v>
      </c>
      <c r="AT370" s="1">
        <f t="shared" si="1220"/>
        <v>2422761</v>
      </c>
      <c r="AU370" s="1">
        <f t="shared" si="1220"/>
        <v>1453657</v>
      </c>
      <c r="AV370" s="1">
        <f t="shared" si="1220"/>
        <v>403794</v>
      </c>
      <c r="AW370" s="1">
        <f t="shared" si="1220"/>
        <v>121139</v>
      </c>
      <c r="AX370" s="1">
        <f t="shared" si="1220"/>
        <v>3230348</v>
      </c>
      <c r="AY370" s="1">
        <f t="shared" si="1220"/>
        <v>7268283</v>
      </c>
      <c r="AZ370" s="1">
        <f t="shared" si="1102"/>
        <v>95940781</v>
      </c>
      <c r="BA370" s="1">
        <f t="shared" si="1103"/>
        <v>47970391</v>
      </c>
      <c r="BC370" s="1">
        <f t="shared" si="1104"/>
        <v>359</v>
      </c>
    </row>
    <row r="371" s="1" customFormat="1" spans="2:55">
      <c r="B371" s="4">
        <v>360</v>
      </c>
      <c r="C371" s="1">
        <f t="shared" ref="C371:I371" si="1221">C$5+(C$6-C$5)*(POWER(C$7,$B371-1)-1)/(POWER(C$7,$B$3-1)-1)</f>
        <v>28441.9851985196</v>
      </c>
      <c r="D371" s="1">
        <f t="shared" si="1221"/>
        <v>8532.59555955587</v>
      </c>
      <c r="E371" s="1">
        <f t="shared" si="1221"/>
        <v>5688.39703970391</v>
      </c>
      <c r="F371" s="1">
        <f t="shared" si="1221"/>
        <v>104407.287437603</v>
      </c>
      <c r="G371" s="1">
        <f t="shared" si="1221"/>
        <v>31322.186231281</v>
      </c>
      <c r="H371" s="1">
        <f t="shared" si="1221"/>
        <v>20881.4574875207</v>
      </c>
      <c r="I371" s="1">
        <f t="shared" si="1221"/>
        <v>0</v>
      </c>
      <c r="J371" s="1">
        <f>[1]标准模型!$I$65/1*$B371/$B$3</f>
        <v>2.592</v>
      </c>
      <c r="K371" s="1">
        <f>J371*[1]标准模型!$J$63</f>
        <v>2.592</v>
      </c>
      <c r="L371" s="1">
        <f t="shared" si="1081"/>
        <v>132849.272636123</v>
      </c>
      <c r="M371" s="1">
        <f t="shared" si="1082"/>
        <v>61971.2694812057</v>
      </c>
      <c r="N371" s="1">
        <f t="shared" si="1083"/>
        <v>41314.1796541371</v>
      </c>
      <c r="O371" s="1">
        <f t="shared" ref="O371:X371" si="1222">O$5+(O$6-O$5)*(POWER(O$7,$B371-1)-1)/(POWER(O$7,$B$3-1)-1)</f>
        <v>0.859744618331848</v>
      </c>
      <c r="P371" s="1">
        <f t="shared" si="1222"/>
        <v>0.256234709496133</v>
      </c>
      <c r="Q371" s="1">
        <f t="shared" si="1222"/>
        <v>0.472859540082517</v>
      </c>
      <c r="R371" s="1">
        <f t="shared" si="1222"/>
        <v>1.14389784733274</v>
      </c>
      <c r="S371" s="1">
        <f t="shared" si="1222"/>
        <v>0.503642465664587</v>
      </c>
      <c r="T371" s="1">
        <f t="shared" si="1222"/>
        <v>3.40300401149421</v>
      </c>
      <c r="U371" s="1">
        <f t="shared" si="1222"/>
        <v>1</v>
      </c>
      <c r="V371" s="1">
        <f t="shared" si="1222"/>
        <v>1.39233686580465</v>
      </c>
      <c r="W371" s="1">
        <f t="shared" si="1222"/>
        <v>1.22138130358883</v>
      </c>
      <c r="X371" s="1">
        <f t="shared" si="1222"/>
        <v>2.15118277866191</v>
      </c>
      <c r="Y371" s="1">
        <f t="shared" si="1107"/>
        <v>7.41334698636035</v>
      </c>
      <c r="Z371" s="1">
        <f t="shared" si="1108"/>
        <v>14.6954319485563</v>
      </c>
      <c r="AA371" s="1">
        <f t="shared" si="1085"/>
        <v>1952277.44543934</v>
      </c>
      <c r="AB371" s="1">
        <f t="shared" si="1086"/>
        <v>61971.2694812057</v>
      </c>
      <c r="AC371" s="1">
        <f t="shared" si="1087"/>
        <v>41314.1796541371</v>
      </c>
      <c r="AD371" s="1">
        <f>AC371/(AC371+[1]战斗公式!$M$27)</f>
        <v>0.632545335069828</v>
      </c>
      <c r="AE371" s="1">
        <f t="shared" si="1088"/>
        <v>5312974.99192271</v>
      </c>
      <c r="AF371" s="1">
        <f t="shared" si="1089"/>
        <v>11.5646648421244</v>
      </c>
      <c r="AG371" s="1">
        <f t="shared" si="1090"/>
        <v>5.83398116882523</v>
      </c>
      <c r="AH371" s="1">
        <f t="shared" si="1091"/>
        <v>4.82116227813797</v>
      </c>
      <c r="AI371" s="1">
        <f t="shared" si="1092"/>
        <v>1.60396620351037</v>
      </c>
      <c r="AJ371" s="1">
        <f t="shared" si="1093"/>
        <v>1.00000001156489</v>
      </c>
      <c r="AK371" s="1">
        <f t="shared" si="1094"/>
        <v>1.00053310019924</v>
      </c>
      <c r="AL371" s="1">
        <f t="shared" si="1095"/>
        <v>0.927449404310147</v>
      </c>
      <c r="AM371" s="27">
        <f t="shared" si="1096"/>
        <v>1613349</v>
      </c>
      <c r="AN371" s="27">
        <f t="shared" si="1097"/>
        <v>99400</v>
      </c>
      <c r="AO371" s="27">
        <f t="shared" si="1098"/>
        <v>41314</v>
      </c>
      <c r="AP371" s="1">
        <f t="shared" si="1099"/>
        <v>814314</v>
      </c>
      <c r="AQ371" s="1">
        <f t="shared" si="1100"/>
        <v>92188</v>
      </c>
      <c r="AR371"/>
      <c r="AS371" s="1">
        <f t="shared" ref="AS371:AY371" si="1223">ROUNDUP(AS$10*$AP371,0)</f>
        <v>814314</v>
      </c>
      <c r="AT371" s="1">
        <f t="shared" si="1223"/>
        <v>2442942</v>
      </c>
      <c r="AU371" s="1">
        <f t="shared" si="1223"/>
        <v>1465766</v>
      </c>
      <c r="AV371" s="1">
        <f t="shared" si="1223"/>
        <v>407157</v>
      </c>
      <c r="AW371" s="1">
        <f t="shared" si="1223"/>
        <v>122148</v>
      </c>
      <c r="AX371" s="1">
        <f t="shared" si="1223"/>
        <v>3257256</v>
      </c>
      <c r="AY371" s="1">
        <f t="shared" si="1223"/>
        <v>7328826</v>
      </c>
      <c r="AZ371" s="1">
        <f t="shared" si="1102"/>
        <v>96800941</v>
      </c>
      <c r="BA371" s="1">
        <f t="shared" si="1103"/>
        <v>48400471</v>
      </c>
      <c r="BC371" s="1">
        <f t="shared" si="1104"/>
        <v>360</v>
      </c>
    </row>
    <row r="372" s="1" customFormat="1" spans="2:55">
      <c r="B372" s="4">
        <v>361</v>
      </c>
      <c r="C372" s="1">
        <f t="shared" ref="C372:I372" si="1224">C$5+(C$6-C$5)*(POWER(C$7,$B372-1)-1)/(POWER(C$7,$B$3-1)-1)</f>
        <v>28520.9765081718</v>
      </c>
      <c r="D372" s="1">
        <f t="shared" si="1224"/>
        <v>8556.29295245153</v>
      </c>
      <c r="E372" s="1">
        <f t="shared" si="1224"/>
        <v>5704.19530163436</v>
      </c>
      <c r="F372" s="1">
        <f t="shared" si="1224"/>
        <v>104697.255536327</v>
      </c>
      <c r="G372" s="1">
        <f t="shared" si="1224"/>
        <v>31409.176660898</v>
      </c>
      <c r="H372" s="1">
        <f t="shared" si="1224"/>
        <v>20939.4511072654</v>
      </c>
      <c r="I372" s="1">
        <f t="shared" si="1224"/>
        <v>0</v>
      </c>
      <c r="J372" s="1">
        <f>[1]标准模型!$I$65/1*$B372/$B$3</f>
        <v>2.5992</v>
      </c>
      <c r="K372" s="1">
        <f>J372*[1]标准模型!$J$63</f>
        <v>2.5992</v>
      </c>
      <c r="L372" s="1">
        <f t="shared" si="1081"/>
        <v>133218.232044499</v>
      </c>
      <c r="M372" s="1">
        <f t="shared" si="1082"/>
        <v>62204.9862553615</v>
      </c>
      <c r="N372" s="1">
        <f t="shared" si="1083"/>
        <v>41469.9908369078</v>
      </c>
      <c r="O372" s="1">
        <f t="shared" ref="O372:X372" si="1225">O$5+(O$6-O$5)*(POWER(O$7,$B372-1)-1)/(POWER(O$7,$B$3-1)-1)</f>
        <v>0.860746512115012</v>
      </c>
      <c r="P372" s="1">
        <f t="shared" si="1225"/>
        <v>0.257158318685907</v>
      </c>
      <c r="Q372" s="1">
        <f t="shared" si="1225"/>
        <v>0.473410581663257</v>
      </c>
      <c r="R372" s="1">
        <f t="shared" si="1225"/>
        <v>1.144298604846</v>
      </c>
      <c r="S372" s="1">
        <f t="shared" si="1225"/>
        <v>0.505045116961017</v>
      </c>
      <c r="T372" s="1">
        <f t="shared" si="1225"/>
        <v>3.40691139724855</v>
      </c>
      <c r="U372" s="1">
        <f t="shared" si="1225"/>
        <v>1</v>
      </c>
      <c r="V372" s="1">
        <f t="shared" si="1225"/>
        <v>1.39342952945193</v>
      </c>
      <c r="W372" s="1">
        <f t="shared" si="1225"/>
        <v>1.22199785360924</v>
      </c>
      <c r="X372" s="1">
        <f t="shared" si="1225"/>
        <v>2.15438883876804</v>
      </c>
      <c r="Y372" s="1">
        <f t="shared" si="1107"/>
        <v>7.46156395090255</v>
      </c>
      <c r="Z372" s="1">
        <f t="shared" si="1108"/>
        <v>14.8001566317101</v>
      </c>
      <c r="AA372" s="1">
        <f t="shared" si="1085"/>
        <v>1971650.70045808</v>
      </c>
      <c r="AB372" s="1">
        <f t="shared" si="1086"/>
        <v>62204.9862553615</v>
      </c>
      <c r="AC372" s="1">
        <f t="shared" si="1087"/>
        <v>41469.9908369078</v>
      </c>
      <c r="AD372" s="1">
        <f>AC372/(AC372+[1]战斗公式!$M$27)</f>
        <v>0.63341983566507</v>
      </c>
      <c r="AE372" s="1">
        <f t="shared" si="1088"/>
        <v>5378498.05385722</v>
      </c>
      <c r="AF372" s="1">
        <f t="shared" si="1089"/>
        <v>11.587932367783</v>
      </c>
      <c r="AG372" s="1">
        <f t="shared" si="1090"/>
        <v>5.8421069839013</v>
      </c>
      <c r="AH372" s="1">
        <f t="shared" si="1091"/>
        <v>4.82322121528299</v>
      </c>
      <c r="AI372" s="1">
        <f t="shared" si="1092"/>
        <v>1.60827921660516</v>
      </c>
      <c r="AJ372" s="1">
        <f t="shared" si="1093"/>
        <v>1.00000001098621</v>
      </c>
      <c r="AK372" s="1">
        <f t="shared" si="1094"/>
        <v>1.00052176838787</v>
      </c>
      <c r="AL372" s="1">
        <f t="shared" si="1095"/>
        <v>0.927646428560576</v>
      </c>
      <c r="AM372" s="27">
        <f t="shared" si="1096"/>
        <v>1627787</v>
      </c>
      <c r="AN372" s="27">
        <f t="shared" si="1097"/>
        <v>100043</v>
      </c>
      <c r="AO372" s="27">
        <f t="shared" si="1098"/>
        <v>41470</v>
      </c>
      <c r="AP372" s="1">
        <f t="shared" si="1099"/>
        <v>821084</v>
      </c>
      <c r="AQ372" s="1">
        <f t="shared" si="1100"/>
        <v>92805</v>
      </c>
      <c r="AR372"/>
      <c r="AS372" s="1">
        <f t="shared" ref="AS372:AY372" si="1226">ROUNDUP(AS$10*$AP372,0)</f>
        <v>821084</v>
      </c>
      <c r="AT372" s="1">
        <f t="shared" si="1226"/>
        <v>2463252</v>
      </c>
      <c r="AU372" s="1">
        <f t="shared" si="1226"/>
        <v>1477952</v>
      </c>
      <c r="AV372" s="1">
        <f t="shared" si="1226"/>
        <v>410542</v>
      </c>
      <c r="AW372" s="1">
        <f t="shared" si="1226"/>
        <v>123163</v>
      </c>
      <c r="AX372" s="1">
        <f t="shared" si="1226"/>
        <v>3284336</v>
      </c>
      <c r="AY372" s="1">
        <f t="shared" si="1226"/>
        <v>7389756</v>
      </c>
      <c r="AZ372" s="1">
        <f t="shared" si="1102"/>
        <v>97667221</v>
      </c>
      <c r="BA372" s="1">
        <f t="shared" si="1103"/>
        <v>48833611</v>
      </c>
      <c r="BC372" s="1">
        <f t="shared" si="1104"/>
        <v>361</v>
      </c>
    </row>
    <row r="373" s="1" customFormat="1" spans="2:55">
      <c r="B373" s="4">
        <v>362</v>
      </c>
      <c r="C373" s="1">
        <f t="shared" ref="C373:I373" si="1227">C$5+(C$6-C$5)*(POWER(C$7,$B373-1)-1)/(POWER(C$7,$B$3-1)-1)</f>
        <v>28599.9677388411</v>
      </c>
      <c r="D373" s="1">
        <f t="shared" si="1227"/>
        <v>8579.99032165235</v>
      </c>
      <c r="E373" s="1">
        <f t="shared" si="1227"/>
        <v>5719.99354776823</v>
      </c>
      <c r="F373" s="1">
        <f t="shared" si="1227"/>
        <v>104987.223345113</v>
      </c>
      <c r="G373" s="1">
        <f t="shared" si="1227"/>
        <v>31496.1670035339</v>
      </c>
      <c r="H373" s="1">
        <f t="shared" si="1227"/>
        <v>20997.4446690226</v>
      </c>
      <c r="I373" s="1">
        <f t="shared" si="1227"/>
        <v>0</v>
      </c>
      <c r="J373" s="1">
        <f>[1]标准模型!$I$65/1*$B373/$B$3</f>
        <v>2.6064</v>
      </c>
      <c r="K373" s="1">
        <f>J373*[1]标准模型!$J$63</f>
        <v>2.6064</v>
      </c>
      <c r="L373" s="1">
        <f t="shared" si="1081"/>
        <v>133587.191083954</v>
      </c>
      <c r="M373" s="1">
        <f t="shared" si="1082"/>
        <v>62439.0440995409</v>
      </c>
      <c r="N373" s="1">
        <f t="shared" si="1083"/>
        <v>41626.0293996939</v>
      </c>
      <c r="O373" s="1">
        <f t="shared" ref="O373:X373" si="1228">O$5+(O$6-O$5)*(POWER(O$7,$B373-1)-1)/(POWER(O$7,$B$3-1)-1)</f>
        <v>0.86174840489639</v>
      </c>
      <c r="P373" s="1">
        <f t="shared" si="1228"/>
        <v>0.258083313289465</v>
      </c>
      <c r="Q373" s="1">
        <f t="shared" si="1228"/>
        <v>0.473961622693014</v>
      </c>
      <c r="R373" s="1">
        <f t="shared" si="1228"/>
        <v>1.14469936195856</v>
      </c>
      <c r="S373" s="1">
        <f t="shared" si="1228"/>
        <v>0.506447766854945</v>
      </c>
      <c r="T373" s="1">
        <f t="shared" si="1228"/>
        <v>3.41081877909592</v>
      </c>
      <c r="U373" s="1">
        <f t="shared" si="1228"/>
        <v>1</v>
      </c>
      <c r="V373" s="1">
        <f t="shared" si="1228"/>
        <v>1.39452219200666</v>
      </c>
      <c r="W373" s="1">
        <f t="shared" si="1228"/>
        <v>1.22261440301316</v>
      </c>
      <c r="X373" s="1">
        <f t="shared" si="1228"/>
        <v>2.15759489566845</v>
      </c>
      <c r="Y373" s="1">
        <f t="shared" si="1107"/>
        <v>7.51005540030169</v>
      </c>
      <c r="Z373" s="1">
        <f t="shared" si="1108"/>
        <v>14.9055434288349</v>
      </c>
      <c r="AA373" s="1">
        <f t="shared" si="1085"/>
        <v>1991189.67823794</v>
      </c>
      <c r="AB373" s="1">
        <f t="shared" si="1086"/>
        <v>62439.0440995409</v>
      </c>
      <c r="AC373" s="1">
        <f t="shared" si="1087"/>
        <v>41626.0293996939</v>
      </c>
      <c r="AD373" s="1">
        <f>AC373/(AC373+[1]战斗公式!$M$27)</f>
        <v>0.634291450823141</v>
      </c>
      <c r="AE373" s="1">
        <f t="shared" si="1088"/>
        <v>5444744.68185042</v>
      </c>
      <c r="AF373" s="1">
        <f t="shared" si="1089"/>
        <v>11.6112274639398</v>
      </c>
      <c r="AG373" s="1">
        <f t="shared" si="1090"/>
        <v>5.8502369897498</v>
      </c>
      <c r="AH373" s="1">
        <f t="shared" si="1091"/>
        <v>4.82526471039942</v>
      </c>
      <c r="AI373" s="1">
        <f t="shared" si="1092"/>
        <v>1.61260085572614</v>
      </c>
      <c r="AJ373" s="1">
        <f t="shared" si="1093"/>
        <v>1.00000001043646</v>
      </c>
      <c r="AK373" s="1">
        <f t="shared" si="1094"/>
        <v>1.00051066321272</v>
      </c>
      <c r="AL373" s="1">
        <f t="shared" si="1095"/>
        <v>0.927842861738254</v>
      </c>
      <c r="AM373" s="27">
        <f t="shared" si="1096"/>
        <v>1642330</v>
      </c>
      <c r="AN373" s="27">
        <f t="shared" si="1097"/>
        <v>100689</v>
      </c>
      <c r="AO373" s="27">
        <f t="shared" si="1098"/>
        <v>41626</v>
      </c>
      <c r="AP373" s="1">
        <f t="shared" si="1099"/>
        <v>827899</v>
      </c>
      <c r="AQ373" s="1">
        <f t="shared" si="1100"/>
        <v>93424</v>
      </c>
      <c r="AR373"/>
      <c r="AS373" s="1">
        <f t="shared" ref="AS373:AY373" si="1229">ROUNDUP(AS$10*$AP373,0)</f>
        <v>827899</v>
      </c>
      <c r="AT373" s="1">
        <f t="shared" si="1229"/>
        <v>2483697</v>
      </c>
      <c r="AU373" s="1">
        <f t="shared" si="1229"/>
        <v>1490219</v>
      </c>
      <c r="AV373" s="1">
        <f t="shared" si="1229"/>
        <v>413950</v>
      </c>
      <c r="AW373" s="1">
        <f t="shared" si="1229"/>
        <v>124185</v>
      </c>
      <c r="AX373" s="1">
        <f t="shared" si="1229"/>
        <v>3311596</v>
      </c>
      <c r="AY373" s="1">
        <f t="shared" si="1229"/>
        <v>7451091</v>
      </c>
      <c r="AZ373" s="1">
        <f t="shared" si="1102"/>
        <v>98539801</v>
      </c>
      <c r="BA373" s="1">
        <f t="shared" si="1103"/>
        <v>49269901</v>
      </c>
      <c r="BC373" s="1">
        <f t="shared" si="1104"/>
        <v>362</v>
      </c>
    </row>
    <row r="374" s="1" customFormat="1" spans="2:55">
      <c r="B374" s="4">
        <v>363</v>
      </c>
      <c r="C374" s="1">
        <f t="shared" ref="C374:I374" si="1230">C$5+(C$6-C$5)*(POWER(C$7,$B374-1)-1)/(POWER(C$7,$B$3-1)-1)</f>
        <v>28678.9588905101</v>
      </c>
      <c r="D374" s="1">
        <f t="shared" si="1230"/>
        <v>8603.68766715304</v>
      </c>
      <c r="E374" s="1">
        <f t="shared" si="1230"/>
        <v>5735.79177810203</v>
      </c>
      <c r="F374" s="1">
        <f t="shared" si="1230"/>
        <v>105277.190863898</v>
      </c>
      <c r="G374" s="1">
        <f t="shared" si="1230"/>
        <v>31583.1572591694</v>
      </c>
      <c r="H374" s="1">
        <f t="shared" si="1230"/>
        <v>21055.4381727796</v>
      </c>
      <c r="I374" s="1">
        <f t="shared" si="1230"/>
        <v>0</v>
      </c>
      <c r="J374" s="1">
        <f>[1]标准模型!$I$65/1*$B374/$B$3</f>
        <v>2.6136</v>
      </c>
      <c r="K374" s="1">
        <f>J374*[1]标准模型!$J$63</f>
        <v>2.6136</v>
      </c>
      <c r="L374" s="1">
        <f t="shared" si="1081"/>
        <v>133956.149754408</v>
      </c>
      <c r="M374" s="1">
        <f t="shared" si="1082"/>
        <v>62673.4430131936</v>
      </c>
      <c r="N374" s="1">
        <f t="shared" si="1083"/>
        <v>41782.2953421291</v>
      </c>
      <c r="O374" s="1">
        <f t="shared" ref="O374:X374" si="1231">O$5+(O$6-O$5)*(POWER(O$7,$B374-1)-1)/(POWER(O$7,$B$3-1)-1)</f>
        <v>0.862750296675758</v>
      </c>
      <c r="P374" s="1">
        <f t="shared" si="1231"/>
        <v>0.259009695384929</v>
      </c>
      <c r="Q374" s="1">
        <f t="shared" si="1231"/>
        <v>0.474512663171667</v>
      </c>
      <c r="R374" s="1">
        <f t="shared" si="1231"/>
        <v>1.1451001186703</v>
      </c>
      <c r="S374" s="1">
        <f t="shared" si="1231"/>
        <v>0.507850415346062</v>
      </c>
      <c r="T374" s="1">
        <f t="shared" si="1231"/>
        <v>3.41472615703546</v>
      </c>
      <c r="U374" s="1">
        <f t="shared" si="1231"/>
        <v>1</v>
      </c>
      <c r="V374" s="1">
        <f t="shared" si="1231"/>
        <v>1.3956148534686</v>
      </c>
      <c r="W374" s="1">
        <f t="shared" si="1231"/>
        <v>1.22323095180047</v>
      </c>
      <c r="X374" s="1">
        <f t="shared" si="1231"/>
        <v>2.16080094936243</v>
      </c>
      <c r="Y374" s="1">
        <f t="shared" si="1107"/>
        <v>7.55882264897851</v>
      </c>
      <c r="Z374" s="1">
        <f t="shared" si="1108"/>
        <v>15.0115959352724</v>
      </c>
      <c r="AA374" s="1">
        <f t="shared" si="1085"/>
        <v>2010895.59315801</v>
      </c>
      <c r="AB374" s="1">
        <f t="shared" si="1086"/>
        <v>62673.4430131936</v>
      </c>
      <c r="AC374" s="1">
        <f t="shared" si="1087"/>
        <v>41782.2953421291</v>
      </c>
      <c r="AD374" s="1">
        <f>AC374/(AC374+[1]战斗公式!$M$27)</f>
        <v>0.635160192036813</v>
      </c>
      <c r="AE374" s="1">
        <f t="shared" si="1088"/>
        <v>5511721.99213775</v>
      </c>
      <c r="AF374" s="1">
        <f t="shared" si="1089"/>
        <v>11.6345501125753</v>
      </c>
      <c r="AG374" s="1">
        <f t="shared" si="1090"/>
        <v>5.85837117391166</v>
      </c>
      <c r="AH374" s="1">
        <f t="shared" si="1091"/>
        <v>4.82729287930247</v>
      </c>
      <c r="AI374" s="1">
        <f t="shared" si="1092"/>
        <v>1.61693113812537</v>
      </c>
      <c r="AJ374" s="1">
        <f t="shared" si="1093"/>
        <v>1.00000000991419</v>
      </c>
      <c r="AK374" s="1">
        <f t="shared" si="1094"/>
        <v>1.00049978014108</v>
      </c>
      <c r="AL374" s="1">
        <f t="shared" si="1095"/>
        <v>0.928038705616399</v>
      </c>
      <c r="AM374" s="27">
        <f t="shared" si="1096"/>
        <v>1656976</v>
      </c>
      <c r="AN374" s="27">
        <f t="shared" si="1097"/>
        <v>101339</v>
      </c>
      <c r="AO374" s="27">
        <f t="shared" si="1098"/>
        <v>41782</v>
      </c>
      <c r="AP374" s="1">
        <f t="shared" si="1099"/>
        <v>834758</v>
      </c>
      <c r="AQ374" s="1">
        <f t="shared" si="1100"/>
        <v>94047</v>
      </c>
      <c r="AR374"/>
      <c r="AS374" s="1">
        <f t="shared" ref="AS374:AY374" si="1232">ROUNDUP(AS$10*$AP374,0)</f>
        <v>834758</v>
      </c>
      <c r="AT374" s="1">
        <f t="shared" si="1232"/>
        <v>2504274</v>
      </c>
      <c r="AU374" s="1">
        <f t="shared" si="1232"/>
        <v>1502565</v>
      </c>
      <c r="AV374" s="1">
        <f t="shared" si="1232"/>
        <v>417379</v>
      </c>
      <c r="AW374" s="1">
        <f t="shared" si="1232"/>
        <v>125214</v>
      </c>
      <c r="AX374" s="1">
        <f t="shared" si="1232"/>
        <v>3339032</v>
      </c>
      <c r="AY374" s="1">
        <f t="shared" si="1232"/>
        <v>7512822</v>
      </c>
      <c r="AZ374" s="1">
        <f t="shared" si="1102"/>
        <v>99418561</v>
      </c>
      <c r="BA374" s="1">
        <f t="shared" si="1103"/>
        <v>49709280</v>
      </c>
      <c r="BC374" s="1">
        <f t="shared" si="1104"/>
        <v>363</v>
      </c>
    </row>
    <row r="375" s="1" customFormat="1" spans="2:55">
      <c r="B375" s="4">
        <v>364</v>
      </c>
      <c r="C375" s="1">
        <f t="shared" ref="C375:I375" si="1233">C$5+(C$6-C$5)*(POWER(C$7,$B375-1)-1)/(POWER(C$7,$B$3-1)-1)</f>
        <v>28757.9499631875</v>
      </c>
      <c r="D375" s="1">
        <f t="shared" si="1233"/>
        <v>8627.38498895626</v>
      </c>
      <c r="E375" s="1">
        <f t="shared" si="1233"/>
        <v>5751.58999263751</v>
      </c>
      <c r="F375" s="1">
        <f t="shared" si="1233"/>
        <v>105567.158092714</v>
      </c>
      <c r="G375" s="1">
        <f t="shared" si="1233"/>
        <v>31670.1474278141</v>
      </c>
      <c r="H375" s="1">
        <f t="shared" si="1233"/>
        <v>21113.4316185427</v>
      </c>
      <c r="I375" s="1">
        <f t="shared" si="1233"/>
        <v>0</v>
      </c>
      <c r="J375" s="1">
        <f>[1]标准模型!$I$65/1*$B375/$B$3</f>
        <v>2.6208</v>
      </c>
      <c r="K375" s="1">
        <f>J375*[1]标准模型!$J$63</f>
        <v>2.6208</v>
      </c>
      <c r="L375" s="1">
        <f t="shared" si="1081"/>
        <v>134325.108055902</v>
      </c>
      <c r="M375" s="1">
        <f t="shared" si="1082"/>
        <v>62908.1829958269</v>
      </c>
      <c r="N375" s="1">
        <f t="shared" si="1083"/>
        <v>41938.7886638846</v>
      </c>
      <c r="O375" s="1">
        <f t="shared" ref="O375:X375" si="1234">O$5+(O$6-O$5)*(POWER(O$7,$B375-1)-1)/(POWER(O$7,$B$3-1)-1)</f>
        <v>0.86375218745323</v>
      </c>
      <c r="P375" s="1">
        <f t="shared" si="1234"/>
        <v>0.259937467053536</v>
      </c>
      <c r="Q375" s="1">
        <f t="shared" si="1234"/>
        <v>0.475063703099276</v>
      </c>
      <c r="R375" s="1">
        <f t="shared" si="1234"/>
        <v>1.14550087498129</v>
      </c>
      <c r="S375" s="1">
        <f t="shared" si="1234"/>
        <v>0.509253062434521</v>
      </c>
      <c r="T375" s="1">
        <f t="shared" si="1234"/>
        <v>3.4186335310676</v>
      </c>
      <c r="U375" s="1">
        <f t="shared" si="1234"/>
        <v>1</v>
      </c>
      <c r="V375" s="1">
        <f t="shared" si="1234"/>
        <v>1.39670751383788</v>
      </c>
      <c r="W375" s="1">
        <f t="shared" si="1234"/>
        <v>1.22384749997122</v>
      </c>
      <c r="X375" s="1">
        <f t="shared" si="1234"/>
        <v>2.16400699985033</v>
      </c>
      <c r="Y375" s="1">
        <f t="shared" si="1107"/>
        <v>7.60786701642851</v>
      </c>
      <c r="Z375" s="1">
        <f t="shared" si="1108"/>
        <v>15.1183177625487</v>
      </c>
      <c r="AA375" s="1">
        <f t="shared" si="1085"/>
        <v>2030769.66707781</v>
      </c>
      <c r="AB375" s="1">
        <f t="shared" si="1086"/>
        <v>62908.1829958269</v>
      </c>
      <c r="AC375" s="1">
        <f t="shared" si="1087"/>
        <v>41938.7886638846</v>
      </c>
      <c r="AD375" s="1">
        <f>AC375/(AC375+[1]战斗公式!$M$27)</f>
        <v>0.636026070749688</v>
      </c>
      <c r="AE375" s="1">
        <f t="shared" si="1088"/>
        <v>5579437.16260296</v>
      </c>
      <c r="AF375" s="1">
        <f t="shared" si="1089"/>
        <v>11.6579002957111</v>
      </c>
      <c r="AG375" s="1">
        <f t="shared" si="1090"/>
        <v>5.86650952398031</v>
      </c>
      <c r="AH375" s="1">
        <f t="shared" si="1091"/>
        <v>4.82930583693876</v>
      </c>
      <c r="AI375" s="1">
        <f t="shared" si="1092"/>
        <v>1.62127008108939</v>
      </c>
      <c r="AJ375" s="1">
        <f t="shared" si="1093"/>
        <v>1.00000000941804</v>
      </c>
      <c r="AK375" s="1">
        <f t="shared" si="1094"/>
        <v>1.00048911473087</v>
      </c>
      <c r="AL375" s="1">
        <f t="shared" si="1095"/>
        <v>0.92823396196291</v>
      </c>
      <c r="AM375" s="27">
        <f t="shared" si="1096"/>
        <v>1671728</v>
      </c>
      <c r="AN375" s="27">
        <f t="shared" si="1097"/>
        <v>101991</v>
      </c>
      <c r="AO375" s="27">
        <f t="shared" si="1098"/>
        <v>41939</v>
      </c>
      <c r="AP375" s="1">
        <f t="shared" si="1099"/>
        <v>841661</v>
      </c>
      <c r="AQ375" s="1">
        <f t="shared" si="1100"/>
        <v>94672</v>
      </c>
      <c r="AR375"/>
      <c r="AS375" s="1">
        <f t="shared" ref="AS375:AY375" si="1235">ROUNDUP(AS$10*$AP375,0)</f>
        <v>841661</v>
      </c>
      <c r="AT375" s="1">
        <f t="shared" si="1235"/>
        <v>2524983</v>
      </c>
      <c r="AU375" s="1">
        <f t="shared" si="1235"/>
        <v>1514990</v>
      </c>
      <c r="AV375" s="1">
        <f t="shared" si="1235"/>
        <v>420831</v>
      </c>
      <c r="AW375" s="1">
        <f t="shared" si="1235"/>
        <v>126250</v>
      </c>
      <c r="AX375" s="1">
        <f t="shared" si="1235"/>
        <v>3366644</v>
      </c>
      <c r="AY375" s="1">
        <f t="shared" si="1235"/>
        <v>7574949</v>
      </c>
      <c r="AZ375" s="1">
        <f t="shared" si="1102"/>
        <v>100303681</v>
      </c>
      <c r="BA375" s="1">
        <f t="shared" si="1103"/>
        <v>50151840</v>
      </c>
      <c r="BC375" s="1">
        <f t="shared" si="1104"/>
        <v>364</v>
      </c>
    </row>
    <row r="376" s="1" customFormat="1" spans="2:55">
      <c r="B376" s="4">
        <v>365</v>
      </c>
      <c r="C376" s="1">
        <f t="shared" ref="C376:I376" si="1236">C$5+(C$6-C$5)*(POWER(C$7,$B376-1)-1)/(POWER(C$7,$B$3-1)-1)</f>
        <v>28836.9409568821</v>
      </c>
      <c r="D376" s="1">
        <f t="shared" si="1236"/>
        <v>8651.08228706462</v>
      </c>
      <c r="E376" s="1">
        <f t="shared" si="1236"/>
        <v>5767.38819137642</v>
      </c>
      <c r="F376" s="1">
        <f t="shared" si="1236"/>
        <v>105857.125031592</v>
      </c>
      <c r="G376" s="1">
        <f t="shared" si="1236"/>
        <v>31757.1375094777</v>
      </c>
      <c r="H376" s="1">
        <f t="shared" si="1236"/>
        <v>21171.4250063185</v>
      </c>
      <c r="I376" s="1">
        <f t="shared" si="1236"/>
        <v>0</v>
      </c>
      <c r="J376" s="1">
        <f>[1]标准模型!$I$65/1*$B376/$B$3</f>
        <v>2.628</v>
      </c>
      <c r="K376" s="1">
        <f>J376*[1]标准模型!$J$63</f>
        <v>2.628</v>
      </c>
      <c r="L376" s="1">
        <f t="shared" si="1081"/>
        <v>134694.065988474</v>
      </c>
      <c r="M376" s="1">
        <f t="shared" si="1082"/>
        <v>63143.2640469481</v>
      </c>
      <c r="N376" s="1">
        <f t="shared" si="1083"/>
        <v>42095.5093646321</v>
      </c>
      <c r="O376" s="1">
        <f t="shared" ref="O376:X376" si="1237">O$5+(O$6-O$5)*(POWER(O$7,$B376-1)-1)/(POWER(O$7,$B$3-1)-1)</f>
        <v>0.864754077228915</v>
      </c>
      <c r="P376" s="1">
        <f t="shared" si="1237"/>
        <v>0.260866630379646</v>
      </c>
      <c r="Q376" s="1">
        <f t="shared" si="1237"/>
        <v>0.475614742475903</v>
      </c>
      <c r="R376" s="1">
        <f t="shared" si="1237"/>
        <v>1.14590163089157</v>
      </c>
      <c r="S376" s="1">
        <f t="shared" si="1237"/>
        <v>0.51065570812048</v>
      </c>
      <c r="T376" s="1">
        <f t="shared" si="1237"/>
        <v>3.42254090119277</v>
      </c>
      <c r="U376" s="1">
        <f t="shared" si="1237"/>
        <v>1</v>
      </c>
      <c r="V376" s="1">
        <f t="shared" si="1237"/>
        <v>1.39780017311461</v>
      </c>
      <c r="W376" s="1">
        <f t="shared" si="1237"/>
        <v>1.22446404752549</v>
      </c>
      <c r="X376" s="1">
        <f t="shared" si="1237"/>
        <v>2.16721304713253</v>
      </c>
      <c r="Y376" s="1">
        <f t="shared" si="1107"/>
        <v>7.65718982722357</v>
      </c>
      <c r="Z376" s="1">
        <f t="shared" si="1108"/>
        <v>15.2257125384019</v>
      </c>
      <c r="AA376" s="1">
        <f t="shared" si="1085"/>
        <v>2050813.12936904</v>
      </c>
      <c r="AB376" s="1">
        <f t="shared" si="1086"/>
        <v>63143.2640469481</v>
      </c>
      <c r="AC376" s="1">
        <f t="shared" si="1087"/>
        <v>42095.5093646321</v>
      </c>
      <c r="AD376" s="1">
        <f>AC376/(AC376+[1]战斗公式!$M$27)</f>
        <v>0.636889098356167</v>
      </c>
      <c r="AE376" s="1">
        <f t="shared" si="1088"/>
        <v>5647897.43322175</v>
      </c>
      <c r="AF376" s="1">
        <f t="shared" si="1089"/>
        <v>11.6812779954001</v>
      </c>
      <c r="AG376" s="1">
        <f t="shared" si="1090"/>
        <v>5.87465202759808</v>
      </c>
      <c r="AH376" s="1">
        <f t="shared" si="1091"/>
        <v>4.83130369739277</v>
      </c>
      <c r="AI376" s="1">
        <f t="shared" si="1092"/>
        <v>1.62561770193935</v>
      </c>
      <c r="AJ376" s="1">
        <f t="shared" si="1093"/>
        <v>1.0000000089467</v>
      </c>
      <c r="AK376" s="1">
        <f t="shared" si="1094"/>
        <v>1.00047866262886</v>
      </c>
      <c r="AL376" s="1">
        <f t="shared" si="1095"/>
        <v>0.928428632540381</v>
      </c>
      <c r="AM376" s="27">
        <f t="shared" si="1096"/>
        <v>1686585</v>
      </c>
      <c r="AN376" s="27">
        <f t="shared" si="1097"/>
        <v>102647</v>
      </c>
      <c r="AO376" s="27">
        <f t="shared" si="1098"/>
        <v>42096</v>
      </c>
      <c r="AP376" s="1">
        <f t="shared" si="1099"/>
        <v>848610</v>
      </c>
      <c r="AQ376" s="1">
        <f t="shared" si="1100"/>
        <v>95300</v>
      </c>
      <c r="AR376"/>
      <c r="AS376" s="1">
        <f t="shared" ref="AS376:AY376" si="1238">ROUNDUP(AS$10*$AP376,0)</f>
        <v>848610</v>
      </c>
      <c r="AT376" s="1">
        <f t="shared" si="1238"/>
        <v>2545830</v>
      </c>
      <c r="AU376" s="1">
        <f t="shared" si="1238"/>
        <v>1527498</v>
      </c>
      <c r="AV376" s="1">
        <f t="shared" si="1238"/>
        <v>424305</v>
      </c>
      <c r="AW376" s="1">
        <f t="shared" si="1238"/>
        <v>127292</v>
      </c>
      <c r="AX376" s="1">
        <f t="shared" si="1238"/>
        <v>3394440</v>
      </c>
      <c r="AY376" s="1">
        <f t="shared" si="1238"/>
        <v>7637490</v>
      </c>
      <c r="AZ376" s="1">
        <f t="shared" si="1102"/>
        <v>101195101</v>
      </c>
      <c r="BA376" s="1">
        <f t="shared" si="1103"/>
        <v>50597550</v>
      </c>
      <c r="BC376" s="1">
        <f t="shared" si="1104"/>
        <v>365</v>
      </c>
    </row>
    <row r="377" s="1" customFormat="1" spans="2:55">
      <c r="B377" s="4">
        <v>366</v>
      </c>
      <c r="C377" s="1">
        <f t="shared" ref="C377:I377" si="1239">C$5+(C$6-C$5)*(POWER(C$7,$B377-1)-1)/(POWER(C$7,$B$3-1)-1)</f>
        <v>28915.9318715763</v>
      </c>
      <c r="D377" s="1">
        <f t="shared" si="1239"/>
        <v>8674.77956147288</v>
      </c>
      <c r="E377" s="1">
        <f t="shared" si="1239"/>
        <v>5783.18637431525</v>
      </c>
      <c r="F377" s="1">
        <f t="shared" si="1239"/>
        <v>106147.09168047</v>
      </c>
      <c r="G377" s="1">
        <f t="shared" si="1239"/>
        <v>31844.1275041409</v>
      </c>
      <c r="H377" s="1">
        <f t="shared" si="1239"/>
        <v>21229.418336094</v>
      </c>
      <c r="I377" s="1">
        <f t="shared" si="1239"/>
        <v>0</v>
      </c>
      <c r="J377" s="1">
        <f>[1]标准模型!$I$65/1*$B377/$B$3</f>
        <v>2.6352</v>
      </c>
      <c r="K377" s="1">
        <f>J377*[1]标准模型!$J$63</f>
        <v>2.6352</v>
      </c>
      <c r="L377" s="1">
        <f t="shared" si="1081"/>
        <v>135063.023552046</v>
      </c>
      <c r="M377" s="1">
        <f t="shared" si="1082"/>
        <v>63378.6861660071</v>
      </c>
      <c r="N377" s="1">
        <f t="shared" si="1083"/>
        <v>42252.4574440048</v>
      </c>
      <c r="O377" s="1">
        <f t="shared" ref="O377:X377" si="1240">O$5+(O$6-O$5)*(POWER(O$7,$B377-1)-1)/(POWER(O$7,$B$3-1)-1)</f>
        <v>0.865755966002591</v>
      </c>
      <c r="P377" s="1">
        <f t="shared" si="1240"/>
        <v>0.261797187450745</v>
      </c>
      <c r="Q377" s="1">
        <f t="shared" si="1240"/>
        <v>0.476165781301425</v>
      </c>
      <c r="R377" s="1">
        <f t="shared" si="1240"/>
        <v>1.14630238640104</v>
      </c>
      <c r="S377" s="1">
        <f t="shared" si="1240"/>
        <v>0.512058352403627</v>
      </c>
      <c r="T377" s="1">
        <f t="shared" si="1240"/>
        <v>3.4264482674101</v>
      </c>
      <c r="U377" s="1">
        <f t="shared" si="1240"/>
        <v>1</v>
      </c>
      <c r="V377" s="1">
        <f t="shared" si="1240"/>
        <v>1.39889283129855</v>
      </c>
      <c r="W377" s="1">
        <f t="shared" si="1240"/>
        <v>1.22508059446313</v>
      </c>
      <c r="X377" s="1">
        <f t="shared" si="1240"/>
        <v>2.17041909120829</v>
      </c>
      <c r="Y377" s="1">
        <f t="shared" si="1107"/>
        <v>7.70679241101311</v>
      </c>
      <c r="Z377" s="1">
        <f t="shared" si="1108"/>
        <v>15.333783906807</v>
      </c>
      <c r="AA377" s="1">
        <f t="shared" si="1085"/>
        <v>2071027.21694706</v>
      </c>
      <c r="AB377" s="1">
        <f t="shared" si="1086"/>
        <v>63378.6861660071</v>
      </c>
      <c r="AC377" s="1">
        <f t="shared" si="1087"/>
        <v>42252.4574440048</v>
      </c>
      <c r="AD377" s="1">
        <f>AC377/(AC377+[1]战斗公式!$M$27)</f>
        <v>0.637749286201432</v>
      </c>
      <c r="AE377" s="1">
        <f t="shared" si="1088"/>
        <v>5717110.1065067</v>
      </c>
      <c r="AF377" s="1">
        <f t="shared" si="1089"/>
        <v>11.7046831937159</v>
      </c>
      <c r="AG377" s="1">
        <f t="shared" si="1090"/>
        <v>5.88279867245281</v>
      </c>
      <c r="AH377" s="1">
        <f t="shared" si="1091"/>
        <v>4.83328657389338</v>
      </c>
      <c r="AI377" s="1">
        <f t="shared" si="1092"/>
        <v>1.629974018031</v>
      </c>
      <c r="AJ377" s="1">
        <f t="shared" si="1093"/>
        <v>1.00000000849893</v>
      </c>
      <c r="AK377" s="1">
        <f t="shared" si="1094"/>
        <v>1.0004684195689</v>
      </c>
      <c r="AL377" s="1">
        <f t="shared" si="1095"/>
        <v>0.928622719106119</v>
      </c>
      <c r="AM377" s="27">
        <f t="shared" si="1096"/>
        <v>1701549</v>
      </c>
      <c r="AN377" s="27">
        <f t="shared" si="1097"/>
        <v>103306</v>
      </c>
      <c r="AO377" s="27">
        <f t="shared" si="1098"/>
        <v>42252</v>
      </c>
      <c r="AP377" s="1">
        <f t="shared" si="1099"/>
        <v>855603</v>
      </c>
      <c r="AQ377" s="1">
        <f t="shared" si="1100"/>
        <v>95932</v>
      </c>
      <c r="AR377"/>
      <c r="AS377" s="1">
        <f t="shared" ref="AS377:AY377" si="1241">ROUNDUP(AS$10*$AP377,0)</f>
        <v>855603</v>
      </c>
      <c r="AT377" s="1">
        <f t="shared" si="1241"/>
        <v>2566809</v>
      </c>
      <c r="AU377" s="1">
        <f t="shared" si="1241"/>
        <v>1540086</v>
      </c>
      <c r="AV377" s="1">
        <f t="shared" si="1241"/>
        <v>427802</v>
      </c>
      <c r="AW377" s="1">
        <f t="shared" si="1241"/>
        <v>128341</v>
      </c>
      <c r="AX377" s="1">
        <f t="shared" si="1241"/>
        <v>3422412</v>
      </c>
      <c r="AY377" s="1">
        <f t="shared" si="1241"/>
        <v>7700427</v>
      </c>
      <c r="AZ377" s="1">
        <f t="shared" si="1102"/>
        <v>102092941</v>
      </c>
      <c r="BA377" s="1">
        <f t="shared" si="1103"/>
        <v>51046470</v>
      </c>
      <c r="BC377" s="1">
        <f t="shared" si="1104"/>
        <v>366</v>
      </c>
    </row>
    <row r="378" s="1" customFormat="1" spans="2:55">
      <c r="B378" s="4">
        <v>367</v>
      </c>
      <c r="C378" s="1">
        <f t="shared" ref="C378:I378" si="1242">C$5+(C$6-C$5)*(POWER(C$7,$B378-1)-1)/(POWER(C$7,$B$3-1)-1)</f>
        <v>28994.9227072876</v>
      </c>
      <c r="D378" s="1">
        <f t="shared" si="1242"/>
        <v>8698.47681218628</v>
      </c>
      <c r="E378" s="1">
        <f t="shared" si="1242"/>
        <v>5798.98454145752</v>
      </c>
      <c r="F378" s="1">
        <f t="shared" si="1242"/>
        <v>106437.05803941</v>
      </c>
      <c r="G378" s="1">
        <f t="shared" si="1242"/>
        <v>31931.1174118231</v>
      </c>
      <c r="H378" s="1">
        <f t="shared" si="1242"/>
        <v>21287.411607882</v>
      </c>
      <c r="I378" s="1">
        <f t="shared" si="1242"/>
        <v>0</v>
      </c>
      <c r="J378" s="1">
        <f>[1]标准模型!$I$65/1*$B378/$B$3</f>
        <v>2.6424</v>
      </c>
      <c r="K378" s="1">
        <f>J378*[1]标准模型!$J$63</f>
        <v>2.6424</v>
      </c>
      <c r="L378" s="1">
        <f t="shared" si="1081"/>
        <v>135431.980746698</v>
      </c>
      <c r="M378" s="1">
        <f t="shared" si="1082"/>
        <v>63614.4493525304</v>
      </c>
      <c r="N378" s="1">
        <f t="shared" si="1083"/>
        <v>42409.6329016869</v>
      </c>
      <c r="O378" s="1">
        <f t="shared" ref="O378:X378" si="1243">O$5+(O$6-O$5)*(POWER(O$7,$B378-1)-1)/(POWER(O$7,$B$3-1)-1)</f>
        <v>0.866757853774481</v>
      </c>
      <c r="P378" s="1">
        <f t="shared" si="1243"/>
        <v>0.262729140357451</v>
      </c>
      <c r="Q378" s="1">
        <f t="shared" si="1243"/>
        <v>0.476716819575964</v>
      </c>
      <c r="R378" s="1">
        <f t="shared" si="1243"/>
        <v>1.14670314150979</v>
      </c>
      <c r="S378" s="1">
        <f t="shared" si="1243"/>
        <v>0.513460995284273</v>
      </c>
      <c r="T378" s="1">
        <f t="shared" si="1243"/>
        <v>3.43035562972047</v>
      </c>
      <c r="U378" s="1">
        <f t="shared" si="1243"/>
        <v>1</v>
      </c>
      <c r="V378" s="1">
        <f t="shared" si="1243"/>
        <v>1.39998548838995</v>
      </c>
      <c r="W378" s="1">
        <f t="shared" si="1243"/>
        <v>1.2256971407843</v>
      </c>
      <c r="X378" s="1">
        <f t="shared" si="1243"/>
        <v>2.17362513207834</v>
      </c>
      <c r="Y378" s="1">
        <f t="shared" si="1107"/>
        <v>7.75667610257332</v>
      </c>
      <c r="Z378" s="1">
        <f t="shared" si="1108"/>
        <v>15.4425355281123</v>
      </c>
      <c r="AA378" s="1">
        <f t="shared" si="1085"/>
        <v>2091413.1743235</v>
      </c>
      <c r="AB378" s="1">
        <f t="shared" si="1086"/>
        <v>63614.4493525304</v>
      </c>
      <c r="AC378" s="1">
        <f t="shared" si="1087"/>
        <v>42409.6329016869</v>
      </c>
      <c r="AD378" s="1">
        <f>AC378/(AC378+[1]战斗公式!$M$27)</f>
        <v>0.638606645582129</v>
      </c>
      <c r="AE378" s="1">
        <f t="shared" si="1088"/>
        <v>5787082.54802397</v>
      </c>
      <c r="AF378" s="1">
        <f t="shared" si="1089"/>
        <v>11.7281158727759</v>
      </c>
      <c r="AG378" s="1">
        <f t="shared" si="1090"/>
        <v>5.89094944628512</v>
      </c>
      <c r="AH378" s="1">
        <f t="shared" si="1091"/>
        <v>4.83525457882023</v>
      </c>
      <c r="AI378" s="1">
        <f t="shared" si="1092"/>
        <v>1.63433904675483</v>
      </c>
      <c r="AJ378" s="1">
        <f t="shared" si="1093"/>
        <v>1.00000000807354</v>
      </c>
      <c r="AK378" s="1">
        <f t="shared" si="1094"/>
        <v>1.00045838137013</v>
      </c>
      <c r="AL378" s="1">
        <f t="shared" si="1095"/>
        <v>0.92881622341216</v>
      </c>
      <c r="AM378" s="27">
        <f t="shared" si="1096"/>
        <v>1716619</v>
      </c>
      <c r="AN378" s="27">
        <f t="shared" si="1097"/>
        <v>103968</v>
      </c>
      <c r="AO378" s="27">
        <f t="shared" si="1098"/>
        <v>42410</v>
      </c>
      <c r="AP378" s="1">
        <f t="shared" si="1099"/>
        <v>862641</v>
      </c>
      <c r="AQ378" s="1">
        <f t="shared" si="1100"/>
        <v>96567</v>
      </c>
      <c r="AR378"/>
      <c r="AS378" s="1">
        <f t="shared" ref="AS378:AY378" si="1244">ROUNDUP(AS$10*$AP378,0)</f>
        <v>862641</v>
      </c>
      <c r="AT378" s="1">
        <f t="shared" si="1244"/>
        <v>2587923</v>
      </c>
      <c r="AU378" s="1">
        <f t="shared" si="1244"/>
        <v>1552754</v>
      </c>
      <c r="AV378" s="1">
        <f t="shared" si="1244"/>
        <v>431321</v>
      </c>
      <c r="AW378" s="1">
        <f t="shared" si="1244"/>
        <v>129397</v>
      </c>
      <c r="AX378" s="1">
        <f t="shared" si="1244"/>
        <v>3450564</v>
      </c>
      <c r="AY378" s="1">
        <f t="shared" si="1244"/>
        <v>7763769</v>
      </c>
      <c r="AZ378" s="1">
        <f t="shared" si="1102"/>
        <v>102997141</v>
      </c>
      <c r="BA378" s="1">
        <f t="shared" si="1103"/>
        <v>51498570</v>
      </c>
      <c r="BC378" s="1">
        <f t="shared" si="1104"/>
        <v>367</v>
      </c>
    </row>
    <row r="379" s="1" customFormat="1" spans="2:55">
      <c r="B379" s="4">
        <v>368</v>
      </c>
      <c r="C379" s="1">
        <f t="shared" ref="C379:I379" si="1245">C$5+(C$6-C$5)*(POWER(C$7,$B379-1)-1)/(POWER(C$7,$B$3-1)-1)</f>
        <v>29073.9134639986</v>
      </c>
      <c r="D379" s="1">
        <f t="shared" si="1245"/>
        <v>8722.17403919957</v>
      </c>
      <c r="E379" s="1">
        <f t="shared" si="1245"/>
        <v>5814.78269279971</v>
      </c>
      <c r="F379" s="1">
        <f t="shared" si="1245"/>
        <v>106727.024108349</v>
      </c>
      <c r="G379" s="1">
        <f t="shared" si="1245"/>
        <v>32018.1072325048</v>
      </c>
      <c r="H379" s="1">
        <f t="shared" si="1245"/>
        <v>21345.4048216698</v>
      </c>
      <c r="I379" s="1">
        <f t="shared" si="1245"/>
        <v>0</v>
      </c>
      <c r="J379" s="1">
        <f>[1]标准模型!$I$65/1*$B379/$B$3</f>
        <v>2.6496</v>
      </c>
      <c r="K379" s="1">
        <f>J379*[1]标准模型!$J$63</f>
        <v>2.6496</v>
      </c>
      <c r="L379" s="1">
        <f t="shared" si="1081"/>
        <v>135800.937572348</v>
      </c>
      <c r="M379" s="1">
        <f t="shared" si="1082"/>
        <v>63850.5536059676</v>
      </c>
      <c r="N379" s="1">
        <f t="shared" si="1083"/>
        <v>42567.0357373116</v>
      </c>
      <c r="O379" s="1">
        <f t="shared" ref="O379:X379" si="1246">O$5+(O$6-O$5)*(POWER(O$7,$B379-1)-1)/(POWER(O$7,$B$3-1)-1)</f>
        <v>0.867759740544362</v>
      </c>
      <c r="P379" s="1">
        <f t="shared" si="1246"/>
        <v>0.263662491193517</v>
      </c>
      <c r="Q379" s="1">
        <f t="shared" si="1246"/>
        <v>0.477267857299399</v>
      </c>
      <c r="R379" s="1">
        <f t="shared" si="1246"/>
        <v>1.14710389621774</v>
      </c>
      <c r="S379" s="1">
        <f t="shared" si="1246"/>
        <v>0.514863636762106</v>
      </c>
      <c r="T379" s="1">
        <f t="shared" si="1246"/>
        <v>3.43426298812301</v>
      </c>
      <c r="U379" s="1">
        <f t="shared" si="1246"/>
        <v>1</v>
      </c>
      <c r="V379" s="1">
        <f t="shared" si="1246"/>
        <v>1.40107814438855</v>
      </c>
      <c r="W379" s="1">
        <f t="shared" si="1246"/>
        <v>1.22631368648884</v>
      </c>
      <c r="X379" s="1">
        <f t="shared" si="1246"/>
        <v>2.17683116974196</v>
      </c>
      <c r="Y379" s="1">
        <f t="shared" si="1107"/>
        <v>7.80684224178445</v>
      </c>
      <c r="Z379" s="1">
        <f t="shared" si="1108"/>
        <v>15.5519710790105</v>
      </c>
      <c r="AA379" s="1">
        <f t="shared" si="1085"/>
        <v>2111972.25362766</v>
      </c>
      <c r="AB379" s="1">
        <f t="shared" si="1086"/>
        <v>63850.5536059676</v>
      </c>
      <c r="AC379" s="1">
        <f t="shared" si="1087"/>
        <v>42567.0357373116</v>
      </c>
      <c r="AD379" s="1">
        <f>AC379/(AC379+[1]战斗公式!$M$27)</f>
        <v>0.639461187745999</v>
      </c>
      <c r="AE379" s="1">
        <f t="shared" si="1088"/>
        <v>5857822.18681013</v>
      </c>
      <c r="AF379" s="1">
        <f t="shared" si="1089"/>
        <v>11.7515760147147</v>
      </c>
      <c r="AG379" s="1">
        <f t="shared" si="1090"/>
        <v>5.8991043368795</v>
      </c>
      <c r="AH379" s="1">
        <f t="shared" si="1091"/>
        <v>4.83720782371013</v>
      </c>
      <c r="AI379" s="1">
        <f t="shared" si="1092"/>
        <v>1.63871280553612</v>
      </c>
      <c r="AJ379" s="1">
        <f t="shared" si="1093"/>
        <v>1.00000000766942</v>
      </c>
      <c r="AK379" s="1">
        <f t="shared" si="1094"/>
        <v>1.00044854393534</v>
      </c>
      <c r="AL379" s="1">
        <f t="shared" si="1095"/>
        <v>0.929009147205284</v>
      </c>
      <c r="AM379" s="27">
        <f t="shared" si="1096"/>
        <v>1731797</v>
      </c>
      <c r="AN379" s="27">
        <f t="shared" si="1097"/>
        <v>104633</v>
      </c>
      <c r="AO379" s="27">
        <f t="shared" si="1098"/>
        <v>42567</v>
      </c>
      <c r="AP379" s="1">
        <f t="shared" si="1099"/>
        <v>869724</v>
      </c>
      <c r="AQ379" s="1">
        <f t="shared" si="1100"/>
        <v>97205</v>
      </c>
      <c r="AR379"/>
      <c r="AS379" s="1">
        <f t="shared" ref="AS379:AY379" si="1247">ROUNDUP(AS$10*$AP379,0)</f>
        <v>869724</v>
      </c>
      <c r="AT379" s="1">
        <f t="shared" si="1247"/>
        <v>2609172</v>
      </c>
      <c r="AU379" s="1">
        <f t="shared" si="1247"/>
        <v>1565504</v>
      </c>
      <c r="AV379" s="1">
        <f t="shared" si="1247"/>
        <v>434862</v>
      </c>
      <c r="AW379" s="1">
        <f t="shared" si="1247"/>
        <v>130459</v>
      </c>
      <c r="AX379" s="1">
        <f t="shared" si="1247"/>
        <v>3478896</v>
      </c>
      <c r="AY379" s="1">
        <f t="shared" si="1247"/>
        <v>7827516</v>
      </c>
      <c r="AZ379" s="1">
        <f t="shared" si="1102"/>
        <v>103907821</v>
      </c>
      <c r="BA379" s="1">
        <f t="shared" si="1103"/>
        <v>51953910</v>
      </c>
      <c r="BC379" s="1">
        <f t="shared" si="1104"/>
        <v>368</v>
      </c>
    </row>
    <row r="380" s="1" customFormat="1" spans="2:55">
      <c r="B380" s="4">
        <v>369</v>
      </c>
      <c r="C380" s="1">
        <f t="shared" ref="C380:I380" si="1248">C$5+(C$6-C$5)*(POWER(C$7,$B380-1)-1)/(POWER(C$7,$B$3-1)-1)</f>
        <v>29152.9041417267</v>
      </c>
      <c r="D380" s="1">
        <f t="shared" si="1248"/>
        <v>8745.87124251801</v>
      </c>
      <c r="E380" s="1">
        <f t="shared" si="1248"/>
        <v>5830.58082834534</v>
      </c>
      <c r="F380" s="1">
        <f t="shared" si="1248"/>
        <v>107016.989887351</v>
      </c>
      <c r="G380" s="1">
        <f t="shared" si="1248"/>
        <v>32105.0969662054</v>
      </c>
      <c r="H380" s="1">
        <f t="shared" si="1248"/>
        <v>21403.3979774702</v>
      </c>
      <c r="I380" s="1">
        <f t="shared" si="1248"/>
        <v>0</v>
      </c>
      <c r="J380" s="1">
        <f>[1]标准模型!$I$65/1*$B380/$B$3</f>
        <v>2.6568</v>
      </c>
      <c r="K380" s="1">
        <f>J380*[1]标准模型!$J$63</f>
        <v>2.6568</v>
      </c>
      <c r="L380" s="1">
        <f t="shared" si="1081"/>
        <v>136169.894029078</v>
      </c>
      <c r="M380" s="1">
        <f t="shared" si="1082"/>
        <v>64086.9989258453</v>
      </c>
      <c r="N380" s="1">
        <f t="shared" si="1083"/>
        <v>42724.6659505634</v>
      </c>
      <c r="O380" s="1">
        <f t="shared" ref="O380:X380" si="1249">O$5+(O$6-O$5)*(POWER(O$7,$B380-1)-1)/(POWER(O$7,$B$3-1)-1)</f>
        <v>0.868761626312457</v>
      </c>
      <c r="P380" s="1">
        <f t="shared" si="1249"/>
        <v>0.264597242055836</v>
      </c>
      <c r="Q380" s="1">
        <f t="shared" si="1249"/>
        <v>0.477818894471851</v>
      </c>
      <c r="R380" s="1">
        <f t="shared" si="1249"/>
        <v>1.14750465052498</v>
      </c>
      <c r="S380" s="1">
        <f t="shared" si="1249"/>
        <v>0.516266276837439</v>
      </c>
      <c r="T380" s="1">
        <f t="shared" si="1249"/>
        <v>3.43817034261858</v>
      </c>
      <c r="U380" s="1">
        <f t="shared" si="1249"/>
        <v>1</v>
      </c>
      <c r="V380" s="1">
        <f t="shared" si="1249"/>
        <v>1.40217079929461</v>
      </c>
      <c r="W380" s="1">
        <f t="shared" si="1249"/>
        <v>1.2269302315769</v>
      </c>
      <c r="X380" s="1">
        <f t="shared" si="1249"/>
        <v>2.18003720419986</v>
      </c>
      <c r="Y380" s="1">
        <f t="shared" si="1107"/>
        <v>7.85729217368522</v>
      </c>
      <c r="Z380" s="1">
        <f t="shared" si="1108"/>
        <v>15.6620942526864</v>
      </c>
      <c r="AA380" s="1">
        <f t="shared" si="1085"/>
        <v>2132705.71466173</v>
      </c>
      <c r="AB380" s="1">
        <f t="shared" si="1086"/>
        <v>64086.9989258453</v>
      </c>
      <c r="AC380" s="1">
        <f t="shared" si="1087"/>
        <v>42724.6659505634</v>
      </c>
      <c r="AD380" s="1">
        <f>AC380/(AC380+[1]战斗公式!$M$27)</f>
        <v>0.640312923892617</v>
      </c>
      <c r="AE380" s="1">
        <f t="shared" si="1088"/>
        <v>5929336.51590256</v>
      </c>
      <c r="AF380" s="1">
        <f t="shared" si="1089"/>
        <v>11.7750636017103</v>
      </c>
      <c r="AG380" s="1">
        <f t="shared" si="1090"/>
        <v>5.90726333207292</v>
      </c>
      <c r="AH380" s="1">
        <f t="shared" si="1091"/>
        <v>4.83914641926336</v>
      </c>
      <c r="AI380" s="1">
        <f t="shared" si="1092"/>
        <v>1.64309531183496</v>
      </c>
      <c r="AJ380" s="1">
        <f t="shared" si="1093"/>
        <v>1.00000000728551</v>
      </c>
      <c r="AK380" s="1">
        <f t="shared" si="1094"/>
        <v>1.00043890324925</v>
      </c>
      <c r="AL380" s="1">
        <f t="shared" si="1095"/>
        <v>0.929201492227027</v>
      </c>
      <c r="AM380" s="27">
        <f t="shared" si="1096"/>
        <v>1747082</v>
      </c>
      <c r="AN380" s="27">
        <f t="shared" si="1097"/>
        <v>105301</v>
      </c>
      <c r="AO380" s="27">
        <f t="shared" si="1098"/>
        <v>42725</v>
      </c>
      <c r="AP380" s="1">
        <f t="shared" si="1099"/>
        <v>876853</v>
      </c>
      <c r="AQ380" s="1">
        <f t="shared" si="1100"/>
        <v>97846</v>
      </c>
      <c r="AR380"/>
      <c r="AS380" s="1">
        <f t="shared" ref="AS380:AY380" si="1250">ROUNDUP(AS$10*$AP380,0)</f>
        <v>876853</v>
      </c>
      <c r="AT380" s="1">
        <f t="shared" si="1250"/>
        <v>2630559</v>
      </c>
      <c r="AU380" s="1">
        <f t="shared" si="1250"/>
        <v>1578336</v>
      </c>
      <c r="AV380" s="1">
        <f t="shared" si="1250"/>
        <v>438427</v>
      </c>
      <c r="AW380" s="1">
        <f t="shared" si="1250"/>
        <v>131528</v>
      </c>
      <c r="AX380" s="1">
        <f t="shared" si="1250"/>
        <v>3507412</v>
      </c>
      <c r="AY380" s="1">
        <f t="shared" si="1250"/>
        <v>7891677</v>
      </c>
      <c r="AZ380" s="1">
        <f t="shared" si="1102"/>
        <v>104824921</v>
      </c>
      <c r="BA380" s="1">
        <f t="shared" si="1103"/>
        <v>52412460</v>
      </c>
      <c r="BC380" s="1">
        <f t="shared" si="1104"/>
        <v>369</v>
      </c>
    </row>
    <row r="381" s="1" customFormat="1" spans="2:55">
      <c r="B381" s="4">
        <v>370</v>
      </c>
      <c r="C381" s="1">
        <f t="shared" ref="C381:I381" si="1251">C$5+(C$6-C$5)*(POWER(C$7,$B381-1)-1)/(POWER(C$7,$B$3-1)-1)</f>
        <v>29231.8947404632</v>
      </c>
      <c r="D381" s="1">
        <f t="shared" si="1251"/>
        <v>8769.56842213897</v>
      </c>
      <c r="E381" s="1">
        <f t="shared" si="1251"/>
        <v>5846.37894809265</v>
      </c>
      <c r="F381" s="1">
        <f t="shared" si="1251"/>
        <v>107306.955376384</v>
      </c>
      <c r="G381" s="1">
        <f t="shared" si="1251"/>
        <v>32192.0866129152</v>
      </c>
      <c r="H381" s="1">
        <f t="shared" si="1251"/>
        <v>21461.3910752768</v>
      </c>
      <c r="I381" s="1">
        <f t="shared" si="1251"/>
        <v>0</v>
      </c>
      <c r="J381" s="1">
        <f>[1]标准模型!$I$65/1*$B381/$B$3</f>
        <v>2.664</v>
      </c>
      <c r="K381" s="1">
        <f>J381*[1]标准模型!$J$63</f>
        <v>2.664</v>
      </c>
      <c r="L381" s="1">
        <f t="shared" si="1081"/>
        <v>136538.850116847</v>
      </c>
      <c r="M381" s="1">
        <f t="shared" si="1082"/>
        <v>64323.7853116324</v>
      </c>
      <c r="N381" s="1">
        <f t="shared" si="1083"/>
        <v>42882.5235410883</v>
      </c>
      <c r="O381" s="1">
        <f t="shared" ref="O381:X381" si="1252">O$5+(O$6-O$5)*(POWER(O$7,$B381-1)-1)/(POWER(O$7,$B$3-1)-1)</f>
        <v>0.869763511078654</v>
      </c>
      <c r="P381" s="1">
        <f t="shared" si="1252"/>
        <v>0.26553339504445</v>
      </c>
      <c r="Q381" s="1">
        <f t="shared" si="1252"/>
        <v>0.47836993109326</v>
      </c>
      <c r="R381" s="1">
        <f t="shared" si="1252"/>
        <v>1.14790540443146</v>
      </c>
      <c r="S381" s="1">
        <f t="shared" si="1252"/>
        <v>0.517668915510115</v>
      </c>
      <c r="T381" s="1">
        <f t="shared" si="1252"/>
        <v>3.44207769320675</v>
      </c>
      <c r="U381" s="1">
        <f t="shared" si="1252"/>
        <v>1</v>
      </c>
      <c r="V381" s="1">
        <f t="shared" si="1252"/>
        <v>1.403263453108</v>
      </c>
      <c r="W381" s="1">
        <f t="shared" si="1252"/>
        <v>1.2275467760484</v>
      </c>
      <c r="X381" s="1">
        <f t="shared" si="1252"/>
        <v>2.18324323545169</v>
      </c>
      <c r="Y381" s="1">
        <f t="shared" si="1107"/>
        <v>7.90802724845468</v>
      </c>
      <c r="Z381" s="1">
        <f t="shared" si="1108"/>
        <v>15.7729087587993</v>
      </c>
      <c r="AA381" s="1">
        <f t="shared" si="1085"/>
        <v>2153614.8249244</v>
      </c>
      <c r="AB381" s="1">
        <f t="shared" si="1086"/>
        <v>64323.7853116324</v>
      </c>
      <c r="AC381" s="1">
        <f t="shared" si="1087"/>
        <v>42882.5235410883</v>
      </c>
      <c r="AD381" s="1">
        <f>AC381/(AC381+[1]战斗公式!$M$27)</f>
        <v>0.641161865173105</v>
      </c>
      <c r="AE381" s="1">
        <f t="shared" si="1088"/>
        <v>6001633.09276845</v>
      </c>
      <c r="AF381" s="1">
        <f t="shared" si="1089"/>
        <v>11.7985786159612</v>
      </c>
      <c r="AG381" s="1">
        <f t="shared" si="1090"/>
        <v>5.91542641974674</v>
      </c>
      <c r="AH381" s="1">
        <f t="shared" si="1091"/>
        <v>4.84107047534993</v>
      </c>
      <c r="AI381" s="1">
        <f t="shared" si="1092"/>
        <v>1.6474865831464</v>
      </c>
      <c r="AJ381" s="1">
        <f t="shared" si="1093"/>
        <v>1.00000000692079</v>
      </c>
      <c r="AK381" s="1">
        <f t="shared" si="1094"/>
        <v>1.00042945537687</v>
      </c>
      <c r="AL381" s="1">
        <f t="shared" si="1095"/>
        <v>0.929393260213706</v>
      </c>
      <c r="AM381" s="27">
        <f t="shared" si="1096"/>
        <v>1762477</v>
      </c>
      <c r="AN381" s="27">
        <f t="shared" si="1097"/>
        <v>105973</v>
      </c>
      <c r="AO381" s="27">
        <f t="shared" si="1098"/>
        <v>42883</v>
      </c>
      <c r="AP381" s="1">
        <f t="shared" si="1099"/>
        <v>884028</v>
      </c>
      <c r="AQ381" s="1">
        <f t="shared" si="1100"/>
        <v>98491</v>
      </c>
      <c r="AR381"/>
      <c r="AS381" s="1">
        <f t="shared" ref="AS381:AY381" si="1253">ROUNDUP(AS$10*$AP381,0)</f>
        <v>884028</v>
      </c>
      <c r="AT381" s="1">
        <f t="shared" si="1253"/>
        <v>2652084</v>
      </c>
      <c r="AU381" s="1">
        <f t="shared" si="1253"/>
        <v>1591251</v>
      </c>
      <c r="AV381" s="1">
        <f t="shared" si="1253"/>
        <v>442014</v>
      </c>
      <c r="AW381" s="1">
        <f t="shared" si="1253"/>
        <v>132605</v>
      </c>
      <c r="AX381" s="1">
        <f t="shared" si="1253"/>
        <v>3536112</v>
      </c>
      <c r="AY381" s="1">
        <f t="shared" si="1253"/>
        <v>7956252</v>
      </c>
      <c r="AZ381" s="1">
        <f t="shared" si="1102"/>
        <v>105748621</v>
      </c>
      <c r="BA381" s="1">
        <f t="shared" si="1103"/>
        <v>52874310</v>
      </c>
      <c r="BC381" s="1">
        <f t="shared" si="1104"/>
        <v>370</v>
      </c>
    </row>
    <row r="382" s="1" customFormat="1" spans="2:55">
      <c r="B382" s="4">
        <v>371</v>
      </c>
      <c r="C382" s="1">
        <f t="shared" ref="C382:I382" si="1254">C$5+(C$6-C$5)*(POWER(C$7,$B382-1)-1)/(POWER(C$7,$B$3-1)-1)</f>
        <v>29310.8852602081</v>
      </c>
      <c r="D382" s="1">
        <f t="shared" si="1254"/>
        <v>8793.26557806244</v>
      </c>
      <c r="E382" s="1">
        <f t="shared" si="1254"/>
        <v>5862.17705204163</v>
      </c>
      <c r="F382" s="1">
        <f t="shared" si="1254"/>
        <v>107596.920575448</v>
      </c>
      <c r="G382" s="1">
        <f t="shared" si="1254"/>
        <v>32279.0761726343</v>
      </c>
      <c r="H382" s="1">
        <f t="shared" si="1254"/>
        <v>21519.3841150895</v>
      </c>
      <c r="I382" s="1">
        <f t="shared" si="1254"/>
        <v>0</v>
      </c>
      <c r="J382" s="1">
        <f>[1]标准模型!$I$65/1*$B382/$B$3</f>
        <v>2.6712</v>
      </c>
      <c r="K382" s="1">
        <f>J382*[1]标准模型!$J$63</f>
        <v>2.6712</v>
      </c>
      <c r="L382" s="1">
        <f t="shared" si="1081"/>
        <v>136907.805835656</v>
      </c>
      <c r="M382" s="1">
        <f t="shared" si="1082"/>
        <v>64560.9127628171</v>
      </c>
      <c r="N382" s="1">
        <f t="shared" si="1083"/>
        <v>43040.6085085447</v>
      </c>
      <c r="O382" s="1">
        <f t="shared" ref="O382:X382" si="1255">O$5+(O$6-O$5)*(POWER(O$7,$B382-1)-1)/(POWER(O$7,$B$3-1)-1)</f>
        <v>0.870765394842954</v>
      </c>
      <c r="P382" s="1">
        <f t="shared" si="1255"/>
        <v>0.266470952262546</v>
      </c>
      <c r="Q382" s="1">
        <f t="shared" si="1255"/>
        <v>0.478920967163625</v>
      </c>
      <c r="R382" s="1">
        <f t="shared" si="1255"/>
        <v>1.14830615793718</v>
      </c>
      <c r="S382" s="1">
        <f t="shared" si="1255"/>
        <v>0.519071552780135</v>
      </c>
      <c r="T382" s="1">
        <f t="shared" si="1255"/>
        <v>3.44598503988752</v>
      </c>
      <c r="U382" s="1">
        <f t="shared" si="1255"/>
        <v>1</v>
      </c>
      <c r="V382" s="1">
        <f t="shared" si="1255"/>
        <v>1.40435610582873</v>
      </c>
      <c r="W382" s="1">
        <f t="shared" si="1255"/>
        <v>1.22816331990336</v>
      </c>
      <c r="X382" s="1">
        <f t="shared" si="1255"/>
        <v>2.18644926349745</v>
      </c>
      <c r="Y382" s="1">
        <f t="shared" si="1107"/>
        <v>7.95904882144751</v>
      </c>
      <c r="Z382" s="1">
        <f t="shared" si="1108"/>
        <v>15.8844183235866</v>
      </c>
      <c r="AA382" s="1">
        <f t="shared" si="1085"/>
        <v>2174700.85965793</v>
      </c>
      <c r="AB382" s="1">
        <f t="shared" si="1086"/>
        <v>64560.9127628171</v>
      </c>
      <c r="AC382" s="1">
        <f t="shared" si="1087"/>
        <v>43040.6085085447</v>
      </c>
      <c r="AD382" s="1">
        <f>AC382/(AC382+[1]战斗公式!$M$27)</f>
        <v>0.64200802269059</v>
      </c>
      <c r="AE382" s="1">
        <f t="shared" si="1088"/>
        <v>6074719.53981346</v>
      </c>
      <c r="AF382" s="1">
        <f t="shared" si="1089"/>
        <v>11.8221210396985</v>
      </c>
      <c r="AG382" s="1">
        <f t="shared" si="1090"/>
        <v>5.92359358783094</v>
      </c>
      <c r="AH382" s="1">
        <f t="shared" si="1091"/>
        <v>4.84298010101586</v>
      </c>
      <c r="AI382" s="1">
        <f t="shared" si="1092"/>
        <v>1.65188663700047</v>
      </c>
      <c r="AJ382" s="1">
        <f t="shared" si="1093"/>
        <v>1.00000000657431</v>
      </c>
      <c r="AK382" s="1">
        <f t="shared" si="1094"/>
        <v>1.00042019646195</v>
      </c>
      <c r="AL382" s="1">
        <f t="shared" si="1095"/>
        <v>0.929584452896425</v>
      </c>
      <c r="AM382" s="27">
        <f t="shared" si="1096"/>
        <v>1777980</v>
      </c>
      <c r="AN382" s="27">
        <f t="shared" si="1097"/>
        <v>106647</v>
      </c>
      <c r="AO382" s="27">
        <f t="shared" si="1098"/>
        <v>43041</v>
      </c>
      <c r="AP382" s="1">
        <f t="shared" si="1099"/>
        <v>891249</v>
      </c>
      <c r="AQ382" s="1">
        <f t="shared" si="1100"/>
        <v>99137</v>
      </c>
      <c r="AR382"/>
      <c r="AS382" s="1">
        <f t="shared" ref="AS382:AY382" si="1256">ROUNDUP(AS$10*$AP382,0)</f>
        <v>891249</v>
      </c>
      <c r="AT382" s="1">
        <f t="shared" si="1256"/>
        <v>2673747</v>
      </c>
      <c r="AU382" s="1">
        <f t="shared" si="1256"/>
        <v>1604249</v>
      </c>
      <c r="AV382" s="1">
        <f t="shared" si="1256"/>
        <v>445625</v>
      </c>
      <c r="AW382" s="1">
        <f t="shared" si="1256"/>
        <v>133688</v>
      </c>
      <c r="AX382" s="1">
        <f t="shared" si="1256"/>
        <v>3564996</v>
      </c>
      <c r="AY382" s="1">
        <f t="shared" si="1256"/>
        <v>8021241</v>
      </c>
      <c r="AZ382" s="1">
        <f t="shared" si="1102"/>
        <v>106678801</v>
      </c>
      <c r="BA382" s="1">
        <f t="shared" si="1103"/>
        <v>53339400</v>
      </c>
      <c r="BC382" s="1">
        <f t="shared" si="1104"/>
        <v>371</v>
      </c>
    </row>
    <row r="383" s="1" customFormat="1" spans="2:55">
      <c r="B383" s="4">
        <v>372</v>
      </c>
      <c r="C383" s="1">
        <f t="shared" ref="C383:I383" si="1257">C$5+(C$6-C$5)*(POWER(C$7,$B383-1)-1)/(POWER(C$7,$B$3-1)-1)</f>
        <v>29389.8757009615</v>
      </c>
      <c r="D383" s="1">
        <f t="shared" si="1257"/>
        <v>8816.96271028844</v>
      </c>
      <c r="E383" s="1">
        <f t="shared" si="1257"/>
        <v>5877.97514019229</v>
      </c>
      <c r="F383" s="1">
        <f t="shared" si="1257"/>
        <v>107886.885484542</v>
      </c>
      <c r="G383" s="1">
        <f t="shared" si="1257"/>
        <v>32366.0656453626</v>
      </c>
      <c r="H383" s="1">
        <f t="shared" si="1257"/>
        <v>21577.3770969084</v>
      </c>
      <c r="I383" s="1">
        <f t="shared" si="1257"/>
        <v>0</v>
      </c>
      <c r="J383" s="1">
        <f>[1]标准模型!$I$65/1*$B383/$B$3</f>
        <v>2.6784</v>
      </c>
      <c r="K383" s="1">
        <f>J383*[1]标准模型!$J$63</f>
        <v>2.6784</v>
      </c>
      <c r="L383" s="1">
        <f t="shared" si="1081"/>
        <v>137276.761185503</v>
      </c>
      <c r="M383" s="1">
        <f t="shared" si="1082"/>
        <v>64798.3812788876</v>
      </c>
      <c r="N383" s="1">
        <f t="shared" si="1083"/>
        <v>43198.9208525917</v>
      </c>
      <c r="O383" s="1">
        <f t="shared" ref="O383:X383" si="1258">O$5+(O$6-O$5)*(POWER(O$7,$B383-1)-1)/(POWER(O$7,$B$3-1)-1)</f>
        <v>0.871767277605356</v>
      </c>
      <c r="P383" s="1">
        <f t="shared" si="1258"/>
        <v>0.26740991581647</v>
      </c>
      <c r="Q383" s="1">
        <f t="shared" si="1258"/>
        <v>0.479472002682946</v>
      </c>
      <c r="R383" s="1">
        <f t="shared" si="1258"/>
        <v>1.14870691104214</v>
      </c>
      <c r="S383" s="1">
        <f t="shared" si="1258"/>
        <v>0.520474188647498</v>
      </c>
      <c r="T383" s="1">
        <f t="shared" si="1258"/>
        <v>3.44989238266089</v>
      </c>
      <c r="U383" s="1">
        <f t="shared" si="1258"/>
        <v>1</v>
      </c>
      <c r="V383" s="1">
        <f t="shared" si="1258"/>
        <v>1.40544875745678</v>
      </c>
      <c r="W383" s="1">
        <f t="shared" si="1258"/>
        <v>1.22877986314176</v>
      </c>
      <c r="X383" s="1">
        <f t="shared" si="1258"/>
        <v>2.18965528833714</v>
      </c>
      <c r="Y383" s="1">
        <f t="shared" si="1107"/>
        <v>8.01035825320503</v>
      </c>
      <c r="Z383" s="1">
        <f t="shared" si="1108"/>
        <v>15.9966266899133</v>
      </c>
      <c r="AA383" s="1">
        <f t="shared" si="1085"/>
        <v>2195965.10188488</v>
      </c>
      <c r="AB383" s="1">
        <f t="shared" si="1086"/>
        <v>64798.3812788876</v>
      </c>
      <c r="AC383" s="1">
        <f t="shared" si="1087"/>
        <v>43198.9208525917</v>
      </c>
      <c r="AD383" s="1">
        <f>AC383/(AC383+[1]战斗公式!$M$27)</f>
        <v>0.642851407500328</v>
      </c>
      <c r="AE383" s="1">
        <f t="shared" si="1088"/>
        <v>6148603.54485898</v>
      </c>
      <c r="AF383" s="1">
        <f t="shared" si="1089"/>
        <v>11.8456908551831</v>
      </c>
      <c r="AG383" s="1">
        <f t="shared" si="1090"/>
        <v>5.93176482430279</v>
      </c>
      <c r="AH383" s="1">
        <f t="shared" si="1091"/>
        <v>4.84487540448929</v>
      </c>
      <c r="AI383" s="1">
        <f t="shared" si="1092"/>
        <v>1.65629549096224</v>
      </c>
      <c r="AJ383" s="1">
        <f t="shared" si="1093"/>
        <v>1.00000000624516</v>
      </c>
      <c r="AK383" s="1">
        <f t="shared" si="1094"/>
        <v>1.00041112272532</v>
      </c>
      <c r="AL383" s="1">
        <f t="shared" si="1095"/>
        <v>0.929775072001095</v>
      </c>
      <c r="AM383" s="27">
        <f t="shared" si="1096"/>
        <v>1793594</v>
      </c>
      <c r="AN383" s="27">
        <f t="shared" si="1097"/>
        <v>107325</v>
      </c>
      <c r="AO383" s="27">
        <f t="shared" si="1098"/>
        <v>43199</v>
      </c>
      <c r="AP383" s="1">
        <f t="shared" si="1099"/>
        <v>898517</v>
      </c>
      <c r="AQ383" s="1">
        <f t="shared" si="1100"/>
        <v>99788</v>
      </c>
      <c r="AR383"/>
      <c r="AS383" s="1">
        <f t="shared" ref="AS383:AY383" si="1259">ROUNDUP(AS$10*$AP383,0)</f>
        <v>898517</v>
      </c>
      <c r="AT383" s="1">
        <f t="shared" si="1259"/>
        <v>2695551</v>
      </c>
      <c r="AU383" s="1">
        <f t="shared" si="1259"/>
        <v>1617331</v>
      </c>
      <c r="AV383" s="1">
        <f t="shared" si="1259"/>
        <v>449259</v>
      </c>
      <c r="AW383" s="1">
        <f t="shared" si="1259"/>
        <v>134778</v>
      </c>
      <c r="AX383" s="1">
        <f t="shared" si="1259"/>
        <v>3594068</v>
      </c>
      <c r="AY383" s="1">
        <f t="shared" si="1259"/>
        <v>8086653</v>
      </c>
      <c r="AZ383" s="1">
        <f t="shared" si="1102"/>
        <v>107615641</v>
      </c>
      <c r="BA383" s="1">
        <f t="shared" si="1103"/>
        <v>53807820</v>
      </c>
      <c r="BC383" s="1">
        <f t="shared" si="1104"/>
        <v>372</v>
      </c>
    </row>
    <row r="384" s="1" customFormat="1" spans="2:55">
      <c r="B384" s="4">
        <v>373</v>
      </c>
      <c r="C384" s="1">
        <f t="shared" ref="C384:I384" si="1260">C$5+(C$6-C$5)*(POWER(C$7,$B384-1)-1)/(POWER(C$7,$B$3-1)-1)</f>
        <v>29468.8660627232</v>
      </c>
      <c r="D384" s="1">
        <f t="shared" si="1260"/>
        <v>8840.65981881695</v>
      </c>
      <c r="E384" s="1">
        <f t="shared" si="1260"/>
        <v>5893.77321254463</v>
      </c>
      <c r="F384" s="1">
        <f t="shared" si="1260"/>
        <v>108176.850103667</v>
      </c>
      <c r="G384" s="1">
        <f t="shared" si="1260"/>
        <v>32453.0550311002</v>
      </c>
      <c r="H384" s="1">
        <f t="shared" si="1260"/>
        <v>21635.3700207335</v>
      </c>
      <c r="I384" s="1">
        <f t="shared" si="1260"/>
        <v>0</v>
      </c>
      <c r="J384" s="1">
        <f>[1]标准模型!$I$65/1*$B384/$B$3</f>
        <v>2.6856</v>
      </c>
      <c r="K384" s="1">
        <f>J384*[1]标准模型!$J$63</f>
        <v>2.6856</v>
      </c>
      <c r="L384" s="1">
        <f t="shared" si="1081"/>
        <v>137645.71616639</v>
      </c>
      <c r="M384" s="1">
        <f t="shared" si="1082"/>
        <v>65036.190859332</v>
      </c>
      <c r="N384" s="1">
        <f t="shared" si="1083"/>
        <v>43357.460572888</v>
      </c>
      <c r="O384" s="1">
        <f t="shared" ref="O384:X384" si="1261">O$5+(O$6-O$5)*(POWER(O$7,$B384-1)-1)/(POWER(O$7,$B$3-1)-1)</f>
        <v>0.87276915936586</v>
      </c>
      <c r="P384" s="1">
        <f t="shared" si="1261"/>
        <v>0.268350287815724</v>
      </c>
      <c r="Q384" s="1">
        <f t="shared" si="1261"/>
        <v>0.480023037651223</v>
      </c>
      <c r="R384" s="1">
        <f t="shared" si="1261"/>
        <v>1.14910766374634</v>
      </c>
      <c r="S384" s="1">
        <f t="shared" si="1261"/>
        <v>0.521876823112205</v>
      </c>
      <c r="T384" s="1">
        <f t="shared" si="1261"/>
        <v>3.45379972152686</v>
      </c>
      <c r="U384" s="1">
        <f t="shared" si="1261"/>
        <v>1</v>
      </c>
      <c r="V384" s="1">
        <f t="shared" si="1261"/>
        <v>1.40654140799217</v>
      </c>
      <c r="W384" s="1">
        <f t="shared" si="1261"/>
        <v>1.22939640576361</v>
      </c>
      <c r="X384" s="1">
        <f t="shared" si="1261"/>
        <v>2.19286130997075</v>
      </c>
      <c r="Y384" s="1">
        <f t="shared" si="1107"/>
        <v>8.06195690947121</v>
      </c>
      <c r="Z384" s="1">
        <f t="shared" si="1108"/>
        <v>16.1095376173317</v>
      </c>
      <c r="AA384" s="1">
        <f t="shared" si="1085"/>
        <v>2217408.84244702</v>
      </c>
      <c r="AB384" s="1">
        <f t="shared" si="1086"/>
        <v>65036.190859332</v>
      </c>
      <c r="AC384" s="1">
        <f t="shared" si="1087"/>
        <v>43357.460572888</v>
      </c>
      <c r="AD384" s="1">
        <f>AC384/(AC384+[1]战斗公式!$M$27)</f>
        <v>0.643692030609892</v>
      </c>
      <c r="AE384" s="1">
        <f t="shared" si="1088"/>
        <v>6223292.8616291</v>
      </c>
      <c r="AF384" s="1">
        <f t="shared" si="1089"/>
        <v>11.8692880447054</v>
      </c>
      <c r="AG384" s="1">
        <f t="shared" si="1090"/>
        <v>5.93994011718668</v>
      </c>
      <c r="AH384" s="1">
        <f t="shared" si="1091"/>
        <v>4.84675649318668</v>
      </c>
      <c r="AI384" s="1">
        <f t="shared" si="1092"/>
        <v>1.66071316263194</v>
      </c>
      <c r="AJ384" s="1">
        <f t="shared" si="1093"/>
        <v>1.00000000593246</v>
      </c>
      <c r="AK384" s="1">
        <f t="shared" si="1094"/>
        <v>1.00040223046342</v>
      </c>
      <c r="AL384" s="1">
        <f t="shared" si="1095"/>
        <v>0.929965119248451</v>
      </c>
      <c r="AM384" s="27">
        <f t="shared" si="1096"/>
        <v>1809318</v>
      </c>
      <c r="AN384" s="27">
        <f t="shared" si="1097"/>
        <v>108006</v>
      </c>
      <c r="AO384" s="27">
        <f t="shared" si="1098"/>
        <v>43357</v>
      </c>
      <c r="AP384" s="1">
        <f t="shared" si="1099"/>
        <v>905831</v>
      </c>
      <c r="AQ384" s="1">
        <f t="shared" si="1100"/>
        <v>100442</v>
      </c>
      <c r="AR384"/>
      <c r="AS384" s="1">
        <f t="shared" ref="AS384:AY384" si="1262">ROUNDUP(AS$10*$AP384,0)</f>
        <v>905831</v>
      </c>
      <c r="AT384" s="1">
        <f t="shared" si="1262"/>
        <v>2717493</v>
      </c>
      <c r="AU384" s="1">
        <f t="shared" si="1262"/>
        <v>1630496</v>
      </c>
      <c r="AV384" s="1">
        <f t="shared" si="1262"/>
        <v>452916</v>
      </c>
      <c r="AW384" s="1">
        <f t="shared" si="1262"/>
        <v>135875</v>
      </c>
      <c r="AX384" s="1">
        <f t="shared" si="1262"/>
        <v>3623324</v>
      </c>
      <c r="AY384" s="1">
        <f t="shared" si="1262"/>
        <v>8152479</v>
      </c>
      <c r="AZ384" s="1">
        <f t="shared" si="1102"/>
        <v>108559081</v>
      </c>
      <c r="BA384" s="1">
        <f t="shared" si="1103"/>
        <v>54279540</v>
      </c>
      <c r="BC384" s="1">
        <f t="shared" si="1104"/>
        <v>373</v>
      </c>
    </row>
    <row r="385" s="1" customFormat="1" spans="2:55">
      <c r="B385" s="4">
        <v>374</v>
      </c>
      <c r="C385" s="1">
        <f t="shared" ref="C385:I385" si="1263">C$5+(C$6-C$5)*(POWER(C$7,$B385-1)-1)/(POWER(C$7,$B$3-1)-1)</f>
        <v>29547.8563454933</v>
      </c>
      <c r="D385" s="1">
        <f t="shared" si="1263"/>
        <v>8864.35690364798</v>
      </c>
      <c r="E385" s="1">
        <f t="shared" si="1263"/>
        <v>5909.57126909865</v>
      </c>
      <c r="F385" s="1">
        <f t="shared" si="1263"/>
        <v>108466.814432823</v>
      </c>
      <c r="G385" s="1">
        <f t="shared" si="1263"/>
        <v>32540.044329847</v>
      </c>
      <c r="H385" s="1">
        <f t="shared" si="1263"/>
        <v>21693.3628865647</v>
      </c>
      <c r="I385" s="1">
        <f t="shared" si="1263"/>
        <v>0</v>
      </c>
      <c r="J385" s="1">
        <f>[1]标准模型!$I$65/1*$B385/$B$3</f>
        <v>2.6928</v>
      </c>
      <c r="K385" s="1">
        <f>J385*[1]标准模型!$J$63</f>
        <v>2.6928</v>
      </c>
      <c r="L385" s="1">
        <f t="shared" si="1081"/>
        <v>138014.670778316</v>
      </c>
      <c r="M385" s="1">
        <f t="shared" si="1082"/>
        <v>65274.3415036383</v>
      </c>
      <c r="N385" s="1">
        <f t="shared" si="1083"/>
        <v>43516.2276690922</v>
      </c>
      <c r="O385" s="1">
        <f t="shared" ref="O385:X385" si="1264">O$5+(O$6-O$5)*(POWER(O$7,$B385-1)-1)/(POWER(O$7,$B$3-1)-1)</f>
        <v>0.873771040124468</v>
      </c>
      <c r="P385" s="1">
        <f t="shared" si="1264"/>
        <v>0.269292070372977</v>
      </c>
      <c r="Q385" s="1">
        <f t="shared" si="1264"/>
        <v>0.480574072068457</v>
      </c>
      <c r="R385" s="1">
        <f t="shared" si="1264"/>
        <v>1.14950841604979</v>
      </c>
      <c r="S385" s="1">
        <f t="shared" si="1264"/>
        <v>0.523279456174255</v>
      </c>
      <c r="T385" s="1">
        <f t="shared" si="1264"/>
        <v>3.45770705648542</v>
      </c>
      <c r="U385" s="1">
        <f t="shared" si="1264"/>
        <v>1</v>
      </c>
      <c r="V385" s="1">
        <f t="shared" si="1264"/>
        <v>1.40763405743489</v>
      </c>
      <c r="W385" s="1">
        <f t="shared" si="1264"/>
        <v>1.2300129477689</v>
      </c>
      <c r="X385" s="1">
        <f t="shared" si="1264"/>
        <v>2.1960673283983</v>
      </c>
      <c r="Y385" s="1">
        <f t="shared" si="1107"/>
        <v>8.11384616120858</v>
      </c>
      <c r="Z385" s="1">
        <f t="shared" si="1108"/>
        <v>16.2231548821421</v>
      </c>
      <c r="AA385" s="1">
        <f t="shared" si="1085"/>
        <v>2239033.38004448</v>
      </c>
      <c r="AB385" s="1">
        <f t="shared" si="1086"/>
        <v>65274.3415036383</v>
      </c>
      <c r="AC385" s="1">
        <f t="shared" si="1087"/>
        <v>43516.2276690922</v>
      </c>
      <c r="AD385" s="1">
        <f>AC385/(AC385+[1]战斗公式!$M$27)</f>
        <v>0.644529902979357</v>
      </c>
      <c r="AE385" s="1">
        <f t="shared" si="1088"/>
        <v>6298795.31024084</v>
      </c>
      <c r="AF385" s="1">
        <f t="shared" si="1089"/>
        <v>11.8929125905854</v>
      </c>
      <c r="AG385" s="1">
        <f t="shared" si="1090"/>
        <v>5.94811945455388</v>
      </c>
      <c r="AH385" s="1">
        <f t="shared" si="1091"/>
        <v>4.84862347371883</v>
      </c>
      <c r="AI385" s="1">
        <f t="shared" si="1092"/>
        <v>1.66513966964498</v>
      </c>
      <c r="AJ385" s="1">
        <f t="shared" si="1093"/>
        <v>1.0000000056354</v>
      </c>
      <c r="AK385" s="1">
        <f t="shared" si="1094"/>
        <v>1.00039351604677</v>
      </c>
      <c r="AL385" s="1">
        <f t="shared" si="1095"/>
        <v>0.930154596354066</v>
      </c>
      <c r="AM385" s="27">
        <f t="shared" si="1096"/>
        <v>1825153</v>
      </c>
      <c r="AN385" s="27">
        <f t="shared" si="1097"/>
        <v>108691</v>
      </c>
      <c r="AO385" s="27">
        <f t="shared" si="1098"/>
        <v>43516</v>
      </c>
      <c r="AP385" s="1">
        <f t="shared" si="1099"/>
        <v>913191</v>
      </c>
      <c r="AQ385" s="1">
        <f t="shared" si="1100"/>
        <v>101099</v>
      </c>
      <c r="AR385"/>
      <c r="AS385" s="1">
        <f t="shared" ref="AS385:AY385" si="1265">ROUNDUP(AS$10*$AP385,0)</f>
        <v>913191</v>
      </c>
      <c r="AT385" s="1">
        <f t="shared" si="1265"/>
        <v>2739573</v>
      </c>
      <c r="AU385" s="1">
        <f t="shared" si="1265"/>
        <v>1643744</v>
      </c>
      <c r="AV385" s="1">
        <f t="shared" si="1265"/>
        <v>456596</v>
      </c>
      <c r="AW385" s="1">
        <f t="shared" si="1265"/>
        <v>136979</v>
      </c>
      <c r="AX385" s="1">
        <f t="shared" si="1265"/>
        <v>3652764</v>
      </c>
      <c r="AY385" s="1">
        <f t="shared" si="1265"/>
        <v>8218719</v>
      </c>
      <c r="AZ385" s="1">
        <f t="shared" si="1102"/>
        <v>109509181</v>
      </c>
      <c r="BA385" s="1">
        <f t="shared" si="1103"/>
        <v>54754590</v>
      </c>
      <c r="BC385" s="1">
        <f t="shared" si="1104"/>
        <v>374</v>
      </c>
    </row>
    <row r="386" s="1" customFormat="1" spans="2:55">
      <c r="B386" s="4">
        <v>375</v>
      </c>
      <c r="C386" s="1">
        <f t="shared" ref="C386:I386" si="1266">C$5+(C$6-C$5)*(POWER(C$7,$B386-1)-1)/(POWER(C$7,$B$3-1)-1)</f>
        <v>29626.8465492805</v>
      </c>
      <c r="D386" s="1">
        <f t="shared" si="1266"/>
        <v>8888.05396478416</v>
      </c>
      <c r="E386" s="1">
        <f t="shared" si="1266"/>
        <v>5925.36930985611</v>
      </c>
      <c r="F386" s="1">
        <f t="shared" si="1266"/>
        <v>108756.778472042</v>
      </c>
      <c r="G386" s="1">
        <f t="shared" si="1266"/>
        <v>32627.0335416127</v>
      </c>
      <c r="H386" s="1">
        <f t="shared" si="1266"/>
        <v>21751.3556944085</v>
      </c>
      <c r="I386" s="1">
        <f t="shared" si="1266"/>
        <v>0</v>
      </c>
      <c r="J386" s="1">
        <f>[1]标准模型!$I$65/1*$B386/$B$3</f>
        <v>2.7</v>
      </c>
      <c r="K386" s="1">
        <f>J386*[1]标准模型!$J$63</f>
        <v>2.7</v>
      </c>
      <c r="L386" s="1">
        <f t="shared" si="1081"/>
        <v>138383.625021323</v>
      </c>
      <c r="M386" s="1">
        <f t="shared" si="1082"/>
        <v>65512.8332113141</v>
      </c>
      <c r="N386" s="1">
        <f t="shared" si="1083"/>
        <v>43675.2221408761</v>
      </c>
      <c r="O386" s="1">
        <f t="shared" ref="O386:X386" si="1267">O$5+(O$6-O$5)*(POWER(O$7,$B386-1)-1)/(POWER(O$7,$B$3-1)-1)</f>
        <v>0.874772919881288</v>
      </c>
      <c r="P386" s="1">
        <f t="shared" si="1267"/>
        <v>0.270235265604066</v>
      </c>
      <c r="Q386" s="1">
        <f t="shared" si="1267"/>
        <v>0.481125105934709</v>
      </c>
      <c r="R386" s="1">
        <f t="shared" si="1267"/>
        <v>1.14990916795252</v>
      </c>
      <c r="S386" s="1">
        <f t="shared" si="1267"/>
        <v>0.524682087833804</v>
      </c>
      <c r="T386" s="1">
        <f t="shared" si="1267"/>
        <v>3.46161438753702</v>
      </c>
      <c r="U386" s="1">
        <f t="shared" si="1267"/>
        <v>1</v>
      </c>
      <c r="V386" s="1">
        <f t="shared" si="1267"/>
        <v>1.40872670578506</v>
      </c>
      <c r="W386" s="1">
        <f t="shared" si="1267"/>
        <v>1.23062948915772</v>
      </c>
      <c r="X386" s="1">
        <f t="shared" si="1267"/>
        <v>2.19927334362012</v>
      </c>
      <c r="Y386" s="1">
        <f t="shared" si="1107"/>
        <v>8.16602738461939</v>
      </c>
      <c r="Z386" s="1">
        <f t="shared" si="1108"/>
        <v>16.3374822774647</v>
      </c>
      <c r="AA386" s="1">
        <f t="shared" si="1085"/>
        <v>2260840.02127718</v>
      </c>
      <c r="AB386" s="1">
        <f t="shared" si="1086"/>
        <v>65512.8332113141</v>
      </c>
      <c r="AC386" s="1">
        <f t="shared" si="1087"/>
        <v>43675.2221408761</v>
      </c>
      <c r="AD386" s="1">
        <f>AC386/(AC386+[1]战斗公式!$M$27)</f>
        <v>0.645365035521562</v>
      </c>
      <c r="AE386" s="1">
        <f t="shared" si="1088"/>
        <v>6375118.77770484</v>
      </c>
      <c r="AF386" s="1">
        <f t="shared" si="1089"/>
        <v>11.916564475175</v>
      </c>
      <c r="AG386" s="1">
        <f t="shared" si="1090"/>
        <v>5.95630282452326</v>
      </c>
      <c r="AH386" s="1">
        <f t="shared" si="1091"/>
        <v>4.85047645189699</v>
      </c>
      <c r="AI386" s="1">
        <f t="shared" si="1092"/>
        <v>1.66957502967204</v>
      </c>
      <c r="AJ386" s="1">
        <f t="shared" si="1093"/>
        <v>1.00000000535319</v>
      </c>
      <c r="AK386" s="1">
        <f t="shared" si="1094"/>
        <v>1.00038497591844</v>
      </c>
      <c r="AL386" s="1">
        <f t="shared" si="1095"/>
        <v>0.930343505028363</v>
      </c>
      <c r="AM386" s="27">
        <f t="shared" si="1096"/>
        <v>1841100</v>
      </c>
      <c r="AN386" s="27">
        <f t="shared" si="1097"/>
        <v>109379</v>
      </c>
      <c r="AO386" s="27">
        <f t="shared" si="1098"/>
        <v>43675</v>
      </c>
      <c r="AP386" s="1">
        <f t="shared" si="1099"/>
        <v>920599</v>
      </c>
      <c r="AQ386" s="1">
        <f t="shared" si="1100"/>
        <v>101760</v>
      </c>
      <c r="AR386"/>
      <c r="AS386" s="1">
        <f t="shared" ref="AS386:AY386" si="1268">ROUNDUP(AS$10*$AP386,0)</f>
        <v>920599</v>
      </c>
      <c r="AT386" s="1">
        <f t="shared" si="1268"/>
        <v>2761797</v>
      </c>
      <c r="AU386" s="1">
        <f t="shared" si="1268"/>
        <v>1657079</v>
      </c>
      <c r="AV386" s="1">
        <f t="shared" si="1268"/>
        <v>460300</v>
      </c>
      <c r="AW386" s="1">
        <f t="shared" si="1268"/>
        <v>138090</v>
      </c>
      <c r="AX386" s="1">
        <f t="shared" si="1268"/>
        <v>3682396</v>
      </c>
      <c r="AY386" s="1">
        <f t="shared" si="1268"/>
        <v>8285391</v>
      </c>
      <c r="AZ386" s="1">
        <f t="shared" si="1102"/>
        <v>110466001</v>
      </c>
      <c r="BA386" s="1">
        <f t="shared" si="1103"/>
        <v>55233000</v>
      </c>
      <c r="BC386" s="1">
        <f t="shared" si="1104"/>
        <v>375</v>
      </c>
    </row>
    <row r="387" s="1" customFormat="1" spans="2:55">
      <c r="B387" s="4">
        <v>376</v>
      </c>
      <c r="C387" s="1">
        <f t="shared" ref="C387:I387" si="1269">C$5+(C$6-C$5)*(POWER(C$7,$B387-1)-1)/(POWER(C$7,$B$3-1)-1)</f>
        <v>29705.8366740762</v>
      </c>
      <c r="D387" s="1">
        <f t="shared" si="1269"/>
        <v>8911.75100222286</v>
      </c>
      <c r="E387" s="1">
        <f t="shared" si="1269"/>
        <v>5941.16733481524</v>
      </c>
      <c r="F387" s="1">
        <f t="shared" si="1269"/>
        <v>109046.742221292</v>
      </c>
      <c r="G387" s="1">
        <f t="shared" si="1269"/>
        <v>32714.0226663877</v>
      </c>
      <c r="H387" s="1">
        <f t="shared" si="1269"/>
        <v>21809.3484442585</v>
      </c>
      <c r="I387" s="1">
        <f t="shared" si="1269"/>
        <v>0</v>
      </c>
      <c r="J387" s="1">
        <f>[1]标准模型!$I$65/1*$B387/$B$3</f>
        <v>2.7072</v>
      </c>
      <c r="K387" s="1">
        <f>J387*[1]标准模型!$J$63</f>
        <v>2.7072</v>
      </c>
      <c r="L387" s="1">
        <f t="shared" si="1081"/>
        <v>138752.578895368</v>
      </c>
      <c r="M387" s="1">
        <f t="shared" si="1082"/>
        <v>65751.6659818283</v>
      </c>
      <c r="N387" s="1">
        <f t="shared" si="1083"/>
        <v>43834.4439878856</v>
      </c>
      <c r="O387" s="1">
        <f t="shared" ref="O387:X387" si="1270">O$5+(O$6-O$5)*(POWER(O$7,$B387-1)-1)/(POWER(O$7,$B$3-1)-1)</f>
        <v>0.875774798636212</v>
      </c>
      <c r="P387" s="1">
        <f t="shared" si="1270"/>
        <v>0.271179875628002</v>
      </c>
      <c r="Q387" s="1">
        <f t="shared" si="1270"/>
        <v>0.481676139249916</v>
      </c>
      <c r="R387" s="1">
        <f t="shared" si="1270"/>
        <v>1.15030991945448</v>
      </c>
      <c r="S387" s="1">
        <f t="shared" si="1270"/>
        <v>0.526084718090696</v>
      </c>
      <c r="T387" s="1">
        <f t="shared" si="1270"/>
        <v>3.46552171468123</v>
      </c>
      <c r="U387" s="1">
        <f t="shared" si="1270"/>
        <v>1</v>
      </c>
      <c r="V387" s="1">
        <f t="shared" si="1270"/>
        <v>1.40981935304257</v>
      </c>
      <c r="W387" s="1">
        <f t="shared" si="1270"/>
        <v>1.23124602992998</v>
      </c>
      <c r="X387" s="1">
        <f t="shared" si="1270"/>
        <v>2.20247935563588</v>
      </c>
      <c r="Y387" s="1">
        <f t="shared" si="1107"/>
        <v>8.21850196114655</v>
      </c>
      <c r="Z387" s="1">
        <f t="shared" si="1108"/>
        <v>16.4525236132658</v>
      </c>
      <c r="AA387" s="1">
        <f t="shared" si="1085"/>
        <v>2282830.08067757</v>
      </c>
      <c r="AB387" s="1">
        <f t="shared" si="1086"/>
        <v>65751.6659818283</v>
      </c>
      <c r="AC387" s="1">
        <f t="shared" si="1087"/>
        <v>43834.4439878856</v>
      </c>
      <c r="AD387" s="1">
        <f>AC387/(AC387+[1]战斗公式!$M$27)</f>
        <v>0.646197439102086</v>
      </c>
      <c r="AE387" s="1">
        <f t="shared" si="1088"/>
        <v>6452271.21839929</v>
      </c>
      <c r="AF387" s="1">
        <f t="shared" si="1089"/>
        <v>11.9402436808488</v>
      </c>
      <c r="AG387" s="1">
        <f t="shared" si="1090"/>
        <v>5.96449021525792</v>
      </c>
      <c r="AH387" s="1">
        <f t="shared" si="1091"/>
        <v>4.85231553273882</v>
      </c>
      <c r="AI387" s="1">
        <f t="shared" si="1092"/>
        <v>1.67401926041916</v>
      </c>
      <c r="AJ387" s="1">
        <f t="shared" si="1093"/>
        <v>1.00000000508509</v>
      </c>
      <c r="AK387" s="1">
        <f t="shared" si="1094"/>
        <v>1.00037660659269</v>
      </c>
      <c r="AL387" s="1">
        <f t="shared" si="1095"/>
        <v>0.930531846976638</v>
      </c>
      <c r="AM387" s="27">
        <f t="shared" si="1096"/>
        <v>1857160</v>
      </c>
      <c r="AN387" s="27">
        <f t="shared" si="1097"/>
        <v>110070</v>
      </c>
      <c r="AO387" s="27">
        <f t="shared" si="1098"/>
        <v>43834</v>
      </c>
      <c r="AP387" s="1">
        <f t="shared" si="1099"/>
        <v>928053</v>
      </c>
      <c r="AQ387" s="1">
        <f t="shared" si="1100"/>
        <v>102424</v>
      </c>
      <c r="AR387"/>
      <c r="AS387" s="1">
        <f t="shared" ref="AS387:AY387" si="1271">ROUNDUP(AS$10*$AP387,0)</f>
        <v>928053</v>
      </c>
      <c r="AT387" s="1">
        <f t="shared" si="1271"/>
        <v>2784159</v>
      </c>
      <c r="AU387" s="1">
        <f t="shared" si="1271"/>
        <v>1670496</v>
      </c>
      <c r="AV387" s="1">
        <f t="shared" si="1271"/>
        <v>464027</v>
      </c>
      <c r="AW387" s="1">
        <f t="shared" si="1271"/>
        <v>139208</v>
      </c>
      <c r="AX387" s="1">
        <f t="shared" si="1271"/>
        <v>3712212</v>
      </c>
      <c r="AY387" s="1">
        <f t="shared" si="1271"/>
        <v>8352477</v>
      </c>
      <c r="AZ387" s="1">
        <f t="shared" si="1102"/>
        <v>111429601</v>
      </c>
      <c r="BA387" s="1">
        <f t="shared" si="1103"/>
        <v>55714800</v>
      </c>
      <c r="BC387" s="1">
        <f t="shared" si="1104"/>
        <v>376</v>
      </c>
    </row>
    <row r="388" s="1" customFormat="1" spans="2:55">
      <c r="B388" s="4">
        <v>377</v>
      </c>
      <c r="C388" s="1">
        <f t="shared" ref="C388:I388" si="1272">C$5+(C$6-C$5)*(POWER(C$7,$B388-1)-1)/(POWER(C$7,$B$3-1)-1)</f>
        <v>29784.8267198715</v>
      </c>
      <c r="D388" s="1">
        <f t="shared" si="1272"/>
        <v>8935.44801596145</v>
      </c>
      <c r="E388" s="1">
        <f t="shared" si="1272"/>
        <v>5956.9653439743</v>
      </c>
      <c r="F388" s="1">
        <f t="shared" si="1272"/>
        <v>109336.705680541</v>
      </c>
      <c r="G388" s="1">
        <f t="shared" si="1272"/>
        <v>32801.0117041623</v>
      </c>
      <c r="H388" s="1">
        <f t="shared" si="1272"/>
        <v>21867.3411361082</v>
      </c>
      <c r="I388" s="1">
        <f t="shared" si="1272"/>
        <v>0</v>
      </c>
      <c r="J388" s="1">
        <f>[1]标准模型!$I$65/1*$B388/$B$3</f>
        <v>2.7144</v>
      </c>
      <c r="K388" s="1">
        <f>J388*[1]标准模型!$J$63</f>
        <v>2.7144</v>
      </c>
      <c r="L388" s="1">
        <f t="shared" si="1081"/>
        <v>139121.532400412</v>
      </c>
      <c r="M388" s="1">
        <f t="shared" si="1082"/>
        <v>65990.8398146495</v>
      </c>
      <c r="N388" s="1">
        <f t="shared" si="1083"/>
        <v>43993.8932097663</v>
      </c>
      <c r="O388" s="1">
        <f t="shared" ref="O388:X388" si="1273">O$5+(O$6-O$5)*(POWER(O$7,$B388-1)-1)/(POWER(O$7,$B$3-1)-1)</f>
        <v>0.876776676389126</v>
      </c>
      <c r="P388" s="1">
        <f t="shared" si="1273"/>
        <v>0.272125902566974</v>
      </c>
      <c r="Q388" s="1">
        <f t="shared" si="1273"/>
        <v>0.482227172014019</v>
      </c>
      <c r="R388" s="1">
        <f t="shared" si="1273"/>
        <v>1.15071067055565</v>
      </c>
      <c r="S388" s="1">
        <f t="shared" si="1273"/>
        <v>0.527487346944777</v>
      </c>
      <c r="T388" s="1">
        <f t="shared" si="1273"/>
        <v>3.46942903791759</v>
      </c>
      <c r="U388" s="1">
        <f t="shared" si="1273"/>
        <v>1</v>
      </c>
      <c r="V388" s="1">
        <f t="shared" si="1273"/>
        <v>1.41091199920729</v>
      </c>
      <c r="W388" s="1">
        <f t="shared" si="1273"/>
        <v>1.23186257008562</v>
      </c>
      <c r="X388" s="1">
        <f t="shared" si="1273"/>
        <v>2.2056853644452</v>
      </c>
      <c r="Y388" s="1">
        <f t="shared" si="1107"/>
        <v>8.27127127749964</v>
      </c>
      <c r="Z388" s="1">
        <f t="shared" si="1108"/>
        <v>16.5682827164411</v>
      </c>
      <c r="AA388" s="1">
        <f t="shared" si="1085"/>
        <v>2305004.88075455</v>
      </c>
      <c r="AB388" s="1">
        <f t="shared" si="1086"/>
        <v>65990.8398146495</v>
      </c>
      <c r="AC388" s="1">
        <f t="shared" si="1087"/>
        <v>43993.8932097663</v>
      </c>
      <c r="AD388" s="1">
        <f>AC388/(AC388+[1]战斗公式!$M$27)</f>
        <v>0.647027124539579</v>
      </c>
      <c r="AE388" s="1">
        <f t="shared" si="1088"/>
        <v>6530260.65458396</v>
      </c>
      <c r="AF388" s="1">
        <f t="shared" si="1089"/>
        <v>11.9639501900098</v>
      </c>
      <c r="AG388" s="1">
        <f t="shared" si="1090"/>
        <v>5.97268161496708</v>
      </c>
      <c r="AH388" s="1">
        <f t="shared" si="1091"/>
        <v>4.85414082047433</v>
      </c>
      <c r="AI388" s="1">
        <f t="shared" si="1092"/>
        <v>1.67847237962777</v>
      </c>
      <c r="AJ388" s="1">
        <f t="shared" si="1093"/>
        <v>1.00000000483039</v>
      </c>
      <c r="AK388" s="1">
        <f t="shared" si="1094"/>
        <v>1.00036840465345</v>
      </c>
      <c r="AL388" s="1">
        <f t="shared" si="1095"/>
        <v>0.930719623899068</v>
      </c>
      <c r="AM388" s="27">
        <f t="shared" si="1096"/>
        <v>1873332</v>
      </c>
      <c r="AN388" s="27">
        <f t="shared" si="1097"/>
        <v>110764</v>
      </c>
      <c r="AO388" s="27">
        <f t="shared" si="1098"/>
        <v>43994</v>
      </c>
      <c r="AP388" s="1">
        <f t="shared" si="1099"/>
        <v>935556</v>
      </c>
      <c r="AQ388" s="1">
        <f t="shared" si="1100"/>
        <v>103090</v>
      </c>
      <c r="AR388"/>
      <c r="AS388" s="1">
        <f t="shared" ref="AS388:AY388" si="1274">ROUNDUP(AS$10*$AP388,0)</f>
        <v>935556</v>
      </c>
      <c r="AT388" s="1">
        <f t="shared" si="1274"/>
        <v>2806668</v>
      </c>
      <c r="AU388" s="1">
        <f t="shared" si="1274"/>
        <v>1684001</v>
      </c>
      <c r="AV388" s="1">
        <f t="shared" si="1274"/>
        <v>467778</v>
      </c>
      <c r="AW388" s="1">
        <f t="shared" si="1274"/>
        <v>140334</v>
      </c>
      <c r="AX388" s="1">
        <f t="shared" si="1274"/>
        <v>3742224</v>
      </c>
      <c r="AY388" s="1">
        <f t="shared" si="1274"/>
        <v>8420004</v>
      </c>
      <c r="AZ388" s="1">
        <f t="shared" si="1102"/>
        <v>112399921</v>
      </c>
      <c r="BA388" s="1">
        <f t="shared" si="1103"/>
        <v>56199960</v>
      </c>
      <c r="BC388" s="1">
        <f t="shared" si="1104"/>
        <v>377</v>
      </c>
    </row>
    <row r="389" s="1" customFormat="1" spans="2:55">
      <c r="B389" s="4">
        <v>378</v>
      </c>
      <c r="C389" s="1">
        <f t="shared" ref="C389:I389" si="1275">C$5+(C$6-C$5)*(POWER(C$7,$B389-1)-1)/(POWER(C$7,$B$3-1)-1)</f>
        <v>29863.8166866839</v>
      </c>
      <c r="D389" s="1">
        <f t="shared" si="1275"/>
        <v>8959.14500600518</v>
      </c>
      <c r="E389" s="1">
        <f t="shared" si="1275"/>
        <v>5972.76333733679</v>
      </c>
      <c r="F389" s="1">
        <f t="shared" si="1275"/>
        <v>109626.668849852</v>
      </c>
      <c r="G389" s="1">
        <f t="shared" si="1275"/>
        <v>32888.0006549557</v>
      </c>
      <c r="H389" s="1">
        <f t="shared" si="1275"/>
        <v>21925.3337699705</v>
      </c>
      <c r="I389" s="1">
        <f t="shared" si="1275"/>
        <v>0</v>
      </c>
      <c r="J389" s="1">
        <f>[1]标准模型!$I$65/1*$B389/$B$3</f>
        <v>2.7216</v>
      </c>
      <c r="K389" s="1">
        <f>J389*[1]标准模型!$J$63</f>
        <v>2.7216</v>
      </c>
      <c r="L389" s="1">
        <f t="shared" si="1081"/>
        <v>139490.485536536</v>
      </c>
      <c r="M389" s="1">
        <f t="shared" si="1082"/>
        <v>66230.3547093046</v>
      </c>
      <c r="N389" s="1">
        <f t="shared" si="1083"/>
        <v>44153.5698062031</v>
      </c>
      <c r="O389" s="1">
        <f t="shared" ref="O389:X389" si="1276">O$5+(O$6-O$5)*(POWER(O$7,$B389-1)-1)/(POWER(O$7,$B$3-1)-1)</f>
        <v>0.877778553140254</v>
      </c>
      <c r="P389" s="1">
        <f t="shared" si="1276"/>
        <v>0.273073348546354</v>
      </c>
      <c r="Q389" s="1">
        <f t="shared" si="1276"/>
        <v>0.48277820422714</v>
      </c>
      <c r="R389" s="1">
        <f t="shared" si="1276"/>
        <v>1.1511114212561</v>
      </c>
      <c r="S389" s="1">
        <f t="shared" si="1276"/>
        <v>0.528889974396356</v>
      </c>
      <c r="T389" s="1">
        <f t="shared" si="1276"/>
        <v>3.47333635724699</v>
      </c>
      <c r="U389" s="1">
        <f t="shared" si="1276"/>
        <v>1</v>
      </c>
      <c r="V389" s="1">
        <f t="shared" si="1276"/>
        <v>1.41200464427946</v>
      </c>
      <c r="W389" s="1">
        <f t="shared" si="1276"/>
        <v>1.23247910962477</v>
      </c>
      <c r="X389" s="1">
        <f t="shared" si="1276"/>
        <v>2.20889137004881</v>
      </c>
      <c r="Y389" s="1">
        <f t="shared" si="1107"/>
        <v>8.32433672568662</v>
      </c>
      <c r="Z389" s="1">
        <f t="shared" si="1108"/>
        <v>16.6847634309129</v>
      </c>
      <c r="AA389" s="1">
        <f t="shared" si="1085"/>
        <v>2327365.75204028</v>
      </c>
      <c r="AB389" s="1">
        <f t="shared" si="1086"/>
        <v>66230.3547093046</v>
      </c>
      <c r="AC389" s="1">
        <f t="shared" si="1087"/>
        <v>44153.5698062031</v>
      </c>
      <c r="AD389" s="1">
        <f>AC389/(AC389+[1]战斗公式!$M$27)</f>
        <v>0.647854102606147</v>
      </c>
      <c r="AE389" s="1">
        <f t="shared" si="1088"/>
        <v>6609095.17692682</v>
      </c>
      <c r="AF389" s="1">
        <f t="shared" si="1089"/>
        <v>11.9876839850998</v>
      </c>
      <c r="AG389" s="1">
        <f t="shared" si="1090"/>
        <v>5.98087701190929</v>
      </c>
      <c r="AH389" s="1">
        <f t="shared" si="1091"/>
        <v>4.85595241855182</v>
      </c>
      <c r="AI389" s="1">
        <f t="shared" si="1092"/>
        <v>1.6829344050748</v>
      </c>
      <c r="AJ389" s="1">
        <f t="shared" si="1093"/>
        <v>1.00000000458843</v>
      </c>
      <c r="AK389" s="1">
        <f t="shared" si="1094"/>
        <v>1.00036036675299</v>
      </c>
      <c r="AL389" s="1">
        <f t="shared" si="1095"/>
        <v>0.93090683749073</v>
      </c>
      <c r="AM389" s="27">
        <f t="shared" si="1096"/>
        <v>1889619</v>
      </c>
      <c r="AN389" s="27">
        <f t="shared" si="1097"/>
        <v>111461</v>
      </c>
      <c r="AO389" s="27">
        <f t="shared" si="1098"/>
        <v>44154</v>
      </c>
      <c r="AP389" s="1">
        <f t="shared" si="1099"/>
        <v>943105</v>
      </c>
      <c r="AQ389" s="1">
        <f t="shared" si="1100"/>
        <v>103760</v>
      </c>
      <c r="AR389"/>
      <c r="AS389" s="1">
        <f t="shared" ref="AS389:AY389" si="1277">ROUNDUP(AS$10*$AP389,0)</f>
        <v>943105</v>
      </c>
      <c r="AT389" s="1">
        <f t="shared" si="1277"/>
        <v>2829315</v>
      </c>
      <c r="AU389" s="1">
        <f t="shared" si="1277"/>
        <v>1697589</v>
      </c>
      <c r="AV389" s="1">
        <f t="shared" si="1277"/>
        <v>471553</v>
      </c>
      <c r="AW389" s="1">
        <f t="shared" si="1277"/>
        <v>141466</v>
      </c>
      <c r="AX389" s="1">
        <f t="shared" si="1277"/>
        <v>3772420</v>
      </c>
      <c r="AY389" s="1">
        <f t="shared" si="1277"/>
        <v>8487945</v>
      </c>
      <c r="AZ389" s="1">
        <f t="shared" si="1102"/>
        <v>113377141</v>
      </c>
      <c r="BA389" s="1">
        <f t="shared" si="1103"/>
        <v>56688570</v>
      </c>
      <c r="BC389" s="1">
        <f t="shared" si="1104"/>
        <v>378</v>
      </c>
    </row>
    <row r="390" s="1" customFormat="1" spans="2:55">
      <c r="B390" s="4">
        <v>379</v>
      </c>
      <c r="C390" s="1">
        <f t="shared" ref="C390:I390" si="1278">C$5+(C$6-C$5)*(POWER(C$7,$B390-1)-1)/(POWER(C$7,$B$3-1)-1)</f>
        <v>29942.8065745136</v>
      </c>
      <c r="D390" s="1">
        <f t="shared" si="1278"/>
        <v>8982.84197235407</v>
      </c>
      <c r="E390" s="1">
        <f t="shared" si="1278"/>
        <v>5988.56131490271</v>
      </c>
      <c r="F390" s="1">
        <f t="shared" si="1278"/>
        <v>109916.631729227</v>
      </c>
      <c r="G390" s="1">
        <f t="shared" si="1278"/>
        <v>32974.9895187681</v>
      </c>
      <c r="H390" s="1">
        <f t="shared" si="1278"/>
        <v>21983.3263458454</v>
      </c>
      <c r="I390" s="1">
        <f t="shared" si="1278"/>
        <v>0</v>
      </c>
      <c r="J390" s="1">
        <f>[1]标准模型!$I$65/1*$B390/$B$3</f>
        <v>2.7288</v>
      </c>
      <c r="K390" s="1">
        <f>J390*[1]标准模型!$J$63</f>
        <v>2.7288</v>
      </c>
      <c r="L390" s="1">
        <f t="shared" si="1081"/>
        <v>139859.438303741</v>
      </c>
      <c r="M390" s="1">
        <f t="shared" si="1082"/>
        <v>66470.210665282</v>
      </c>
      <c r="N390" s="1">
        <f t="shared" si="1083"/>
        <v>44313.4737768546</v>
      </c>
      <c r="O390" s="1">
        <f t="shared" ref="O390:X390" si="1279">O$5+(O$6-O$5)*(POWER(O$7,$B390-1)-1)/(POWER(O$7,$B$3-1)-1)</f>
        <v>0.878780428889596</v>
      </c>
      <c r="P390" s="1">
        <f t="shared" si="1279"/>
        <v>0.274022215694703</v>
      </c>
      <c r="Q390" s="1">
        <f t="shared" si="1279"/>
        <v>0.483329235889278</v>
      </c>
      <c r="R390" s="1">
        <f t="shared" si="1279"/>
        <v>1.15151217155584</v>
      </c>
      <c r="S390" s="1">
        <f t="shared" si="1279"/>
        <v>0.530292600445435</v>
      </c>
      <c r="T390" s="1">
        <f t="shared" si="1279"/>
        <v>3.47724367266943</v>
      </c>
      <c r="U390" s="1">
        <f t="shared" si="1279"/>
        <v>1</v>
      </c>
      <c r="V390" s="1">
        <f t="shared" si="1279"/>
        <v>1.41309728825908</v>
      </c>
      <c r="W390" s="1">
        <f t="shared" si="1279"/>
        <v>1.23309564854744</v>
      </c>
      <c r="X390" s="1">
        <f t="shared" si="1279"/>
        <v>2.21209737244671</v>
      </c>
      <c r="Y390" s="1">
        <f t="shared" si="1107"/>
        <v>8.37769970300451</v>
      </c>
      <c r="Z390" s="1">
        <f t="shared" si="1108"/>
        <v>16.8019696176325</v>
      </c>
      <c r="AA390" s="1">
        <f t="shared" si="1085"/>
        <v>2349914.0331186</v>
      </c>
      <c r="AB390" s="1">
        <f t="shared" si="1086"/>
        <v>66470.210665282</v>
      </c>
      <c r="AC390" s="1">
        <f t="shared" si="1087"/>
        <v>44313.4737768546</v>
      </c>
      <c r="AD390" s="1">
        <f>AC390/(AC390+[1]战斗公式!$M$27)</f>
        <v>0.648678384027201</v>
      </c>
      <c r="AE390" s="1">
        <f t="shared" si="1088"/>
        <v>6688782.94497126</v>
      </c>
      <c r="AF390" s="1">
        <f t="shared" si="1089"/>
        <v>12.0114450485823</v>
      </c>
      <c r="AG390" s="1">
        <f t="shared" si="1090"/>
        <v>5.98907639438656</v>
      </c>
      <c r="AH390" s="1">
        <f t="shared" si="1091"/>
        <v>4.85775042964374</v>
      </c>
      <c r="AI390" s="1">
        <f t="shared" si="1092"/>
        <v>1.68740535457272</v>
      </c>
      <c r="AJ390" s="1">
        <f t="shared" si="1093"/>
        <v>1.00000000435857</v>
      </c>
      <c r="AK390" s="1">
        <f t="shared" si="1094"/>
        <v>1.00035248961054</v>
      </c>
      <c r="AL390" s="1">
        <f t="shared" si="1095"/>
        <v>0.931093489441618</v>
      </c>
      <c r="AM390" s="27">
        <f t="shared" si="1096"/>
        <v>1906019</v>
      </c>
      <c r="AN390" s="27">
        <f t="shared" si="1097"/>
        <v>112162</v>
      </c>
      <c r="AO390" s="27">
        <f t="shared" si="1098"/>
        <v>44313</v>
      </c>
      <c r="AP390" s="1">
        <f t="shared" si="1099"/>
        <v>950703</v>
      </c>
      <c r="AQ390" s="1">
        <f t="shared" si="1100"/>
        <v>104433</v>
      </c>
      <c r="AR390"/>
      <c r="AS390" s="1">
        <f t="shared" ref="AS390:AY390" si="1280">ROUNDUP(AS$10*$AP390,0)</f>
        <v>950703</v>
      </c>
      <c r="AT390" s="1">
        <f t="shared" si="1280"/>
        <v>2852109</v>
      </c>
      <c r="AU390" s="1">
        <f t="shared" si="1280"/>
        <v>1711266</v>
      </c>
      <c r="AV390" s="1">
        <f t="shared" si="1280"/>
        <v>475352</v>
      </c>
      <c r="AW390" s="1">
        <f t="shared" si="1280"/>
        <v>142606</v>
      </c>
      <c r="AX390" s="1">
        <f t="shared" si="1280"/>
        <v>3802812</v>
      </c>
      <c r="AY390" s="1">
        <f t="shared" si="1280"/>
        <v>8556327</v>
      </c>
      <c r="AZ390" s="1">
        <f t="shared" si="1102"/>
        <v>114361140</v>
      </c>
      <c r="BA390" s="1">
        <f t="shared" si="1103"/>
        <v>57180570</v>
      </c>
      <c r="BC390" s="1">
        <f t="shared" si="1104"/>
        <v>379</v>
      </c>
    </row>
    <row r="391" s="1" customFormat="1" spans="2:55">
      <c r="B391" s="4">
        <v>380</v>
      </c>
      <c r="C391" s="1">
        <f t="shared" ref="C391:I391" si="1281">C$5+(C$6-C$5)*(POWER(C$7,$B391-1)-1)/(POWER(C$7,$B$3-1)-1)</f>
        <v>30021.7963833428</v>
      </c>
      <c r="D391" s="1">
        <f t="shared" si="1281"/>
        <v>9006.53891500284</v>
      </c>
      <c r="E391" s="1">
        <f t="shared" si="1281"/>
        <v>6004.35927666856</v>
      </c>
      <c r="F391" s="1">
        <f t="shared" si="1281"/>
        <v>110206.5943186</v>
      </c>
      <c r="G391" s="1">
        <f t="shared" si="1281"/>
        <v>33061.9782955801</v>
      </c>
      <c r="H391" s="1">
        <f t="shared" si="1281"/>
        <v>22041.31886372</v>
      </c>
      <c r="I391" s="1">
        <f t="shared" si="1281"/>
        <v>0</v>
      </c>
      <c r="J391" s="1">
        <f>[1]标准模型!$I$65/1*$B391/$B$3</f>
        <v>2.736</v>
      </c>
      <c r="K391" s="1">
        <f>J391*[1]标准模型!$J$63</f>
        <v>2.736</v>
      </c>
      <c r="L391" s="1">
        <f t="shared" si="1081"/>
        <v>140228.390701943</v>
      </c>
      <c r="M391" s="1">
        <f t="shared" si="1082"/>
        <v>66710.4076820307</v>
      </c>
      <c r="N391" s="1">
        <f t="shared" si="1083"/>
        <v>44473.6051213537</v>
      </c>
      <c r="O391" s="1">
        <f t="shared" ref="O391:X391" si="1282">O$5+(O$6-O$5)*(POWER(O$7,$B391-1)-1)/(POWER(O$7,$B$3-1)-1)</f>
        <v>0.87978230363693</v>
      </c>
      <c r="P391" s="1">
        <f t="shared" si="1282"/>
        <v>0.274972506143775</v>
      </c>
      <c r="Q391" s="1">
        <f t="shared" si="1282"/>
        <v>0.483880267000311</v>
      </c>
      <c r="R391" s="1">
        <f t="shared" si="1282"/>
        <v>1.15191292145477</v>
      </c>
      <c r="S391" s="1">
        <f t="shared" si="1282"/>
        <v>0.531695225091702</v>
      </c>
      <c r="T391" s="1">
        <f t="shared" si="1282"/>
        <v>3.48115098418403</v>
      </c>
      <c r="U391" s="1">
        <f t="shared" si="1282"/>
        <v>1</v>
      </c>
      <c r="V391" s="1">
        <f t="shared" si="1282"/>
        <v>1.41418993114592</v>
      </c>
      <c r="W391" s="1">
        <f t="shared" si="1282"/>
        <v>1.2337121868535</v>
      </c>
      <c r="X391" s="1">
        <f t="shared" si="1282"/>
        <v>2.21530337163817</v>
      </c>
      <c r="Y391" s="1">
        <f t="shared" si="1107"/>
        <v>8.4313616120554</v>
      </c>
      <c r="Z391" s="1">
        <f t="shared" si="1108"/>
        <v>16.9199051546408</v>
      </c>
      <c r="AA391" s="1">
        <f t="shared" si="1085"/>
        <v>2372651.07066479</v>
      </c>
      <c r="AB391" s="1">
        <f t="shared" si="1086"/>
        <v>66710.4076820307</v>
      </c>
      <c r="AC391" s="1">
        <f t="shared" si="1087"/>
        <v>44473.6051213537</v>
      </c>
      <c r="AD391" s="1">
        <f>AC391/(AC391+[1]战斗公式!$M$27)</f>
        <v>0.649499979481648</v>
      </c>
      <c r="AE391" s="1">
        <f t="shared" si="1088"/>
        <v>6769332.18764408</v>
      </c>
      <c r="AF391" s="1">
        <f t="shared" si="1089"/>
        <v>12.035233362942</v>
      </c>
      <c r="AG391" s="1">
        <f t="shared" si="1090"/>
        <v>5.99727975074405</v>
      </c>
      <c r="AH391" s="1">
        <f t="shared" si="1091"/>
        <v>4.85953495565246</v>
      </c>
      <c r="AI391" s="1">
        <f t="shared" si="1092"/>
        <v>1.69188524596964</v>
      </c>
      <c r="AJ391" s="1">
        <f t="shared" si="1093"/>
        <v>1.0000000041402</v>
      </c>
      <c r="AK391" s="1">
        <f t="shared" si="1094"/>
        <v>1.00034477001094</v>
      </c>
      <c r="AL391" s="1">
        <f t="shared" si="1095"/>
        <v>0.931279581436652</v>
      </c>
      <c r="AM391" s="27">
        <f t="shared" si="1096"/>
        <v>1922535</v>
      </c>
      <c r="AN391" s="27">
        <f t="shared" si="1097"/>
        <v>112866</v>
      </c>
      <c r="AO391" s="27">
        <f t="shared" si="1098"/>
        <v>44474</v>
      </c>
      <c r="AP391" s="1">
        <f t="shared" si="1099"/>
        <v>958349</v>
      </c>
      <c r="AQ391" s="1">
        <f t="shared" si="1100"/>
        <v>105110</v>
      </c>
      <c r="AR391"/>
      <c r="AS391" s="1">
        <f t="shared" ref="AS391:AY391" si="1283">ROUNDUP(AS$10*$AP391,0)</f>
        <v>958349</v>
      </c>
      <c r="AT391" s="1">
        <f t="shared" si="1283"/>
        <v>2875047</v>
      </c>
      <c r="AU391" s="1">
        <f t="shared" si="1283"/>
        <v>1725029</v>
      </c>
      <c r="AV391" s="1">
        <f t="shared" si="1283"/>
        <v>479175</v>
      </c>
      <c r="AW391" s="1">
        <f t="shared" si="1283"/>
        <v>143753</v>
      </c>
      <c r="AX391" s="1">
        <f t="shared" si="1283"/>
        <v>3833396</v>
      </c>
      <c r="AY391" s="1">
        <f t="shared" si="1283"/>
        <v>8625141</v>
      </c>
      <c r="AZ391" s="1">
        <f t="shared" si="1102"/>
        <v>115352100</v>
      </c>
      <c r="BA391" s="1">
        <f t="shared" si="1103"/>
        <v>57676050</v>
      </c>
      <c r="BC391" s="1">
        <f t="shared" si="1104"/>
        <v>380</v>
      </c>
    </row>
    <row r="392" s="1" customFormat="1" spans="2:55">
      <c r="B392" s="4">
        <v>381</v>
      </c>
      <c r="C392" s="1">
        <f t="shared" ref="C392:I392" si="1284">C$5+(C$6-C$5)*(POWER(C$7,$B392-1)-1)/(POWER(C$7,$B$3-1)-1)</f>
        <v>30100.7861131892</v>
      </c>
      <c r="D392" s="1">
        <f t="shared" si="1284"/>
        <v>9030.23583395677</v>
      </c>
      <c r="E392" s="1">
        <f t="shared" si="1284"/>
        <v>6020.15722263784</v>
      </c>
      <c r="F392" s="1">
        <f t="shared" si="1284"/>
        <v>110496.556618036</v>
      </c>
      <c r="G392" s="1">
        <f t="shared" si="1284"/>
        <v>33148.9669854109</v>
      </c>
      <c r="H392" s="1">
        <f t="shared" si="1284"/>
        <v>22099.3113236073</v>
      </c>
      <c r="I392" s="1">
        <f t="shared" si="1284"/>
        <v>0</v>
      </c>
      <c r="J392" s="1">
        <f>[1]标准模型!$I$65/1*$B392/$B$3</f>
        <v>2.7432</v>
      </c>
      <c r="K392" s="1">
        <f>J392*[1]标准模型!$J$63</f>
        <v>2.7432</v>
      </c>
      <c r="L392" s="1">
        <f t="shared" si="1081"/>
        <v>140597.342731225</v>
      </c>
      <c r="M392" s="1">
        <f t="shared" si="1082"/>
        <v>66950.9457590779</v>
      </c>
      <c r="N392" s="1">
        <f t="shared" si="1083"/>
        <v>44633.9638393853</v>
      </c>
      <c r="O392" s="1">
        <f t="shared" ref="O392:X392" si="1285">O$5+(O$6-O$5)*(POWER(O$7,$B392-1)-1)/(POWER(O$7,$B$3-1)-1)</f>
        <v>0.880784177382476</v>
      </c>
      <c r="P392" s="1">
        <f t="shared" si="1285"/>
        <v>0.27592422202852</v>
      </c>
      <c r="Q392" s="1">
        <f t="shared" si="1285"/>
        <v>0.484431297560362</v>
      </c>
      <c r="R392" s="1">
        <f t="shared" si="1285"/>
        <v>1.15231367095299</v>
      </c>
      <c r="S392" s="1">
        <f t="shared" si="1285"/>
        <v>0.533097848335467</v>
      </c>
      <c r="T392" s="1">
        <f t="shared" si="1285"/>
        <v>3.48505829179166</v>
      </c>
      <c r="U392" s="1">
        <f t="shared" si="1285"/>
        <v>1</v>
      </c>
      <c r="V392" s="1">
        <f t="shared" si="1285"/>
        <v>1.41528257294021</v>
      </c>
      <c r="W392" s="1">
        <f t="shared" si="1285"/>
        <v>1.23432872454306</v>
      </c>
      <c r="X392" s="1">
        <f t="shared" si="1285"/>
        <v>2.21850936762393</v>
      </c>
      <c r="Y392" s="1">
        <f t="shared" si="1107"/>
        <v>8.48532386079383</v>
      </c>
      <c r="Z392" s="1">
        <f t="shared" si="1108"/>
        <v>17.0385739372022</v>
      </c>
      <c r="AA392" s="1">
        <f t="shared" si="1085"/>
        <v>2395578.21950014</v>
      </c>
      <c r="AB392" s="1">
        <f t="shared" si="1086"/>
        <v>66950.9457590779</v>
      </c>
      <c r="AC392" s="1">
        <f t="shared" si="1087"/>
        <v>44633.9638393853</v>
      </c>
      <c r="AD392" s="1">
        <f>AC392/(AC392+[1]战斗公式!$M$27)</f>
        <v>0.650318899602478</v>
      </c>
      <c r="AE392" s="1">
        <f t="shared" si="1088"/>
        <v>6850751.20381631</v>
      </c>
      <c r="AF392" s="1">
        <f t="shared" si="1089"/>
        <v>12.0590489107054</v>
      </c>
      <c r="AG392" s="1">
        <f t="shared" si="1090"/>
        <v>6.00548706937681</v>
      </c>
      <c r="AH392" s="1">
        <f t="shared" si="1091"/>
        <v>4.86130609771612</v>
      </c>
      <c r="AI392" s="1">
        <f t="shared" si="1092"/>
        <v>1.69637409714935</v>
      </c>
      <c r="AJ392" s="1">
        <f t="shared" si="1093"/>
        <v>1.00000000393275</v>
      </c>
      <c r="AK392" s="1">
        <f t="shared" si="1094"/>
        <v>1.00033720480333</v>
      </c>
      <c r="AL392" s="1">
        <f t="shared" si="1095"/>
        <v>0.931465115155702</v>
      </c>
      <c r="AM392" s="27">
        <f t="shared" si="1096"/>
        <v>1939166</v>
      </c>
      <c r="AN392" s="27">
        <f t="shared" si="1097"/>
        <v>113574</v>
      </c>
      <c r="AO392" s="27">
        <f t="shared" si="1098"/>
        <v>44634</v>
      </c>
      <c r="AP392" s="1">
        <f t="shared" si="1099"/>
        <v>966044</v>
      </c>
      <c r="AQ392" s="1">
        <f t="shared" si="1100"/>
        <v>105790</v>
      </c>
      <c r="AR392"/>
      <c r="AS392" s="1">
        <f t="shared" ref="AS392:AY392" si="1286">ROUNDUP(AS$10*$AP392,0)</f>
        <v>966044</v>
      </c>
      <c r="AT392" s="1">
        <f t="shared" si="1286"/>
        <v>2898132</v>
      </c>
      <c r="AU392" s="1">
        <f t="shared" si="1286"/>
        <v>1738880</v>
      </c>
      <c r="AV392" s="1">
        <f t="shared" si="1286"/>
        <v>483022</v>
      </c>
      <c r="AW392" s="1">
        <f t="shared" si="1286"/>
        <v>144907</v>
      </c>
      <c r="AX392" s="1">
        <f t="shared" si="1286"/>
        <v>3864176</v>
      </c>
      <c r="AY392" s="1">
        <f t="shared" si="1286"/>
        <v>8694396</v>
      </c>
      <c r="AZ392" s="1">
        <f t="shared" si="1102"/>
        <v>116349960</v>
      </c>
      <c r="BA392" s="1">
        <f t="shared" si="1103"/>
        <v>58174980</v>
      </c>
      <c r="BC392" s="1">
        <f t="shared" si="1104"/>
        <v>381</v>
      </c>
    </row>
    <row r="393" s="1" customFormat="1" spans="2:55">
      <c r="B393" s="4">
        <v>382</v>
      </c>
      <c r="C393" s="1">
        <f t="shared" ref="C393:I393" si="1287">C$5+(C$6-C$5)*(POWER(C$7,$B393-1)-1)/(POWER(C$7,$B$3-1)-1)</f>
        <v>30179.7757640352</v>
      </c>
      <c r="D393" s="1">
        <f t="shared" si="1287"/>
        <v>9053.93272921057</v>
      </c>
      <c r="E393" s="1">
        <f t="shared" si="1287"/>
        <v>6035.95515280705</v>
      </c>
      <c r="F393" s="1">
        <f t="shared" si="1287"/>
        <v>110786.518627471</v>
      </c>
      <c r="G393" s="1">
        <f t="shared" si="1287"/>
        <v>33235.9555882413</v>
      </c>
      <c r="H393" s="1">
        <f t="shared" si="1287"/>
        <v>22157.3037254942</v>
      </c>
      <c r="I393" s="1">
        <f t="shared" si="1287"/>
        <v>0</v>
      </c>
      <c r="J393" s="1">
        <f>[1]标准模型!$I$65/1*$B393/$B$3</f>
        <v>2.7504</v>
      </c>
      <c r="K393" s="1">
        <f>J393*[1]标准模型!$J$63</f>
        <v>2.7504</v>
      </c>
      <c r="L393" s="1">
        <f t="shared" si="1081"/>
        <v>140966.294391506</v>
      </c>
      <c r="M393" s="1">
        <f t="shared" si="1082"/>
        <v>67191.8248958726</v>
      </c>
      <c r="N393" s="1">
        <f t="shared" si="1083"/>
        <v>44794.5499305818</v>
      </c>
      <c r="O393" s="1">
        <f t="shared" ref="O393:X393" si="1288">O$5+(O$6-O$5)*(POWER(O$7,$B393-1)-1)/(POWER(O$7,$B$3-1)-1)</f>
        <v>0.881786050126015</v>
      </c>
      <c r="P393" s="1">
        <f t="shared" si="1288"/>
        <v>0.276877365487092</v>
      </c>
      <c r="Q393" s="1">
        <f t="shared" si="1288"/>
        <v>0.484982327569308</v>
      </c>
      <c r="R393" s="1">
        <f t="shared" si="1288"/>
        <v>1.15271442005041</v>
      </c>
      <c r="S393" s="1">
        <f t="shared" si="1288"/>
        <v>0.53450047017642</v>
      </c>
      <c r="T393" s="1">
        <f t="shared" si="1288"/>
        <v>3.48896559549146</v>
      </c>
      <c r="U393" s="1">
        <f t="shared" si="1288"/>
        <v>1</v>
      </c>
      <c r="V393" s="1">
        <f t="shared" si="1288"/>
        <v>1.4163752136417</v>
      </c>
      <c r="W393" s="1">
        <f t="shared" si="1288"/>
        <v>1.23494526161601</v>
      </c>
      <c r="X393" s="1">
        <f t="shared" si="1288"/>
        <v>2.22171536040325</v>
      </c>
      <c r="Y393" s="1">
        <f t="shared" si="1107"/>
        <v>8.53958786250165</v>
      </c>
      <c r="Z393" s="1">
        <f t="shared" si="1108"/>
        <v>17.1579798777698</v>
      </c>
      <c r="AA393" s="1">
        <f t="shared" si="1085"/>
        <v>2418696.84261324</v>
      </c>
      <c r="AB393" s="1">
        <f t="shared" si="1086"/>
        <v>67191.8248958726</v>
      </c>
      <c r="AC393" s="1">
        <f t="shared" si="1087"/>
        <v>44794.5499305818</v>
      </c>
      <c r="AD393" s="1">
        <f>AC393/(AC393+[1]战斗公式!$M$27)</f>
        <v>0.65113515497641</v>
      </c>
      <c r="AE393" s="1">
        <f t="shared" si="1088"/>
        <v>6933048.36275404</v>
      </c>
      <c r="AF393" s="1">
        <f t="shared" si="1089"/>
        <v>12.0828916744133</v>
      </c>
      <c r="AG393" s="1">
        <f t="shared" si="1090"/>
        <v>6.01369833872036</v>
      </c>
      <c r="AH393" s="1">
        <f t="shared" si="1091"/>
        <v>4.8630639562143</v>
      </c>
      <c r="AI393" s="1">
        <f t="shared" si="1092"/>
        <v>1.70087192603143</v>
      </c>
      <c r="AJ393" s="1">
        <f t="shared" si="1093"/>
        <v>1.00000000373567</v>
      </c>
      <c r="AK393" s="1">
        <f t="shared" si="1094"/>
        <v>1.00032979089988</v>
      </c>
      <c r="AL393" s="1">
        <f t="shared" si="1095"/>
        <v>0.931650092273595</v>
      </c>
      <c r="AM393" s="27">
        <f t="shared" si="1096"/>
        <v>1955914</v>
      </c>
      <c r="AN393" s="27">
        <f t="shared" si="1097"/>
        <v>114285</v>
      </c>
      <c r="AO393" s="27">
        <f t="shared" si="1098"/>
        <v>44795</v>
      </c>
      <c r="AP393" s="1">
        <f t="shared" si="1099"/>
        <v>973786</v>
      </c>
      <c r="AQ393" s="1">
        <f t="shared" si="1100"/>
        <v>106474</v>
      </c>
      <c r="AR393"/>
      <c r="AS393" s="1">
        <f t="shared" ref="AS393:AY393" si="1289">ROUNDUP(AS$10*$AP393,0)</f>
        <v>973786</v>
      </c>
      <c r="AT393" s="1">
        <f t="shared" si="1289"/>
        <v>2921358</v>
      </c>
      <c r="AU393" s="1">
        <f t="shared" si="1289"/>
        <v>1752815</v>
      </c>
      <c r="AV393" s="1">
        <f t="shared" si="1289"/>
        <v>486893</v>
      </c>
      <c r="AW393" s="1">
        <f t="shared" si="1289"/>
        <v>146068</v>
      </c>
      <c r="AX393" s="1">
        <f t="shared" si="1289"/>
        <v>3895144</v>
      </c>
      <c r="AY393" s="1">
        <f t="shared" si="1289"/>
        <v>8764074</v>
      </c>
      <c r="AZ393" s="1">
        <f t="shared" si="1102"/>
        <v>117354840</v>
      </c>
      <c r="BA393" s="1">
        <f t="shared" si="1103"/>
        <v>58677420</v>
      </c>
      <c r="BC393" s="1">
        <f t="shared" si="1104"/>
        <v>382</v>
      </c>
    </row>
    <row r="394" s="1" customFormat="1" spans="2:55">
      <c r="B394" s="4">
        <v>383</v>
      </c>
      <c r="C394" s="1">
        <f t="shared" ref="C394:I394" si="1290">C$5+(C$6-C$5)*(POWER(C$7,$B394-1)-1)/(POWER(C$7,$B$3-1)-1)</f>
        <v>30258.7653358984</v>
      </c>
      <c r="D394" s="1">
        <f t="shared" si="1290"/>
        <v>9077.62960076953</v>
      </c>
      <c r="E394" s="1">
        <f t="shared" si="1290"/>
        <v>6051.75306717969</v>
      </c>
      <c r="F394" s="1">
        <f t="shared" si="1290"/>
        <v>111076.480346969</v>
      </c>
      <c r="G394" s="1">
        <f t="shared" si="1290"/>
        <v>33322.9441040907</v>
      </c>
      <c r="H394" s="1">
        <f t="shared" si="1290"/>
        <v>22215.2960693938</v>
      </c>
      <c r="I394" s="1">
        <f t="shared" si="1290"/>
        <v>0</v>
      </c>
      <c r="J394" s="1">
        <f>[1]标准模型!$I$65/1*$B394/$B$3</f>
        <v>2.7576</v>
      </c>
      <c r="K394" s="1">
        <f>J394*[1]标准模型!$J$63</f>
        <v>2.7576</v>
      </c>
      <c r="L394" s="1">
        <f t="shared" si="1081"/>
        <v>141335.245682867</v>
      </c>
      <c r="M394" s="1">
        <f t="shared" si="1082"/>
        <v>67433.0450919423</v>
      </c>
      <c r="N394" s="1">
        <f t="shared" si="1083"/>
        <v>44955.3633946282</v>
      </c>
      <c r="O394" s="1">
        <f t="shared" ref="O394:X394" si="1291">O$5+(O$6-O$5)*(POWER(O$7,$B394-1)-1)/(POWER(O$7,$B$3-1)-1)</f>
        <v>0.882787921867766</v>
      </c>
      <c r="P394" s="1">
        <f t="shared" si="1291"/>
        <v>0.277831938660852</v>
      </c>
      <c r="Q394" s="1">
        <f t="shared" si="1291"/>
        <v>0.485533357027272</v>
      </c>
      <c r="R394" s="1">
        <f t="shared" si="1291"/>
        <v>1.15311516874711</v>
      </c>
      <c r="S394" s="1">
        <f t="shared" si="1291"/>
        <v>0.535903090614873</v>
      </c>
      <c r="T394" s="1">
        <f t="shared" si="1291"/>
        <v>3.49287289528429</v>
      </c>
      <c r="U394" s="1">
        <f t="shared" si="1291"/>
        <v>1</v>
      </c>
      <c r="V394" s="1">
        <f t="shared" si="1291"/>
        <v>1.41746785325066</v>
      </c>
      <c r="W394" s="1">
        <f t="shared" si="1291"/>
        <v>1.23556179807247</v>
      </c>
      <c r="X394" s="1">
        <f t="shared" si="1291"/>
        <v>2.22492134997685</v>
      </c>
      <c r="Y394" s="1">
        <f t="shared" si="1107"/>
        <v>8.59415503584614</v>
      </c>
      <c r="Z394" s="1">
        <f t="shared" si="1108"/>
        <v>17.2781269061448</v>
      </c>
      <c r="AA394" s="1">
        <f t="shared" si="1085"/>
        <v>2442008.31121974</v>
      </c>
      <c r="AB394" s="1">
        <f t="shared" si="1086"/>
        <v>67433.0450919423</v>
      </c>
      <c r="AC394" s="1">
        <f t="shared" si="1087"/>
        <v>44955.3633946282</v>
      </c>
      <c r="AD394" s="1">
        <f>AC394/(AC394+[1]战斗公式!$M$27)</f>
        <v>0.651948756144621</v>
      </c>
      <c r="AE394" s="1">
        <f t="shared" si="1088"/>
        <v>7016232.10470248</v>
      </c>
      <c r="AF394" s="1">
        <f t="shared" si="1089"/>
        <v>12.1067616366476</v>
      </c>
      <c r="AG394" s="1">
        <f t="shared" si="1090"/>
        <v>6.02191354725958</v>
      </c>
      <c r="AH394" s="1">
        <f t="shared" si="1091"/>
        <v>4.86480863077375</v>
      </c>
      <c r="AI394" s="1">
        <f t="shared" si="1092"/>
        <v>1.70537875057126</v>
      </c>
      <c r="AJ394" s="1">
        <f t="shared" si="1093"/>
        <v>1.00000000354845</v>
      </c>
      <c r="AK394" s="1">
        <f t="shared" si="1094"/>
        <v>1.00032252527449</v>
      </c>
      <c r="AL394" s="1">
        <f t="shared" si="1095"/>
        <v>0.931834514460134</v>
      </c>
      <c r="AM394" s="27">
        <f t="shared" si="1096"/>
        <v>1972779</v>
      </c>
      <c r="AN394" s="27">
        <f t="shared" si="1097"/>
        <v>114999</v>
      </c>
      <c r="AO394" s="27">
        <f t="shared" si="1098"/>
        <v>44955</v>
      </c>
      <c r="AP394" s="1">
        <f t="shared" si="1099"/>
        <v>981578</v>
      </c>
      <c r="AQ394" s="1">
        <f t="shared" si="1100"/>
        <v>107160</v>
      </c>
      <c r="AR394"/>
      <c r="AS394" s="1">
        <f t="shared" ref="AS394:AY394" si="1292">ROUNDUP(AS$10*$AP394,0)</f>
        <v>981578</v>
      </c>
      <c r="AT394" s="1">
        <f t="shared" si="1292"/>
        <v>2944734</v>
      </c>
      <c r="AU394" s="1">
        <f t="shared" si="1292"/>
        <v>1766841</v>
      </c>
      <c r="AV394" s="1">
        <f t="shared" si="1292"/>
        <v>490789</v>
      </c>
      <c r="AW394" s="1">
        <f t="shared" si="1292"/>
        <v>147237</v>
      </c>
      <c r="AX394" s="1">
        <f t="shared" si="1292"/>
        <v>3926312</v>
      </c>
      <c r="AY394" s="1">
        <f t="shared" si="1292"/>
        <v>8834202</v>
      </c>
      <c r="AZ394" s="1">
        <f t="shared" si="1102"/>
        <v>118366740</v>
      </c>
      <c r="BA394" s="1">
        <f t="shared" si="1103"/>
        <v>59183370</v>
      </c>
      <c r="BC394" s="1">
        <f t="shared" si="1104"/>
        <v>383</v>
      </c>
    </row>
    <row r="395" s="1" customFormat="1" spans="2:55">
      <c r="B395" s="4">
        <v>384</v>
      </c>
      <c r="C395" s="1">
        <f t="shared" ref="C395:I395" si="1293">C$5+(C$6-C$5)*(POWER(C$7,$B395-1)-1)/(POWER(C$7,$B$3-1)-1)</f>
        <v>30337.7548287788</v>
      </c>
      <c r="D395" s="1">
        <f t="shared" si="1293"/>
        <v>9101.32644863364</v>
      </c>
      <c r="E395" s="1">
        <f t="shared" si="1293"/>
        <v>6067.55096575576</v>
      </c>
      <c r="F395" s="1">
        <f t="shared" si="1293"/>
        <v>111366.44177653</v>
      </c>
      <c r="G395" s="1">
        <f t="shared" si="1293"/>
        <v>33409.9325329589</v>
      </c>
      <c r="H395" s="1">
        <f t="shared" si="1293"/>
        <v>22273.288355306</v>
      </c>
      <c r="I395" s="1">
        <f t="shared" si="1293"/>
        <v>0</v>
      </c>
      <c r="J395" s="1">
        <f>[1]标准模型!$I$65/1*$B395/$B$3</f>
        <v>2.7648</v>
      </c>
      <c r="K395" s="1">
        <f>J395*[1]标准模型!$J$63</f>
        <v>2.7648</v>
      </c>
      <c r="L395" s="1">
        <f t="shared" si="1081"/>
        <v>141704.196605309</v>
      </c>
      <c r="M395" s="1">
        <f t="shared" si="1082"/>
        <v>67674.6063467748</v>
      </c>
      <c r="N395" s="1">
        <f t="shared" si="1083"/>
        <v>45116.4042311833</v>
      </c>
      <c r="O395" s="1">
        <f t="shared" ref="O395:X395" si="1294">O$5+(O$6-O$5)*(POWER(O$7,$B395-1)-1)/(POWER(O$7,$B$3-1)-1)</f>
        <v>0.883789792607732</v>
      </c>
      <c r="P395" s="1">
        <f t="shared" si="1294"/>
        <v>0.278787943694373</v>
      </c>
      <c r="Q395" s="1">
        <f t="shared" si="1294"/>
        <v>0.486084385934253</v>
      </c>
      <c r="R395" s="1">
        <f t="shared" si="1294"/>
        <v>1.15351591704309</v>
      </c>
      <c r="S395" s="1">
        <f t="shared" si="1294"/>
        <v>0.537305709650825</v>
      </c>
      <c r="T395" s="1">
        <f t="shared" si="1294"/>
        <v>3.49678019117015</v>
      </c>
      <c r="U395" s="1">
        <f t="shared" si="1294"/>
        <v>1</v>
      </c>
      <c r="V395" s="1">
        <f t="shared" si="1294"/>
        <v>1.41856049176707</v>
      </c>
      <c r="W395" s="1">
        <f t="shared" si="1294"/>
        <v>1.23617833391245</v>
      </c>
      <c r="X395" s="1">
        <f t="shared" si="1294"/>
        <v>2.22812733634474</v>
      </c>
      <c r="Y395" s="1">
        <f t="shared" si="1107"/>
        <v>8.64902680486512</v>
      </c>
      <c r="Z395" s="1">
        <f t="shared" si="1108"/>
        <v>17.3990189694655</v>
      </c>
      <c r="AA395" s="1">
        <f t="shared" si="1085"/>
        <v>2465514.00478864</v>
      </c>
      <c r="AB395" s="1">
        <f t="shared" si="1086"/>
        <v>67674.6063467748</v>
      </c>
      <c r="AC395" s="1">
        <f t="shared" si="1087"/>
        <v>45116.4042311833</v>
      </c>
      <c r="AD395" s="1">
        <f>AC395/(AC395+[1]战斗公式!$M$27)</f>
        <v>0.652759713602521</v>
      </c>
      <c r="AE395" s="1">
        <f t="shared" si="1088"/>
        <v>7100310.94135897</v>
      </c>
      <c r="AF395" s="1">
        <f t="shared" si="1089"/>
        <v>12.130658780011</v>
      </c>
      <c r="AG395" s="1">
        <f t="shared" si="1090"/>
        <v>6.03013268352167</v>
      </c>
      <c r="AH395" s="1">
        <f t="shared" si="1091"/>
        <v>4.866540220274</v>
      </c>
      <c r="AI395" s="1">
        <f t="shared" si="1092"/>
        <v>1.70989458876018</v>
      </c>
      <c r="AJ395" s="1">
        <f t="shared" si="1093"/>
        <v>1.00000000337059</v>
      </c>
      <c r="AK395" s="1">
        <f t="shared" si="1094"/>
        <v>1.00031540496161</v>
      </c>
      <c r="AL395" s="1">
        <f t="shared" si="1095"/>
        <v>0.932018383380113</v>
      </c>
      <c r="AM395" s="27">
        <f t="shared" si="1096"/>
        <v>1989761</v>
      </c>
      <c r="AN395" s="27">
        <f t="shared" si="1097"/>
        <v>115716</v>
      </c>
      <c r="AO395" s="27">
        <f t="shared" si="1098"/>
        <v>45116</v>
      </c>
      <c r="AP395" s="1">
        <f t="shared" si="1099"/>
        <v>989419</v>
      </c>
      <c r="AQ395" s="1">
        <f t="shared" si="1100"/>
        <v>107849</v>
      </c>
      <c r="AR395"/>
      <c r="AS395" s="1">
        <f t="shared" ref="AS395:AY395" si="1295">ROUNDUP(AS$10*$AP395,0)</f>
        <v>989419</v>
      </c>
      <c r="AT395" s="1">
        <f t="shared" si="1295"/>
        <v>2968257</v>
      </c>
      <c r="AU395" s="1">
        <f t="shared" si="1295"/>
        <v>1780955</v>
      </c>
      <c r="AV395" s="1">
        <f t="shared" si="1295"/>
        <v>494710</v>
      </c>
      <c r="AW395" s="1">
        <f t="shared" si="1295"/>
        <v>148413</v>
      </c>
      <c r="AX395" s="1">
        <f t="shared" si="1295"/>
        <v>3957676</v>
      </c>
      <c r="AY395" s="1">
        <f t="shared" si="1295"/>
        <v>8904771</v>
      </c>
      <c r="AZ395" s="1">
        <f t="shared" si="1102"/>
        <v>119385660</v>
      </c>
      <c r="BA395" s="1">
        <f t="shared" si="1103"/>
        <v>59692830</v>
      </c>
      <c r="BC395" s="1">
        <f t="shared" si="1104"/>
        <v>384</v>
      </c>
    </row>
    <row r="396" s="1" customFormat="1" spans="2:55">
      <c r="B396" s="4">
        <v>385</v>
      </c>
      <c r="C396" s="1">
        <f t="shared" ref="C396:I396" si="1296">C$5+(C$6-C$5)*(POWER(C$7,$B396-1)-1)/(POWER(C$7,$B$3-1)-1)</f>
        <v>30416.7442426588</v>
      </c>
      <c r="D396" s="1">
        <f t="shared" si="1296"/>
        <v>9125.02327279764</v>
      </c>
      <c r="E396" s="1">
        <f t="shared" si="1296"/>
        <v>6083.34884853176</v>
      </c>
      <c r="F396" s="1">
        <f t="shared" si="1296"/>
        <v>111656.402916089</v>
      </c>
      <c r="G396" s="1">
        <f t="shared" si="1296"/>
        <v>33496.9208748268</v>
      </c>
      <c r="H396" s="1">
        <f t="shared" si="1296"/>
        <v>22331.2805832178</v>
      </c>
      <c r="I396" s="1">
        <f t="shared" si="1296"/>
        <v>0</v>
      </c>
      <c r="J396" s="1">
        <f>[1]标准模型!$I$65/1*$B396/$B$3</f>
        <v>2.772</v>
      </c>
      <c r="K396" s="1">
        <f>J396*[1]标准模型!$J$63</f>
        <v>2.772</v>
      </c>
      <c r="L396" s="1">
        <f t="shared" ref="L396:L459" si="1297">C396*(1+I396)+F396</f>
        <v>142073.147158748</v>
      </c>
      <c r="M396" s="1">
        <f t="shared" ref="M396:M459" si="1298">D396*(1+J396)+G396</f>
        <v>67916.5086598195</v>
      </c>
      <c r="N396" s="1">
        <f t="shared" ref="N396:N459" si="1299">E396*(1+K396)+H396</f>
        <v>45277.6724398796</v>
      </c>
      <c r="O396" s="1">
        <f t="shared" ref="O396:X396" si="1300">O$5+(O$6-O$5)*(POWER(O$7,$B396-1)-1)/(POWER(O$7,$B$3-1)-1)</f>
        <v>0.884791662345689</v>
      </c>
      <c r="P396" s="1">
        <f t="shared" si="1300"/>
        <v>0.279745382735445</v>
      </c>
      <c r="Q396" s="1">
        <f t="shared" si="1300"/>
        <v>0.486635414290129</v>
      </c>
      <c r="R396" s="1">
        <f t="shared" si="1300"/>
        <v>1.15391666493828</v>
      </c>
      <c r="S396" s="1">
        <f t="shared" si="1300"/>
        <v>0.538708327283964</v>
      </c>
      <c r="T396" s="1">
        <f t="shared" si="1300"/>
        <v>3.50068748314819</v>
      </c>
      <c r="U396" s="1">
        <f t="shared" si="1300"/>
        <v>1</v>
      </c>
      <c r="V396" s="1">
        <f t="shared" si="1300"/>
        <v>1.41965312919068</v>
      </c>
      <c r="W396" s="1">
        <f t="shared" si="1300"/>
        <v>1.23679486913581</v>
      </c>
      <c r="X396" s="1">
        <f t="shared" si="1300"/>
        <v>2.2313333195062</v>
      </c>
      <c r="Y396" s="1">
        <f t="shared" si="1107"/>
        <v>8.70420459898311</v>
      </c>
      <c r="Z396" s="1">
        <f t="shared" si="1108"/>
        <v>17.5206600322694</v>
      </c>
      <c r="AA396" s="1">
        <f t="shared" ref="AA396:AA459" si="1301">Z396*L396</f>
        <v>2489215.311083</v>
      </c>
      <c r="AB396" s="1">
        <f t="shared" ref="AB396:AB459" si="1302">M396</f>
        <v>67916.5086598195</v>
      </c>
      <c r="AC396" s="1">
        <f t="shared" ref="AC396:AC459" si="1303">N396</f>
        <v>45277.6724398796</v>
      </c>
      <c r="AD396" s="1">
        <f>AC396/(AC396+[1]战斗公式!$M$27)</f>
        <v>0.653568037799947</v>
      </c>
      <c r="AE396" s="1">
        <f t="shared" ref="AE396:AE459" si="1304">AA396/(1-AD396)</f>
        <v>7185293.45639754</v>
      </c>
      <c r="AF396" s="1">
        <f t="shared" ref="AF396:AF459" si="1305">AE396/AB396/Y396</f>
        <v>12.1545830871267</v>
      </c>
      <c r="AG396" s="1">
        <f t="shared" ref="AG396:AG459" si="1306">AE396/AB396/Z396</f>
        <v>6.03835573607594</v>
      </c>
      <c r="AH396" s="1">
        <f t="shared" ref="AH396:AH459" si="1307">AH$5+(AH$6-AH$5)*(POWER(AH$7,$B396-1)-1)/(POWER(AH$7,$B$3-1)-1)</f>
        <v>4.86825882285299</v>
      </c>
      <c r="AI396" s="1">
        <f t="shared" ref="AI396:AI459" si="1308">$AI$5+($AI$6-$AI$5)*(POWER($AI$7,$B396-1)-1)/(POWER($AI$7,$B$3-1)-1)</f>
        <v>1.71441945862547</v>
      </c>
      <c r="AJ396" s="1">
        <f t="shared" ref="AJ396:AJ459" si="1309">$AJ$5+($AJ$6-$AJ$5)*(POWER($AJ$7,$B396-1)-1)/(POWER($AJ$7,$B$3-1)-1)</f>
        <v>1.00000000320162</v>
      </c>
      <c r="AK396" s="1">
        <f t="shared" ref="AK396:AK459" si="1310">$AK$5+($AK$6-$AK$5)*(POWER($AK$7,$B396-1)-1)/(POWER($AK$7,$B$3-1)-1)</f>
        <v>1.00030842705499</v>
      </c>
      <c r="AL396" s="1">
        <f t="shared" ref="AL396:AL459" si="1311">$AL$5+($AL$6-$AL$5)*(POWER($AL$7,$B396-1)-1)/(POWER($AL$7,$B$3-1)-1)</f>
        <v>0.932201700693332</v>
      </c>
      <c r="AM396" s="27">
        <f t="shared" ref="AM396:AM459" si="1312">ROUND(AA396/AG396*AH396,0)</f>
        <v>2006862</v>
      </c>
      <c r="AN396" s="27">
        <f t="shared" ref="AN396:AN459" si="1313">ROUND(AB396*AI396,0)</f>
        <v>116437</v>
      </c>
      <c r="AO396" s="27">
        <f t="shared" ref="AO396:AO459" si="1314">ROUND(AC396,0)</f>
        <v>45278</v>
      </c>
      <c r="AP396" s="1">
        <f t="shared" ref="AP396:AP459" si="1315">ROUND(AA396/$AF396*AH396*AK396,0)</f>
        <v>997310</v>
      </c>
      <c r="AQ396" s="1">
        <f t="shared" ref="AQ396:AQ459" si="1316">ROUND(AN396*AL396,0)</f>
        <v>108543</v>
      </c>
      <c r="AR396"/>
      <c r="AS396" s="1">
        <f t="shared" ref="AS396:AY396" si="1317">ROUNDUP(AS$10*$AP396,0)</f>
        <v>997310</v>
      </c>
      <c r="AT396" s="1">
        <f t="shared" si="1317"/>
        <v>2991930</v>
      </c>
      <c r="AU396" s="1">
        <f t="shared" si="1317"/>
        <v>1795158</v>
      </c>
      <c r="AV396" s="1">
        <f t="shared" si="1317"/>
        <v>498655</v>
      </c>
      <c r="AW396" s="1">
        <f t="shared" si="1317"/>
        <v>149597</v>
      </c>
      <c r="AX396" s="1">
        <f t="shared" si="1317"/>
        <v>3989240</v>
      </c>
      <c r="AY396" s="1">
        <f t="shared" si="1317"/>
        <v>8975790</v>
      </c>
      <c r="AZ396" s="1">
        <f t="shared" ref="AZ396:AZ459" si="1318">ROUND(AM396*$AZ$10*AJ396,0)</f>
        <v>120411720</v>
      </c>
      <c r="BA396" s="1">
        <f t="shared" ref="BA396:BA459" si="1319">ROUND(AM396*$BA$10*AJ396,0)</f>
        <v>60205860</v>
      </c>
      <c r="BC396" s="1">
        <f t="shared" ref="BC396:BC459" si="1320">B396</f>
        <v>385</v>
      </c>
    </row>
    <row r="397" s="1" customFormat="1" spans="2:55">
      <c r="B397" s="4">
        <v>386</v>
      </c>
      <c r="C397" s="1">
        <f t="shared" ref="C397:I397" si="1321">C$5+(C$6-C$5)*(POWER(C$7,$B397-1)-1)/(POWER(C$7,$B$3-1)-1)</f>
        <v>30495.7335775559</v>
      </c>
      <c r="D397" s="1">
        <f t="shared" si="1321"/>
        <v>9148.72007326678</v>
      </c>
      <c r="E397" s="1">
        <f t="shared" si="1321"/>
        <v>6099.14671551119</v>
      </c>
      <c r="F397" s="1">
        <f t="shared" si="1321"/>
        <v>111946.363765712</v>
      </c>
      <c r="G397" s="1">
        <f t="shared" si="1321"/>
        <v>33583.9091297135</v>
      </c>
      <c r="H397" s="1">
        <f t="shared" si="1321"/>
        <v>22389.2727531423</v>
      </c>
      <c r="I397" s="1">
        <f t="shared" si="1321"/>
        <v>0</v>
      </c>
      <c r="J397" s="1">
        <f>[1]标准模型!$I$65/1*$B397/$B$3</f>
        <v>2.7792</v>
      </c>
      <c r="K397" s="1">
        <f>J397*[1]标准模型!$J$63</f>
        <v>2.7792</v>
      </c>
      <c r="L397" s="1">
        <f t="shared" si="1297"/>
        <v>142442.097343268</v>
      </c>
      <c r="M397" s="1">
        <f t="shared" si="1298"/>
        <v>68158.7520306033</v>
      </c>
      <c r="N397" s="1">
        <f t="shared" si="1299"/>
        <v>45439.1680204022</v>
      </c>
      <c r="O397" s="1">
        <f t="shared" ref="O397:X397" si="1322">O$5+(O$6-O$5)*(POWER(O$7,$B397-1)-1)/(POWER(O$7,$B$3-1)-1)</f>
        <v>0.885793531081859</v>
      </c>
      <c r="P397" s="1">
        <f t="shared" si="1322"/>
        <v>0.280704257935077</v>
      </c>
      <c r="Q397" s="1">
        <f t="shared" si="1322"/>
        <v>0.487186442095023</v>
      </c>
      <c r="R397" s="1">
        <f t="shared" si="1322"/>
        <v>1.15431741243274</v>
      </c>
      <c r="S397" s="1">
        <f t="shared" si="1322"/>
        <v>0.540110943514603</v>
      </c>
      <c r="T397" s="1">
        <f t="shared" si="1322"/>
        <v>3.50459477121925</v>
      </c>
      <c r="U397" s="1">
        <f t="shared" si="1322"/>
        <v>1</v>
      </c>
      <c r="V397" s="1">
        <f t="shared" si="1322"/>
        <v>1.42074576552175</v>
      </c>
      <c r="W397" s="1">
        <f t="shared" si="1322"/>
        <v>1.23741140374268</v>
      </c>
      <c r="X397" s="1">
        <f t="shared" si="1322"/>
        <v>2.23453929946195</v>
      </c>
      <c r="Y397" s="1">
        <f t="shared" ref="Y397:Y460" si="1323">(1+S397*(T397-1))*U397*X397*(O397+P397)*R397*W397</f>
        <v>8.75968985305986</v>
      </c>
      <c r="Z397" s="1">
        <f t="shared" ref="Z397:Z460" si="1324">(1+S397*(T397-1))*(O397+P397+Q397)*U397*V397*X397*R397*W397</f>
        <v>17.6430540766296</v>
      </c>
      <c r="AA397" s="1">
        <f t="shared" si="1301"/>
        <v>2513113.62621581</v>
      </c>
      <c r="AB397" s="1">
        <f t="shared" si="1302"/>
        <v>68158.7520306033</v>
      </c>
      <c r="AC397" s="1">
        <f t="shared" si="1303"/>
        <v>45439.1680204022</v>
      </c>
      <c r="AD397" s="1">
        <f>AC397/(AC397+[1]战斗公式!$M$27)</f>
        <v>0.654373739141741</v>
      </c>
      <c r="AE397" s="1">
        <f t="shared" si="1304"/>
        <v>7271188.30604841</v>
      </c>
      <c r="AF397" s="1">
        <f t="shared" si="1305"/>
        <v>12.1785345406589</v>
      </c>
      <c r="AG397" s="1">
        <f t="shared" si="1306"/>
        <v>6.04658269354056</v>
      </c>
      <c r="AH397" s="1">
        <f t="shared" si="1307"/>
        <v>4.86996453591265</v>
      </c>
      <c r="AI397" s="1">
        <f t="shared" si="1308"/>
        <v>1.7189533782305</v>
      </c>
      <c r="AJ397" s="1">
        <f t="shared" si="1309"/>
        <v>1.0000000030411</v>
      </c>
      <c r="AK397" s="1">
        <f t="shared" si="1310"/>
        <v>1.00030158870651</v>
      </c>
      <c r="AL397" s="1">
        <f t="shared" si="1311"/>
        <v>0.932384468054612</v>
      </c>
      <c r="AM397" s="27">
        <f t="shared" si="1312"/>
        <v>2024081</v>
      </c>
      <c r="AN397" s="27">
        <f t="shared" si="1313"/>
        <v>117162</v>
      </c>
      <c r="AO397" s="27">
        <f t="shared" si="1314"/>
        <v>45439</v>
      </c>
      <c r="AP397" s="1">
        <f t="shared" si="1315"/>
        <v>1005249</v>
      </c>
      <c r="AQ397" s="1">
        <f t="shared" si="1316"/>
        <v>109240</v>
      </c>
      <c r="AR397"/>
      <c r="AS397" s="1">
        <f t="shared" ref="AS397:AY397" si="1325">ROUNDUP(AS$10*$AP397,0)</f>
        <v>1005249</v>
      </c>
      <c r="AT397" s="1">
        <f t="shared" si="1325"/>
        <v>3015747</v>
      </c>
      <c r="AU397" s="1">
        <f t="shared" si="1325"/>
        <v>1809449</v>
      </c>
      <c r="AV397" s="1">
        <f t="shared" si="1325"/>
        <v>502625</v>
      </c>
      <c r="AW397" s="1">
        <f t="shared" si="1325"/>
        <v>150788</v>
      </c>
      <c r="AX397" s="1">
        <f t="shared" si="1325"/>
        <v>4020996</v>
      </c>
      <c r="AY397" s="1">
        <f t="shared" si="1325"/>
        <v>9047241</v>
      </c>
      <c r="AZ397" s="1">
        <f t="shared" si="1318"/>
        <v>121444860</v>
      </c>
      <c r="BA397" s="1">
        <f t="shared" si="1319"/>
        <v>60722430</v>
      </c>
      <c r="BC397" s="1">
        <f t="shared" si="1320"/>
        <v>386</v>
      </c>
    </row>
    <row r="398" s="1" customFormat="1" spans="2:55">
      <c r="B398" s="4">
        <v>387</v>
      </c>
      <c r="C398" s="1">
        <f t="shared" ref="C398:I398" si="1326">C$5+(C$6-C$5)*(POWER(C$7,$B398-1)-1)/(POWER(C$7,$B$3-1)-1)</f>
        <v>30574.7228334615</v>
      </c>
      <c r="D398" s="1">
        <f t="shared" si="1326"/>
        <v>9172.41685003845</v>
      </c>
      <c r="E398" s="1">
        <f t="shared" si="1326"/>
        <v>6114.9445666923</v>
      </c>
      <c r="F398" s="1">
        <f t="shared" si="1326"/>
        <v>112236.324325365</v>
      </c>
      <c r="G398" s="1">
        <f t="shared" si="1326"/>
        <v>33670.8972976095</v>
      </c>
      <c r="H398" s="1">
        <f t="shared" si="1326"/>
        <v>22447.264865073</v>
      </c>
      <c r="I398" s="1">
        <f t="shared" si="1326"/>
        <v>0</v>
      </c>
      <c r="J398" s="1">
        <f>[1]标准模型!$I$65/1*$B398/$B$3</f>
        <v>2.7864</v>
      </c>
      <c r="K398" s="1">
        <f>J398*[1]标准模型!$J$63</f>
        <v>2.7864</v>
      </c>
      <c r="L398" s="1">
        <f t="shared" si="1297"/>
        <v>142811.047158826</v>
      </c>
      <c r="M398" s="1">
        <f t="shared" si="1298"/>
        <v>68401.3364585951</v>
      </c>
      <c r="N398" s="1">
        <f t="shared" si="1299"/>
        <v>45600.8909723967</v>
      </c>
      <c r="O398" s="1">
        <f t="shared" ref="O398:X398" si="1327">O$5+(O$6-O$5)*(POWER(O$7,$B398-1)-1)/(POWER(O$7,$B$3-1)-1)</f>
        <v>0.886795398816132</v>
      </c>
      <c r="P398" s="1">
        <f t="shared" si="1327"/>
        <v>0.28166457144751</v>
      </c>
      <c r="Q398" s="1">
        <f t="shared" si="1327"/>
        <v>0.487737469348873</v>
      </c>
      <c r="R398" s="1">
        <f t="shared" si="1327"/>
        <v>1.15471815952645</v>
      </c>
      <c r="S398" s="1">
        <f t="shared" si="1327"/>
        <v>0.541513558342585</v>
      </c>
      <c r="T398" s="1">
        <f t="shared" si="1327"/>
        <v>3.50850205538292</v>
      </c>
      <c r="U398" s="1">
        <f t="shared" si="1327"/>
        <v>1</v>
      </c>
      <c r="V398" s="1">
        <f t="shared" si="1327"/>
        <v>1.42183840076016</v>
      </c>
      <c r="W398" s="1">
        <f t="shared" si="1327"/>
        <v>1.238027937733</v>
      </c>
      <c r="X398" s="1">
        <f t="shared" si="1327"/>
        <v>2.23774527621162</v>
      </c>
      <c r="Y398" s="1">
        <f t="shared" si="1323"/>
        <v>8.81548400736964</v>
      </c>
      <c r="Z398" s="1">
        <f t="shared" si="1324"/>
        <v>17.7662051021315</v>
      </c>
      <c r="AA398" s="1">
        <f t="shared" si="1301"/>
        <v>2537210.35467389</v>
      </c>
      <c r="AB398" s="1">
        <f t="shared" si="1302"/>
        <v>68401.3364585951</v>
      </c>
      <c r="AC398" s="1">
        <f t="shared" si="1303"/>
        <v>45600.8909723967</v>
      </c>
      <c r="AD398" s="1">
        <f>AC398/(AC398+[1]战斗公式!$M$27)</f>
        <v>0.655176827987471</v>
      </c>
      <c r="AE398" s="1">
        <f t="shared" si="1304"/>
        <v>7358004.21957056</v>
      </c>
      <c r="AF398" s="1">
        <f t="shared" si="1305"/>
        <v>12.2025131232884</v>
      </c>
      <c r="AG398" s="1">
        <f t="shared" si="1306"/>
        <v>6.05481354457409</v>
      </c>
      <c r="AH398" s="1">
        <f t="shared" si="1307"/>
        <v>4.87165745612436</v>
      </c>
      <c r="AI398" s="1">
        <f t="shared" si="1308"/>
        <v>1.72349636567473</v>
      </c>
      <c r="AJ398" s="1">
        <f t="shared" si="1309"/>
        <v>1.0000000028886</v>
      </c>
      <c r="AK398" s="1">
        <f t="shared" si="1310"/>
        <v>1.00029488712499</v>
      </c>
      <c r="AL398" s="1">
        <f t="shared" si="1311"/>
        <v>0.932566687113808</v>
      </c>
      <c r="AM398" s="27">
        <f t="shared" si="1312"/>
        <v>2041420</v>
      </c>
      <c r="AN398" s="27">
        <f t="shared" si="1313"/>
        <v>117889</v>
      </c>
      <c r="AO398" s="27">
        <f t="shared" si="1314"/>
        <v>45601</v>
      </c>
      <c r="AP398" s="1">
        <f t="shared" si="1315"/>
        <v>1013239</v>
      </c>
      <c r="AQ398" s="1">
        <f t="shared" si="1316"/>
        <v>109939</v>
      </c>
      <c r="AR398"/>
      <c r="AS398" s="1">
        <f t="shared" ref="AS398:AY398" si="1328">ROUNDUP(AS$10*$AP398,0)</f>
        <v>1013239</v>
      </c>
      <c r="AT398" s="1">
        <f t="shared" si="1328"/>
        <v>3039717</v>
      </c>
      <c r="AU398" s="1">
        <f t="shared" si="1328"/>
        <v>1823831</v>
      </c>
      <c r="AV398" s="1">
        <f t="shared" si="1328"/>
        <v>506620</v>
      </c>
      <c r="AW398" s="1">
        <f t="shared" si="1328"/>
        <v>151986</v>
      </c>
      <c r="AX398" s="1">
        <f t="shared" si="1328"/>
        <v>4052956</v>
      </c>
      <c r="AY398" s="1">
        <f t="shared" si="1328"/>
        <v>9119151</v>
      </c>
      <c r="AZ398" s="1">
        <f t="shared" si="1318"/>
        <v>122485200</v>
      </c>
      <c r="BA398" s="1">
        <f t="shared" si="1319"/>
        <v>61242600</v>
      </c>
      <c r="BC398" s="1">
        <f t="shared" si="1320"/>
        <v>387</v>
      </c>
    </row>
    <row r="399" s="1" customFormat="1" spans="2:55">
      <c r="B399" s="4">
        <v>388</v>
      </c>
      <c r="C399" s="1">
        <f t="shared" ref="C399:I399" si="1329">C$5+(C$6-C$5)*(POWER(C$7,$B399-1)-1)/(POWER(C$7,$B$3-1)-1)</f>
        <v>30653.7120103754</v>
      </c>
      <c r="D399" s="1">
        <f t="shared" si="1329"/>
        <v>9196.11360311263</v>
      </c>
      <c r="E399" s="1">
        <f t="shared" si="1329"/>
        <v>6130.74240207509</v>
      </c>
      <c r="F399" s="1">
        <f t="shared" si="1329"/>
        <v>112526.284595049</v>
      </c>
      <c r="G399" s="1">
        <f t="shared" si="1329"/>
        <v>33757.8853785147</v>
      </c>
      <c r="H399" s="1">
        <f t="shared" si="1329"/>
        <v>22505.2569190098</v>
      </c>
      <c r="I399" s="1">
        <f t="shared" si="1329"/>
        <v>0</v>
      </c>
      <c r="J399" s="1">
        <f>[1]标准模型!$I$65/1*$B399/$B$3</f>
        <v>2.7936</v>
      </c>
      <c r="K399" s="1">
        <f>J399*[1]标准模型!$J$63</f>
        <v>2.7936</v>
      </c>
      <c r="L399" s="1">
        <f t="shared" si="1297"/>
        <v>143179.996605424</v>
      </c>
      <c r="M399" s="1">
        <f t="shared" si="1298"/>
        <v>68644.2619432828</v>
      </c>
      <c r="N399" s="1">
        <f t="shared" si="1299"/>
        <v>45762.8412955219</v>
      </c>
      <c r="O399" s="1">
        <f t="shared" ref="O399:X399" si="1330">O$5+(O$6-O$5)*(POWER(O$7,$B399-1)-1)/(POWER(O$7,$B$3-1)-1)</f>
        <v>0.887797265548508</v>
      </c>
      <c r="P399" s="1">
        <f t="shared" si="1330"/>
        <v>0.282626325430211</v>
      </c>
      <c r="Q399" s="1">
        <f t="shared" si="1330"/>
        <v>0.488288496051679</v>
      </c>
      <c r="R399" s="1">
        <f t="shared" si="1330"/>
        <v>1.1551189062194</v>
      </c>
      <c r="S399" s="1">
        <f t="shared" si="1330"/>
        <v>0.542916171767911</v>
      </c>
      <c r="T399" s="1">
        <f t="shared" si="1330"/>
        <v>3.51240933563918</v>
      </c>
      <c r="U399" s="1">
        <f t="shared" si="1330"/>
        <v>1</v>
      </c>
      <c r="V399" s="1">
        <f t="shared" si="1330"/>
        <v>1.42293103490589</v>
      </c>
      <c r="W399" s="1">
        <f t="shared" si="1330"/>
        <v>1.23864447110677</v>
      </c>
      <c r="X399" s="1">
        <f t="shared" si="1330"/>
        <v>2.24095124975522</v>
      </c>
      <c r="Y399" s="1">
        <f t="shared" si="1323"/>
        <v>8.8715885076392</v>
      </c>
      <c r="Z399" s="1">
        <f t="shared" si="1324"/>
        <v>17.8901171259848</v>
      </c>
      <c r="AA399" s="1">
        <f t="shared" si="1301"/>
        <v>2561506.90936915</v>
      </c>
      <c r="AB399" s="1">
        <f t="shared" si="1302"/>
        <v>68644.2619432828</v>
      </c>
      <c r="AC399" s="1">
        <f t="shared" si="1303"/>
        <v>45762.8412955219</v>
      </c>
      <c r="AD399" s="1">
        <f>AC399/(AC399+[1]战斗公式!$M$27)</f>
        <v>0.655977314651882</v>
      </c>
      <c r="AE399" s="1">
        <f t="shared" si="1304"/>
        <v>7445749.99982095</v>
      </c>
      <c r="AF399" s="1">
        <f t="shared" si="1305"/>
        <v>12.2265188177262</v>
      </c>
      <c r="AG399" s="1">
        <f t="shared" si="1306"/>
        <v>6.06304827788003</v>
      </c>
      <c r="AH399" s="1">
        <f t="shared" si="1307"/>
        <v>4.87333767943448</v>
      </c>
      <c r="AI399" s="1">
        <f t="shared" si="1308"/>
        <v>1.72804843909385</v>
      </c>
      <c r="AJ399" s="1">
        <f t="shared" si="1309"/>
        <v>1.00000000274373</v>
      </c>
      <c r="AK399" s="1">
        <f t="shared" si="1310"/>
        <v>1.0002883195751</v>
      </c>
      <c r="AL399" s="1">
        <f t="shared" si="1311"/>
        <v>0.932748359515826</v>
      </c>
      <c r="AM399" s="27">
        <f t="shared" si="1312"/>
        <v>2058880</v>
      </c>
      <c r="AN399" s="27">
        <f t="shared" si="1313"/>
        <v>118621</v>
      </c>
      <c r="AO399" s="27">
        <f t="shared" si="1314"/>
        <v>45763</v>
      </c>
      <c r="AP399" s="1">
        <f t="shared" si="1315"/>
        <v>1021279</v>
      </c>
      <c r="AQ399" s="1">
        <f t="shared" si="1316"/>
        <v>110644</v>
      </c>
      <c r="AR399"/>
      <c r="AS399" s="1">
        <f t="shared" ref="AS399:AY399" si="1331">ROUNDUP(AS$10*$AP399,0)</f>
        <v>1021279</v>
      </c>
      <c r="AT399" s="1">
        <f t="shared" si="1331"/>
        <v>3063837</v>
      </c>
      <c r="AU399" s="1">
        <f t="shared" si="1331"/>
        <v>1838303</v>
      </c>
      <c r="AV399" s="1">
        <f t="shared" si="1331"/>
        <v>510640</v>
      </c>
      <c r="AW399" s="1">
        <f t="shared" si="1331"/>
        <v>153192</v>
      </c>
      <c r="AX399" s="1">
        <f t="shared" si="1331"/>
        <v>4085116</v>
      </c>
      <c r="AY399" s="1">
        <f t="shared" si="1331"/>
        <v>9191511</v>
      </c>
      <c r="AZ399" s="1">
        <f t="shared" si="1318"/>
        <v>123532800</v>
      </c>
      <c r="BA399" s="1">
        <f t="shared" si="1319"/>
        <v>61766400</v>
      </c>
      <c r="BC399" s="1">
        <f t="shared" si="1320"/>
        <v>388</v>
      </c>
    </row>
    <row r="400" s="1" customFormat="1" spans="2:55">
      <c r="B400" s="4">
        <v>389</v>
      </c>
      <c r="C400" s="1">
        <f t="shared" ref="C400:I400" si="1332">C$5+(C$6-C$5)*(POWER(C$7,$B400-1)-1)/(POWER(C$7,$B$3-1)-1)</f>
        <v>30732.7011083065</v>
      </c>
      <c r="D400" s="1">
        <f t="shared" si="1332"/>
        <v>9219.81033249196</v>
      </c>
      <c r="E400" s="1">
        <f t="shared" si="1332"/>
        <v>6146.54022166131</v>
      </c>
      <c r="F400" s="1">
        <f t="shared" si="1332"/>
        <v>112816.244574796</v>
      </c>
      <c r="G400" s="1">
        <f t="shared" si="1332"/>
        <v>33844.8733724389</v>
      </c>
      <c r="H400" s="1">
        <f t="shared" si="1332"/>
        <v>22563.2489149592</v>
      </c>
      <c r="I400" s="1">
        <f t="shared" si="1332"/>
        <v>0</v>
      </c>
      <c r="J400" s="1">
        <f>[1]标准模型!$I$65/1*$B400/$B$3</f>
        <v>2.8008</v>
      </c>
      <c r="K400" s="1">
        <f>J400*[1]标准模型!$J$63</f>
        <v>2.8008</v>
      </c>
      <c r="L400" s="1">
        <f t="shared" si="1297"/>
        <v>143548.945683103</v>
      </c>
      <c r="M400" s="1">
        <f t="shared" si="1298"/>
        <v>68887.5284841743</v>
      </c>
      <c r="N400" s="1">
        <f t="shared" si="1299"/>
        <v>45925.0189894495</v>
      </c>
      <c r="O400" s="1">
        <f t="shared" ref="O400:X400" si="1333">O$5+(O$6-O$5)*(POWER(O$7,$B400-1)-1)/(POWER(O$7,$B$3-1)-1)</f>
        <v>0.888799131279097</v>
      </c>
      <c r="P400" s="1">
        <f t="shared" si="1333"/>
        <v>0.283589522043885</v>
      </c>
      <c r="Q400" s="1">
        <f t="shared" si="1333"/>
        <v>0.488839522203503</v>
      </c>
      <c r="R400" s="1">
        <f t="shared" si="1333"/>
        <v>1.15551965251164</v>
      </c>
      <c r="S400" s="1">
        <f t="shared" si="1333"/>
        <v>0.544318783790735</v>
      </c>
      <c r="T400" s="1">
        <f t="shared" si="1333"/>
        <v>3.51631661198848</v>
      </c>
      <c r="U400" s="1">
        <f t="shared" si="1333"/>
        <v>1</v>
      </c>
      <c r="V400" s="1">
        <f t="shared" si="1333"/>
        <v>1.42402366795908</v>
      </c>
      <c r="W400" s="1">
        <f t="shared" si="1333"/>
        <v>1.23926100386406</v>
      </c>
      <c r="X400" s="1">
        <f t="shared" si="1333"/>
        <v>2.24415722009311</v>
      </c>
      <c r="Y400" s="1">
        <f t="shared" si="1323"/>
        <v>8.92800480506451</v>
      </c>
      <c r="Z400" s="1">
        <f t="shared" si="1324"/>
        <v>18.0147941830872</v>
      </c>
      <c r="AA400" s="1">
        <f t="shared" si="1301"/>
        <v>2586004.71168026</v>
      </c>
      <c r="AB400" s="1">
        <f t="shared" si="1302"/>
        <v>68887.5284841743</v>
      </c>
      <c r="AC400" s="1">
        <f t="shared" si="1303"/>
        <v>45925.0189894495</v>
      </c>
      <c r="AD400" s="1">
        <f>AC400/(AC400+[1]战斗公式!$M$27)</f>
        <v>0.656775209405075</v>
      </c>
      <c r="AE400" s="1">
        <f t="shared" si="1304"/>
        <v>7534434.52379367</v>
      </c>
      <c r="AF400" s="1">
        <f t="shared" si="1305"/>
        <v>12.2505516067135</v>
      </c>
      <c r="AG400" s="1">
        <f t="shared" si="1306"/>
        <v>6.07128688220659</v>
      </c>
      <c r="AH400" s="1">
        <f t="shared" si="1307"/>
        <v>4.87500530106977</v>
      </c>
      <c r="AI400" s="1">
        <f t="shared" si="1308"/>
        <v>1.73260961665981</v>
      </c>
      <c r="AJ400" s="1">
        <f t="shared" si="1309"/>
        <v>1.0000000026061</v>
      </c>
      <c r="AK400" s="1">
        <f t="shared" si="1310"/>
        <v>1.00028188337621</v>
      </c>
      <c r="AL400" s="1">
        <f t="shared" si="1311"/>
        <v>0.932929486900638</v>
      </c>
      <c r="AM400" s="27">
        <f t="shared" si="1312"/>
        <v>2076460</v>
      </c>
      <c r="AN400" s="27">
        <f t="shared" si="1313"/>
        <v>119355</v>
      </c>
      <c r="AO400" s="27">
        <f t="shared" si="1314"/>
        <v>45925</v>
      </c>
      <c r="AP400" s="1">
        <f t="shared" si="1315"/>
        <v>1029369</v>
      </c>
      <c r="AQ400" s="1">
        <f t="shared" si="1316"/>
        <v>111350</v>
      </c>
      <c r="AR400"/>
      <c r="AS400" s="1">
        <f t="shared" ref="AS400:AY400" si="1334">ROUNDUP(AS$10*$AP400,0)</f>
        <v>1029369</v>
      </c>
      <c r="AT400" s="1">
        <f t="shared" si="1334"/>
        <v>3088107</v>
      </c>
      <c r="AU400" s="1">
        <f t="shared" si="1334"/>
        <v>1852865</v>
      </c>
      <c r="AV400" s="1">
        <f t="shared" si="1334"/>
        <v>514685</v>
      </c>
      <c r="AW400" s="1">
        <f t="shared" si="1334"/>
        <v>154406</v>
      </c>
      <c r="AX400" s="1">
        <f t="shared" si="1334"/>
        <v>4117476</v>
      </c>
      <c r="AY400" s="1">
        <f t="shared" si="1334"/>
        <v>9264321</v>
      </c>
      <c r="AZ400" s="1">
        <f t="shared" si="1318"/>
        <v>124587600</v>
      </c>
      <c r="BA400" s="1">
        <f t="shared" si="1319"/>
        <v>62293800</v>
      </c>
      <c r="BC400" s="1">
        <f t="shared" si="1320"/>
        <v>389</v>
      </c>
    </row>
    <row r="401" s="1" customFormat="1" spans="2:55">
      <c r="B401" s="4">
        <v>390</v>
      </c>
      <c r="C401" s="1">
        <f t="shared" ref="C401:I401" si="1335">C$5+(C$6-C$5)*(POWER(C$7,$B401-1)-1)/(POWER(C$7,$B$3-1)-1)</f>
        <v>30811.690127246</v>
      </c>
      <c r="D401" s="1">
        <f t="shared" si="1335"/>
        <v>9243.50703817382</v>
      </c>
      <c r="E401" s="1">
        <f t="shared" si="1335"/>
        <v>6162.33802544921</v>
      </c>
      <c r="F401" s="1">
        <f t="shared" si="1335"/>
        <v>113106.204264574</v>
      </c>
      <c r="G401" s="1">
        <f t="shared" si="1335"/>
        <v>33931.8612793722</v>
      </c>
      <c r="H401" s="1">
        <f t="shared" si="1335"/>
        <v>22621.2408529148</v>
      </c>
      <c r="I401" s="1">
        <f t="shared" si="1335"/>
        <v>0</v>
      </c>
      <c r="J401" s="1">
        <f>[1]标准模型!$I$65/1*$B401/$B$3</f>
        <v>2.808</v>
      </c>
      <c r="K401" s="1">
        <f>J401*[1]标准模型!$J$63</f>
        <v>2.808</v>
      </c>
      <c r="L401" s="1">
        <f t="shared" si="1297"/>
        <v>143917.89439182</v>
      </c>
      <c r="M401" s="1">
        <f t="shared" si="1298"/>
        <v>69131.1360807381</v>
      </c>
      <c r="N401" s="1">
        <f t="shared" si="1299"/>
        <v>46087.4240538254</v>
      </c>
      <c r="O401" s="1">
        <f t="shared" ref="O401:X401" si="1336">O$5+(O$6-O$5)*(POWER(O$7,$B401-1)-1)/(POWER(O$7,$B$3-1)-1)</f>
        <v>0.889800996007788</v>
      </c>
      <c r="P401" s="1">
        <f t="shared" si="1336"/>
        <v>0.284554163452481</v>
      </c>
      <c r="Q401" s="1">
        <f t="shared" si="1336"/>
        <v>0.489390547804284</v>
      </c>
      <c r="R401" s="1">
        <f t="shared" si="1336"/>
        <v>1.15592039840312</v>
      </c>
      <c r="S401" s="1">
        <f t="shared" si="1336"/>
        <v>0.545721394410904</v>
      </c>
      <c r="T401" s="1">
        <f t="shared" si="1336"/>
        <v>3.52022388443037</v>
      </c>
      <c r="U401" s="1">
        <f t="shared" si="1336"/>
        <v>1</v>
      </c>
      <c r="V401" s="1">
        <f t="shared" si="1336"/>
        <v>1.4251162999196</v>
      </c>
      <c r="W401" s="1">
        <f t="shared" si="1336"/>
        <v>1.23987753600479</v>
      </c>
      <c r="X401" s="1">
        <f t="shared" si="1336"/>
        <v>2.24736318722492</v>
      </c>
      <c r="Y401" s="1">
        <f t="shared" si="1323"/>
        <v>8.98473435631121</v>
      </c>
      <c r="Z401" s="1">
        <f t="shared" si="1324"/>
        <v>18.14024032605</v>
      </c>
      <c r="AA401" s="1">
        <f t="shared" si="1301"/>
        <v>2610705.1914867</v>
      </c>
      <c r="AB401" s="1">
        <f t="shared" si="1302"/>
        <v>69131.1360807381</v>
      </c>
      <c r="AC401" s="1">
        <f t="shared" si="1303"/>
        <v>46087.4240538254</v>
      </c>
      <c r="AD401" s="1">
        <f>AC401/(AC401+[1]战斗公式!$M$27)</f>
        <v>0.657570522472497</v>
      </c>
      <c r="AE401" s="1">
        <f t="shared" si="1304"/>
        <v>7624066.74313549</v>
      </c>
      <c r="AF401" s="1">
        <f t="shared" si="1305"/>
        <v>12.2746114730113</v>
      </c>
      <c r="AG401" s="1">
        <f t="shared" si="1306"/>
        <v>6.07952934634304</v>
      </c>
      <c r="AH401" s="1">
        <f t="shared" si="1307"/>
        <v>4.8766604155428</v>
      </c>
      <c r="AI401" s="1">
        <f t="shared" si="1308"/>
        <v>1.73717991658091</v>
      </c>
      <c r="AJ401" s="1">
        <f t="shared" si="1309"/>
        <v>1.00000000247536</v>
      </c>
      <c r="AK401" s="1">
        <f t="shared" si="1310"/>
        <v>1.0002755759013</v>
      </c>
      <c r="AL401" s="1">
        <f t="shared" si="1311"/>
        <v>0.933110070903296</v>
      </c>
      <c r="AM401" s="27">
        <f t="shared" si="1312"/>
        <v>2094163</v>
      </c>
      <c r="AN401" s="27">
        <f t="shared" si="1313"/>
        <v>120093</v>
      </c>
      <c r="AO401" s="27">
        <f t="shared" si="1314"/>
        <v>46087</v>
      </c>
      <c r="AP401" s="1">
        <f t="shared" si="1315"/>
        <v>1037510</v>
      </c>
      <c r="AQ401" s="1">
        <f t="shared" si="1316"/>
        <v>112060</v>
      </c>
      <c r="AR401"/>
      <c r="AS401" s="1">
        <f t="shared" ref="AS401:AY401" si="1337">ROUNDUP(AS$10*$AP401,0)</f>
        <v>1037510</v>
      </c>
      <c r="AT401" s="1">
        <f t="shared" si="1337"/>
        <v>3112530</v>
      </c>
      <c r="AU401" s="1">
        <f t="shared" si="1337"/>
        <v>1867518</v>
      </c>
      <c r="AV401" s="1">
        <f t="shared" si="1337"/>
        <v>518755</v>
      </c>
      <c r="AW401" s="1">
        <f t="shared" si="1337"/>
        <v>155627</v>
      </c>
      <c r="AX401" s="1">
        <f t="shared" si="1337"/>
        <v>4150040</v>
      </c>
      <c r="AY401" s="1">
        <f t="shared" si="1337"/>
        <v>9337590</v>
      </c>
      <c r="AZ401" s="1">
        <f t="shared" si="1318"/>
        <v>125649780</v>
      </c>
      <c r="BA401" s="1">
        <f t="shared" si="1319"/>
        <v>62824890</v>
      </c>
      <c r="BC401" s="1">
        <f t="shared" si="1320"/>
        <v>390</v>
      </c>
    </row>
    <row r="402" s="1" customFormat="1" spans="2:55">
      <c r="B402" s="4">
        <v>391</v>
      </c>
      <c r="C402" s="1">
        <f t="shared" ref="C402:I402" si="1338">C$5+(C$6-C$5)*(POWER(C$7,$B402-1)-1)/(POWER(C$7,$B$3-1)-1)</f>
        <v>30890.6790671939</v>
      </c>
      <c r="D402" s="1">
        <f t="shared" si="1338"/>
        <v>9267.20372015818</v>
      </c>
      <c r="E402" s="1">
        <f t="shared" si="1338"/>
        <v>6178.13581343879</v>
      </c>
      <c r="F402" s="1">
        <f t="shared" si="1338"/>
        <v>113396.163664383</v>
      </c>
      <c r="G402" s="1">
        <f t="shared" si="1338"/>
        <v>34018.8490993149</v>
      </c>
      <c r="H402" s="1">
        <f t="shared" si="1338"/>
        <v>22679.2327328766</v>
      </c>
      <c r="I402" s="1">
        <f t="shared" si="1338"/>
        <v>0</v>
      </c>
      <c r="J402" s="1">
        <f>[1]标准模型!$I$65/1*$B402/$B$3</f>
        <v>2.8152</v>
      </c>
      <c r="K402" s="1">
        <f>J402*[1]标准模型!$J$63</f>
        <v>2.8152</v>
      </c>
      <c r="L402" s="1">
        <f t="shared" si="1297"/>
        <v>144286.842731577</v>
      </c>
      <c r="M402" s="1">
        <f t="shared" si="1298"/>
        <v>69375.0847324624</v>
      </c>
      <c r="N402" s="1">
        <f t="shared" si="1299"/>
        <v>46250.0564883083</v>
      </c>
      <c r="O402" s="1">
        <f t="shared" ref="O402:X402" si="1339">O$5+(O$6-O$5)*(POWER(O$7,$B402-1)-1)/(POWER(O$7,$B$3-1)-1)</f>
        <v>0.890802859734582</v>
      </c>
      <c r="P402" s="1">
        <f t="shared" si="1339"/>
        <v>0.285520251823189</v>
      </c>
      <c r="Q402" s="1">
        <f t="shared" si="1339"/>
        <v>0.48994157285402</v>
      </c>
      <c r="R402" s="1">
        <f t="shared" si="1339"/>
        <v>1.15632114389383</v>
      </c>
      <c r="S402" s="1">
        <f t="shared" si="1339"/>
        <v>0.547124003628415</v>
      </c>
      <c r="T402" s="1">
        <f t="shared" si="1339"/>
        <v>3.52413115296487</v>
      </c>
      <c r="U402" s="1">
        <f t="shared" si="1339"/>
        <v>1</v>
      </c>
      <c r="V402" s="1">
        <f t="shared" si="1339"/>
        <v>1.42620893078746</v>
      </c>
      <c r="W402" s="1">
        <f t="shared" si="1339"/>
        <v>1.24049406752897</v>
      </c>
      <c r="X402" s="1">
        <f t="shared" si="1339"/>
        <v>2.25056915115066</v>
      </c>
      <c r="Y402" s="1">
        <f t="shared" si="1323"/>
        <v>9.04177862354757</v>
      </c>
      <c r="Z402" s="1">
        <f t="shared" si="1324"/>
        <v>18.2664596252989</v>
      </c>
      <c r="AA402" s="1">
        <f t="shared" si="1301"/>
        <v>2635609.7872182</v>
      </c>
      <c r="AB402" s="1">
        <f t="shared" si="1302"/>
        <v>69375.0847324624</v>
      </c>
      <c r="AC402" s="1">
        <f t="shared" si="1303"/>
        <v>46250.0564883083</v>
      </c>
      <c r="AD402" s="1">
        <f>AC402/(AC402+[1]战斗公式!$M$27)</f>
        <v>0.65836326403532</v>
      </c>
      <c r="AE402" s="1">
        <f t="shared" si="1304"/>
        <v>7714655.68471736</v>
      </c>
      <c r="AF402" s="1">
        <f t="shared" si="1305"/>
        <v>12.2986983994102</v>
      </c>
      <c r="AG402" s="1">
        <f t="shared" si="1306"/>
        <v>6.08777565912288</v>
      </c>
      <c r="AH402" s="1">
        <f t="shared" si="1307"/>
        <v>4.87830311665728</v>
      </c>
      <c r="AI402" s="1">
        <f t="shared" si="1308"/>
        <v>1.74175935710184</v>
      </c>
      <c r="AJ402" s="1">
        <f t="shared" si="1309"/>
        <v>1.00000000235115</v>
      </c>
      <c r="AK402" s="1">
        <f t="shared" si="1310"/>
        <v>1.00026939457588</v>
      </c>
      <c r="AL402" s="1">
        <f t="shared" si="1311"/>
        <v>0.933290113153946</v>
      </c>
      <c r="AM402" s="27">
        <f t="shared" si="1312"/>
        <v>2111987</v>
      </c>
      <c r="AN402" s="27">
        <f t="shared" si="1313"/>
        <v>120835</v>
      </c>
      <c r="AO402" s="27">
        <f t="shared" si="1314"/>
        <v>46250</v>
      </c>
      <c r="AP402" s="1">
        <f t="shared" si="1315"/>
        <v>1045701</v>
      </c>
      <c r="AQ402" s="1">
        <f t="shared" si="1316"/>
        <v>112774</v>
      </c>
      <c r="AR402"/>
      <c r="AS402" s="1">
        <f t="shared" ref="AS402:AY402" si="1340">ROUNDUP(AS$10*$AP402,0)</f>
        <v>1045701</v>
      </c>
      <c r="AT402" s="1">
        <f t="shared" si="1340"/>
        <v>3137103</v>
      </c>
      <c r="AU402" s="1">
        <f t="shared" si="1340"/>
        <v>1882262</v>
      </c>
      <c r="AV402" s="1">
        <f t="shared" si="1340"/>
        <v>522851</v>
      </c>
      <c r="AW402" s="1">
        <f t="shared" si="1340"/>
        <v>156856</v>
      </c>
      <c r="AX402" s="1">
        <f t="shared" si="1340"/>
        <v>4182804</v>
      </c>
      <c r="AY402" s="1">
        <f t="shared" si="1340"/>
        <v>9411309</v>
      </c>
      <c r="AZ402" s="1">
        <f t="shared" si="1318"/>
        <v>126719220</v>
      </c>
      <c r="BA402" s="1">
        <f t="shared" si="1319"/>
        <v>63359610</v>
      </c>
      <c r="BC402" s="1">
        <f t="shared" si="1320"/>
        <v>391</v>
      </c>
    </row>
    <row r="403" s="1" customFormat="1" spans="2:55">
      <c r="B403" s="4">
        <v>392</v>
      </c>
      <c r="C403" s="1">
        <f t="shared" ref="C403:I403" si="1341">C$5+(C$6-C$5)*(POWER(C$7,$B403-1)-1)/(POWER(C$7,$B$3-1)-1)</f>
        <v>30969.6679281502</v>
      </c>
      <c r="D403" s="1">
        <f t="shared" si="1341"/>
        <v>9290.90037844507</v>
      </c>
      <c r="E403" s="1">
        <f t="shared" si="1341"/>
        <v>6193.93358563005</v>
      </c>
      <c r="F403" s="1">
        <f t="shared" si="1341"/>
        <v>113686.122774222</v>
      </c>
      <c r="G403" s="1">
        <f t="shared" si="1341"/>
        <v>34105.8368322667</v>
      </c>
      <c r="H403" s="1">
        <f t="shared" si="1341"/>
        <v>22737.2245548445</v>
      </c>
      <c r="I403" s="1">
        <f t="shared" si="1341"/>
        <v>0</v>
      </c>
      <c r="J403" s="1">
        <f>[1]标准模型!$I$65/1*$B403/$B$3</f>
        <v>2.8224</v>
      </c>
      <c r="K403" s="1">
        <f>J403*[1]标准模型!$J$63</f>
        <v>2.8224</v>
      </c>
      <c r="L403" s="1">
        <f t="shared" si="1297"/>
        <v>144655.790702372</v>
      </c>
      <c r="M403" s="1">
        <f t="shared" si="1298"/>
        <v>69619.3744388351</v>
      </c>
      <c r="N403" s="1">
        <f t="shared" si="1299"/>
        <v>46412.9162925568</v>
      </c>
      <c r="O403" s="1">
        <f t="shared" ref="O403:X403" si="1342">O$5+(O$6-O$5)*(POWER(O$7,$B403-1)-1)/(POWER(O$7,$B$3-1)-1)</f>
        <v>0.891804722459479</v>
      </c>
      <c r="P403" s="1">
        <f t="shared" si="1342"/>
        <v>0.286487789326454</v>
      </c>
      <c r="Q403" s="1">
        <f t="shared" si="1342"/>
        <v>0.490492597352713</v>
      </c>
      <c r="R403" s="1">
        <f t="shared" si="1342"/>
        <v>1.15672188898379</v>
      </c>
      <c r="S403" s="1">
        <f t="shared" si="1342"/>
        <v>0.54852661144327</v>
      </c>
      <c r="T403" s="1">
        <f t="shared" si="1342"/>
        <v>3.52803841759197</v>
      </c>
      <c r="U403" s="1">
        <f t="shared" si="1342"/>
        <v>1</v>
      </c>
      <c r="V403" s="1">
        <f t="shared" si="1342"/>
        <v>1.42730156056265</v>
      </c>
      <c r="W403" s="1">
        <f t="shared" si="1342"/>
        <v>1.2411105984366</v>
      </c>
      <c r="X403" s="1">
        <f t="shared" si="1342"/>
        <v>2.25377511187033</v>
      </c>
      <c r="Y403" s="1">
        <f t="shared" si="1323"/>
        <v>9.09913907445594</v>
      </c>
      <c r="Z403" s="1">
        <f t="shared" si="1324"/>
        <v>18.3934561691257</v>
      </c>
      <c r="AA403" s="1">
        <f t="shared" si="1301"/>
        <v>2660719.9458943</v>
      </c>
      <c r="AB403" s="1">
        <f t="shared" si="1302"/>
        <v>69619.3744388351</v>
      </c>
      <c r="AC403" s="1">
        <f t="shared" si="1303"/>
        <v>46412.9162925568</v>
      </c>
      <c r="AD403" s="1">
        <f>AC403/(AC403+[1]战斗公式!$M$27)</f>
        <v>0.659153444230558</v>
      </c>
      <c r="AE403" s="1">
        <f t="shared" si="1304"/>
        <v>7806210.45117465</v>
      </c>
      <c r="AF403" s="1">
        <f t="shared" si="1305"/>
        <v>12.3228123687269</v>
      </c>
      <c r="AG403" s="1">
        <f t="shared" si="1306"/>
        <v>6.09602580942251</v>
      </c>
      <c r="AH403" s="1">
        <f t="shared" si="1307"/>
        <v>4.8799334975134</v>
      </c>
      <c r="AI403" s="1">
        <f t="shared" si="1308"/>
        <v>1.74634795650382</v>
      </c>
      <c r="AJ403" s="1">
        <f t="shared" si="1309"/>
        <v>1.00000000223315</v>
      </c>
      <c r="AK403" s="1">
        <f t="shared" si="1310"/>
        <v>1.00026333687698</v>
      </c>
      <c r="AL403" s="1">
        <f t="shared" si="1311"/>
        <v>0.933469615277844</v>
      </c>
      <c r="AM403" s="27">
        <f t="shared" si="1312"/>
        <v>2129935</v>
      </c>
      <c r="AN403" s="27">
        <f t="shared" si="1313"/>
        <v>121580</v>
      </c>
      <c r="AO403" s="27">
        <f t="shared" si="1314"/>
        <v>46413</v>
      </c>
      <c r="AP403" s="1">
        <f t="shared" si="1315"/>
        <v>1053944</v>
      </c>
      <c r="AQ403" s="1">
        <f t="shared" si="1316"/>
        <v>113491</v>
      </c>
      <c r="AR403"/>
      <c r="AS403" s="1">
        <f t="shared" ref="AS403:AY403" si="1343">ROUNDUP(AS$10*$AP403,0)</f>
        <v>1053944</v>
      </c>
      <c r="AT403" s="1">
        <f t="shared" si="1343"/>
        <v>3161832</v>
      </c>
      <c r="AU403" s="1">
        <f t="shared" si="1343"/>
        <v>1897100</v>
      </c>
      <c r="AV403" s="1">
        <f t="shared" si="1343"/>
        <v>526972</v>
      </c>
      <c r="AW403" s="1">
        <f t="shared" si="1343"/>
        <v>158092</v>
      </c>
      <c r="AX403" s="1">
        <f t="shared" si="1343"/>
        <v>4215776</v>
      </c>
      <c r="AY403" s="1">
        <f t="shared" si="1343"/>
        <v>9485496</v>
      </c>
      <c r="AZ403" s="1">
        <f t="shared" si="1318"/>
        <v>127796100</v>
      </c>
      <c r="BA403" s="1">
        <f t="shared" si="1319"/>
        <v>63898050</v>
      </c>
      <c r="BC403" s="1">
        <f t="shared" si="1320"/>
        <v>392</v>
      </c>
    </row>
    <row r="404" s="1" customFormat="1" spans="2:55">
      <c r="B404" s="4">
        <v>393</v>
      </c>
      <c r="C404" s="1">
        <f t="shared" ref="C404:I404" si="1344">C$5+(C$6-C$5)*(POWER(C$7,$B404-1)-1)/(POWER(C$7,$B$3-1)-1)</f>
        <v>31048.6567101237</v>
      </c>
      <c r="D404" s="1">
        <f t="shared" si="1344"/>
        <v>9314.59701303711</v>
      </c>
      <c r="E404" s="1">
        <f t="shared" si="1344"/>
        <v>6209.73134202474</v>
      </c>
      <c r="F404" s="1">
        <f t="shared" si="1344"/>
        <v>113976.081594125</v>
      </c>
      <c r="G404" s="1">
        <f t="shared" si="1344"/>
        <v>34192.8244782375</v>
      </c>
      <c r="H404" s="1">
        <f t="shared" si="1344"/>
        <v>22795.216318825</v>
      </c>
      <c r="I404" s="1">
        <f t="shared" si="1344"/>
        <v>0</v>
      </c>
      <c r="J404" s="1">
        <f>[1]标准模型!$I$65/1*$B404/$B$3</f>
        <v>2.8296</v>
      </c>
      <c r="K404" s="1">
        <f>J404*[1]标准模型!$J$63</f>
        <v>2.8296</v>
      </c>
      <c r="L404" s="1">
        <f t="shared" si="1297"/>
        <v>145024.738304249</v>
      </c>
      <c r="M404" s="1">
        <f t="shared" si="1298"/>
        <v>69864.0051993644</v>
      </c>
      <c r="N404" s="1">
        <f t="shared" si="1299"/>
        <v>46576.0034662429</v>
      </c>
      <c r="O404" s="1">
        <f t="shared" ref="O404:X404" si="1345">O$5+(O$6-O$5)*(POWER(O$7,$B404-1)-1)/(POWER(O$7,$B$3-1)-1)</f>
        <v>0.892806584182589</v>
      </c>
      <c r="P404" s="1">
        <f t="shared" si="1345"/>
        <v>0.287456778135973</v>
      </c>
      <c r="Q404" s="1">
        <f t="shared" si="1345"/>
        <v>0.491043621300424</v>
      </c>
      <c r="R404" s="1">
        <f t="shared" si="1345"/>
        <v>1.15712263367304</v>
      </c>
      <c r="S404" s="1">
        <f t="shared" si="1345"/>
        <v>0.549929217855625</v>
      </c>
      <c r="T404" s="1">
        <f t="shared" si="1345"/>
        <v>3.5319456783121</v>
      </c>
      <c r="U404" s="1">
        <f t="shared" si="1345"/>
        <v>1</v>
      </c>
      <c r="V404" s="1">
        <f t="shared" si="1345"/>
        <v>1.42839418924529</v>
      </c>
      <c r="W404" s="1">
        <f t="shared" si="1345"/>
        <v>1.24172712872775</v>
      </c>
      <c r="X404" s="1">
        <f t="shared" si="1345"/>
        <v>2.25698106938428</v>
      </c>
      <c r="Y404" s="1">
        <f t="shared" si="1323"/>
        <v>9.15681718225516</v>
      </c>
      <c r="Z404" s="1">
        <f t="shared" si="1324"/>
        <v>18.5212340637648</v>
      </c>
      <c r="AA404" s="1">
        <f t="shared" si="1301"/>
        <v>2686037.12316923</v>
      </c>
      <c r="AB404" s="1">
        <f t="shared" si="1302"/>
        <v>69864.0051993644</v>
      </c>
      <c r="AC404" s="1">
        <f t="shared" si="1303"/>
        <v>46576.0034662429</v>
      </c>
      <c r="AD404" s="1">
        <f>AC404/(AC404+[1]战斗公式!$M$27)</f>
        <v>0.65994107315131</v>
      </c>
      <c r="AE404" s="1">
        <f t="shared" si="1304"/>
        <v>7898740.2214687</v>
      </c>
      <c r="AF404" s="1">
        <f t="shared" si="1305"/>
        <v>12.346953363808</v>
      </c>
      <c r="AG404" s="1">
        <f t="shared" si="1306"/>
        <v>6.10427978616231</v>
      </c>
      <c r="AH404" s="1">
        <f t="shared" si="1307"/>
        <v>4.88155165051311</v>
      </c>
      <c r="AI404" s="1">
        <f t="shared" si="1308"/>
        <v>1.7509457331046</v>
      </c>
      <c r="AJ404" s="1">
        <f t="shared" si="1309"/>
        <v>1.00000000212105</v>
      </c>
      <c r="AK404" s="1">
        <f t="shared" si="1310"/>
        <v>1.00025740033205</v>
      </c>
      <c r="AL404" s="1">
        <f t="shared" si="1311"/>
        <v>0.93364857889537</v>
      </c>
      <c r="AM404" s="27">
        <f t="shared" si="1312"/>
        <v>2148006</v>
      </c>
      <c r="AN404" s="27">
        <f t="shared" si="1313"/>
        <v>122328</v>
      </c>
      <c r="AO404" s="27">
        <f t="shared" si="1314"/>
        <v>46576</v>
      </c>
      <c r="AP404" s="1">
        <f t="shared" si="1315"/>
        <v>1062238</v>
      </c>
      <c r="AQ404" s="1">
        <f t="shared" si="1316"/>
        <v>114211</v>
      </c>
      <c r="AR404"/>
      <c r="AS404" s="1">
        <f t="shared" ref="AS404:AY404" si="1346">ROUNDUP(AS$10*$AP404,0)</f>
        <v>1062238</v>
      </c>
      <c r="AT404" s="1">
        <f t="shared" si="1346"/>
        <v>3186714</v>
      </c>
      <c r="AU404" s="1">
        <f t="shared" si="1346"/>
        <v>1912029</v>
      </c>
      <c r="AV404" s="1">
        <f t="shared" si="1346"/>
        <v>531119</v>
      </c>
      <c r="AW404" s="1">
        <f t="shared" si="1346"/>
        <v>159336</v>
      </c>
      <c r="AX404" s="1">
        <f t="shared" si="1346"/>
        <v>4248952</v>
      </c>
      <c r="AY404" s="1">
        <f t="shared" si="1346"/>
        <v>9560142</v>
      </c>
      <c r="AZ404" s="1">
        <f t="shared" si="1318"/>
        <v>128880360</v>
      </c>
      <c r="BA404" s="1">
        <f t="shared" si="1319"/>
        <v>64440180</v>
      </c>
      <c r="BC404" s="1">
        <f t="shared" si="1320"/>
        <v>393</v>
      </c>
    </row>
    <row r="405" s="1" customFormat="1" spans="2:55">
      <c r="B405" s="4">
        <v>394</v>
      </c>
      <c r="C405" s="1">
        <f t="shared" ref="C405:I405" si="1347">C$5+(C$6-C$5)*(POWER(C$7,$B405-1)-1)/(POWER(C$7,$B$3-1)-1)</f>
        <v>31127.6454131055</v>
      </c>
      <c r="D405" s="1">
        <f t="shared" si="1347"/>
        <v>9338.29362393166</v>
      </c>
      <c r="E405" s="1">
        <f t="shared" si="1347"/>
        <v>6225.52908262111</v>
      </c>
      <c r="F405" s="1">
        <f t="shared" si="1347"/>
        <v>114266.040124058</v>
      </c>
      <c r="G405" s="1">
        <f t="shared" si="1347"/>
        <v>34279.8120372175</v>
      </c>
      <c r="H405" s="1">
        <f t="shared" si="1347"/>
        <v>22853.2080248117</v>
      </c>
      <c r="I405" s="1">
        <f t="shared" si="1347"/>
        <v>0</v>
      </c>
      <c r="J405" s="1">
        <f>[1]标准模型!$I$65/1*$B405/$B$3</f>
        <v>2.8368</v>
      </c>
      <c r="K405" s="1">
        <f>J405*[1]标准模型!$J$63</f>
        <v>2.8368</v>
      </c>
      <c r="L405" s="1">
        <f t="shared" si="1297"/>
        <v>145393.685537164</v>
      </c>
      <c r="M405" s="1">
        <f t="shared" si="1298"/>
        <v>70108.9770135185</v>
      </c>
      <c r="N405" s="1">
        <f t="shared" si="1299"/>
        <v>46739.3180090124</v>
      </c>
      <c r="O405" s="1">
        <f t="shared" ref="O405:X405" si="1348">O$5+(O$6-O$5)*(POWER(O$7,$B405-1)-1)/(POWER(O$7,$B$3-1)-1)</f>
        <v>0.893808444903802</v>
      </c>
      <c r="P405" s="1">
        <f t="shared" si="1348"/>
        <v>0.288427220428706</v>
      </c>
      <c r="Q405" s="1">
        <f t="shared" si="1348"/>
        <v>0.491594644697091</v>
      </c>
      <c r="R405" s="1">
        <f t="shared" si="1348"/>
        <v>1.15752337796152</v>
      </c>
      <c r="S405" s="1">
        <f t="shared" si="1348"/>
        <v>0.551331822865322</v>
      </c>
      <c r="T405" s="1">
        <f t="shared" si="1348"/>
        <v>3.53585293512483</v>
      </c>
      <c r="U405" s="1">
        <f t="shared" si="1348"/>
        <v>1</v>
      </c>
      <c r="V405" s="1">
        <f t="shared" si="1348"/>
        <v>1.42948681683526</v>
      </c>
      <c r="W405" s="1">
        <f t="shared" si="1348"/>
        <v>1.24234365840234</v>
      </c>
      <c r="X405" s="1">
        <f t="shared" si="1348"/>
        <v>2.26018702369217</v>
      </c>
      <c r="Y405" s="1">
        <f t="shared" si="1323"/>
        <v>9.21481442570077</v>
      </c>
      <c r="Z405" s="1">
        <f t="shared" si="1324"/>
        <v>18.6497974334188</v>
      </c>
      <c r="AA405" s="1">
        <f t="shared" si="1301"/>
        <v>2711562.78336629</v>
      </c>
      <c r="AB405" s="1">
        <f t="shared" si="1302"/>
        <v>70108.9770135185</v>
      </c>
      <c r="AC405" s="1">
        <f t="shared" si="1303"/>
        <v>46739.3180090124</v>
      </c>
      <c r="AD405" s="1">
        <f>AC405/(AC405+[1]战斗公式!$M$27)</f>
        <v>0.660726160846754</v>
      </c>
      <c r="AE405" s="1">
        <f t="shared" si="1304"/>
        <v>7992254.25141461</v>
      </c>
      <c r="AF405" s="1">
        <f t="shared" si="1305"/>
        <v>12.3711213675185</v>
      </c>
      <c r="AG405" s="1">
        <f t="shared" si="1306"/>
        <v>6.11253757830266</v>
      </c>
      <c r="AH405" s="1">
        <f t="shared" si="1307"/>
        <v>4.88315766736531</v>
      </c>
      <c r="AI405" s="1">
        <f t="shared" si="1308"/>
        <v>1.75555270525858</v>
      </c>
      <c r="AJ405" s="1">
        <f t="shared" si="1309"/>
        <v>1.00000000201456</v>
      </c>
      <c r="AK405" s="1">
        <f t="shared" si="1310"/>
        <v>1.00025158251802</v>
      </c>
      <c r="AL405" s="1">
        <f t="shared" si="1311"/>
        <v>0.933827005622043</v>
      </c>
      <c r="AM405" s="27">
        <f t="shared" si="1312"/>
        <v>2166202</v>
      </c>
      <c r="AN405" s="27">
        <f t="shared" si="1313"/>
        <v>123080</v>
      </c>
      <c r="AO405" s="27">
        <f t="shared" si="1314"/>
        <v>46739</v>
      </c>
      <c r="AP405" s="1">
        <f t="shared" si="1315"/>
        <v>1070584</v>
      </c>
      <c r="AQ405" s="1">
        <f t="shared" si="1316"/>
        <v>114935</v>
      </c>
      <c r="AR405"/>
      <c r="AS405" s="1">
        <f t="shared" ref="AS405:AY405" si="1349">ROUNDUP(AS$10*$AP405,0)</f>
        <v>1070584</v>
      </c>
      <c r="AT405" s="1">
        <f t="shared" si="1349"/>
        <v>3211752</v>
      </c>
      <c r="AU405" s="1">
        <f t="shared" si="1349"/>
        <v>1927052</v>
      </c>
      <c r="AV405" s="1">
        <f t="shared" si="1349"/>
        <v>535292</v>
      </c>
      <c r="AW405" s="1">
        <f t="shared" si="1349"/>
        <v>160588</v>
      </c>
      <c r="AX405" s="1">
        <f t="shared" si="1349"/>
        <v>4282336</v>
      </c>
      <c r="AY405" s="1">
        <f t="shared" si="1349"/>
        <v>9635256</v>
      </c>
      <c r="AZ405" s="1">
        <f t="shared" si="1318"/>
        <v>129972120</v>
      </c>
      <c r="BA405" s="1">
        <f t="shared" si="1319"/>
        <v>64986060</v>
      </c>
      <c r="BC405" s="1">
        <f t="shared" si="1320"/>
        <v>394</v>
      </c>
    </row>
    <row r="406" s="1" customFormat="1" spans="2:55">
      <c r="B406" s="4">
        <v>395</v>
      </c>
      <c r="C406" s="1">
        <f t="shared" ref="C406:I406" si="1350">C$5+(C$6-C$5)*(POWER(C$7,$B406-1)-1)/(POWER(C$7,$B$3-1)-1)</f>
        <v>31206.6340370958</v>
      </c>
      <c r="D406" s="1">
        <f t="shared" si="1350"/>
        <v>9361.99021112874</v>
      </c>
      <c r="E406" s="1">
        <f t="shared" si="1350"/>
        <v>6241.32680741916</v>
      </c>
      <c r="F406" s="1">
        <f t="shared" si="1350"/>
        <v>114555.998364023</v>
      </c>
      <c r="G406" s="1">
        <f t="shared" si="1350"/>
        <v>34366.7995092068</v>
      </c>
      <c r="H406" s="1">
        <f t="shared" si="1350"/>
        <v>22911.1996728045</v>
      </c>
      <c r="I406" s="1">
        <f t="shared" si="1350"/>
        <v>0</v>
      </c>
      <c r="J406" s="1">
        <f>[1]标准模型!$I$65/1*$B406/$B$3</f>
        <v>2.844</v>
      </c>
      <c r="K406" s="1">
        <f>J406*[1]标准模型!$J$63</f>
        <v>2.844</v>
      </c>
      <c r="L406" s="1">
        <f t="shared" si="1297"/>
        <v>145762.632401119</v>
      </c>
      <c r="M406" s="1">
        <f t="shared" si="1298"/>
        <v>70354.2898807857</v>
      </c>
      <c r="N406" s="1">
        <f t="shared" si="1299"/>
        <v>46902.8599205238</v>
      </c>
      <c r="O406" s="1">
        <f t="shared" ref="O406:X406" si="1351">O$5+(O$6-O$5)*(POWER(O$7,$B406-1)-1)/(POWER(O$7,$B$3-1)-1)</f>
        <v>0.894810304623117</v>
      </c>
      <c r="P406" s="1">
        <f t="shared" si="1351"/>
        <v>0.289399118384879</v>
      </c>
      <c r="Q406" s="1">
        <f t="shared" si="1351"/>
        <v>0.492145667542714</v>
      </c>
      <c r="R406" s="1">
        <f t="shared" si="1351"/>
        <v>1.15792412184925</v>
      </c>
      <c r="S406" s="1">
        <f t="shared" si="1351"/>
        <v>0.552734426472364</v>
      </c>
      <c r="T406" s="1">
        <f t="shared" si="1351"/>
        <v>3.53976018803016</v>
      </c>
      <c r="U406" s="1">
        <f t="shared" si="1351"/>
        <v>1</v>
      </c>
      <c r="V406" s="1">
        <f t="shared" si="1351"/>
        <v>1.43057944333256</v>
      </c>
      <c r="W406" s="1">
        <f t="shared" si="1351"/>
        <v>1.24296018746038</v>
      </c>
      <c r="X406" s="1">
        <f t="shared" si="1351"/>
        <v>2.26339297479397</v>
      </c>
      <c r="Y406" s="1">
        <f t="shared" si="1323"/>
        <v>9.27313228911856</v>
      </c>
      <c r="Z406" s="1">
        <f t="shared" si="1324"/>
        <v>18.7791504203614</v>
      </c>
      <c r="AA406" s="1">
        <f t="shared" si="1301"/>
        <v>2737298.39952845</v>
      </c>
      <c r="AB406" s="1">
        <f t="shared" si="1302"/>
        <v>70354.2898807857</v>
      </c>
      <c r="AC406" s="1">
        <f t="shared" si="1303"/>
        <v>46902.8599205238</v>
      </c>
      <c r="AD406" s="1">
        <f>AC406/(AC406+[1]战斗公式!$M$27)</f>
        <v>0.661508717322517</v>
      </c>
      <c r="AE406" s="1">
        <f t="shared" si="1304"/>
        <v>8086761.87426831</v>
      </c>
      <c r="AF406" s="1">
        <f t="shared" si="1305"/>
        <v>12.3953163627533</v>
      </c>
      <c r="AG406" s="1">
        <f t="shared" si="1306"/>
        <v>6.12079917484764</v>
      </c>
      <c r="AH406" s="1">
        <f t="shared" si="1307"/>
        <v>4.88475163909112</v>
      </c>
      <c r="AI406" s="1">
        <f t="shared" si="1308"/>
        <v>1.76016889135687</v>
      </c>
      <c r="AJ406" s="1">
        <f t="shared" si="1309"/>
        <v>1.00000000191339</v>
      </c>
      <c r="AK406" s="1">
        <f t="shared" si="1310"/>
        <v>1.00024588106027</v>
      </c>
      <c r="AL406" s="1">
        <f t="shared" si="1311"/>
        <v>0.934004897068537</v>
      </c>
      <c r="AM406" s="27">
        <f t="shared" si="1312"/>
        <v>2184522</v>
      </c>
      <c r="AN406" s="27">
        <f t="shared" si="1313"/>
        <v>123835</v>
      </c>
      <c r="AO406" s="27">
        <f t="shared" si="1314"/>
        <v>46903</v>
      </c>
      <c r="AP406" s="1">
        <f t="shared" si="1315"/>
        <v>1078981</v>
      </c>
      <c r="AQ406" s="1">
        <f t="shared" si="1316"/>
        <v>115662</v>
      </c>
      <c r="AR406"/>
      <c r="AS406" s="1">
        <f t="shared" ref="AS406:AY406" si="1352">ROUNDUP(AS$10*$AP406,0)</f>
        <v>1078981</v>
      </c>
      <c r="AT406" s="1">
        <f t="shared" si="1352"/>
        <v>3236943</v>
      </c>
      <c r="AU406" s="1">
        <f t="shared" si="1352"/>
        <v>1942166</v>
      </c>
      <c r="AV406" s="1">
        <f t="shared" si="1352"/>
        <v>539491</v>
      </c>
      <c r="AW406" s="1">
        <f t="shared" si="1352"/>
        <v>161848</v>
      </c>
      <c r="AX406" s="1">
        <f t="shared" si="1352"/>
        <v>4315924</v>
      </c>
      <c r="AY406" s="1">
        <f t="shared" si="1352"/>
        <v>9710829</v>
      </c>
      <c r="AZ406" s="1">
        <f t="shared" si="1318"/>
        <v>131071320</v>
      </c>
      <c r="BA406" s="1">
        <f t="shared" si="1319"/>
        <v>65535660</v>
      </c>
      <c r="BC406" s="1">
        <f t="shared" si="1320"/>
        <v>395</v>
      </c>
    </row>
    <row r="407" s="1" customFormat="1" spans="2:55">
      <c r="B407" s="4">
        <v>396</v>
      </c>
      <c r="C407" s="1">
        <f t="shared" ref="C407:I407" si="1353">C$5+(C$6-C$5)*(POWER(C$7,$B407-1)-1)/(POWER(C$7,$B$3-1)-1)</f>
        <v>31285.6225821032</v>
      </c>
      <c r="D407" s="1">
        <f t="shared" si="1353"/>
        <v>9385.68677463096</v>
      </c>
      <c r="E407" s="1">
        <f t="shared" si="1353"/>
        <v>6257.12451642064</v>
      </c>
      <c r="F407" s="1">
        <f t="shared" si="1353"/>
        <v>114845.95631405</v>
      </c>
      <c r="G407" s="1">
        <f t="shared" si="1353"/>
        <v>34453.7868942149</v>
      </c>
      <c r="H407" s="1">
        <f t="shared" si="1353"/>
        <v>22969.1912628099</v>
      </c>
      <c r="I407" s="1">
        <f t="shared" si="1353"/>
        <v>0</v>
      </c>
      <c r="J407" s="1">
        <f>[1]标准模型!$I$65/1*$B407/$B$3</f>
        <v>2.8512</v>
      </c>
      <c r="K407" s="1">
        <f>J407*[1]标准模型!$J$63</f>
        <v>2.8512</v>
      </c>
      <c r="L407" s="1">
        <f t="shared" si="1297"/>
        <v>146131.578896153</v>
      </c>
      <c r="M407" s="1">
        <f t="shared" si="1298"/>
        <v>70599.9438006737</v>
      </c>
      <c r="N407" s="1">
        <f t="shared" si="1299"/>
        <v>47066.6292004491</v>
      </c>
      <c r="O407" s="1">
        <f t="shared" ref="O407:X407" si="1354">O$5+(O$6-O$5)*(POWER(O$7,$B407-1)-1)/(POWER(O$7,$B$3-1)-1)</f>
        <v>0.895812163340646</v>
      </c>
      <c r="P407" s="1">
        <f t="shared" si="1354"/>
        <v>0.290372474187986</v>
      </c>
      <c r="Q407" s="1">
        <f t="shared" si="1354"/>
        <v>0.492696689837355</v>
      </c>
      <c r="R407" s="1">
        <f t="shared" si="1354"/>
        <v>1.15832486533626</v>
      </c>
      <c r="S407" s="1">
        <f t="shared" si="1354"/>
        <v>0.554137028676904</v>
      </c>
      <c r="T407" s="1">
        <f t="shared" si="1354"/>
        <v>3.54366743702852</v>
      </c>
      <c r="U407" s="1">
        <f t="shared" si="1354"/>
        <v>1</v>
      </c>
      <c r="V407" s="1">
        <f t="shared" si="1354"/>
        <v>1.43167206873732</v>
      </c>
      <c r="W407" s="1">
        <f t="shared" si="1354"/>
        <v>1.24357671590194</v>
      </c>
      <c r="X407" s="1">
        <f t="shared" si="1354"/>
        <v>2.26659892269007</v>
      </c>
      <c r="Y407" s="1">
        <f t="shared" si="1323"/>
        <v>9.33177226242173</v>
      </c>
      <c r="Z407" s="1">
        <f t="shared" si="1324"/>
        <v>18.9092971850021</v>
      </c>
      <c r="AA407" s="1">
        <f t="shared" si="1301"/>
        <v>2763245.45346094</v>
      </c>
      <c r="AB407" s="1">
        <f t="shared" si="1302"/>
        <v>70599.9438006737</v>
      </c>
      <c r="AC407" s="1">
        <f t="shared" si="1303"/>
        <v>47066.6292004491</v>
      </c>
      <c r="AD407" s="1">
        <f>AC407/(AC407+[1]战斗公式!$M$27)</f>
        <v>0.662288752540857</v>
      </c>
      <c r="AE407" s="1">
        <f t="shared" si="1304"/>
        <v>8182272.50128898</v>
      </c>
      <c r="AF407" s="1">
        <f t="shared" si="1305"/>
        <v>12.4195383324358</v>
      </c>
      <c r="AG407" s="1">
        <f t="shared" si="1306"/>
        <v>6.12906456484435</v>
      </c>
      <c r="AH407" s="1">
        <f t="shared" si="1307"/>
        <v>4.88633365602899</v>
      </c>
      <c r="AI407" s="1">
        <f t="shared" si="1308"/>
        <v>1.76479430982736</v>
      </c>
      <c r="AJ407" s="1">
        <f t="shared" si="1309"/>
        <v>1.00000000181728</v>
      </c>
      <c r="AK407" s="1">
        <f t="shared" si="1310"/>
        <v>1.00024029363168</v>
      </c>
      <c r="AL407" s="1">
        <f t="shared" si="1311"/>
        <v>0.934182254840691</v>
      </c>
      <c r="AM407" s="27">
        <f t="shared" si="1312"/>
        <v>2202969</v>
      </c>
      <c r="AN407" s="27">
        <f t="shared" si="1313"/>
        <v>124594</v>
      </c>
      <c r="AO407" s="27">
        <f t="shared" si="1314"/>
        <v>47067</v>
      </c>
      <c r="AP407" s="1">
        <f t="shared" si="1315"/>
        <v>1087430</v>
      </c>
      <c r="AQ407" s="1">
        <f t="shared" si="1316"/>
        <v>116394</v>
      </c>
      <c r="AR407"/>
      <c r="AS407" s="1">
        <f t="shared" ref="AS407:AY407" si="1355">ROUNDUP(AS$10*$AP407,0)</f>
        <v>1087430</v>
      </c>
      <c r="AT407" s="1">
        <f t="shared" si="1355"/>
        <v>3262290</v>
      </c>
      <c r="AU407" s="1">
        <f t="shared" si="1355"/>
        <v>1957374</v>
      </c>
      <c r="AV407" s="1">
        <f t="shared" si="1355"/>
        <v>543715</v>
      </c>
      <c r="AW407" s="1">
        <f t="shared" si="1355"/>
        <v>163115</v>
      </c>
      <c r="AX407" s="1">
        <f t="shared" si="1355"/>
        <v>4349720</v>
      </c>
      <c r="AY407" s="1">
        <f t="shared" si="1355"/>
        <v>9786870</v>
      </c>
      <c r="AZ407" s="1">
        <f t="shared" si="1318"/>
        <v>132178140</v>
      </c>
      <c r="BA407" s="1">
        <f t="shared" si="1319"/>
        <v>66089070</v>
      </c>
      <c r="BC407" s="1">
        <f t="shared" si="1320"/>
        <v>396</v>
      </c>
    </row>
    <row r="408" s="1" customFormat="1" spans="2:55">
      <c r="B408" s="4">
        <v>397</v>
      </c>
      <c r="C408" s="1">
        <f t="shared" ref="C408:I408" si="1356">C$5+(C$6-C$5)*(POWER(C$7,$B408-1)-1)/(POWER(C$7,$B$3-1)-1)</f>
        <v>31364.611048119</v>
      </c>
      <c r="D408" s="1">
        <f t="shared" si="1356"/>
        <v>9409.3833144357</v>
      </c>
      <c r="E408" s="1">
        <f t="shared" si="1356"/>
        <v>6272.9222096238</v>
      </c>
      <c r="F408" s="1">
        <f t="shared" si="1356"/>
        <v>115135.913974108</v>
      </c>
      <c r="G408" s="1">
        <f t="shared" si="1356"/>
        <v>34540.7741922323</v>
      </c>
      <c r="H408" s="1">
        <f t="shared" si="1356"/>
        <v>23027.1827948216</v>
      </c>
      <c r="I408" s="1">
        <f t="shared" si="1356"/>
        <v>0</v>
      </c>
      <c r="J408" s="1">
        <f>[1]标准模型!$I$65/1*$B408/$B$3</f>
        <v>2.8584</v>
      </c>
      <c r="K408" s="1">
        <f>J408*[1]标准模型!$J$63</f>
        <v>2.8584</v>
      </c>
      <c r="L408" s="1">
        <f t="shared" si="1297"/>
        <v>146500.525022227</v>
      </c>
      <c r="M408" s="1">
        <f t="shared" si="1298"/>
        <v>70845.938772651</v>
      </c>
      <c r="N408" s="1">
        <f t="shared" si="1299"/>
        <v>47230.6258484341</v>
      </c>
      <c r="O408" s="1">
        <f t="shared" ref="O408:X408" si="1357">O$5+(O$6-O$5)*(POWER(O$7,$B408-1)-1)/(POWER(O$7,$B$3-1)-1)</f>
        <v>0.896814021056277</v>
      </c>
      <c r="P408" s="1">
        <f t="shared" si="1357"/>
        <v>0.291347290024798</v>
      </c>
      <c r="Q408" s="1">
        <f t="shared" si="1357"/>
        <v>0.493247711580953</v>
      </c>
      <c r="R408" s="1">
        <f t="shared" si="1357"/>
        <v>1.15872560842251</v>
      </c>
      <c r="S408" s="1">
        <f t="shared" si="1357"/>
        <v>0.555539629478788</v>
      </c>
      <c r="T408" s="1">
        <f t="shared" si="1357"/>
        <v>3.54757468211948</v>
      </c>
      <c r="U408" s="1">
        <f t="shared" si="1357"/>
        <v>1</v>
      </c>
      <c r="V408" s="1">
        <f t="shared" si="1357"/>
        <v>1.43276469304941</v>
      </c>
      <c r="W408" s="1">
        <f t="shared" si="1357"/>
        <v>1.24419324372694</v>
      </c>
      <c r="X408" s="1">
        <f t="shared" si="1357"/>
        <v>2.26980486738009</v>
      </c>
      <c r="Y408" s="1">
        <f t="shared" si="1323"/>
        <v>9.39073584111096</v>
      </c>
      <c r="Z408" s="1">
        <f t="shared" si="1324"/>
        <v>19.0402419059114</v>
      </c>
      <c r="AA408" s="1">
        <f t="shared" si="1301"/>
        <v>2789405.43576623</v>
      </c>
      <c r="AB408" s="1">
        <f t="shared" si="1302"/>
        <v>70845.938772651</v>
      </c>
      <c r="AC408" s="1">
        <f t="shared" si="1303"/>
        <v>47230.6258484341</v>
      </c>
      <c r="AD408" s="1">
        <f>AC408/(AC408+[1]战斗公式!$M$27)</f>
        <v>0.663066276420655</v>
      </c>
      <c r="AE408" s="1">
        <f t="shared" si="1304"/>
        <v>8278795.62227719</v>
      </c>
      <c r="AF408" s="1">
        <f t="shared" si="1305"/>
        <v>12.4437872595078</v>
      </c>
      <c r="AG408" s="1">
        <f t="shared" si="1306"/>
        <v>6.13733373737967</v>
      </c>
      <c r="AH408" s="1">
        <f t="shared" si="1307"/>
        <v>4.88790380783983</v>
      </c>
      <c r="AI408" s="1">
        <f t="shared" si="1308"/>
        <v>1.76942897913479</v>
      </c>
      <c r="AJ408" s="1">
        <f t="shared" si="1309"/>
        <v>1.00000000172598</v>
      </c>
      <c r="AK408" s="1">
        <f t="shared" si="1310"/>
        <v>1.00023481795166</v>
      </c>
      <c r="AL408" s="1">
        <f t="shared" si="1311"/>
        <v>0.934359080539529</v>
      </c>
      <c r="AM408" s="27">
        <f t="shared" si="1312"/>
        <v>2221542</v>
      </c>
      <c r="AN408" s="27">
        <f t="shared" si="1313"/>
        <v>125357</v>
      </c>
      <c r="AO408" s="27">
        <f t="shared" si="1314"/>
        <v>47231</v>
      </c>
      <c r="AP408" s="1">
        <f t="shared" si="1315"/>
        <v>1095932</v>
      </c>
      <c r="AQ408" s="1">
        <f t="shared" si="1316"/>
        <v>117128</v>
      </c>
      <c r="AR408"/>
      <c r="AS408" s="1">
        <f t="shared" ref="AS408:AY408" si="1358">ROUNDUP(AS$10*$AP408,0)</f>
        <v>1095932</v>
      </c>
      <c r="AT408" s="1">
        <f t="shared" si="1358"/>
        <v>3287796</v>
      </c>
      <c r="AU408" s="1">
        <f t="shared" si="1358"/>
        <v>1972678</v>
      </c>
      <c r="AV408" s="1">
        <f t="shared" si="1358"/>
        <v>547966</v>
      </c>
      <c r="AW408" s="1">
        <f t="shared" si="1358"/>
        <v>164390</v>
      </c>
      <c r="AX408" s="1">
        <f t="shared" si="1358"/>
        <v>4383728</v>
      </c>
      <c r="AY408" s="1">
        <f t="shared" si="1358"/>
        <v>9863388</v>
      </c>
      <c r="AZ408" s="1">
        <f t="shared" si="1318"/>
        <v>133292520</v>
      </c>
      <c r="BA408" s="1">
        <f t="shared" si="1319"/>
        <v>66646260</v>
      </c>
      <c r="BC408" s="1">
        <f t="shared" si="1320"/>
        <v>397</v>
      </c>
    </row>
    <row r="409" s="1" customFormat="1" spans="2:55">
      <c r="B409" s="4">
        <v>398</v>
      </c>
      <c r="C409" s="1">
        <f t="shared" ref="C409:I409" si="1359">C$5+(C$6-C$5)*(POWER(C$7,$B409-1)-1)/(POWER(C$7,$B$3-1)-1)</f>
        <v>31443.599435152</v>
      </c>
      <c r="D409" s="1">
        <f t="shared" si="1359"/>
        <v>9433.0798305456</v>
      </c>
      <c r="E409" s="1">
        <f t="shared" si="1359"/>
        <v>6288.7198870304</v>
      </c>
      <c r="F409" s="1">
        <f t="shared" si="1359"/>
        <v>115425.871344229</v>
      </c>
      <c r="G409" s="1">
        <f t="shared" si="1359"/>
        <v>34627.7614032686</v>
      </c>
      <c r="H409" s="1">
        <f t="shared" si="1359"/>
        <v>23085.1742688458</v>
      </c>
      <c r="I409" s="1">
        <f t="shared" si="1359"/>
        <v>0</v>
      </c>
      <c r="J409" s="1">
        <f>[1]标准模型!$I$65/1*$B409/$B$3</f>
        <v>2.8656</v>
      </c>
      <c r="K409" s="1">
        <f>J409*[1]标准模型!$J$63</f>
        <v>2.8656</v>
      </c>
      <c r="L409" s="1">
        <f t="shared" si="1297"/>
        <v>146869.470779381</v>
      </c>
      <c r="M409" s="1">
        <f t="shared" si="1298"/>
        <v>71092.2747962257</v>
      </c>
      <c r="N409" s="1">
        <f t="shared" si="1299"/>
        <v>47394.8498641505</v>
      </c>
      <c r="O409" s="1">
        <f t="shared" ref="O409:X409" si="1360">O$5+(O$6-O$5)*(POWER(O$7,$B409-1)-1)/(POWER(O$7,$B$3-1)-1)</f>
        <v>0.897815877770122</v>
      </c>
      <c r="P409" s="1">
        <f t="shared" si="1360"/>
        <v>0.292323568085365</v>
      </c>
      <c r="Q409" s="1">
        <f t="shared" si="1360"/>
        <v>0.493798732773567</v>
      </c>
      <c r="R409" s="1">
        <f t="shared" si="1360"/>
        <v>1.15912635110805</v>
      </c>
      <c r="S409" s="1">
        <f t="shared" si="1360"/>
        <v>0.556942228878171</v>
      </c>
      <c r="T409" s="1">
        <f t="shared" si="1360"/>
        <v>3.55148192330348</v>
      </c>
      <c r="U409" s="1">
        <f t="shared" si="1360"/>
        <v>1</v>
      </c>
      <c r="V409" s="1">
        <f t="shared" si="1360"/>
        <v>1.43385731626895</v>
      </c>
      <c r="W409" s="1">
        <f t="shared" si="1360"/>
        <v>1.24480977093546</v>
      </c>
      <c r="X409" s="1">
        <f t="shared" si="1360"/>
        <v>2.27301080886439</v>
      </c>
      <c r="Y409" s="1">
        <f t="shared" si="1323"/>
        <v>9.45002452631412</v>
      </c>
      <c r="Z409" s="1">
        <f t="shared" si="1324"/>
        <v>19.1719887799387</v>
      </c>
      <c r="AA409" s="1">
        <f t="shared" si="1301"/>
        <v>2815779.84589783</v>
      </c>
      <c r="AB409" s="1">
        <f t="shared" si="1302"/>
        <v>71092.2747962257</v>
      </c>
      <c r="AC409" s="1">
        <f t="shared" si="1303"/>
        <v>47394.8498641505</v>
      </c>
      <c r="AD409" s="1">
        <f>AC409/(AC409+[1]战斗公式!$M$27)</f>
        <v>0.663841298837843</v>
      </c>
      <c r="AE409" s="1">
        <f t="shared" si="1304"/>
        <v>8376340.80618235</v>
      </c>
      <c r="AF409" s="1">
        <f t="shared" si="1305"/>
        <v>12.4680631269438</v>
      </c>
      <c r="AG409" s="1">
        <f t="shared" si="1306"/>
        <v>6.14560668158435</v>
      </c>
      <c r="AH409" s="1">
        <f t="shared" si="1307"/>
        <v>4.88946218351208</v>
      </c>
      <c r="AI409" s="1">
        <f t="shared" si="1308"/>
        <v>1.77407291778083</v>
      </c>
      <c r="AJ409" s="1">
        <f t="shared" si="1309"/>
        <v>1.00000000163924</v>
      </c>
      <c r="AK409" s="1">
        <f t="shared" si="1310"/>
        <v>1.00022945178523</v>
      </c>
      <c r="AL409" s="1">
        <f t="shared" si="1311"/>
        <v>0.93453537576127</v>
      </c>
      <c r="AM409" s="27">
        <f t="shared" si="1312"/>
        <v>2240242</v>
      </c>
      <c r="AN409" s="27">
        <f t="shared" si="1313"/>
        <v>126123</v>
      </c>
      <c r="AO409" s="27">
        <f t="shared" si="1314"/>
        <v>47395</v>
      </c>
      <c r="AP409" s="1">
        <f t="shared" si="1315"/>
        <v>1104487</v>
      </c>
      <c r="AQ409" s="1">
        <f t="shared" si="1316"/>
        <v>117866</v>
      </c>
      <c r="AR409"/>
      <c r="AS409" s="1">
        <f t="shared" ref="AS409:AY409" si="1361">ROUNDUP(AS$10*$AP409,0)</f>
        <v>1104487</v>
      </c>
      <c r="AT409" s="1">
        <f t="shared" si="1361"/>
        <v>3313461</v>
      </c>
      <c r="AU409" s="1">
        <f t="shared" si="1361"/>
        <v>1988077</v>
      </c>
      <c r="AV409" s="1">
        <f t="shared" si="1361"/>
        <v>552244</v>
      </c>
      <c r="AW409" s="1">
        <f t="shared" si="1361"/>
        <v>165674</v>
      </c>
      <c r="AX409" s="1">
        <f t="shared" si="1361"/>
        <v>4417948</v>
      </c>
      <c r="AY409" s="1">
        <f t="shared" si="1361"/>
        <v>9940383</v>
      </c>
      <c r="AZ409" s="1">
        <f t="shared" si="1318"/>
        <v>134414520</v>
      </c>
      <c r="BA409" s="1">
        <f t="shared" si="1319"/>
        <v>67207260</v>
      </c>
      <c r="BC409" s="1">
        <f t="shared" si="1320"/>
        <v>398</v>
      </c>
    </row>
    <row r="410" s="1" customFormat="1" spans="2:55">
      <c r="B410" s="4">
        <v>399</v>
      </c>
      <c r="C410" s="1">
        <f t="shared" ref="C410:I410" si="1362">C$5+(C$6-C$5)*(POWER(C$7,$B410-1)-1)/(POWER(C$7,$B$3-1)-1)</f>
        <v>31522.5877431934</v>
      </c>
      <c r="D410" s="1">
        <f t="shared" si="1362"/>
        <v>9456.77632295801</v>
      </c>
      <c r="E410" s="1">
        <f t="shared" si="1362"/>
        <v>6304.51754863867</v>
      </c>
      <c r="F410" s="1">
        <f t="shared" si="1362"/>
        <v>115715.828424381</v>
      </c>
      <c r="G410" s="1">
        <f t="shared" si="1362"/>
        <v>34714.7485273142</v>
      </c>
      <c r="H410" s="1">
        <f t="shared" si="1362"/>
        <v>23143.1656848761</v>
      </c>
      <c r="I410" s="1">
        <f t="shared" si="1362"/>
        <v>0</v>
      </c>
      <c r="J410" s="1">
        <f>[1]标准模型!$I$65/1*$B410/$B$3</f>
        <v>2.8728</v>
      </c>
      <c r="K410" s="1">
        <f>J410*[1]标准模型!$J$63</f>
        <v>2.8728</v>
      </c>
      <c r="L410" s="1">
        <f t="shared" si="1297"/>
        <v>147238.416167574</v>
      </c>
      <c r="M410" s="1">
        <f t="shared" si="1298"/>
        <v>71338.951870866</v>
      </c>
      <c r="N410" s="1">
        <f t="shared" si="1299"/>
        <v>47559.3012472439</v>
      </c>
      <c r="O410" s="1">
        <f t="shared" ref="O410:X410" si="1363">O$5+(O$6-O$5)*(POWER(O$7,$B410-1)-1)/(POWER(O$7,$B$3-1)-1)</f>
        <v>0.89881773348207</v>
      </c>
      <c r="P410" s="1">
        <f t="shared" si="1363"/>
        <v>0.293301310563022</v>
      </c>
      <c r="Q410" s="1">
        <f t="shared" si="1363"/>
        <v>0.494349753415139</v>
      </c>
      <c r="R410" s="1">
        <f t="shared" si="1363"/>
        <v>1.15952709339283</v>
      </c>
      <c r="S410" s="1">
        <f t="shared" si="1363"/>
        <v>0.558344826874898</v>
      </c>
      <c r="T410" s="1">
        <f t="shared" si="1363"/>
        <v>3.55538916058007</v>
      </c>
      <c r="U410" s="1">
        <f t="shared" si="1363"/>
        <v>1</v>
      </c>
      <c r="V410" s="1">
        <f t="shared" si="1363"/>
        <v>1.43494993839583</v>
      </c>
      <c r="W410" s="1">
        <f t="shared" si="1363"/>
        <v>1.24542629752743</v>
      </c>
      <c r="X410" s="1">
        <f t="shared" si="1363"/>
        <v>2.27621674714262</v>
      </c>
      <c r="Y410" s="1">
        <f t="shared" si="1323"/>
        <v>9.50963982478064</v>
      </c>
      <c r="Z410" s="1">
        <f t="shared" si="1324"/>
        <v>19.3045420222242</v>
      </c>
      <c r="AA410" s="1">
        <f t="shared" si="1301"/>
        <v>2842370.19219267</v>
      </c>
      <c r="AB410" s="1">
        <f t="shared" si="1302"/>
        <v>71338.951870866</v>
      </c>
      <c r="AC410" s="1">
        <f t="shared" si="1303"/>
        <v>47559.3012472439</v>
      </c>
      <c r="AD410" s="1">
        <f>AC410/(AC410+[1]战斗公式!$M$27)</f>
        <v>0.664613829625337</v>
      </c>
      <c r="AE410" s="1">
        <f t="shared" si="1304"/>
        <v>8474917.70163758</v>
      </c>
      <c r="AF410" s="1">
        <f t="shared" si="1305"/>
        <v>12.4923659177361</v>
      </c>
      <c r="AG410" s="1">
        <f t="shared" si="1306"/>
        <v>6.15388338662839</v>
      </c>
      <c r="AH410" s="1">
        <f t="shared" si="1307"/>
        <v>4.89100887136679</v>
      </c>
      <c r="AI410" s="1">
        <f t="shared" si="1308"/>
        <v>1.77872614430416</v>
      </c>
      <c r="AJ410" s="1">
        <f t="shared" si="1309"/>
        <v>1.00000000155684</v>
      </c>
      <c r="AK410" s="1">
        <f t="shared" si="1310"/>
        <v>1.00022419294214</v>
      </c>
      <c r="AL410" s="1">
        <f t="shared" si="1311"/>
        <v>0.934711142097346</v>
      </c>
      <c r="AM410" s="27">
        <f t="shared" si="1312"/>
        <v>2259071</v>
      </c>
      <c r="AN410" s="27">
        <f t="shared" si="1313"/>
        <v>126892</v>
      </c>
      <c r="AO410" s="27">
        <f t="shared" si="1314"/>
        <v>47559</v>
      </c>
      <c r="AP410" s="1">
        <f t="shared" si="1315"/>
        <v>1113094</v>
      </c>
      <c r="AQ410" s="1">
        <f t="shared" si="1316"/>
        <v>118607</v>
      </c>
      <c r="AR410"/>
      <c r="AS410" s="1">
        <f t="shared" ref="AS410:AY410" si="1364">ROUNDUP(AS$10*$AP410,0)</f>
        <v>1113094</v>
      </c>
      <c r="AT410" s="1">
        <f t="shared" si="1364"/>
        <v>3339282</v>
      </c>
      <c r="AU410" s="1">
        <f t="shared" si="1364"/>
        <v>2003570</v>
      </c>
      <c r="AV410" s="1">
        <f t="shared" si="1364"/>
        <v>556547</v>
      </c>
      <c r="AW410" s="1">
        <f t="shared" si="1364"/>
        <v>166965</v>
      </c>
      <c r="AX410" s="1">
        <f t="shared" si="1364"/>
        <v>4452376</v>
      </c>
      <c r="AY410" s="1">
        <f t="shared" si="1364"/>
        <v>10017846</v>
      </c>
      <c r="AZ410" s="1">
        <f t="shared" si="1318"/>
        <v>135544260</v>
      </c>
      <c r="BA410" s="1">
        <f t="shared" si="1319"/>
        <v>67772130</v>
      </c>
      <c r="BC410" s="1">
        <f t="shared" si="1320"/>
        <v>399</v>
      </c>
    </row>
    <row r="411" s="1" customFormat="1" spans="2:55">
      <c r="B411" s="4">
        <v>400</v>
      </c>
      <c r="C411" s="1">
        <f t="shared" ref="C411:I411" si="1365">C$5+(C$6-C$5)*(POWER(C$7,$B411-1)-1)/(POWER(C$7,$B$3-1)-1)</f>
        <v>31601.5759722431</v>
      </c>
      <c r="D411" s="1">
        <f t="shared" si="1365"/>
        <v>9480.47279167294</v>
      </c>
      <c r="E411" s="1">
        <f t="shared" si="1365"/>
        <v>6320.31519444862</v>
      </c>
      <c r="F411" s="1">
        <f t="shared" si="1365"/>
        <v>116005.785214563</v>
      </c>
      <c r="G411" s="1">
        <f t="shared" si="1365"/>
        <v>34801.735564369</v>
      </c>
      <c r="H411" s="1">
        <f t="shared" si="1365"/>
        <v>23201.1570429127</v>
      </c>
      <c r="I411" s="1">
        <f t="shared" si="1365"/>
        <v>0</v>
      </c>
      <c r="J411" s="1">
        <f>[1]标准模型!$I$65/1*$B411/$B$3</f>
        <v>2.88</v>
      </c>
      <c r="K411" s="1">
        <f>J411*[1]标准模型!$J$63</f>
        <v>2.88</v>
      </c>
      <c r="L411" s="1">
        <f t="shared" si="1297"/>
        <v>147607.361186806</v>
      </c>
      <c r="M411" s="1">
        <f t="shared" si="1298"/>
        <v>71585.96999606</v>
      </c>
      <c r="N411" s="1">
        <f t="shared" si="1299"/>
        <v>47723.9799973733</v>
      </c>
      <c r="O411" s="1">
        <f t="shared" ref="O411:X411" si="1366">O$5+(O$6-O$5)*(POWER(O$7,$B411-1)-1)/(POWER(O$7,$B$3-1)-1)</f>
        <v>0.89981958819212</v>
      </c>
      <c r="P411" s="1">
        <f t="shared" si="1366"/>
        <v>0.294280519654396</v>
      </c>
      <c r="Q411" s="1">
        <f t="shared" si="1366"/>
        <v>0.494900773505666</v>
      </c>
      <c r="R411" s="1">
        <f t="shared" si="1366"/>
        <v>1.15992783527685</v>
      </c>
      <c r="S411" s="1">
        <f t="shared" si="1366"/>
        <v>0.559747423468968</v>
      </c>
      <c r="T411" s="1">
        <f t="shared" si="1366"/>
        <v>3.55929639394927</v>
      </c>
      <c r="U411" s="1">
        <f t="shared" si="1366"/>
        <v>1</v>
      </c>
      <c r="V411" s="1">
        <f t="shared" si="1366"/>
        <v>1.43604255943004</v>
      </c>
      <c r="W411" s="1">
        <f t="shared" si="1366"/>
        <v>1.24604282350284</v>
      </c>
      <c r="X411" s="1">
        <f t="shared" si="1366"/>
        <v>2.27942268221478</v>
      </c>
      <c r="Y411" s="1">
        <f t="shared" si="1323"/>
        <v>9.56958324891576</v>
      </c>
      <c r="Z411" s="1">
        <f t="shared" si="1324"/>
        <v>19.4379058663036</v>
      </c>
      <c r="AA411" s="1">
        <f t="shared" si="1301"/>
        <v>2869177.99192261</v>
      </c>
      <c r="AB411" s="1">
        <f t="shared" si="1302"/>
        <v>71585.96999606</v>
      </c>
      <c r="AC411" s="1">
        <f t="shared" si="1303"/>
        <v>47723.9799973733</v>
      </c>
      <c r="AD411" s="1">
        <f>AC411/(AC411+[1]战斗公式!$M$27)</f>
        <v>0.665383878573402</v>
      </c>
      <c r="AE411" s="1">
        <f t="shared" si="1304"/>
        <v>8574536.03756505</v>
      </c>
      <c r="AF411" s="1">
        <f t="shared" si="1305"/>
        <v>12.5166956149054</v>
      </c>
      <c r="AG411" s="1">
        <f t="shared" si="1306"/>
        <v>6.16216384172429</v>
      </c>
      <c r="AH411" s="1">
        <f t="shared" si="1307"/>
        <v>4.89254395906259</v>
      </c>
      <c r="AI411" s="1">
        <f t="shared" si="1308"/>
        <v>1.78338867728054</v>
      </c>
      <c r="AJ411" s="1">
        <f t="shared" si="1309"/>
        <v>1.00000000147856</v>
      </c>
      <c r="AK411" s="1">
        <f t="shared" si="1310"/>
        <v>1.00021903927591</v>
      </c>
      <c r="AL411" s="1">
        <f t="shared" si="1311"/>
        <v>0.934886381134413</v>
      </c>
      <c r="AM411" s="27">
        <f t="shared" si="1312"/>
        <v>2278028</v>
      </c>
      <c r="AN411" s="27">
        <f t="shared" si="1313"/>
        <v>127666</v>
      </c>
      <c r="AO411" s="27">
        <f t="shared" si="1314"/>
        <v>47724</v>
      </c>
      <c r="AP411" s="1">
        <f t="shared" si="1315"/>
        <v>1121754</v>
      </c>
      <c r="AQ411" s="1">
        <f t="shared" si="1316"/>
        <v>119353</v>
      </c>
      <c r="AR411"/>
      <c r="AS411" s="1">
        <f t="shared" ref="AS411:AY411" si="1367">ROUNDUP(AS$10*$AP411,0)</f>
        <v>1121754</v>
      </c>
      <c r="AT411" s="1">
        <f t="shared" si="1367"/>
        <v>3365262</v>
      </c>
      <c r="AU411" s="1">
        <f t="shared" si="1367"/>
        <v>2019158</v>
      </c>
      <c r="AV411" s="1">
        <f t="shared" si="1367"/>
        <v>560877</v>
      </c>
      <c r="AW411" s="1">
        <f t="shared" si="1367"/>
        <v>168264</v>
      </c>
      <c r="AX411" s="1">
        <f t="shared" si="1367"/>
        <v>4487016</v>
      </c>
      <c r="AY411" s="1">
        <f t="shared" si="1367"/>
        <v>10095786</v>
      </c>
      <c r="AZ411" s="1">
        <f t="shared" si="1318"/>
        <v>136681680</v>
      </c>
      <c r="BA411" s="1">
        <f t="shared" si="1319"/>
        <v>68340840</v>
      </c>
      <c r="BC411" s="1">
        <f t="shared" si="1320"/>
        <v>400</v>
      </c>
    </row>
    <row r="412" s="1" customFormat="1" spans="2:55">
      <c r="B412" s="4">
        <v>401</v>
      </c>
      <c r="C412" s="1">
        <f t="shared" ref="C412:I412" si="1368">C$5+(C$6-C$5)*(POWER(C$7,$B412-1)-1)/(POWER(C$7,$B$3-1)-1)</f>
        <v>31680.5641223013</v>
      </c>
      <c r="D412" s="1">
        <f t="shared" si="1368"/>
        <v>9504.16923669038</v>
      </c>
      <c r="E412" s="1">
        <f t="shared" si="1368"/>
        <v>6336.11282446026</v>
      </c>
      <c r="F412" s="1">
        <f t="shared" si="1368"/>
        <v>116295.741714777</v>
      </c>
      <c r="G412" s="1">
        <f t="shared" si="1368"/>
        <v>34888.7225144331</v>
      </c>
      <c r="H412" s="1">
        <f t="shared" si="1368"/>
        <v>23259.1483429554</v>
      </c>
      <c r="I412" s="1">
        <f t="shared" si="1368"/>
        <v>0</v>
      </c>
      <c r="J412" s="1">
        <f>[1]标准模型!$I$65/1*$B412/$B$3</f>
        <v>2.8872</v>
      </c>
      <c r="K412" s="1">
        <f>J412*[1]标准模型!$J$63</f>
        <v>2.8872</v>
      </c>
      <c r="L412" s="1">
        <f t="shared" si="1297"/>
        <v>147976.305837078</v>
      </c>
      <c r="M412" s="1">
        <f t="shared" si="1298"/>
        <v>71833.3291712959</v>
      </c>
      <c r="N412" s="1">
        <f t="shared" si="1299"/>
        <v>47888.8861141973</v>
      </c>
      <c r="O412" s="1">
        <f t="shared" ref="O412:X412" si="1369">O$5+(O$6-O$5)*(POWER(O$7,$B412-1)-1)/(POWER(O$7,$B$3-1)-1)</f>
        <v>0.900821441900272</v>
      </c>
      <c r="P412" s="1">
        <f t="shared" si="1369"/>
        <v>0.295261197559408</v>
      </c>
      <c r="Q412" s="1">
        <f t="shared" si="1369"/>
        <v>0.49545179304515</v>
      </c>
      <c r="R412" s="1">
        <f t="shared" si="1369"/>
        <v>1.16032857676011</v>
      </c>
      <c r="S412" s="1">
        <f t="shared" si="1369"/>
        <v>0.561150018660381</v>
      </c>
      <c r="T412" s="1">
        <f t="shared" si="1369"/>
        <v>3.56320362341106</v>
      </c>
      <c r="U412" s="1">
        <f t="shared" si="1369"/>
        <v>1</v>
      </c>
      <c r="V412" s="1">
        <f t="shared" si="1369"/>
        <v>1.43713517937158</v>
      </c>
      <c r="W412" s="1">
        <f t="shared" si="1369"/>
        <v>1.24665934886171</v>
      </c>
      <c r="X412" s="1">
        <f t="shared" si="1369"/>
        <v>2.28262861408087</v>
      </c>
      <c r="Y412" s="1">
        <f t="shared" si="1323"/>
        <v>9.62985631679213</v>
      </c>
      <c r="Z412" s="1">
        <f t="shared" si="1324"/>
        <v>19.5720845641612</v>
      </c>
      <c r="AA412" s="1">
        <f t="shared" si="1301"/>
        <v>2896204.77133548</v>
      </c>
      <c r="AB412" s="1">
        <f t="shared" si="1302"/>
        <v>71833.3291712959</v>
      </c>
      <c r="AC412" s="1">
        <f t="shared" si="1303"/>
        <v>47888.8861141973</v>
      </c>
      <c r="AD412" s="1">
        <f>AC412/(AC412+[1]战斗公式!$M$27)</f>
        <v>0.666151455429767</v>
      </c>
      <c r="AE412" s="1">
        <f t="shared" si="1304"/>
        <v>8675205.62374713</v>
      </c>
      <c r="AF412" s="1">
        <f t="shared" si="1305"/>
        <v>12.5410522014978</v>
      </c>
      <c r="AG412" s="1">
        <f t="shared" si="1306"/>
        <v>6.17044803612565</v>
      </c>
      <c r="AH412" s="1">
        <f t="shared" si="1307"/>
        <v>4.89406753360068</v>
      </c>
      <c r="AI412" s="1">
        <f t="shared" si="1308"/>
        <v>1.78806053532288</v>
      </c>
      <c r="AJ412" s="1">
        <f t="shared" si="1309"/>
        <v>1.00000000140419</v>
      </c>
      <c r="AK412" s="1">
        <f t="shared" si="1310"/>
        <v>1.000213988683</v>
      </c>
      <c r="AL412" s="1">
        <f t="shared" si="1311"/>
        <v>0.93506109445437</v>
      </c>
      <c r="AM412" s="27">
        <f t="shared" si="1312"/>
        <v>2297114</v>
      </c>
      <c r="AN412" s="27">
        <f t="shared" si="1313"/>
        <v>128442</v>
      </c>
      <c r="AO412" s="27">
        <f t="shared" si="1314"/>
        <v>47889</v>
      </c>
      <c r="AP412" s="1">
        <f t="shared" si="1315"/>
        <v>1130468</v>
      </c>
      <c r="AQ412" s="1">
        <f t="shared" si="1316"/>
        <v>120101</v>
      </c>
      <c r="AR412"/>
      <c r="AS412" s="1">
        <f t="shared" ref="AS412:AY412" si="1370">ROUNDUP(AS$10*$AP412,0)</f>
        <v>1130468</v>
      </c>
      <c r="AT412" s="1">
        <f t="shared" si="1370"/>
        <v>3391404</v>
      </c>
      <c r="AU412" s="1">
        <f t="shared" si="1370"/>
        <v>2034843</v>
      </c>
      <c r="AV412" s="1">
        <f t="shared" si="1370"/>
        <v>565234</v>
      </c>
      <c r="AW412" s="1">
        <f t="shared" si="1370"/>
        <v>169571</v>
      </c>
      <c r="AX412" s="1">
        <f t="shared" si="1370"/>
        <v>4521872</v>
      </c>
      <c r="AY412" s="1">
        <f t="shared" si="1370"/>
        <v>10174212</v>
      </c>
      <c r="AZ412" s="1">
        <f t="shared" si="1318"/>
        <v>137826840</v>
      </c>
      <c r="BA412" s="1">
        <f t="shared" si="1319"/>
        <v>68913420</v>
      </c>
      <c r="BC412" s="1">
        <f t="shared" si="1320"/>
        <v>401</v>
      </c>
    </row>
    <row r="413" s="1" customFormat="1" spans="2:55">
      <c r="B413" s="4">
        <v>402</v>
      </c>
      <c r="C413" s="1">
        <f t="shared" ref="C413:I413" si="1371">C$5+(C$6-C$5)*(POWER(C$7,$B413-1)-1)/(POWER(C$7,$B$3-1)-1)</f>
        <v>31759.5521933766</v>
      </c>
      <c r="D413" s="1">
        <f t="shared" si="1371"/>
        <v>9527.86565801298</v>
      </c>
      <c r="E413" s="1">
        <f t="shared" si="1371"/>
        <v>6351.91043867532</v>
      </c>
      <c r="F413" s="1">
        <f t="shared" si="1371"/>
        <v>116585.697925053</v>
      </c>
      <c r="G413" s="1">
        <f t="shared" si="1371"/>
        <v>34975.709377516</v>
      </c>
      <c r="H413" s="1">
        <f t="shared" si="1371"/>
        <v>23317.1395850107</v>
      </c>
      <c r="I413" s="1">
        <f t="shared" si="1371"/>
        <v>0</v>
      </c>
      <c r="J413" s="1">
        <f>[1]标准模型!$I$65/1*$B413/$B$3</f>
        <v>2.8944</v>
      </c>
      <c r="K413" s="1">
        <f>J413*[1]标准模型!$J$63</f>
        <v>2.8944</v>
      </c>
      <c r="L413" s="1">
        <f t="shared" si="1297"/>
        <v>148345.25011843</v>
      </c>
      <c r="M413" s="1">
        <f t="shared" si="1298"/>
        <v>72081.0293960818</v>
      </c>
      <c r="N413" s="1">
        <f t="shared" si="1299"/>
        <v>48054.0195973879</v>
      </c>
      <c r="O413" s="1">
        <f t="shared" ref="O413:X413" si="1372">O$5+(O$6-O$5)*(POWER(O$7,$B413-1)-1)/(POWER(O$7,$B$3-1)-1)</f>
        <v>0.901823294606639</v>
      </c>
      <c r="P413" s="1">
        <f t="shared" si="1372"/>
        <v>0.296243346481276</v>
      </c>
      <c r="Q413" s="1">
        <f t="shared" si="1372"/>
        <v>0.496002812033651</v>
      </c>
      <c r="R413" s="1">
        <f t="shared" si="1372"/>
        <v>1.16072931784266</v>
      </c>
      <c r="S413" s="1">
        <f t="shared" si="1372"/>
        <v>0.562552612449294</v>
      </c>
      <c r="T413" s="1">
        <f t="shared" si="1372"/>
        <v>3.56711084896589</v>
      </c>
      <c r="U413" s="1">
        <f t="shared" si="1372"/>
        <v>1</v>
      </c>
      <c r="V413" s="1">
        <f t="shared" si="1372"/>
        <v>1.43822779822057</v>
      </c>
      <c r="W413" s="1">
        <f t="shared" si="1372"/>
        <v>1.24727587360409</v>
      </c>
      <c r="X413" s="1">
        <f t="shared" si="1372"/>
        <v>2.28583454274124</v>
      </c>
      <c r="Y413" s="1">
        <f t="shared" si="1323"/>
        <v>9.69046055217285</v>
      </c>
      <c r="Z413" s="1">
        <f t="shared" si="1324"/>
        <v>19.7070823863085</v>
      </c>
      <c r="AA413" s="1">
        <f t="shared" si="1301"/>
        <v>2923452.06570143</v>
      </c>
      <c r="AB413" s="1">
        <f t="shared" si="1302"/>
        <v>72081.0293960818</v>
      </c>
      <c r="AC413" s="1">
        <f t="shared" si="1303"/>
        <v>48054.0195973879</v>
      </c>
      <c r="AD413" s="1">
        <f>AC413/(AC413+[1]战斗公式!$M$27)</f>
        <v>0.666916569899869</v>
      </c>
      <c r="AE413" s="1">
        <f t="shared" si="1304"/>
        <v>8776936.35141978</v>
      </c>
      <c r="AF413" s="1">
        <f t="shared" si="1305"/>
        <v>12.5654356605867</v>
      </c>
      <c r="AG413" s="1">
        <f t="shared" si="1306"/>
        <v>6.17873595912796</v>
      </c>
      <c r="AH413" s="1">
        <f t="shared" si="1307"/>
        <v>4.89557968132973</v>
      </c>
      <c r="AI413" s="1">
        <f t="shared" si="1308"/>
        <v>1.7927417370813</v>
      </c>
      <c r="AJ413" s="1">
        <f t="shared" si="1309"/>
        <v>1.00000000133354</v>
      </c>
      <c r="AK413" s="1">
        <f t="shared" si="1310"/>
        <v>1.00020903910196</v>
      </c>
      <c r="AL413" s="1">
        <f t="shared" si="1311"/>
        <v>0.935235283634366</v>
      </c>
      <c r="AM413" s="27">
        <f t="shared" si="1312"/>
        <v>2316330</v>
      </c>
      <c r="AN413" s="27">
        <f t="shared" si="1313"/>
        <v>129223</v>
      </c>
      <c r="AO413" s="27">
        <f t="shared" si="1314"/>
        <v>48054</v>
      </c>
      <c r="AP413" s="1">
        <f t="shared" si="1315"/>
        <v>1139235</v>
      </c>
      <c r="AQ413" s="1">
        <f t="shared" si="1316"/>
        <v>120854</v>
      </c>
      <c r="AR413"/>
      <c r="AS413" s="1">
        <f t="shared" ref="AS413:AY413" si="1373">ROUNDUP(AS$10*$AP413,0)</f>
        <v>1139235</v>
      </c>
      <c r="AT413" s="1">
        <f t="shared" si="1373"/>
        <v>3417705</v>
      </c>
      <c r="AU413" s="1">
        <f t="shared" si="1373"/>
        <v>2050623</v>
      </c>
      <c r="AV413" s="1">
        <f t="shared" si="1373"/>
        <v>569618</v>
      </c>
      <c r="AW413" s="1">
        <f t="shared" si="1373"/>
        <v>170886</v>
      </c>
      <c r="AX413" s="1">
        <f t="shared" si="1373"/>
        <v>4556940</v>
      </c>
      <c r="AY413" s="1">
        <f t="shared" si="1373"/>
        <v>10253115</v>
      </c>
      <c r="AZ413" s="1">
        <f t="shared" si="1318"/>
        <v>138979800</v>
      </c>
      <c r="BA413" s="1">
        <f t="shared" si="1319"/>
        <v>69489900</v>
      </c>
      <c r="BC413" s="1">
        <f t="shared" si="1320"/>
        <v>402</v>
      </c>
    </row>
    <row r="414" s="1" customFormat="1" spans="2:55">
      <c r="B414" s="4">
        <v>403</v>
      </c>
      <c r="C414" s="1">
        <f t="shared" ref="C414:I414" si="1374">C$5+(C$6-C$5)*(POWER(C$7,$B414-1)-1)/(POWER(C$7,$B$3-1)-1)</f>
        <v>31838.5401854691</v>
      </c>
      <c r="D414" s="1">
        <f t="shared" si="1374"/>
        <v>9551.56205564073</v>
      </c>
      <c r="E414" s="1">
        <f t="shared" si="1374"/>
        <v>6367.70803709382</v>
      </c>
      <c r="F414" s="1">
        <f t="shared" si="1374"/>
        <v>116875.653845393</v>
      </c>
      <c r="G414" s="1">
        <f t="shared" si="1374"/>
        <v>35062.6961536179</v>
      </c>
      <c r="H414" s="1">
        <f t="shared" si="1374"/>
        <v>23375.1307690786</v>
      </c>
      <c r="I414" s="1">
        <f t="shared" si="1374"/>
        <v>0</v>
      </c>
      <c r="J414" s="1">
        <f>[1]标准模型!$I$65/1*$B414/$B$3</f>
        <v>2.9016</v>
      </c>
      <c r="K414" s="1">
        <f>J414*[1]标准模型!$J$63</f>
        <v>2.9016</v>
      </c>
      <c r="L414" s="1">
        <f t="shared" si="1297"/>
        <v>148714.194030862</v>
      </c>
      <c r="M414" s="1">
        <f t="shared" si="1298"/>
        <v>72329.0706699058</v>
      </c>
      <c r="N414" s="1">
        <f t="shared" si="1299"/>
        <v>48219.3804466038</v>
      </c>
      <c r="O414" s="1">
        <f t="shared" ref="O414:X414" si="1375">O$5+(O$6-O$5)*(POWER(O$7,$B414-1)-1)/(POWER(O$7,$B$3-1)-1)</f>
        <v>0.902825146311219</v>
      </c>
      <c r="P414" s="1">
        <f t="shared" si="1375"/>
        <v>0.297226968626528</v>
      </c>
      <c r="Q414" s="1">
        <f t="shared" si="1375"/>
        <v>0.49655383047117</v>
      </c>
      <c r="R414" s="1">
        <f t="shared" si="1375"/>
        <v>1.16113005852449</v>
      </c>
      <c r="S414" s="1">
        <f t="shared" si="1375"/>
        <v>0.563955204835706</v>
      </c>
      <c r="T414" s="1">
        <f t="shared" si="1375"/>
        <v>3.57101807061375</v>
      </c>
      <c r="U414" s="1">
        <f t="shared" si="1375"/>
        <v>1</v>
      </c>
      <c r="V414" s="1">
        <f t="shared" si="1375"/>
        <v>1.43932041597702</v>
      </c>
      <c r="W414" s="1">
        <f t="shared" si="1375"/>
        <v>1.24789239772998</v>
      </c>
      <c r="X414" s="1">
        <f t="shared" si="1375"/>
        <v>2.2890404681959</v>
      </c>
      <c r="Y414" s="1">
        <f t="shared" si="1323"/>
        <v>9.75139748451726</v>
      </c>
      <c r="Z414" s="1">
        <f t="shared" si="1324"/>
        <v>19.8429036218231</v>
      </c>
      <c r="AA414" s="1">
        <f t="shared" si="1301"/>
        <v>2950921.4193515</v>
      </c>
      <c r="AB414" s="1">
        <f t="shared" si="1302"/>
        <v>72329.0706699058</v>
      </c>
      <c r="AC414" s="1">
        <f t="shared" si="1303"/>
        <v>48219.3804466038</v>
      </c>
      <c r="AD414" s="1">
        <f>AC414/(AC414+[1]战斗公式!$M$27)</f>
        <v>0.667679231646903</v>
      </c>
      <c r="AE414" s="1">
        <f t="shared" si="1304"/>
        <v>8879738.19384076</v>
      </c>
      <c r="AF414" s="1">
        <f t="shared" si="1305"/>
        <v>12.5898459752672</v>
      </c>
      <c r="AG414" s="1">
        <f t="shared" si="1306"/>
        <v>6.18702760006655</v>
      </c>
      <c r="AH414" s="1">
        <f t="shared" si="1307"/>
        <v>4.89708048795081</v>
      </c>
      <c r="AI414" s="1">
        <f t="shared" si="1308"/>
        <v>1.79743230124323</v>
      </c>
      <c r="AJ414" s="1">
        <f t="shared" si="1309"/>
        <v>1.00000000126642</v>
      </c>
      <c r="AK414" s="1">
        <f t="shared" si="1310"/>
        <v>1.00020418851253</v>
      </c>
      <c r="AL414" s="1">
        <f t="shared" si="1311"/>
        <v>0.935408950246823</v>
      </c>
      <c r="AM414" s="27">
        <f t="shared" si="1312"/>
        <v>2335677</v>
      </c>
      <c r="AN414" s="27">
        <f t="shared" si="1313"/>
        <v>130007</v>
      </c>
      <c r="AO414" s="27">
        <f t="shared" si="1314"/>
        <v>48219</v>
      </c>
      <c r="AP414" s="1">
        <f t="shared" si="1315"/>
        <v>1148056</v>
      </c>
      <c r="AQ414" s="1">
        <f t="shared" si="1316"/>
        <v>121610</v>
      </c>
      <c r="AR414"/>
      <c r="AS414" s="1">
        <f t="shared" ref="AS414:AY414" si="1376">ROUNDUP(AS$10*$AP414,0)</f>
        <v>1148056</v>
      </c>
      <c r="AT414" s="1">
        <f t="shared" si="1376"/>
        <v>3444168</v>
      </c>
      <c r="AU414" s="1">
        <f t="shared" si="1376"/>
        <v>2066501</v>
      </c>
      <c r="AV414" s="1">
        <f t="shared" si="1376"/>
        <v>574028</v>
      </c>
      <c r="AW414" s="1">
        <f t="shared" si="1376"/>
        <v>172209</v>
      </c>
      <c r="AX414" s="1">
        <f t="shared" si="1376"/>
        <v>4592224</v>
      </c>
      <c r="AY414" s="1">
        <f t="shared" si="1376"/>
        <v>10332504</v>
      </c>
      <c r="AZ414" s="1">
        <f t="shared" si="1318"/>
        <v>140140620</v>
      </c>
      <c r="BA414" s="1">
        <f t="shared" si="1319"/>
        <v>70070310</v>
      </c>
      <c r="BC414" s="1">
        <f t="shared" si="1320"/>
        <v>403</v>
      </c>
    </row>
    <row r="415" s="1" customFormat="1" spans="2:55">
      <c r="B415" s="4">
        <v>404</v>
      </c>
      <c r="C415" s="1">
        <f t="shared" ref="C415:I415" si="1377">C$5+(C$6-C$5)*(POWER(C$7,$B415-1)-1)/(POWER(C$7,$B$3-1)-1)</f>
        <v>31917.52809857</v>
      </c>
      <c r="D415" s="1">
        <f t="shared" si="1377"/>
        <v>9575.258429571</v>
      </c>
      <c r="E415" s="1">
        <f t="shared" si="1377"/>
        <v>6383.505619714</v>
      </c>
      <c r="F415" s="1">
        <f t="shared" si="1377"/>
        <v>117165.609475763</v>
      </c>
      <c r="G415" s="1">
        <f t="shared" si="1377"/>
        <v>35149.682842729</v>
      </c>
      <c r="H415" s="1">
        <f t="shared" si="1377"/>
        <v>23433.1218951526</v>
      </c>
      <c r="I415" s="1">
        <f t="shared" si="1377"/>
        <v>0</v>
      </c>
      <c r="J415" s="1">
        <f>[1]标准模型!$I$65/1*$B415/$B$3</f>
        <v>2.9088</v>
      </c>
      <c r="K415" s="1">
        <f>J415*[1]标准模型!$J$63</f>
        <v>2.9088</v>
      </c>
      <c r="L415" s="1">
        <f t="shared" si="1297"/>
        <v>149083.137574333</v>
      </c>
      <c r="M415" s="1">
        <f t="shared" si="1298"/>
        <v>72577.4529922361</v>
      </c>
      <c r="N415" s="1">
        <f t="shared" si="1299"/>
        <v>48384.9686614907</v>
      </c>
      <c r="O415" s="1">
        <f t="shared" ref="O415:X415" si="1378">O$5+(O$6-O$5)*(POWER(O$7,$B415-1)-1)/(POWER(O$7,$B$3-1)-1)</f>
        <v>0.903826997013901</v>
      </c>
      <c r="P415" s="1">
        <f t="shared" si="1378"/>
        <v>0.298212066204997</v>
      </c>
      <c r="Q415" s="1">
        <f t="shared" si="1378"/>
        <v>0.497104848357646</v>
      </c>
      <c r="R415" s="1">
        <f t="shared" si="1378"/>
        <v>1.16153079880556</v>
      </c>
      <c r="S415" s="1">
        <f t="shared" si="1378"/>
        <v>0.565357795819461</v>
      </c>
      <c r="T415" s="1">
        <f t="shared" si="1378"/>
        <v>3.57492528835421</v>
      </c>
      <c r="U415" s="1">
        <f t="shared" si="1378"/>
        <v>1</v>
      </c>
      <c r="V415" s="1">
        <f t="shared" si="1378"/>
        <v>1.4404130326408</v>
      </c>
      <c r="W415" s="1">
        <f t="shared" si="1378"/>
        <v>1.24850892123932</v>
      </c>
      <c r="X415" s="1">
        <f t="shared" si="1378"/>
        <v>2.29224639044448</v>
      </c>
      <c r="Y415" s="1">
        <f t="shared" si="1323"/>
        <v>9.81266864899807</v>
      </c>
      <c r="Z415" s="1">
        <f t="shared" si="1324"/>
        <v>19.9795525784147</v>
      </c>
      <c r="AA415" s="1">
        <f t="shared" si="1301"/>
        <v>2978614.38572142</v>
      </c>
      <c r="AB415" s="1">
        <f t="shared" si="1302"/>
        <v>72577.4529922361</v>
      </c>
      <c r="AC415" s="1">
        <f t="shared" si="1303"/>
        <v>48384.9686614907</v>
      </c>
      <c r="AD415" s="1">
        <f>AC415/(AC415+[1]战斗公式!$M$27)</f>
        <v>0.668439450292003</v>
      </c>
      <c r="AE415" s="1">
        <f t="shared" si="1304"/>
        <v>8983621.2068796</v>
      </c>
      <c r="AF415" s="1">
        <f t="shared" si="1305"/>
        <v>12.6142831286548</v>
      </c>
      <c r="AG415" s="1">
        <f t="shared" si="1306"/>
        <v>6.19532294831587</v>
      </c>
      <c r="AH415" s="1">
        <f t="shared" si="1307"/>
        <v>4.89857003852223</v>
      </c>
      <c r="AI415" s="1">
        <f t="shared" si="1308"/>
        <v>1.80213224653349</v>
      </c>
      <c r="AJ415" s="1">
        <f t="shared" si="1309"/>
        <v>1.00000000120266</v>
      </c>
      <c r="AK415" s="1">
        <f t="shared" si="1310"/>
        <v>1.00019943493489</v>
      </c>
      <c r="AL415" s="1">
        <f t="shared" si="1311"/>
        <v>0.935582095859442</v>
      </c>
      <c r="AM415" s="27">
        <f t="shared" si="1312"/>
        <v>2355156</v>
      </c>
      <c r="AN415" s="27">
        <f t="shared" si="1313"/>
        <v>130794</v>
      </c>
      <c r="AO415" s="27">
        <f t="shared" si="1314"/>
        <v>48385</v>
      </c>
      <c r="AP415" s="1">
        <f t="shared" si="1315"/>
        <v>1156931</v>
      </c>
      <c r="AQ415" s="1">
        <f t="shared" si="1316"/>
        <v>122369</v>
      </c>
      <c r="AR415"/>
      <c r="AS415" s="1">
        <f t="shared" ref="AS415:AY415" si="1379">ROUNDUP(AS$10*$AP415,0)</f>
        <v>1156931</v>
      </c>
      <c r="AT415" s="1">
        <f t="shared" si="1379"/>
        <v>3470793</v>
      </c>
      <c r="AU415" s="1">
        <f t="shared" si="1379"/>
        <v>2082476</v>
      </c>
      <c r="AV415" s="1">
        <f t="shared" si="1379"/>
        <v>578466</v>
      </c>
      <c r="AW415" s="1">
        <f t="shared" si="1379"/>
        <v>173540</v>
      </c>
      <c r="AX415" s="1">
        <f t="shared" si="1379"/>
        <v>4627724</v>
      </c>
      <c r="AY415" s="1">
        <f t="shared" si="1379"/>
        <v>10412379</v>
      </c>
      <c r="AZ415" s="1">
        <f t="shared" si="1318"/>
        <v>141309360</v>
      </c>
      <c r="BA415" s="1">
        <f t="shared" si="1319"/>
        <v>70654680</v>
      </c>
      <c r="BC415" s="1">
        <f t="shared" si="1320"/>
        <v>404</v>
      </c>
    </row>
    <row r="416" s="1" customFormat="1" spans="2:55">
      <c r="B416" s="4">
        <v>405</v>
      </c>
      <c r="C416" s="1">
        <f t="shared" ref="C416:I416" si="1380">C$5+(C$6-C$5)*(POWER(C$7,$B416-1)-1)/(POWER(C$7,$B$3-1)-1)</f>
        <v>31996.5159326793</v>
      </c>
      <c r="D416" s="1">
        <f t="shared" si="1380"/>
        <v>9598.95477980378</v>
      </c>
      <c r="E416" s="1">
        <f t="shared" si="1380"/>
        <v>6399.30318653585</v>
      </c>
      <c r="F416" s="1">
        <f t="shared" si="1380"/>
        <v>117455.564816164</v>
      </c>
      <c r="G416" s="1">
        <f t="shared" si="1380"/>
        <v>35236.6694448493</v>
      </c>
      <c r="H416" s="1">
        <f t="shared" si="1380"/>
        <v>23491.1129632329</v>
      </c>
      <c r="I416" s="1">
        <f t="shared" si="1380"/>
        <v>0</v>
      </c>
      <c r="J416" s="1">
        <f>[1]标准模型!$I$65/1*$B416/$B$3</f>
        <v>2.916</v>
      </c>
      <c r="K416" s="1">
        <f>J416*[1]标准模型!$J$63</f>
        <v>2.916</v>
      </c>
      <c r="L416" s="1">
        <f t="shared" si="1297"/>
        <v>149452.080748843</v>
      </c>
      <c r="M416" s="1">
        <f t="shared" si="1298"/>
        <v>72826.1763625609</v>
      </c>
      <c r="N416" s="1">
        <f t="shared" si="1299"/>
        <v>48550.7842417073</v>
      </c>
      <c r="O416" s="1">
        <f t="shared" ref="O416:X416" si="1381">O$5+(O$6-O$5)*(POWER(O$7,$B416-1)-1)/(POWER(O$7,$B$3-1)-1)</f>
        <v>0.904828846714686</v>
      </c>
      <c r="P416" s="1">
        <f t="shared" si="1381"/>
        <v>0.299198641429834</v>
      </c>
      <c r="Q416" s="1">
        <f t="shared" si="1381"/>
        <v>0.497655865693077</v>
      </c>
      <c r="R416" s="1">
        <f t="shared" si="1381"/>
        <v>1.16193153868587</v>
      </c>
      <c r="S416" s="1">
        <f t="shared" si="1381"/>
        <v>0.56676038540056</v>
      </c>
      <c r="T416" s="1">
        <f t="shared" si="1381"/>
        <v>3.57883250218727</v>
      </c>
      <c r="U416" s="1">
        <f t="shared" si="1381"/>
        <v>1</v>
      </c>
      <c r="V416" s="1">
        <f t="shared" si="1381"/>
        <v>1.44150564821191</v>
      </c>
      <c r="W416" s="1">
        <f t="shared" si="1381"/>
        <v>1.24912544413211</v>
      </c>
      <c r="X416" s="1">
        <f t="shared" si="1381"/>
        <v>2.295452309487</v>
      </c>
      <c r="Y416" s="1">
        <f t="shared" si="1323"/>
        <v>9.87427558653055</v>
      </c>
      <c r="Z416" s="1">
        <f t="shared" si="1324"/>
        <v>20.1170335825185</v>
      </c>
      <c r="AA416" s="1">
        <f t="shared" si="1301"/>
        <v>3006532.52740175</v>
      </c>
      <c r="AB416" s="1">
        <f t="shared" si="1302"/>
        <v>72826.1763625609</v>
      </c>
      <c r="AC416" s="1">
        <f t="shared" si="1303"/>
        <v>48550.7842417073</v>
      </c>
      <c r="AD416" s="1">
        <f>AC416/(AC416+[1]战斗公式!$M$27)</f>
        <v>0.66919723541454</v>
      </c>
      <c r="AE416" s="1">
        <f t="shared" si="1304"/>
        <v>9088595.5296333</v>
      </c>
      <c r="AF416" s="1">
        <f t="shared" si="1305"/>
        <v>12.6387471038932</v>
      </c>
      <c r="AG416" s="1">
        <f t="shared" si="1306"/>
        <v>6.20362199329205</v>
      </c>
      <c r="AH416" s="1">
        <f t="shared" si="1307"/>
        <v>4.90004841746436</v>
      </c>
      <c r="AI416" s="1">
        <f t="shared" si="1308"/>
        <v>1.80684159171433</v>
      </c>
      <c r="AJ416" s="1">
        <f t="shared" si="1309"/>
        <v>1.00000000114209</v>
      </c>
      <c r="AK416" s="1">
        <f t="shared" si="1310"/>
        <v>1.0001947764288</v>
      </c>
      <c r="AL416" s="1">
        <f t="shared" si="1311"/>
        <v>0.935754722035223</v>
      </c>
      <c r="AM416" s="27">
        <f t="shared" si="1312"/>
        <v>2374767</v>
      </c>
      <c r="AN416" s="27">
        <f t="shared" si="1313"/>
        <v>131585</v>
      </c>
      <c r="AO416" s="27">
        <f t="shared" si="1314"/>
        <v>48551</v>
      </c>
      <c r="AP416" s="1">
        <f t="shared" si="1315"/>
        <v>1165861</v>
      </c>
      <c r="AQ416" s="1">
        <f t="shared" si="1316"/>
        <v>123131</v>
      </c>
      <c r="AR416"/>
      <c r="AS416" s="1">
        <f t="shared" ref="AS416:AY416" si="1382">ROUNDUP(AS$10*$AP416,0)</f>
        <v>1165861</v>
      </c>
      <c r="AT416" s="1">
        <f t="shared" si="1382"/>
        <v>3497583</v>
      </c>
      <c r="AU416" s="1">
        <f t="shared" si="1382"/>
        <v>2098550</v>
      </c>
      <c r="AV416" s="1">
        <f t="shared" si="1382"/>
        <v>582931</v>
      </c>
      <c r="AW416" s="1">
        <f t="shared" si="1382"/>
        <v>174880</v>
      </c>
      <c r="AX416" s="1">
        <f t="shared" si="1382"/>
        <v>4663444</v>
      </c>
      <c r="AY416" s="1">
        <f t="shared" si="1382"/>
        <v>10492749</v>
      </c>
      <c r="AZ416" s="1">
        <f t="shared" si="1318"/>
        <v>142486020</v>
      </c>
      <c r="BA416" s="1">
        <f t="shared" si="1319"/>
        <v>71243010</v>
      </c>
      <c r="BC416" s="1">
        <f t="shared" si="1320"/>
        <v>405</v>
      </c>
    </row>
    <row r="417" s="1" customFormat="1" spans="2:55">
      <c r="B417" s="4">
        <v>406</v>
      </c>
      <c r="C417" s="1">
        <f t="shared" ref="C417:I417" si="1383">C$5+(C$6-C$5)*(POWER(C$7,$B417-1)-1)/(POWER(C$7,$B$3-1)-1)</f>
        <v>32075.5036877969</v>
      </c>
      <c r="D417" s="1">
        <f t="shared" si="1383"/>
        <v>9622.65110633908</v>
      </c>
      <c r="E417" s="1">
        <f t="shared" si="1383"/>
        <v>6415.10073755939</v>
      </c>
      <c r="F417" s="1">
        <f t="shared" si="1383"/>
        <v>117745.519866596</v>
      </c>
      <c r="G417" s="1">
        <f t="shared" si="1383"/>
        <v>35323.6559599789</v>
      </c>
      <c r="H417" s="1">
        <f t="shared" si="1383"/>
        <v>23549.1039733193</v>
      </c>
      <c r="I417" s="1">
        <f t="shared" si="1383"/>
        <v>0</v>
      </c>
      <c r="J417" s="1">
        <f>[1]标准模型!$I$65/1*$B417/$B$3</f>
        <v>2.9232</v>
      </c>
      <c r="K417" s="1">
        <f>J417*[1]标准模型!$J$63</f>
        <v>2.9232</v>
      </c>
      <c r="L417" s="1">
        <f t="shared" si="1297"/>
        <v>149821.023554393</v>
      </c>
      <c r="M417" s="1">
        <f t="shared" si="1298"/>
        <v>73075.2407803684</v>
      </c>
      <c r="N417" s="1">
        <f t="shared" si="1299"/>
        <v>48716.8271869123</v>
      </c>
      <c r="O417" s="1">
        <f t="shared" ref="O417:X417" si="1384">O$5+(O$6-O$5)*(POWER(O$7,$B417-1)-1)/(POWER(O$7,$B$3-1)-1)</f>
        <v>0.905830695413573</v>
      </c>
      <c r="P417" s="1">
        <f t="shared" si="1384"/>
        <v>0.300186696517509</v>
      </c>
      <c r="Q417" s="1">
        <f t="shared" si="1384"/>
        <v>0.498206882477465</v>
      </c>
      <c r="R417" s="1">
        <f t="shared" si="1384"/>
        <v>1.16233227816543</v>
      </c>
      <c r="S417" s="1">
        <f t="shared" si="1384"/>
        <v>0.568162973579003</v>
      </c>
      <c r="T417" s="1">
        <f t="shared" si="1384"/>
        <v>3.58273971211294</v>
      </c>
      <c r="U417" s="1">
        <f t="shared" si="1384"/>
        <v>1</v>
      </c>
      <c r="V417" s="1">
        <f t="shared" si="1384"/>
        <v>1.44259826269036</v>
      </c>
      <c r="W417" s="1">
        <f t="shared" si="1384"/>
        <v>1.24974196640835</v>
      </c>
      <c r="X417" s="1">
        <f t="shared" si="1384"/>
        <v>2.29865822532343</v>
      </c>
      <c r="Y417" s="1">
        <f t="shared" si="1323"/>
        <v>9.93621984378419</v>
      </c>
      <c r="Z417" s="1">
        <f t="shared" si="1324"/>
        <v>20.2553509793481</v>
      </c>
      <c r="AA417" s="1">
        <f t="shared" si="1301"/>
        <v>3034677.41617941</v>
      </c>
      <c r="AB417" s="1">
        <f t="shared" si="1302"/>
        <v>73075.2407803684</v>
      </c>
      <c r="AC417" s="1">
        <f t="shared" si="1303"/>
        <v>48716.8271869123</v>
      </c>
      <c r="AD417" s="1">
        <f>AC417/(AC417+[1]战斗公式!$M$27)</f>
        <v>0.669952596552238</v>
      </c>
      <c r="AE417" s="1">
        <f t="shared" si="1304"/>
        <v>9194671.38501432</v>
      </c>
      <c r="AF417" s="1">
        <f t="shared" si="1305"/>
        <v>12.6632378841499</v>
      </c>
      <c r="AG417" s="1">
        <f t="shared" si="1306"/>
        <v>6.21192472445122</v>
      </c>
      <c r="AH417" s="1">
        <f t="shared" si="1307"/>
        <v>4.90151570856443</v>
      </c>
      <c r="AI417" s="1">
        <f t="shared" si="1308"/>
        <v>1.81156035558554</v>
      </c>
      <c r="AJ417" s="1">
        <f t="shared" si="1309"/>
        <v>1.00000000108454</v>
      </c>
      <c r="AK417" s="1">
        <f t="shared" si="1310"/>
        <v>1.00019021109284</v>
      </c>
      <c r="AL417" s="1">
        <f t="shared" si="1311"/>
        <v>0.935926830332477</v>
      </c>
      <c r="AM417" s="27">
        <f t="shared" si="1312"/>
        <v>2394511</v>
      </c>
      <c r="AN417" s="27">
        <f t="shared" si="1313"/>
        <v>132380</v>
      </c>
      <c r="AO417" s="27">
        <f t="shared" si="1314"/>
        <v>48717</v>
      </c>
      <c r="AP417" s="1">
        <f t="shared" si="1315"/>
        <v>1174846</v>
      </c>
      <c r="AQ417" s="1">
        <f t="shared" si="1316"/>
        <v>123898</v>
      </c>
      <c r="AR417"/>
      <c r="AS417" s="1">
        <f t="shared" ref="AS417:AY417" si="1385">ROUNDUP(AS$10*$AP417,0)</f>
        <v>1174846</v>
      </c>
      <c r="AT417" s="1">
        <f t="shared" si="1385"/>
        <v>3524538</v>
      </c>
      <c r="AU417" s="1">
        <f t="shared" si="1385"/>
        <v>2114723</v>
      </c>
      <c r="AV417" s="1">
        <f t="shared" si="1385"/>
        <v>587423</v>
      </c>
      <c r="AW417" s="1">
        <f t="shared" si="1385"/>
        <v>176227</v>
      </c>
      <c r="AX417" s="1">
        <f t="shared" si="1385"/>
        <v>4699384</v>
      </c>
      <c r="AY417" s="1">
        <f t="shared" si="1385"/>
        <v>10573614</v>
      </c>
      <c r="AZ417" s="1">
        <f t="shared" si="1318"/>
        <v>143670660</v>
      </c>
      <c r="BA417" s="1">
        <f t="shared" si="1319"/>
        <v>71835330</v>
      </c>
      <c r="BC417" s="1">
        <f t="shared" si="1320"/>
        <v>406</v>
      </c>
    </row>
    <row r="418" s="1" customFormat="1" spans="2:55">
      <c r="B418" s="4">
        <v>407</v>
      </c>
      <c r="C418" s="1">
        <f t="shared" ref="C418:I418" si="1386">C$5+(C$6-C$5)*(POWER(C$7,$B418-1)-1)/(POWER(C$7,$B$3-1)-1)</f>
        <v>32154.4913639318</v>
      </c>
      <c r="D418" s="1">
        <f t="shared" si="1386"/>
        <v>9646.34740917954</v>
      </c>
      <c r="E418" s="1">
        <f t="shared" si="1386"/>
        <v>6430.89827278636</v>
      </c>
      <c r="F418" s="1">
        <f t="shared" si="1386"/>
        <v>118035.474627091</v>
      </c>
      <c r="G418" s="1">
        <f t="shared" si="1386"/>
        <v>35410.6423881274</v>
      </c>
      <c r="H418" s="1">
        <f t="shared" si="1386"/>
        <v>23607.0949254183</v>
      </c>
      <c r="I418" s="1">
        <f t="shared" si="1386"/>
        <v>0</v>
      </c>
      <c r="J418" s="1">
        <f>[1]标准模型!$I$65/1*$B418/$B$3</f>
        <v>2.9304</v>
      </c>
      <c r="K418" s="1">
        <f>J418*[1]标准模型!$J$63</f>
        <v>2.9304</v>
      </c>
      <c r="L418" s="1">
        <f t="shared" si="1297"/>
        <v>150189.965991023</v>
      </c>
      <c r="M418" s="1">
        <f t="shared" si="1298"/>
        <v>73324.6462451667</v>
      </c>
      <c r="N418" s="1">
        <f t="shared" si="1299"/>
        <v>48883.0974967778</v>
      </c>
      <c r="O418" s="1">
        <f t="shared" ref="O418:X418" si="1387">O$5+(O$6-O$5)*(POWER(O$7,$B418-1)-1)/(POWER(O$7,$B$3-1)-1)</f>
        <v>0.906832543110674</v>
      </c>
      <c r="P418" s="1">
        <f t="shared" si="1387"/>
        <v>0.301176233687815</v>
      </c>
      <c r="Q418" s="1">
        <f t="shared" si="1387"/>
        <v>0.498757898710871</v>
      </c>
      <c r="R418" s="1">
        <f t="shared" si="1387"/>
        <v>1.16273301724427</v>
      </c>
      <c r="S418" s="1">
        <f t="shared" si="1387"/>
        <v>0.569565560354944</v>
      </c>
      <c r="T418" s="1">
        <f t="shared" si="1387"/>
        <v>3.58664691813163</v>
      </c>
      <c r="U418" s="1">
        <f t="shared" si="1387"/>
        <v>1</v>
      </c>
      <c r="V418" s="1">
        <f t="shared" si="1387"/>
        <v>1.44369087607626</v>
      </c>
      <c r="W418" s="1">
        <f t="shared" si="1387"/>
        <v>1.25035848806811</v>
      </c>
      <c r="X418" s="1">
        <f t="shared" si="1387"/>
        <v>2.30186413795416</v>
      </c>
      <c r="Y418" s="1">
        <f t="shared" si="1323"/>
        <v>9.99850297320621</v>
      </c>
      <c r="Z418" s="1">
        <f t="shared" si="1324"/>
        <v>20.3945091329765</v>
      </c>
      <c r="AA418" s="1">
        <f t="shared" si="1301"/>
        <v>3063050.63308534</v>
      </c>
      <c r="AB418" s="1">
        <f t="shared" si="1302"/>
        <v>73324.6462451667</v>
      </c>
      <c r="AC418" s="1">
        <f t="shared" si="1303"/>
        <v>48883.0974967778</v>
      </c>
      <c r="AD418" s="1">
        <f>AC418/(AC418+[1]战斗公式!$M$27)</f>
        <v>0.670705543201412</v>
      </c>
      <c r="AE418" s="1">
        <f t="shared" si="1304"/>
        <v>9301859.08036358</v>
      </c>
      <c r="AF418" s="1">
        <f t="shared" si="1305"/>
        <v>12.6877554526198</v>
      </c>
      <c r="AG418" s="1">
        <f t="shared" si="1306"/>
        <v>6.22023113129066</v>
      </c>
      <c r="AH418" s="1">
        <f t="shared" si="1307"/>
        <v>4.90297199498125</v>
      </c>
      <c r="AI418" s="1">
        <f t="shared" si="1308"/>
        <v>1.81628855698448</v>
      </c>
      <c r="AJ418" s="1">
        <f t="shared" si="1309"/>
        <v>1.00000000102987</v>
      </c>
      <c r="AK418" s="1">
        <f t="shared" si="1310"/>
        <v>1.00018573706359</v>
      </c>
      <c r="AL418" s="1">
        <f t="shared" si="1311"/>
        <v>0.93609842230484</v>
      </c>
      <c r="AM418" s="27">
        <f t="shared" si="1312"/>
        <v>2414388</v>
      </c>
      <c r="AN418" s="27">
        <f t="shared" si="1313"/>
        <v>133179</v>
      </c>
      <c r="AO418" s="27">
        <f t="shared" si="1314"/>
        <v>48883</v>
      </c>
      <c r="AP418" s="1">
        <f t="shared" si="1315"/>
        <v>1183885</v>
      </c>
      <c r="AQ418" s="1">
        <f t="shared" si="1316"/>
        <v>124669</v>
      </c>
      <c r="AR418"/>
      <c r="AS418" s="1">
        <f t="shared" ref="AS418:AY418" si="1388">ROUNDUP(AS$10*$AP418,0)</f>
        <v>1183885</v>
      </c>
      <c r="AT418" s="1">
        <f t="shared" si="1388"/>
        <v>3551655</v>
      </c>
      <c r="AU418" s="1">
        <f t="shared" si="1388"/>
        <v>2130993</v>
      </c>
      <c r="AV418" s="1">
        <f t="shared" si="1388"/>
        <v>591943</v>
      </c>
      <c r="AW418" s="1">
        <f t="shared" si="1388"/>
        <v>177583</v>
      </c>
      <c r="AX418" s="1">
        <f t="shared" si="1388"/>
        <v>4735540</v>
      </c>
      <c r="AY418" s="1">
        <f t="shared" si="1388"/>
        <v>10654965</v>
      </c>
      <c r="AZ418" s="1">
        <f t="shared" si="1318"/>
        <v>144863280</v>
      </c>
      <c r="BA418" s="1">
        <f t="shared" si="1319"/>
        <v>72431640</v>
      </c>
      <c r="BC418" s="1">
        <f t="shared" si="1320"/>
        <v>407</v>
      </c>
    </row>
    <row r="419" s="1" customFormat="1" spans="2:55">
      <c r="B419" s="4">
        <v>408</v>
      </c>
      <c r="C419" s="1">
        <f t="shared" ref="C419:I419" si="1389">C$5+(C$6-C$5)*(POWER(C$7,$B419-1)-1)/(POWER(C$7,$B$3-1)-1)</f>
        <v>32233.4789610838</v>
      </c>
      <c r="D419" s="1">
        <f t="shared" si="1389"/>
        <v>9670.04368832514</v>
      </c>
      <c r="E419" s="1">
        <f t="shared" si="1389"/>
        <v>6446.69579221676</v>
      </c>
      <c r="F419" s="1">
        <f t="shared" si="1389"/>
        <v>118325.429097649</v>
      </c>
      <c r="G419" s="1">
        <f t="shared" si="1389"/>
        <v>35497.6287292948</v>
      </c>
      <c r="H419" s="1">
        <f t="shared" si="1389"/>
        <v>23665.0858195299</v>
      </c>
      <c r="I419" s="1">
        <f t="shared" si="1389"/>
        <v>0</v>
      </c>
      <c r="J419" s="1">
        <f>[1]标准模型!$I$65/1*$B419/$B$3</f>
        <v>2.9376</v>
      </c>
      <c r="K419" s="1">
        <f>J419*[1]标准模型!$J$63</f>
        <v>2.9376</v>
      </c>
      <c r="L419" s="1">
        <f t="shared" si="1297"/>
        <v>150558.908058733</v>
      </c>
      <c r="M419" s="1">
        <f t="shared" si="1298"/>
        <v>73574.3927564439</v>
      </c>
      <c r="N419" s="1">
        <f t="shared" si="1299"/>
        <v>49049.5951709626</v>
      </c>
      <c r="O419" s="1">
        <f t="shared" ref="O419:X419" si="1390">O$5+(O$6-O$5)*(POWER(O$7,$B419-1)-1)/(POWER(O$7,$B$3-1)-1)</f>
        <v>0.907834389805989</v>
      </c>
      <c r="P419" s="1">
        <f t="shared" si="1390"/>
        <v>0.302167255163876</v>
      </c>
      <c r="Q419" s="1">
        <f t="shared" si="1390"/>
        <v>0.499308914393294</v>
      </c>
      <c r="R419" s="1">
        <f t="shared" si="1390"/>
        <v>1.1631337559224</v>
      </c>
      <c r="S419" s="1">
        <f t="shared" si="1390"/>
        <v>0.570968145728385</v>
      </c>
      <c r="T419" s="1">
        <f t="shared" si="1390"/>
        <v>3.59055412024336</v>
      </c>
      <c r="U419" s="1">
        <f t="shared" si="1390"/>
        <v>1</v>
      </c>
      <c r="V419" s="1">
        <f t="shared" si="1390"/>
        <v>1.44478348836961</v>
      </c>
      <c r="W419" s="1">
        <f t="shared" si="1390"/>
        <v>1.25097500911138</v>
      </c>
      <c r="X419" s="1">
        <f t="shared" si="1390"/>
        <v>2.30507004737917</v>
      </c>
      <c r="Y419" s="1">
        <f t="shared" si="1323"/>
        <v>10.0611265330272</v>
      </c>
      <c r="Z419" s="1">
        <f t="shared" si="1324"/>
        <v>20.5345124263747</v>
      </c>
      <c r="AA419" s="1">
        <f t="shared" si="1301"/>
        <v>3091653.76843345</v>
      </c>
      <c r="AB419" s="1">
        <f t="shared" si="1302"/>
        <v>73574.3927564439</v>
      </c>
      <c r="AC419" s="1">
        <f t="shared" si="1303"/>
        <v>49049.5951709626</v>
      </c>
      <c r="AD419" s="1">
        <f>AC419/(AC419+[1]战斗公式!$M$27)</f>
        <v>0.671456084817017</v>
      </c>
      <c r="AE419" s="1">
        <f t="shared" si="1304"/>
        <v>9410169.00803519</v>
      </c>
      <c r="AF419" s="1">
        <f t="shared" si="1305"/>
        <v>12.7122997925182</v>
      </c>
      <c r="AG419" s="1">
        <f t="shared" si="1306"/>
        <v>6.22854120334626</v>
      </c>
      <c r="AH419" s="1">
        <f t="shared" si="1307"/>
        <v>4.90441735924995</v>
      </c>
      <c r="AI419" s="1">
        <f t="shared" si="1308"/>
        <v>1.82102621478622</v>
      </c>
      <c r="AJ419" s="1">
        <f t="shared" si="1309"/>
        <v>1.00000000097794</v>
      </c>
      <c r="AK419" s="1">
        <f t="shared" si="1310"/>
        <v>1.00018135251493</v>
      </c>
      <c r="AL419" s="1">
        <f t="shared" si="1311"/>
        <v>0.936269499501285</v>
      </c>
      <c r="AM419" s="27">
        <f t="shared" si="1312"/>
        <v>2434400</v>
      </c>
      <c r="AN419" s="27">
        <f t="shared" si="1313"/>
        <v>133981</v>
      </c>
      <c r="AO419" s="27">
        <f t="shared" si="1314"/>
        <v>49050</v>
      </c>
      <c r="AP419" s="1">
        <f t="shared" si="1315"/>
        <v>1192979</v>
      </c>
      <c r="AQ419" s="1">
        <f t="shared" si="1316"/>
        <v>125442</v>
      </c>
      <c r="AR419"/>
      <c r="AS419" s="1">
        <f t="shared" ref="AS419:AY419" si="1391">ROUNDUP(AS$10*$AP419,0)</f>
        <v>1192979</v>
      </c>
      <c r="AT419" s="1">
        <f t="shared" si="1391"/>
        <v>3578937</v>
      </c>
      <c r="AU419" s="1">
        <f t="shared" si="1391"/>
        <v>2147363</v>
      </c>
      <c r="AV419" s="1">
        <f t="shared" si="1391"/>
        <v>596490</v>
      </c>
      <c r="AW419" s="1">
        <f t="shared" si="1391"/>
        <v>178947</v>
      </c>
      <c r="AX419" s="1">
        <f t="shared" si="1391"/>
        <v>4771916</v>
      </c>
      <c r="AY419" s="1">
        <f t="shared" si="1391"/>
        <v>10736811</v>
      </c>
      <c r="AZ419" s="1">
        <f t="shared" si="1318"/>
        <v>146064000</v>
      </c>
      <c r="BA419" s="1">
        <f t="shared" si="1319"/>
        <v>73032000</v>
      </c>
      <c r="BC419" s="1">
        <f t="shared" si="1320"/>
        <v>408</v>
      </c>
    </row>
    <row r="420" s="1" customFormat="1" spans="2:55">
      <c r="B420" s="4">
        <v>409</v>
      </c>
      <c r="C420" s="1">
        <f t="shared" ref="C420:I420" si="1392">C$5+(C$6-C$5)*(POWER(C$7,$B420-1)-1)/(POWER(C$7,$B$3-1)-1)</f>
        <v>32312.4664792442</v>
      </c>
      <c r="D420" s="1">
        <f t="shared" si="1392"/>
        <v>9693.73994377326</v>
      </c>
      <c r="E420" s="1">
        <f t="shared" si="1392"/>
        <v>6462.49329584884</v>
      </c>
      <c r="F420" s="1">
        <f t="shared" si="1392"/>
        <v>118615.383278238</v>
      </c>
      <c r="G420" s="1">
        <f t="shared" si="1392"/>
        <v>35584.6149834715</v>
      </c>
      <c r="H420" s="1">
        <f t="shared" si="1392"/>
        <v>23723.0766556476</v>
      </c>
      <c r="I420" s="1">
        <f t="shared" si="1392"/>
        <v>0</v>
      </c>
      <c r="J420" s="1">
        <f>[1]标准模型!$I$65/1*$B420/$B$3</f>
        <v>2.9448</v>
      </c>
      <c r="K420" s="1">
        <f>J420*[1]标准模型!$J$63</f>
        <v>2.9448</v>
      </c>
      <c r="L420" s="1">
        <f t="shared" si="1297"/>
        <v>150927.849757482</v>
      </c>
      <c r="M420" s="1">
        <f t="shared" si="1298"/>
        <v>73824.4803136683</v>
      </c>
      <c r="N420" s="1">
        <f t="shared" si="1299"/>
        <v>49216.3202091121</v>
      </c>
      <c r="O420" s="1">
        <f t="shared" ref="O420:X420" si="1393">O$5+(O$6-O$5)*(POWER(O$7,$B420-1)-1)/(POWER(O$7,$B$3-1)-1)</f>
        <v>0.908836235499406</v>
      </c>
      <c r="P420" s="1">
        <f t="shared" si="1393"/>
        <v>0.303159763172152</v>
      </c>
      <c r="Q420" s="1">
        <f t="shared" si="1393"/>
        <v>0.499859929524674</v>
      </c>
      <c r="R420" s="1">
        <f t="shared" si="1393"/>
        <v>1.16353449419976</v>
      </c>
      <c r="S420" s="1">
        <f t="shared" si="1393"/>
        <v>0.572370729699169</v>
      </c>
      <c r="T420" s="1">
        <f t="shared" si="1393"/>
        <v>3.59446131844768</v>
      </c>
      <c r="U420" s="1">
        <f t="shared" si="1393"/>
        <v>1</v>
      </c>
      <c r="V420" s="1">
        <f t="shared" si="1393"/>
        <v>1.44587609957029</v>
      </c>
      <c r="W420" s="1">
        <f t="shared" si="1393"/>
        <v>1.2515915295381</v>
      </c>
      <c r="X420" s="1">
        <f t="shared" si="1393"/>
        <v>2.3082759535981</v>
      </c>
      <c r="Y420" s="1">
        <f t="shared" si="1323"/>
        <v>10.1240920872784</v>
      </c>
      <c r="Z420" s="1">
        <f t="shared" si="1324"/>
        <v>20.6753652614786</v>
      </c>
      <c r="AA420" s="1">
        <f t="shared" si="1301"/>
        <v>3120488.42186551</v>
      </c>
      <c r="AB420" s="1">
        <f t="shared" si="1302"/>
        <v>73824.4803136683</v>
      </c>
      <c r="AC420" s="1">
        <f t="shared" si="1303"/>
        <v>49216.3202091121</v>
      </c>
      <c r="AD420" s="1">
        <f>AC420/(AC420+[1]战斗公式!$M$27)</f>
        <v>0.672204230812831</v>
      </c>
      <c r="AE420" s="1">
        <f t="shared" si="1304"/>
        <v>9519611.6460055</v>
      </c>
      <c r="AF420" s="1">
        <f t="shared" si="1305"/>
        <v>12.7368708870807</v>
      </c>
      <c r="AG420" s="1">
        <f t="shared" si="1306"/>
        <v>6.23685493019236</v>
      </c>
      <c r="AH420" s="1">
        <f t="shared" si="1307"/>
        <v>4.90585188328662</v>
      </c>
      <c r="AI420" s="1">
        <f t="shared" si="1308"/>
        <v>1.82577334790357</v>
      </c>
      <c r="AJ420" s="1">
        <f t="shared" si="1309"/>
        <v>1.0000000009286</v>
      </c>
      <c r="AK420" s="1">
        <f t="shared" si="1310"/>
        <v>1.00017705565725</v>
      </c>
      <c r="AL420" s="1">
        <f t="shared" si="1311"/>
        <v>0.936440063466141</v>
      </c>
      <c r="AM420" s="27">
        <f t="shared" si="1312"/>
        <v>2454547</v>
      </c>
      <c r="AN420" s="27">
        <f t="shared" si="1313"/>
        <v>134787</v>
      </c>
      <c r="AO420" s="27">
        <f t="shared" si="1314"/>
        <v>49216</v>
      </c>
      <c r="AP420" s="1">
        <f t="shared" si="1315"/>
        <v>1202129</v>
      </c>
      <c r="AQ420" s="1">
        <f t="shared" si="1316"/>
        <v>126220</v>
      </c>
      <c r="AR420"/>
      <c r="AS420" s="1">
        <f t="shared" ref="AS420:AY420" si="1394">ROUNDUP(AS$10*$AP420,0)</f>
        <v>1202129</v>
      </c>
      <c r="AT420" s="1">
        <f t="shared" si="1394"/>
        <v>3606387</v>
      </c>
      <c r="AU420" s="1">
        <f t="shared" si="1394"/>
        <v>2163833</v>
      </c>
      <c r="AV420" s="1">
        <f t="shared" si="1394"/>
        <v>601065</v>
      </c>
      <c r="AW420" s="1">
        <f t="shared" si="1394"/>
        <v>180320</v>
      </c>
      <c r="AX420" s="1">
        <f t="shared" si="1394"/>
        <v>4808516</v>
      </c>
      <c r="AY420" s="1">
        <f t="shared" si="1394"/>
        <v>10819161</v>
      </c>
      <c r="AZ420" s="1">
        <f t="shared" si="1318"/>
        <v>147272820</v>
      </c>
      <c r="BA420" s="1">
        <f t="shared" si="1319"/>
        <v>73636410</v>
      </c>
      <c r="BC420" s="1">
        <f t="shared" si="1320"/>
        <v>409</v>
      </c>
    </row>
    <row r="421" s="1" customFormat="1" spans="2:55">
      <c r="B421" s="4">
        <v>410</v>
      </c>
      <c r="C421" s="1">
        <f t="shared" ref="C421:I421" si="1395">C$5+(C$6-C$5)*(POWER(C$7,$B421-1)-1)/(POWER(C$7,$B$3-1)-1)</f>
        <v>32391.453918413</v>
      </c>
      <c r="D421" s="1">
        <f t="shared" si="1395"/>
        <v>9717.4361755239</v>
      </c>
      <c r="E421" s="1">
        <f t="shared" si="1395"/>
        <v>6478.2907836826</v>
      </c>
      <c r="F421" s="1">
        <f t="shared" si="1395"/>
        <v>118905.337168858</v>
      </c>
      <c r="G421" s="1">
        <f t="shared" si="1395"/>
        <v>35671.6011506574</v>
      </c>
      <c r="H421" s="1">
        <f t="shared" si="1395"/>
        <v>23781.0674337716</v>
      </c>
      <c r="I421" s="1">
        <f t="shared" si="1395"/>
        <v>0</v>
      </c>
      <c r="J421" s="1">
        <f>[1]标准模型!$I$65/1*$B421/$B$3</f>
        <v>2.952</v>
      </c>
      <c r="K421" s="1">
        <f>J421*[1]标准模型!$J$63</f>
        <v>2.952</v>
      </c>
      <c r="L421" s="1">
        <f t="shared" si="1297"/>
        <v>151296.791087271</v>
      </c>
      <c r="M421" s="1">
        <f t="shared" si="1298"/>
        <v>74074.9089163279</v>
      </c>
      <c r="N421" s="1">
        <f t="shared" si="1299"/>
        <v>49383.2726108852</v>
      </c>
      <c r="O421" s="1">
        <f t="shared" ref="O421:X421" si="1396">O$5+(O$6-O$5)*(POWER(O$7,$B421-1)-1)/(POWER(O$7,$B$3-1)-1)</f>
        <v>0.909838080190926</v>
      </c>
      <c r="P421" s="1">
        <f t="shared" si="1396"/>
        <v>0.304153759942439</v>
      </c>
      <c r="Q421" s="1">
        <f t="shared" si="1396"/>
        <v>0.500410944105009</v>
      </c>
      <c r="R421" s="1">
        <f t="shared" si="1396"/>
        <v>1.16393523207637</v>
      </c>
      <c r="S421" s="1">
        <f t="shared" si="1396"/>
        <v>0.573773312267297</v>
      </c>
      <c r="T421" s="1">
        <f t="shared" si="1396"/>
        <v>3.59836851274461</v>
      </c>
      <c r="U421" s="1">
        <f t="shared" si="1396"/>
        <v>1</v>
      </c>
      <c r="V421" s="1">
        <f t="shared" si="1396"/>
        <v>1.44696870967831</v>
      </c>
      <c r="W421" s="1">
        <f t="shared" si="1396"/>
        <v>1.25220804934826</v>
      </c>
      <c r="X421" s="1">
        <f t="shared" si="1396"/>
        <v>2.31148185661096</v>
      </c>
      <c r="Y421" s="1">
        <f t="shared" si="1323"/>
        <v>10.1874012058217</v>
      </c>
      <c r="Z421" s="1">
        <f t="shared" si="1324"/>
        <v>20.8170720592844</v>
      </c>
      <c r="AA421" s="1">
        <f t="shared" si="1301"/>
        <v>3149556.20240222</v>
      </c>
      <c r="AB421" s="1">
        <f t="shared" si="1302"/>
        <v>74074.9089163279</v>
      </c>
      <c r="AC421" s="1">
        <f t="shared" si="1303"/>
        <v>49383.2726108852</v>
      </c>
      <c r="AD421" s="1">
        <f>AC421/(AC421+[1]战斗公式!$M$27)</f>
        <v>0.672949990561746</v>
      </c>
      <c r="AE421" s="1">
        <f t="shared" si="1304"/>
        <v>9630197.55850777</v>
      </c>
      <c r="AF421" s="1">
        <f t="shared" si="1305"/>
        <v>12.7614687195699</v>
      </c>
      <c r="AG421" s="1">
        <f t="shared" si="1306"/>
        <v>6.24517230144381</v>
      </c>
      <c r="AH421" s="1">
        <f t="shared" si="1307"/>
        <v>4.90727564839303</v>
      </c>
      <c r="AI421" s="1">
        <f t="shared" si="1308"/>
        <v>1.83052997528715</v>
      </c>
      <c r="AJ421" s="1">
        <f t="shared" si="1309"/>
        <v>1.00000000088173</v>
      </c>
      <c r="AK421" s="1">
        <f t="shared" si="1310"/>
        <v>1.00017284473671</v>
      </c>
      <c r="AL421" s="1">
        <f t="shared" si="1311"/>
        <v>0.936610115739102</v>
      </c>
      <c r="AM421" s="27">
        <f t="shared" si="1312"/>
        <v>2474830</v>
      </c>
      <c r="AN421" s="27">
        <f t="shared" si="1313"/>
        <v>135596</v>
      </c>
      <c r="AO421" s="27">
        <f t="shared" si="1314"/>
        <v>49383</v>
      </c>
      <c r="AP421" s="1">
        <f t="shared" si="1315"/>
        <v>1211335</v>
      </c>
      <c r="AQ421" s="1">
        <f t="shared" si="1316"/>
        <v>127001</v>
      </c>
      <c r="AR421"/>
      <c r="AS421" s="1">
        <f t="shared" ref="AS421:AY421" si="1397">ROUNDUP(AS$10*$AP421,0)</f>
        <v>1211335</v>
      </c>
      <c r="AT421" s="1">
        <f t="shared" si="1397"/>
        <v>3634005</v>
      </c>
      <c r="AU421" s="1">
        <f t="shared" si="1397"/>
        <v>2180403</v>
      </c>
      <c r="AV421" s="1">
        <f t="shared" si="1397"/>
        <v>605668</v>
      </c>
      <c r="AW421" s="1">
        <f t="shared" si="1397"/>
        <v>181701</v>
      </c>
      <c r="AX421" s="1">
        <f t="shared" si="1397"/>
        <v>4845340</v>
      </c>
      <c r="AY421" s="1">
        <f t="shared" si="1397"/>
        <v>10902015</v>
      </c>
      <c r="AZ421" s="1">
        <f t="shared" si="1318"/>
        <v>148489800</v>
      </c>
      <c r="BA421" s="1">
        <f t="shared" si="1319"/>
        <v>74244900</v>
      </c>
      <c r="BC421" s="1">
        <f t="shared" si="1320"/>
        <v>410</v>
      </c>
    </row>
    <row r="422" s="1" customFormat="1" spans="2:55">
      <c r="B422" s="4">
        <v>411</v>
      </c>
      <c r="C422" s="1">
        <f t="shared" ref="C422:I422" si="1398">C$5+(C$6-C$5)*(POWER(C$7,$B422-1)-1)/(POWER(C$7,$B$3-1)-1)</f>
        <v>32470.441278599</v>
      </c>
      <c r="D422" s="1">
        <f t="shared" si="1398"/>
        <v>9741.13238357969</v>
      </c>
      <c r="E422" s="1">
        <f t="shared" si="1398"/>
        <v>6494.08825571979</v>
      </c>
      <c r="F422" s="1">
        <f t="shared" si="1398"/>
        <v>119195.290769541</v>
      </c>
      <c r="G422" s="1">
        <f t="shared" si="1398"/>
        <v>35758.5872308622</v>
      </c>
      <c r="H422" s="1">
        <f t="shared" si="1398"/>
        <v>23839.0581539081</v>
      </c>
      <c r="I422" s="1">
        <f t="shared" si="1398"/>
        <v>0</v>
      </c>
      <c r="J422" s="1">
        <f>[1]标准模型!$I$65/1*$B422/$B$3</f>
        <v>2.9592</v>
      </c>
      <c r="K422" s="1">
        <f>J422*[1]标准模型!$J$63</f>
        <v>2.9592</v>
      </c>
      <c r="L422" s="1">
        <f t="shared" si="1297"/>
        <v>151665.73204814</v>
      </c>
      <c r="M422" s="1">
        <f t="shared" si="1298"/>
        <v>74325.6785639309</v>
      </c>
      <c r="N422" s="1">
        <f t="shared" si="1299"/>
        <v>49550.4523759539</v>
      </c>
      <c r="O422" s="1">
        <f t="shared" ref="O422:X422" si="1399">O$5+(O$6-O$5)*(POWER(O$7,$B422-1)-1)/(POWER(O$7,$B$3-1)-1)</f>
        <v>0.91083992388066</v>
      </c>
      <c r="P422" s="1">
        <f t="shared" si="1399"/>
        <v>0.305149247707883</v>
      </c>
      <c r="Q422" s="1">
        <f t="shared" si="1399"/>
        <v>0.500961958134363</v>
      </c>
      <c r="R422" s="1">
        <f t="shared" si="1399"/>
        <v>1.16433596955226</v>
      </c>
      <c r="S422" s="1">
        <f t="shared" si="1399"/>
        <v>0.575175893432923</v>
      </c>
      <c r="T422" s="1">
        <f t="shared" si="1399"/>
        <v>3.60227570313457</v>
      </c>
      <c r="U422" s="1">
        <f t="shared" si="1399"/>
        <v>1</v>
      </c>
      <c r="V422" s="1">
        <f t="shared" si="1399"/>
        <v>1.44806131869378</v>
      </c>
      <c r="W422" s="1">
        <f t="shared" si="1399"/>
        <v>1.25282456854194</v>
      </c>
      <c r="X422" s="1">
        <f t="shared" si="1399"/>
        <v>2.31468775641811</v>
      </c>
      <c r="Y422" s="1">
        <f t="shared" si="1323"/>
        <v>10.2510554643675</v>
      </c>
      <c r="Z422" s="1">
        <f t="shared" si="1324"/>
        <v>20.9596372599167</v>
      </c>
      <c r="AA422" s="1">
        <f t="shared" si="1301"/>
        <v>3178858.72848874</v>
      </c>
      <c r="AB422" s="1">
        <f t="shared" si="1302"/>
        <v>74325.6785639309</v>
      </c>
      <c r="AC422" s="1">
        <f t="shared" si="1303"/>
        <v>49550.4523759539</v>
      </c>
      <c r="AD422" s="1">
        <f>AC422/(AC422+[1]战斗公式!$M$27)</f>
        <v>0.673693373395941</v>
      </c>
      <c r="AE422" s="1">
        <f t="shared" si="1304"/>
        <v>9741937.39664985</v>
      </c>
      <c r="AF422" s="1">
        <f t="shared" si="1305"/>
        <v>12.7860932732749</v>
      </c>
      <c r="AG422" s="1">
        <f t="shared" si="1306"/>
        <v>6.25349330675575</v>
      </c>
      <c r="AH422" s="1">
        <f t="shared" si="1307"/>
        <v>4.90868873526113</v>
      </c>
      <c r="AI422" s="1">
        <f t="shared" si="1308"/>
        <v>1.8352961159255</v>
      </c>
      <c r="AJ422" s="1">
        <f t="shared" si="1309"/>
        <v>1.00000000083721</v>
      </c>
      <c r="AK422" s="1">
        <f t="shared" si="1310"/>
        <v>1.00016871803459</v>
      </c>
      <c r="AL422" s="1">
        <f t="shared" si="1311"/>
        <v>0.936779657855244</v>
      </c>
      <c r="AM422" s="27">
        <f t="shared" si="1312"/>
        <v>2495250</v>
      </c>
      <c r="AN422" s="27">
        <f t="shared" si="1313"/>
        <v>136410</v>
      </c>
      <c r="AO422" s="27">
        <f t="shared" si="1314"/>
        <v>49550</v>
      </c>
      <c r="AP422" s="1">
        <f t="shared" si="1315"/>
        <v>1220597</v>
      </c>
      <c r="AQ422" s="1">
        <f t="shared" si="1316"/>
        <v>127786</v>
      </c>
      <c r="AR422"/>
      <c r="AS422" s="1">
        <f t="shared" ref="AS422:AY422" si="1400">ROUNDUP(AS$10*$AP422,0)</f>
        <v>1220597</v>
      </c>
      <c r="AT422" s="1">
        <f t="shared" si="1400"/>
        <v>3661791</v>
      </c>
      <c r="AU422" s="1">
        <f t="shared" si="1400"/>
        <v>2197075</v>
      </c>
      <c r="AV422" s="1">
        <f t="shared" si="1400"/>
        <v>610299</v>
      </c>
      <c r="AW422" s="1">
        <f t="shared" si="1400"/>
        <v>183090</v>
      </c>
      <c r="AX422" s="1">
        <f t="shared" si="1400"/>
        <v>4882388</v>
      </c>
      <c r="AY422" s="1">
        <f t="shared" si="1400"/>
        <v>10985373</v>
      </c>
      <c r="AZ422" s="1">
        <f t="shared" si="1318"/>
        <v>149715000</v>
      </c>
      <c r="BA422" s="1">
        <f t="shared" si="1319"/>
        <v>74857500</v>
      </c>
      <c r="BC422" s="1">
        <f t="shared" si="1320"/>
        <v>411</v>
      </c>
    </row>
    <row r="423" s="1" customFormat="1" spans="2:55">
      <c r="B423" s="4">
        <v>412</v>
      </c>
      <c r="C423" s="1">
        <f t="shared" ref="C423:I423" si="1401">C$5+(C$6-C$5)*(POWER(C$7,$B423-1)-1)/(POWER(C$7,$B$3-1)-1)</f>
        <v>32549.4285598021</v>
      </c>
      <c r="D423" s="1">
        <f t="shared" si="1401"/>
        <v>9764.82856794063</v>
      </c>
      <c r="E423" s="1">
        <f t="shared" si="1401"/>
        <v>6509.88571196042</v>
      </c>
      <c r="F423" s="1">
        <f t="shared" si="1401"/>
        <v>119485.244080286</v>
      </c>
      <c r="G423" s="1">
        <f t="shared" si="1401"/>
        <v>35845.5732240859</v>
      </c>
      <c r="H423" s="1">
        <f t="shared" si="1401"/>
        <v>23897.0488160572</v>
      </c>
      <c r="I423" s="1">
        <f t="shared" si="1401"/>
        <v>0</v>
      </c>
      <c r="J423" s="1">
        <f>[1]标准模型!$I$65/1*$B423/$B$3</f>
        <v>2.9664</v>
      </c>
      <c r="K423" s="1">
        <f>J423*[1]标准模型!$J$63</f>
        <v>2.9664</v>
      </c>
      <c r="L423" s="1">
        <f t="shared" si="1297"/>
        <v>152034.672640088</v>
      </c>
      <c r="M423" s="1">
        <f t="shared" si="1298"/>
        <v>74576.7892559656</v>
      </c>
      <c r="N423" s="1">
        <f t="shared" si="1299"/>
        <v>49717.859503977</v>
      </c>
      <c r="O423" s="1">
        <f t="shared" ref="O423:X423" si="1402">O$5+(O$6-O$5)*(POWER(O$7,$B423-1)-1)/(POWER(O$7,$B$3-1)-1)</f>
        <v>0.911841766568607</v>
      </c>
      <c r="P423" s="1">
        <f t="shared" si="1402"/>
        <v>0.306146228704974</v>
      </c>
      <c r="Q423" s="1">
        <f t="shared" si="1402"/>
        <v>0.501512971612734</v>
      </c>
      <c r="R423" s="1">
        <f t="shared" si="1402"/>
        <v>1.16473670662744</v>
      </c>
      <c r="S423" s="1">
        <f t="shared" si="1402"/>
        <v>0.57657847319605</v>
      </c>
      <c r="T423" s="1">
        <f t="shared" si="1402"/>
        <v>3.60618288961757</v>
      </c>
      <c r="U423" s="1">
        <f t="shared" si="1402"/>
        <v>1</v>
      </c>
      <c r="V423" s="1">
        <f t="shared" si="1402"/>
        <v>1.4491539266167</v>
      </c>
      <c r="W423" s="1">
        <f t="shared" si="1402"/>
        <v>1.25344108711914</v>
      </c>
      <c r="X423" s="1">
        <f t="shared" si="1402"/>
        <v>2.31789365301954</v>
      </c>
      <c r="Y423" s="1">
        <f t="shared" si="1323"/>
        <v>10.3150564444798</v>
      </c>
      <c r="Z423" s="1">
        <f t="shared" si="1324"/>
        <v>21.1030653226673</v>
      </c>
      <c r="AA423" s="1">
        <f t="shared" si="1301"/>
        <v>3208397.62803412</v>
      </c>
      <c r="AB423" s="1">
        <f t="shared" si="1302"/>
        <v>74576.7892559656</v>
      </c>
      <c r="AC423" s="1">
        <f t="shared" si="1303"/>
        <v>49717.859503977</v>
      </c>
      <c r="AD423" s="1">
        <f>AC423/(AC423+[1]战斗公式!$M$27)</f>
        <v>0.67443438860694</v>
      </c>
      <c r="AE423" s="1">
        <f t="shared" si="1304"/>
        <v>9854841.89901302</v>
      </c>
      <c r="AF423" s="1">
        <f t="shared" si="1305"/>
        <v>12.810744531505</v>
      </c>
      <c r="AG423" s="1">
        <f t="shared" si="1306"/>
        <v>6.26181793582122</v>
      </c>
      <c r="AH423" s="1">
        <f t="shared" si="1307"/>
        <v>4.91009122397772</v>
      </c>
      <c r="AI423" s="1">
        <f t="shared" si="1308"/>
        <v>1.84007178884512</v>
      </c>
      <c r="AJ423" s="1">
        <f t="shared" si="1309"/>
        <v>1.0000000007949</v>
      </c>
      <c r="AK423" s="1">
        <f t="shared" si="1310"/>
        <v>1.00016467386651</v>
      </c>
      <c r="AL423" s="1">
        <f t="shared" si="1311"/>
        <v>0.936948691345038</v>
      </c>
      <c r="AM423" s="27">
        <f t="shared" si="1312"/>
        <v>2515807</v>
      </c>
      <c r="AN423" s="27">
        <f t="shared" si="1313"/>
        <v>137227</v>
      </c>
      <c r="AO423" s="27">
        <f t="shared" si="1314"/>
        <v>49718</v>
      </c>
      <c r="AP423" s="1">
        <f t="shared" si="1315"/>
        <v>1229914</v>
      </c>
      <c r="AQ423" s="1">
        <f t="shared" si="1316"/>
        <v>128575</v>
      </c>
      <c r="AR423"/>
      <c r="AS423" s="1">
        <f t="shared" ref="AS423:AY423" si="1403">ROUNDUP(AS$10*$AP423,0)</f>
        <v>1229914</v>
      </c>
      <c r="AT423" s="1">
        <f t="shared" si="1403"/>
        <v>3689742</v>
      </c>
      <c r="AU423" s="1">
        <f t="shared" si="1403"/>
        <v>2213846</v>
      </c>
      <c r="AV423" s="1">
        <f t="shared" si="1403"/>
        <v>614957</v>
      </c>
      <c r="AW423" s="1">
        <f t="shared" si="1403"/>
        <v>184488</v>
      </c>
      <c r="AX423" s="1">
        <f t="shared" si="1403"/>
        <v>4919656</v>
      </c>
      <c r="AY423" s="1">
        <f t="shared" si="1403"/>
        <v>11069226</v>
      </c>
      <c r="AZ423" s="1">
        <f t="shared" si="1318"/>
        <v>150948420</v>
      </c>
      <c r="BA423" s="1">
        <f t="shared" si="1319"/>
        <v>75474210</v>
      </c>
      <c r="BC423" s="1">
        <f t="shared" si="1320"/>
        <v>412</v>
      </c>
    </row>
    <row r="424" s="1" customFormat="1" spans="2:55">
      <c r="B424" s="4">
        <v>413</v>
      </c>
      <c r="C424" s="1">
        <f t="shared" ref="C424:I424" si="1404">C$5+(C$6-C$5)*(POWER(C$7,$B424-1)-1)/(POWER(C$7,$B$3-1)-1)</f>
        <v>32628.4157620136</v>
      </c>
      <c r="D424" s="1">
        <f t="shared" si="1404"/>
        <v>9788.52472860409</v>
      </c>
      <c r="E424" s="1">
        <f t="shared" si="1404"/>
        <v>6525.68315240273</v>
      </c>
      <c r="F424" s="1">
        <f t="shared" si="1404"/>
        <v>119775.197101063</v>
      </c>
      <c r="G424" s="1">
        <f t="shared" si="1404"/>
        <v>35932.5591303188</v>
      </c>
      <c r="H424" s="1">
        <f t="shared" si="1404"/>
        <v>23955.0394202125</v>
      </c>
      <c r="I424" s="1">
        <f t="shared" si="1404"/>
        <v>0</v>
      </c>
      <c r="J424" s="1">
        <f>[1]标准模型!$I$65/1*$B424/$B$3</f>
        <v>2.9736</v>
      </c>
      <c r="K424" s="1">
        <f>J424*[1]标准模型!$J$63</f>
        <v>2.9736</v>
      </c>
      <c r="L424" s="1">
        <f t="shared" si="1297"/>
        <v>152403.612863077</v>
      </c>
      <c r="M424" s="1">
        <f t="shared" si="1298"/>
        <v>74828.2409919</v>
      </c>
      <c r="N424" s="1">
        <f t="shared" si="1299"/>
        <v>49885.4939946</v>
      </c>
      <c r="O424" s="1">
        <f t="shared" ref="O424:X424" si="1405">O$5+(O$6-O$5)*(POWER(O$7,$B424-1)-1)/(POWER(O$7,$B$3-1)-1)</f>
        <v>0.912843608254656</v>
      </c>
      <c r="P424" s="1">
        <f t="shared" si="1405"/>
        <v>0.307144705173561</v>
      </c>
      <c r="Q424" s="1">
        <f t="shared" si="1405"/>
        <v>0.502063984540061</v>
      </c>
      <c r="R424" s="1">
        <f t="shared" si="1405"/>
        <v>1.16513744330186</v>
      </c>
      <c r="S424" s="1">
        <f t="shared" si="1405"/>
        <v>0.577981051556519</v>
      </c>
      <c r="T424" s="1">
        <f t="shared" si="1405"/>
        <v>3.61009007219316</v>
      </c>
      <c r="U424" s="1">
        <f t="shared" si="1405"/>
        <v>1</v>
      </c>
      <c r="V424" s="1">
        <f t="shared" si="1405"/>
        <v>1.45024653344696</v>
      </c>
      <c r="W424" s="1">
        <f t="shared" si="1405"/>
        <v>1.25405760507979</v>
      </c>
      <c r="X424" s="1">
        <f t="shared" si="1405"/>
        <v>2.3210995464149</v>
      </c>
      <c r="Y424" s="1">
        <f t="shared" si="1323"/>
        <v>10.3794057335943</v>
      </c>
      <c r="Z424" s="1">
        <f t="shared" si="1324"/>
        <v>21.2473607260628</v>
      </c>
      <c r="AA424" s="1">
        <f t="shared" si="1301"/>
        <v>3238174.53845701</v>
      </c>
      <c r="AB424" s="1">
        <f t="shared" si="1302"/>
        <v>74828.2409919</v>
      </c>
      <c r="AC424" s="1">
        <f t="shared" si="1303"/>
        <v>49885.4939946</v>
      </c>
      <c r="AD424" s="1">
        <f>AC424/(AC424+[1]战斗公式!$M$27)</f>
        <v>0.67517304544578</v>
      </c>
      <c r="AE424" s="1">
        <f t="shared" si="1304"/>
        <v>9968921.89227633</v>
      </c>
      <c r="AF424" s="1">
        <f t="shared" si="1305"/>
        <v>12.8354224775892</v>
      </c>
      <c r="AG424" s="1">
        <f t="shared" si="1306"/>
        <v>6.27014617837106</v>
      </c>
      <c r="AH424" s="1">
        <f t="shared" si="1307"/>
        <v>4.91148319402894</v>
      </c>
      <c r="AI424" s="1">
        <f t="shared" si="1308"/>
        <v>1.84485701311058</v>
      </c>
      <c r="AJ424" s="1">
        <f t="shared" si="1309"/>
        <v>1.00000000075472</v>
      </c>
      <c r="AK424" s="1">
        <f t="shared" si="1310"/>
        <v>1.00016071058179</v>
      </c>
      <c r="AL424" s="1">
        <f t="shared" si="1311"/>
        <v>0.937117217734363</v>
      </c>
      <c r="AM424" s="27">
        <f t="shared" si="1312"/>
        <v>2536502</v>
      </c>
      <c r="AN424" s="27">
        <f t="shared" si="1313"/>
        <v>138047</v>
      </c>
      <c r="AO424" s="27">
        <f t="shared" si="1314"/>
        <v>49885</v>
      </c>
      <c r="AP424" s="1">
        <f t="shared" si="1315"/>
        <v>1239289</v>
      </c>
      <c r="AQ424" s="1">
        <f t="shared" si="1316"/>
        <v>129366</v>
      </c>
      <c r="AR424"/>
      <c r="AS424" s="1">
        <f t="shared" ref="AS424:AY424" si="1406">ROUNDUP(AS$10*$AP424,0)</f>
        <v>1239289</v>
      </c>
      <c r="AT424" s="1">
        <f t="shared" si="1406"/>
        <v>3717867</v>
      </c>
      <c r="AU424" s="1">
        <f t="shared" si="1406"/>
        <v>2230721</v>
      </c>
      <c r="AV424" s="1">
        <f t="shared" si="1406"/>
        <v>619645</v>
      </c>
      <c r="AW424" s="1">
        <f t="shared" si="1406"/>
        <v>185894</v>
      </c>
      <c r="AX424" s="1">
        <f t="shared" si="1406"/>
        <v>4957156</v>
      </c>
      <c r="AY424" s="1">
        <f t="shared" si="1406"/>
        <v>11153601</v>
      </c>
      <c r="AZ424" s="1">
        <f t="shared" si="1318"/>
        <v>152190120</v>
      </c>
      <c r="BA424" s="1">
        <f t="shared" si="1319"/>
        <v>76095060</v>
      </c>
      <c r="BC424" s="1">
        <f t="shared" si="1320"/>
        <v>413</v>
      </c>
    </row>
    <row r="425" s="1" customFormat="1" spans="2:55">
      <c r="B425" s="4">
        <v>414</v>
      </c>
      <c r="C425" s="1">
        <f t="shared" ref="C425:I425" si="1407">C$5+(C$6-C$5)*(POWER(C$7,$B425-1)-1)/(POWER(C$7,$B$3-1)-1)</f>
        <v>32707.4028852335</v>
      </c>
      <c r="D425" s="1">
        <f t="shared" si="1407"/>
        <v>9812.22086557007</v>
      </c>
      <c r="E425" s="1">
        <f t="shared" si="1407"/>
        <v>6541.48057704671</v>
      </c>
      <c r="F425" s="1">
        <f t="shared" si="1407"/>
        <v>120065.14983187</v>
      </c>
      <c r="G425" s="1">
        <f t="shared" si="1407"/>
        <v>36019.544949561</v>
      </c>
      <c r="H425" s="1">
        <f t="shared" si="1407"/>
        <v>24013.029966374</v>
      </c>
      <c r="I425" s="1">
        <f t="shared" si="1407"/>
        <v>0</v>
      </c>
      <c r="J425" s="1">
        <f>[1]标准模型!$I$65/1*$B425/$B$3</f>
        <v>2.9808</v>
      </c>
      <c r="K425" s="1">
        <f>J425*[1]标准模型!$J$63</f>
        <v>2.9808</v>
      </c>
      <c r="L425" s="1">
        <f t="shared" si="1297"/>
        <v>152772.552717104</v>
      </c>
      <c r="M425" s="1">
        <f t="shared" si="1298"/>
        <v>75080.0337712223</v>
      </c>
      <c r="N425" s="1">
        <f t="shared" si="1299"/>
        <v>50053.3558474816</v>
      </c>
      <c r="O425" s="1">
        <f t="shared" ref="O425:X425" si="1408">O$5+(O$6-O$5)*(POWER(O$7,$B425-1)-1)/(POWER(O$7,$B$3-1)-1)</f>
        <v>0.913845448938809</v>
      </c>
      <c r="P425" s="1">
        <f t="shared" si="1408"/>
        <v>0.308144679356851</v>
      </c>
      <c r="Q425" s="1">
        <f t="shared" si="1408"/>
        <v>0.502614996916345</v>
      </c>
      <c r="R425" s="1">
        <f t="shared" si="1408"/>
        <v>1.16553817957552</v>
      </c>
      <c r="S425" s="1">
        <f t="shared" si="1408"/>
        <v>0.579383628514332</v>
      </c>
      <c r="T425" s="1">
        <f t="shared" si="1408"/>
        <v>3.61399725086135</v>
      </c>
      <c r="U425" s="1">
        <f t="shared" si="1408"/>
        <v>1</v>
      </c>
      <c r="V425" s="1">
        <f t="shared" si="1408"/>
        <v>1.45133913918455</v>
      </c>
      <c r="W425" s="1">
        <f t="shared" si="1408"/>
        <v>1.25467412242388</v>
      </c>
      <c r="X425" s="1">
        <f t="shared" si="1408"/>
        <v>2.32430543660419</v>
      </c>
      <c r="Y425" s="1">
        <f t="shared" si="1323"/>
        <v>10.4441049250487</v>
      </c>
      <c r="Z425" s="1">
        <f t="shared" si="1324"/>
        <v>21.3925279679616</v>
      </c>
      <c r="AA425" s="1">
        <f t="shared" si="1301"/>
        <v>3268191.10673753</v>
      </c>
      <c r="AB425" s="1">
        <f t="shared" si="1302"/>
        <v>75080.0337712223</v>
      </c>
      <c r="AC425" s="1">
        <f t="shared" si="1303"/>
        <v>50053.3558474816</v>
      </c>
      <c r="AD425" s="1">
        <f>AC425/(AC425+[1]战斗公式!$M$27)</f>
        <v>0.67590935312331</v>
      </c>
      <c r="AE425" s="1">
        <f t="shared" si="1304"/>
        <v>10084188.291867</v>
      </c>
      <c r="AF425" s="1">
        <f t="shared" si="1305"/>
        <v>12.8601270948823</v>
      </c>
      <c r="AG425" s="1">
        <f t="shared" si="1306"/>
        <v>6.27847802417575</v>
      </c>
      <c r="AH425" s="1">
        <f t="shared" si="1307"/>
        <v>4.91286472430478</v>
      </c>
      <c r="AI425" s="1">
        <f t="shared" si="1308"/>
        <v>1.84965180782458</v>
      </c>
      <c r="AJ425" s="1">
        <f t="shared" si="1309"/>
        <v>1.00000000071654</v>
      </c>
      <c r="AK425" s="1">
        <f t="shared" si="1310"/>
        <v>1.00015682656277</v>
      </c>
      <c r="AL425" s="1">
        <f t="shared" si="1311"/>
        <v>0.93728523854452</v>
      </c>
      <c r="AM425" s="27">
        <f t="shared" si="1312"/>
        <v>2557336</v>
      </c>
      <c r="AN425" s="27">
        <f t="shared" si="1313"/>
        <v>138872</v>
      </c>
      <c r="AO425" s="27">
        <f t="shared" si="1314"/>
        <v>50053</v>
      </c>
      <c r="AP425" s="1">
        <f t="shared" si="1315"/>
        <v>1248720</v>
      </c>
      <c r="AQ425" s="1">
        <f t="shared" si="1316"/>
        <v>130163</v>
      </c>
      <c r="AR425"/>
      <c r="AS425" s="1">
        <f t="shared" ref="AS425:AY425" si="1409">ROUNDUP(AS$10*$AP425,0)</f>
        <v>1248720</v>
      </c>
      <c r="AT425" s="1">
        <f t="shared" si="1409"/>
        <v>3746160</v>
      </c>
      <c r="AU425" s="1">
        <f t="shared" si="1409"/>
        <v>2247696</v>
      </c>
      <c r="AV425" s="1">
        <f t="shared" si="1409"/>
        <v>624360</v>
      </c>
      <c r="AW425" s="1">
        <f t="shared" si="1409"/>
        <v>187308</v>
      </c>
      <c r="AX425" s="1">
        <f t="shared" si="1409"/>
        <v>4994880</v>
      </c>
      <c r="AY425" s="1">
        <f t="shared" si="1409"/>
        <v>11238480</v>
      </c>
      <c r="AZ425" s="1">
        <f t="shared" si="1318"/>
        <v>153440160</v>
      </c>
      <c r="BA425" s="1">
        <f t="shared" si="1319"/>
        <v>76720080</v>
      </c>
      <c r="BC425" s="1">
        <f t="shared" si="1320"/>
        <v>414</v>
      </c>
    </row>
    <row r="426" s="1" customFormat="1" spans="2:55">
      <c r="B426" s="4">
        <v>415</v>
      </c>
      <c r="C426" s="1">
        <f t="shared" ref="C426:I426" si="1410">C$5+(C$6-C$5)*(POWER(C$7,$B426-1)-1)/(POWER(C$7,$B$3-1)-1)</f>
        <v>32786.3899294706</v>
      </c>
      <c r="D426" s="1">
        <f t="shared" si="1410"/>
        <v>9835.91697884119</v>
      </c>
      <c r="E426" s="1">
        <f t="shared" si="1410"/>
        <v>6557.27798589413</v>
      </c>
      <c r="F426" s="1">
        <f t="shared" si="1410"/>
        <v>120355.10227274</v>
      </c>
      <c r="G426" s="1">
        <f t="shared" si="1410"/>
        <v>36106.5306818221</v>
      </c>
      <c r="H426" s="1">
        <f t="shared" si="1410"/>
        <v>24071.0204545481</v>
      </c>
      <c r="I426" s="1">
        <f t="shared" si="1410"/>
        <v>0</v>
      </c>
      <c r="J426" s="1">
        <f>[1]标准模型!$I$65/1*$B426/$B$3</f>
        <v>2.988</v>
      </c>
      <c r="K426" s="1">
        <f>J426*[1]标准模型!$J$63</f>
        <v>2.988</v>
      </c>
      <c r="L426" s="1">
        <f t="shared" si="1297"/>
        <v>153141.492202211</v>
      </c>
      <c r="M426" s="1">
        <f t="shared" si="1298"/>
        <v>75332.1675934408</v>
      </c>
      <c r="N426" s="1">
        <f t="shared" si="1299"/>
        <v>50221.4450622939</v>
      </c>
      <c r="O426" s="1">
        <f t="shared" ref="O426:X426" si="1411">O$5+(O$6-O$5)*(POWER(O$7,$B426-1)-1)/(POWER(O$7,$B$3-1)-1)</f>
        <v>0.914847288621174</v>
      </c>
      <c r="P426" s="1">
        <f t="shared" si="1411"/>
        <v>0.309146153501416</v>
      </c>
      <c r="Q426" s="1">
        <f t="shared" si="1411"/>
        <v>0.503166008741646</v>
      </c>
      <c r="R426" s="1">
        <f t="shared" si="1411"/>
        <v>1.16593891544847</v>
      </c>
      <c r="S426" s="1">
        <f t="shared" si="1411"/>
        <v>0.580786204069644</v>
      </c>
      <c r="T426" s="1">
        <f t="shared" si="1411"/>
        <v>3.61790442562258</v>
      </c>
      <c r="U426" s="1">
        <f t="shared" si="1411"/>
        <v>1</v>
      </c>
      <c r="V426" s="1">
        <f t="shared" si="1411"/>
        <v>1.45243174382959</v>
      </c>
      <c r="W426" s="1">
        <f t="shared" si="1411"/>
        <v>1.25529063915149</v>
      </c>
      <c r="X426" s="1">
        <f t="shared" si="1411"/>
        <v>2.32751132358776</v>
      </c>
      <c r="Y426" s="1">
        <f t="shared" si="1323"/>
        <v>10.5091556181002</v>
      </c>
      <c r="Z426" s="1">
        <f t="shared" si="1324"/>
        <v>21.5385715656229</v>
      </c>
      <c r="AA426" s="1">
        <f t="shared" si="1301"/>
        <v>3298448.9894636</v>
      </c>
      <c r="AB426" s="1">
        <f t="shared" si="1302"/>
        <v>75332.1675934408</v>
      </c>
      <c r="AC426" s="1">
        <f t="shared" si="1303"/>
        <v>50221.4450622939</v>
      </c>
      <c r="AD426" s="1">
        <f>AC426/(AC426+[1]战斗公式!$M$27)</f>
        <v>0.676643320810355</v>
      </c>
      <c r="AE426" s="1">
        <f t="shared" si="1304"/>
        <v>10200652.1025938</v>
      </c>
      <c r="AF426" s="1">
        <f t="shared" si="1305"/>
        <v>12.8848583667661</v>
      </c>
      <c r="AG426" s="1">
        <f t="shared" si="1306"/>
        <v>6.28681346304542</v>
      </c>
      <c r="AH426" s="1">
        <f t="shared" si="1307"/>
        <v>4.91423589310355</v>
      </c>
      <c r="AI426" s="1">
        <f t="shared" si="1308"/>
        <v>1.854456192128</v>
      </c>
      <c r="AJ426" s="1">
        <f t="shared" si="1309"/>
        <v>1.00000000068028</v>
      </c>
      <c r="AK426" s="1">
        <f t="shared" si="1310"/>
        <v>1.00015302022412</v>
      </c>
      <c r="AL426" s="1">
        <f t="shared" si="1311"/>
        <v>0.937452755292246</v>
      </c>
      <c r="AM426" s="27">
        <f t="shared" si="1312"/>
        <v>2578310</v>
      </c>
      <c r="AN426" s="27">
        <f t="shared" si="1313"/>
        <v>139700</v>
      </c>
      <c r="AO426" s="27">
        <f t="shared" si="1314"/>
        <v>50221</v>
      </c>
      <c r="AP426" s="1">
        <f t="shared" si="1315"/>
        <v>1258208</v>
      </c>
      <c r="AQ426" s="1">
        <f t="shared" si="1316"/>
        <v>130962</v>
      </c>
      <c r="AR426"/>
      <c r="AS426" s="1">
        <f t="shared" ref="AS426:AY426" si="1412">ROUNDUP(AS$10*$AP426,0)</f>
        <v>1258208</v>
      </c>
      <c r="AT426" s="1">
        <f t="shared" si="1412"/>
        <v>3774624</v>
      </c>
      <c r="AU426" s="1">
        <f t="shared" si="1412"/>
        <v>2264775</v>
      </c>
      <c r="AV426" s="1">
        <f t="shared" si="1412"/>
        <v>629104</v>
      </c>
      <c r="AW426" s="1">
        <f t="shared" si="1412"/>
        <v>188732</v>
      </c>
      <c r="AX426" s="1">
        <f t="shared" si="1412"/>
        <v>5032832</v>
      </c>
      <c r="AY426" s="1">
        <f t="shared" si="1412"/>
        <v>11323872</v>
      </c>
      <c r="AZ426" s="1">
        <f t="shared" si="1318"/>
        <v>154698600</v>
      </c>
      <c r="BA426" s="1">
        <f t="shared" si="1319"/>
        <v>77349300</v>
      </c>
      <c r="BC426" s="1">
        <f t="shared" si="1320"/>
        <v>415</v>
      </c>
    </row>
    <row r="427" s="1" customFormat="1" spans="2:55">
      <c r="B427" s="4">
        <v>416</v>
      </c>
      <c r="C427" s="1">
        <f t="shared" ref="C427:I427" si="1413">C$5+(C$6-C$5)*(POWER(C$7,$B427-1)-1)/(POWER(C$7,$B$3-1)-1)</f>
        <v>32865.3768947161</v>
      </c>
      <c r="D427" s="1">
        <f t="shared" si="1413"/>
        <v>9859.61306841484</v>
      </c>
      <c r="E427" s="1">
        <f t="shared" si="1413"/>
        <v>6573.07537894322</v>
      </c>
      <c r="F427" s="1">
        <f t="shared" si="1413"/>
        <v>120645.054423641</v>
      </c>
      <c r="G427" s="1">
        <f t="shared" si="1413"/>
        <v>36193.5163270924</v>
      </c>
      <c r="H427" s="1">
        <f t="shared" si="1413"/>
        <v>24129.0108847283</v>
      </c>
      <c r="I427" s="1">
        <f t="shared" si="1413"/>
        <v>0</v>
      </c>
      <c r="J427" s="1">
        <f>[1]标准模型!$I$65/1*$B427/$B$3</f>
        <v>2.9952</v>
      </c>
      <c r="K427" s="1">
        <f>J427*[1]标准模型!$J$63</f>
        <v>2.9952</v>
      </c>
      <c r="L427" s="1">
        <f t="shared" si="1297"/>
        <v>153510.431318357</v>
      </c>
      <c r="M427" s="1">
        <f t="shared" si="1298"/>
        <v>75584.6424580234</v>
      </c>
      <c r="N427" s="1">
        <f t="shared" si="1299"/>
        <v>50389.7616386823</v>
      </c>
      <c r="O427" s="1">
        <f t="shared" ref="O427:X427" si="1414">O$5+(O$6-O$5)*(POWER(O$7,$B427-1)-1)/(POWER(O$7,$B$3-1)-1)</f>
        <v>0.915849127301643</v>
      </c>
      <c r="P427" s="1">
        <f t="shared" si="1414"/>
        <v>0.310149129857198</v>
      </c>
      <c r="Q427" s="1">
        <f t="shared" si="1414"/>
        <v>0.503717020015904</v>
      </c>
      <c r="R427" s="1">
        <f t="shared" si="1414"/>
        <v>1.16633965092066</v>
      </c>
      <c r="S427" s="1">
        <f t="shared" si="1414"/>
        <v>0.5821887782223</v>
      </c>
      <c r="T427" s="1">
        <f t="shared" si="1414"/>
        <v>3.62181159647641</v>
      </c>
      <c r="U427" s="1">
        <f t="shared" si="1414"/>
        <v>1</v>
      </c>
      <c r="V427" s="1">
        <f t="shared" si="1414"/>
        <v>1.45352434738196</v>
      </c>
      <c r="W427" s="1">
        <f t="shared" si="1414"/>
        <v>1.25590715526255</v>
      </c>
      <c r="X427" s="1">
        <f t="shared" si="1414"/>
        <v>2.33071720736526</v>
      </c>
      <c r="Y427" s="1">
        <f t="shared" si="1323"/>
        <v>10.574559417925</v>
      </c>
      <c r="Z427" s="1">
        <f t="shared" si="1324"/>
        <v>21.6854960557305</v>
      </c>
      <c r="AA427" s="1">
        <f t="shared" si="1301"/>
        <v>3328949.85286772</v>
      </c>
      <c r="AB427" s="1">
        <f t="shared" si="1302"/>
        <v>75584.6424580234</v>
      </c>
      <c r="AC427" s="1">
        <f t="shared" si="1303"/>
        <v>50389.7616386823</v>
      </c>
      <c r="AD427" s="1">
        <f>AC427/(AC427+[1]战斗公式!$M$27)</f>
        <v>0.677374957637717</v>
      </c>
      <c r="AE427" s="1">
        <f t="shared" si="1304"/>
        <v>10318324.4192482</v>
      </c>
      <c r="AF427" s="1">
        <f t="shared" si="1305"/>
        <v>12.9096162766381</v>
      </c>
      <c r="AG427" s="1">
        <f t="shared" si="1306"/>
        <v>6.29515248482624</v>
      </c>
      <c r="AH427" s="1">
        <f t="shared" si="1307"/>
        <v>4.91559677813632</v>
      </c>
      <c r="AI427" s="1">
        <f t="shared" si="1308"/>
        <v>1.85927018520003</v>
      </c>
      <c r="AJ427" s="1">
        <f t="shared" si="1309"/>
        <v>1.00000000064582</v>
      </c>
      <c r="AK427" s="1">
        <f t="shared" si="1310"/>
        <v>1.00014929001225</v>
      </c>
      <c r="AL427" s="1">
        <f t="shared" si="1311"/>
        <v>0.937619769489729</v>
      </c>
      <c r="AM427" s="27">
        <f t="shared" si="1312"/>
        <v>2599425</v>
      </c>
      <c r="AN427" s="27">
        <f t="shared" si="1313"/>
        <v>140532</v>
      </c>
      <c r="AO427" s="27">
        <f t="shared" si="1314"/>
        <v>50390</v>
      </c>
      <c r="AP427" s="1">
        <f t="shared" si="1315"/>
        <v>1267754</v>
      </c>
      <c r="AQ427" s="1">
        <f t="shared" si="1316"/>
        <v>131766</v>
      </c>
      <c r="AR427"/>
      <c r="AS427" s="1">
        <f t="shared" ref="AS427:AY427" si="1415">ROUNDUP(AS$10*$AP427,0)</f>
        <v>1267754</v>
      </c>
      <c r="AT427" s="1">
        <f t="shared" si="1415"/>
        <v>3803262</v>
      </c>
      <c r="AU427" s="1">
        <f t="shared" si="1415"/>
        <v>2281958</v>
      </c>
      <c r="AV427" s="1">
        <f t="shared" si="1415"/>
        <v>633877</v>
      </c>
      <c r="AW427" s="1">
        <f t="shared" si="1415"/>
        <v>190164</v>
      </c>
      <c r="AX427" s="1">
        <f t="shared" si="1415"/>
        <v>5071016</v>
      </c>
      <c r="AY427" s="1">
        <f t="shared" si="1415"/>
        <v>11409786</v>
      </c>
      <c r="AZ427" s="1">
        <f t="shared" si="1318"/>
        <v>155965500</v>
      </c>
      <c r="BA427" s="1">
        <f t="shared" si="1319"/>
        <v>77982750</v>
      </c>
      <c r="BC427" s="1">
        <f t="shared" si="1320"/>
        <v>416</v>
      </c>
    </row>
    <row r="428" s="1" customFormat="1" spans="2:55">
      <c r="B428" s="4">
        <v>417</v>
      </c>
      <c r="C428" s="1">
        <f t="shared" ref="C428:I428" si="1416">C$5+(C$6-C$5)*(POWER(C$7,$B428-1)-1)/(POWER(C$7,$B$3-1)-1)</f>
        <v>32944.3637809788</v>
      </c>
      <c r="D428" s="1">
        <f t="shared" si="1416"/>
        <v>9883.30913429363</v>
      </c>
      <c r="E428" s="1">
        <f t="shared" si="1416"/>
        <v>6588.87275619575</v>
      </c>
      <c r="F428" s="1">
        <f t="shared" si="1416"/>
        <v>120935.006284606</v>
      </c>
      <c r="G428" s="1">
        <f t="shared" si="1416"/>
        <v>36280.5018853817</v>
      </c>
      <c r="H428" s="1">
        <f t="shared" si="1416"/>
        <v>24187.0012569211</v>
      </c>
      <c r="I428" s="1">
        <f t="shared" si="1416"/>
        <v>0</v>
      </c>
      <c r="J428" s="1">
        <f>[1]标准模型!$I$65/1*$B428/$B$3</f>
        <v>3.0024</v>
      </c>
      <c r="K428" s="1">
        <f>J428*[1]标准模型!$J$63</f>
        <v>3.0024</v>
      </c>
      <c r="L428" s="1">
        <f t="shared" si="1297"/>
        <v>153879.370065585</v>
      </c>
      <c r="M428" s="1">
        <f t="shared" si="1298"/>
        <v>75837.4583644785</v>
      </c>
      <c r="N428" s="1">
        <f t="shared" si="1299"/>
        <v>50558.305576319</v>
      </c>
      <c r="O428" s="1">
        <f t="shared" ref="O428:X428" si="1417">O$5+(O$6-O$5)*(POWER(O$7,$B428-1)-1)/(POWER(O$7,$B$3-1)-1)</f>
        <v>0.916850964980325</v>
      </c>
      <c r="P428" s="1">
        <f t="shared" si="1417"/>
        <v>0.311153610677513</v>
      </c>
      <c r="Q428" s="1">
        <f t="shared" si="1417"/>
        <v>0.504268030739179</v>
      </c>
      <c r="R428" s="1">
        <f t="shared" si="1417"/>
        <v>1.16674038599213</v>
      </c>
      <c r="S428" s="1">
        <f t="shared" si="1417"/>
        <v>0.583591350972455</v>
      </c>
      <c r="T428" s="1">
        <f t="shared" si="1417"/>
        <v>3.62571876342327</v>
      </c>
      <c r="U428" s="1">
        <f t="shared" si="1417"/>
        <v>1</v>
      </c>
      <c r="V428" s="1">
        <f t="shared" si="1417"/>
        <v>1.45461694984179</v>
      </c>
      <c r="W428" s="1">
        <f t="shared" si="1417"/>
        <v>1.25652367075712</v>
      </c>
      <c r="X428" s="1">
        <f t="shared" si="1417"/>
        <v>2.33392308793704</v>
      </c>
      <c r="Y428" s="1">
        <f t="shared" si="1323"/>
        <v>10.6403179356617</v>
      </c>
      <c r="Z428" s="1">
        <f t="shared" si="1324"/>
        <v>21.8333059945211</v>
      </c>
      <c r="AA428" s="1">
        <f t="shared" si="1301"/>
        <v>3359695.37288606</v>
      </c>
      <c r="AB428" s="1">
        <f t="shared" si="1302"/>
        <v>75837.4583644785</v>
      </c>
      <c r="AC428" s="1">
        <f t="shared" si="1303"/>
        <v>50558.305576319</v>
      </c>
      <c r="AD428" s="1">
        <f>AC428/(AC428+[1]战斗公式!$M$27)</f>
        <v>0.678104272696578</v>
      </c>
      <c r="AE428" s="1">
        <f t="shared" si="1304"/>
        <v>10437216.427291</v>
      </c>
      <c r="AF428" s="1">
        <f t="shared" si="1305"/>
        <v>12.9344008079251</v>
      </c>
      <c r="AG428" s="1">
        <f t="shared" si="1306"/>
        <v>6.30349507940478</v>
      </c>
      <c r="AH428" s="1">
        <f t="shared" si="1307"/>
        <v>4.91694745653135</v>
      </c>
      <c r="AI428" s="1">
        <f t="shared" si="1308"/>
        <v>1.8640938062582</v>
      </c>
      <c r="AJ428" s="1">
        <f t="shared" si="1309"/>
        <v>1.00000000061309</v>
      </c>
      <c r="AK428" s="1">
        <f t="shared" si="1310"/>
        <v>1.00014563440462</v>
      </c>
      <c r="AL428" s="1">
        <f t="shared" si="1311"/>
        <v>0.937786282644619</v>
      </c>
      <c r="AM428" s="27">
        <f t="shared" si="1312"/>
        <v>2620680</v>
      </c>
      <c r="AN428" s="27">
        <f t="shared" si="1313"/>
        <v>141368</v>
      </c>
      <c r="AO428" s="27">
        <f t="shared" si="1314"/>
        <v>50558</v>
      </c>
      <c r="AP428" s="1">
        <f t="shared" si="1315"/>
        <v>1277357</v>
      </c>
      <c r="AQ428" s="1">
        <f t="shared" si="1316"/>
        <v>132573</v>
      </c>
      <c r="AR428"/>
      <c r="AS428" s="1">
        <f t="shared" ref="AS428:AY428" si="1418">ROUNDUP(AS$10*$AP428,0)</f>
        <v>1277357</v>
      </c>
      <c r="AT428" s="1">
        <f t="shared" si="1418"/>
        <v>3832071</v>
      </c>
      <c r="AU428" s="1">
        <f t="shared" si="1418"/>
        <v>2299243</v>
      </c>
      <c r="AV428" s="1">
        <f t="shared" si="1418"/>
        <v>638679</v>
      </c>
      <c r="AW428" s="1">
        <f t="shared" si="1418"/>
        <v>191604</v>
      </c>
      <c r="AX428" s="1">
        <f t="shared" si="1418"/>
        <v>5109428</v>
      </c>
      <c r="AY428" s="1">
        <f t="shared" si="1418"/>
        <v>11496213</v>
      </c>
      <c r="AZ428" s="1">
        <f t="shared" si="1318"/>
        <v>157240800</v>
      </c>
      <c r="BA428" s="1">
        <f t="shared" si="1319"/>
        <v>78620400</v>
      </c>
      <c r="BC428" s="1">
        <f t="shared" si="1320"/>
        <v>417</v>
      </c>
    </row>
    <row r="429" s="1" customFormat="1" spans="2:55">
      <c r="B429" s="4">
        <v>418</v>
      </c>
      <c r="C429" s="1">
        <f t="shared" ref="C429:I429" si="1419">C$5+(C$6-C$5)*(POWER(C$7,$B429-1)-1)/(POWER(C$7,$B$3-1)-1)</f>
        <v>33023.3505882586</v>
      </c>
      <c r="D429" s="1">
        <f t="shared" si="1419"/>
        <v>9907.00517647758</v>
      </c>
      <c r="E429" s="1">
        <f t="shared" si="1419"/>
        <v>6604.67011765172</v>
      </c>
      <c r="F429" s="1">
        <f t="shared" si="1419"/>
        <v>121224.957855633</v>
      </c>
      <c r="G429" s="1">
        <f t="shared" si="1419"/>
        <v>36367.4873566898</v>
      </c>
      <c r="H429" s="1">
        <f t="shared" si="1419"/>
        <v>24244.9915711266</v>
      </c>
      <c r="I429" s="1">
        <f t="shared" si="1419"/>
        <v>0</v>
      </c>
      <c r="J429" s="1">
        <f>[1]标准模型!$I$65/1*$B429/$B$3</f>
        <v>3.0096</v>
      </c>
      <c r="K429" s="1">
        <f>J429*[1]标准模型!$J$63</f>
        <v>3.0096</v>
      </c>
      <c r="L429" s="1">
        <f t="shared" si="1297"/>
        <v>154248.308443892</v>
      </c>
      <c r="M429" s="1">
        <f t="shared" si="1298"/>
        <v>76090.6153122943</v>
      </c>
      <c r="N429" s="1">
        <f t="shared" si="1299"/>
        <v>50727.0768748629</v>
      </c>
      <c r="O429" s="1">
        <f t="shared" ref="O429:X429" si="1420">O$5+(O$6-O$5)*(POWER(O$7,$B429-1)-1)/(POWER(O$7,$B$3-1)-1)</f>
        <v>0.917852801657221</v>
      </c>
      <c r="P429" s="1">
        <f t="shared" si="1420"/>
        <v>0.312159598219059</v>
      </c>
      <c r="Q429" s="1">
        <f t="shared" si="1420"/>
        <v>0.504819040911471</v>
      </c>
      <c r="R429" s="1">
        <f t="shared" si="1420"/>
        <v>1.16714112066289</v>
      </c>
      <c r="S429" s="1">
        <f t="shared" si="1420"/>
        <v>0.584993922320109</v>
      </c>
      <c r="T429" s="1">
        <f t="shared" si="1420"/>
        <v>3.62962592646316</v>
      </c>
      <c r="U429" s="1">
        <f t="shared" si="1420"/>
        <v>1</v>
      </c>
      <c r="V429" s="1">
        <f t="shared" si="1420"/>
        <v>1.45570955120907</v>
      </c>
      <c r="W429" s="1">
        <f t="shared" si="1420"/>
        <v>1.25714018563521</v>
      </c>
      <c r="X429" s="1">
        <f t="shared" si="1420"/>
        <v>2.33712896530311</v>
      </c>
      <c r="Y429" s="1">
        <f t="shared" si="1323"/>
        <v>10.7064327884097</v>
      </c>
      <c r="Z429" s="1">
        <f t="shared" si="1324"/>
        <v>21.9820059578083</v>
      </c>
      <c r="AA429" s="1">
        <f t="shared" si="1301"/>
        <v>3390687.23519548</v>
      </c>
      <c r="AB429" s="1">
        <f t="shared" si="1302"/>
        <v>76090.6153122943</v>
      </c>
      <c r="AC429" s="1">
        <f t="shared" si="1303"/>
        <v>50727.0768748629</v>
      </c>
      <c r="AD429" s="1">
        <f>AC429/(AC429+[1]战斗公式!$M$27)</f>
        <v>0.678831275038496</v>
      </c>
      <c r="AE429" s="1">
        <f t="shared" si="1304"/>
        <v>10557339.4034612</v>
      </c>
      <c r="AF429" s="1">
        <f t="shared" si="1305"/>
        <v>12.9592119440731</v>
      </c>
      <c r="AG429" s="1">
        <f t="shared" si="1306"/>
        <v>6.31184123670432</v>
      </c>
      <c r="AH429" s="1">
        <f t="shared" si="1307"/>
        <v>4.91828800483842</v>
      </c>
      <c r="AI429" s="1">
        <f t="shared" si="1308"/>
        <v>1.86892707455849</v>
      </c>
      <c r="AJ429" s="1">
        <f t="shared" si="1309"/>
        <v>1.000000000582</v>
      </c>
      <c r="AK429" s="1">
        <f t="shared" si="1310"/>
        <v>1.00014205190914</v>
      </c>
      <c r="AL429" s="1">
        <f t="shared" si="1311"/>
        <v>0.937952296260045</v>
      </c>
      <c r="AM429" s="27">
        <f t="shared" si="1312"/>
        <v>2642078</v>
      </c>
      <c r="AN429" s="27">
        <f t="shared" si="1313"/>
        <v>142208</v>
      </c>
      <c r="AO429" s="27">
        <f t="shared" si="1314"/>
        <v>50727</v>
      </c>
      <c r="AP429" s="1">
        <f t="shared" si="1315"/>
        <v>1287018</v>
      </c>
      <c r="AQ429" s="1">
        <f t="shared" si="1316"/>
        <v>133384</v>
      </c>
      <c r="AR429"/>
      <c r="AS429" s="1">
        <f t="shared" ref="AS429:AY429" si="1421">ROUNDUP(AS$10*$AP429,0)</f>
        <v>1287018</v>
      </c>
      <c r="AT429" s="1">
        <f t="shared" si="1421"/>
        <v>3861054</v>
      </c>
      <c r="AU429" s="1">
        <f t="shared" si="1421"/>
        <v>2316633</v>
      </c>
      <c r="AV429" s="1">
        <f t="shared" si="1421"/>
        <v>643509</v>
      </c>
      <c r="AW429" s="1">
        <f t="shared" si="1421"/>
        <v>193053</v>
      </c>
      <c r="AX429" s="1">
        <f t="shared" si="1421"/>
        <v>5148072</v>
      </c>
      <c r="AY429" s="1">
        <f t="shared" si="1421"/>
        <v>11583162</v>
      </c>
      <c r="AZ429" s="1">
        <f t="shared" si="1318"/>
        <v>158524680</v>
      </c>
      <c r="BA429" s="1">
        <f t="shared" si="1319"/>
        <v>79262340</v>
      </c>
      <c r="BC429" s="1">
        <f t="shared" si="1320"/>
        <v>418</v>
      </c>
    </row>
    <row r="430" s="1" customFormat="1" spans="2:55">
      <c r="B430" s="4">
        <v>419</v>
      </c>
      <c r="C430" s="1">
        <f t="shared" ref="C430:I430" si="1422">C$5+(C$6-C$5)*(POWER(C$7,$B430-1)-1)/(POWER(C$7,$B$3-1)-1)</f>
        <v>33102.3373165468</v>
      </c>
      <c r="D430" s="1">
        <f t="shared" si="1422"/>
        <v>9930.70119496404</v>
      </c>
      <c r="E430" s="1">
        <f t="shared" si="1422"/>
        <v>6620.46746330936</v>
      </c>
      <c r="F430" s="1">
        <f t="shared" si="1422"/>
        <v>121514.909136691</v>
      </c>
      <c r="G430" s="1">
        <f t="shared" si="1422"/>
        <v>36454.4727410072</v>
      </c>
      <c r="H430" s="1">
        <f t="shared" si="1422"/>
        <v>24302.9818273382</v>
      </c>
      <c r="I430" s="1">
        <f t="shared" si="1422"/>
        <v>0</v>
      </c>
      <c r="J430" s="1">
        <f>[1]标准模型!$I$65/1*$B430/$B$3</f>
        <v>3.0168</v>
      </c>
      <c r="K430" s="1">
        <f>J430*[1]标准模型!$J$63</f>
        <v>3.0168</v>
      </c>
      <c r="L430" s="1">
        <f t="shared" si="1297"/>
        <v>154617.246453238</v>
      </c>
      <c r="M430" s="1">
        <f t="shared" si="1298"/>
        <v>76344.1133009388</v>
      </c>
      <c r="N430" s="1">
        <f t="shared" si="1299"/>
        <v>50896.0755339592</v>
      </c>
      <c r="O430" s="1">
        <f t="shared" ref="O430:X430" si="1423">O$5+(O$6-O$5)*(POWER(O$7,$B430-1)-1)/(POWER(O$7,$B$3-1)-1)</f>
        <v>0.918854637332219</v>
      </c>
      <c r="P430" s="1">
        <f t="shared" si="1423"/>
        <v>0.313167094741917</v>
      </c>
      <c r="Q430" s="1">
        <f t="shared" si="1423"/>
        <v>0.50537005053272</v>
      </c>
      <c r="R430" s="1">
        <f t="shared" si="1423"/>
        <v>1.16754185493289</v>
      </c>
      <c r="S430" s="1">
        <f t="shared" si="1423"/>
        <v>0.586396492265106</v>
      </c>
      <c r="T430" s="1">
        <f t="shared" si="1423"/>
        <v>3.63353308559565</v>
      </c>
      <c r="U430" s="1">
        <f t="shared" si="1423"/>
        <v>1</v>
      </c>
      <c r="V430" s="1">
        <f t="shared" si="1423"/>
        <v>1.45680215148368</v>
      </c>
      <c r="W430" s="1">
        <f t="shared" si="1423"/>
        <v>1.25775669989675</v>
      </c>
      <c r="X430" s="1">
        <f t="shared" si="1423"/>
        <v>2.3403348394631</v>
      </c>
      <c r="Y430" s="1">
        <f t="shared" si="1323"/>
        <v>10.772905599248</v>
      </c>
      <c r="Z430" s="1">
        <f t="shared" si="1324"/>
        <v>22.1316005410517</v>
      </c>
      <c r="AA430" s="1">
        <f t="shared" si="1301"/>
        <v>3421927.1352604</v>
      </c>
      <c r="AB430" s="1">
        <f t="shared" si="1302"/>
        <v>76344.1133009388</v>
      </c>
      <c r="AC430" s="1">
        <f t="shared" si="1303"/>
        <v>50896.0755339592</v>
      </c>
      <c r="AD430" s="1">
        <f>AC430/(AC430+[1]战斗公式!$M$27)</f>
        <v>0.679555973675577</v>
      </c>
      <c r="AE430" s="1">
        <f t="shared" si="1304"/>
        <v>10678704.7164237</v>
      </c>
      <c r="AF430" s="1">
        <f t="shared" si="1305"/>
        <v>12.9840496685465</v>
      </c>
      <c r="AG430" s="1">
        <f t="shared" si="1306"/>
        <v>6.32019094668478</v>
      </c>
      <c r="AH430" s="1">
        <f t="shared" si="1307"/>
        <v>4.91961849903318</v>
      </c>
      <c r="AI430" s="1">
        <f t="shared" si="1308"/>
        <v>1.87377000939538</v>
      </c>
      <c r="AJ430" s="1">
        <f t="shared" si="1309"/>
        <v>1.00000000055246</v>
      </c>
      <c r="AK430" s="1">
        <f t="shared" si="1310"/>
        <v>1.00013854106357</v>
      </c>
      <c r="AL430" s="1">
        <f t="shared" si="1311"/>
        <v>0.938117811834625</v>
      </c>
      <c r="AM430" s="27">
        <f t="shared" si="1312"/>
        <v>2663618</v>
      </c>
      <c r="AN430" s="27">
        <f t="shared" si="1313"/>
        <v>143051</v>
      </c>
      <c r="AO430" s="27">
        <f t="shared" si="1314"/>
        <v>50896</v>
      </c>
      <c r="AP430" s="1">
        <f t="shared" si="1315"/>
        <v>1296738</v>
      </c>
      <c r="AQ430" s="1">
        <f t="shared" si="1316"/>
        <v>134199</v>
      </c>
      <c r="AR430"/>
      <c r="AS430" s="1">
        <f t="shared" ref="AS430:AY430" si="1424">ROUNDUP(AS$10*$AP430,0)</f>
        <v>1296738</v>
      </c>
      <c r="AT430" s="1">
        <f t="shared" si="1424"/>
        <v>3890214</v>
      </c>
      <c r="AU430" s="1">
        <f t="shared" si="1424"/>
        <v>2334129</v>
      </c>
      <c r="AV430" s="1">
        <f t="shared" si="1424"/>
        <v>648369</v>
      </c>
      <c r="AW430" s="1">
        <f t="shared" si="1424"/>
        <v>194511</v>
      </c>
      <c r="AX430" s="1">
        <f t="shared" si="1424"/>
        <v>5186952</v>
      </c>
      <c r="AY430" s="1">
        <f t="shared" si="1424"/>
        <v>11670642</v>
      </c>
      <c r="AZ430" s="1">
        <f t="shared" si="1318"/>
        <v>159817080</v>
      </c>
      <c r="BA430" s="1">
        <f t="shared" si="1319"/>
        <v>79908540</v>
      </c>
      <c r="BC430" s="1">
        <f t="shared" si="1320"/>
        <v>419</v>
      </c>
    </row>
    <row r="431" s="1" customFormat="1" spans="2:55">
      <c r="B431" s="4">
        <v>420</v>
      </c>
      <c r="C431" s="1">
        <f t="shared" ref="C431:I431" si="1425">C$5+(C$6-C$5)*(POWER(C$7,$B431-1)-1)/(POWER(C$7,$B$3-1)-1)</f>
        <v>33181.3239658522</v>
      </c>
      <c r="D431" s="1">
        <f t="shared" si="1425"/>
        <v>9954.39718975565</v>
      </c>
      <c r="E431" s="1">
        <f t="shared" si="1425"/>
        <v>6636.26479317044</v>
      </c>
      <c r="F431" s="1">
        <f t="shared" si="1425"/>
        <v>121804.860127812</v>
      </c>
      <c r="G431" s="1">
        <f t="shared" si="1425"/>
        <v>36541.4580383435</v>
      </c>
      <c r="H431" s="1">
        <f t="shared" si="1425"/>
        <v>24360.9720255624</v>
      </c>
      <c r="I431" s="1">
        <f t="shared" si="1425"/>
        <v>0</v>
      </c>
      <c r="J431" s="1">
        <f>[1]标准模型!$I$65/1*$B431/$B$3</f>
        <v>3.024</v>
      </c>
      <c r="K431" s="1">
        <f>J431*[1]标准模型!$J$63</f>
        <v>3.024</v>
      </c>
      <c r="L431" s="1">
        <f t="shared" si="1297"/>
        <v>154986.184093664</v>
      </c>
      <c r="M431" s="1">
        <f t="shared" si="1298"/>
        <v>76597.9523299202</v>
      </c>
      <c r="N431" s="1">
        <f t="shared" si="1299"/>
        <v>51065.3015532803</v>
      </c>
      <c r="O431" s="1">
        <f t="shared" ref="O431:X431" si="1426">O$5+(O$6-O$5)*(POWER(O$7,$B431-1)-1)/(POWER(O$7,$B$3-1)-1)</f>
        <v>0.919856472005431</v>
      </c>
      <c r="P431" s="1">
        <f t="shared" si="1426"/>
        <v>0.31417610250956</v>
      </c>
      <c r="Q431" s="1">
        <f t="shared" si="1426"/>
        <v>0.505921059602987</v>
      </c>
      <c r="R431" s="1">
        <f t="shared" si="1426"/>
        <v>1.16794258880217</v>
      </c>
      <c r="S431" s="1">
        <f t="shared" si="1426"/>
        <v>0.587799060807603</v>
      </c>
      <c r="T431" s="1">
        <f t="shared" si="1426"/>
        <v>3.63744024082118</v>
      </c>
      <c r="U431" s="1">
        <f t="shared" si="1426"/>
        <v>1</v>
      </c>
      <c r="V431" s="1">
        <f t="shared" si="1426"/>
        <v>1.45789475066575</v>
      </c>
      <c r="W431" s="1">
        <f t="shared" si="1426"/>
        <v>1.2583732135418</v>
      </c>
      <c r="X431" s="1">
        <f t="shared" si="1426"/>
        <v>2.34354071041738</v>
      </c>
      <c r="Y431" s="1">
        <f t="shared" si="1323"/>
        <v>10.839737997272</v>
      </c>
      <c r="Z431" s="1">
        <f t="shared" si="1324"/>
        <v>22.2820943594715</v>
      </c>
      <c r="AA431" s="1">
        <f t="shared" si="1301"/>
        <v>3453416.77838945</v>
      </c>
      <c r="AB431" s="1">
        <f t="shared" si="1302"/>
        <v>76597.9523299202</v>
      </c>
      <c r="AC431" s="1">
        <f t="shared" si="1303"/>
        <v>51065.3015532803</v>
      </c>
      <c r="AD431" s="1">
        <f>AC431/(AC431+[1]战斗公式!$M$27)</f>
        <v>0.680278377580817</v>
      </c>
      <c r="AE431" s="1">
        <f t="shared" si="1304"/>
        <v>10801323.8274567</v>
      </c>
      <c r="AF431" s="1">
        <f t="shared" si="1305"/>
        <v>13.0089139648395</v>
      </c>
      <c r="AG431" s="1">
        <f t="shared" si="1306"/>
        <v>6.32854419934598</v>
      </c>
      <c r="AH431" s="1">
        <f t="shared" si="1307"/>
        <v>4.92093901452149</v>
      </c>
      <c r="AI431" s="1">
        <f t="shared" si="1308"/>
        <v>1.87862263010195</v>
      </c>
      <c r="AJ431" s="1">
        <f t="shared" si="1309"/>
        <v>1.00000000052439</v>
      </c>
      <c r="AK431" s="1">
        <f t="shared" si="1310"/>
        <v>1.00013510043491</v>
      </c>
      <c r="AL431" s="1">
        <f t="shared" si="1311"/>
        <v>0.93828283086248</v>
      </c>
      <c r="AM431" s="27">
        <f t="shared" si="1312"/>
        <v>2685302</v>
      </c>
      <c r="AN431" s="27">
        <f t="shared" si="1313"/>
        <v>143899</v>
      </c>
      <c r="AO431" s="27">
        <f t="shared" si="1314"/>
        <v>51065</v>
      </c>
      <c r="AP431" s="1">
        <f t="shared" si="1315"/>
        <v>1306516</v>
      </c>
      <c r="AQ431" s="1">
        <f t="shared" si="1316"/>
        <v>135018</v>
      </c>
      <c r="AR431"/>
      <c r="AS431" s="1">
        <f t="shared" ref="AS431:AY431" si="1427">ROUNDUP(AS$10*$AP431,0)</f>
        <v>1306516</v>
      </c>
      <c r="AT431" s="1">
        <f t="shared" si="1427"/>
        <v>3919548</v>
      </c>
      <c r="AU431" s="1">
        <f t="shared" si="1427"/>
        <v>2351729</v>
      </c>
      <c r="AV431" s="1">
        <f t="shared" si="1427"/>
        <v>653258</v>
      </c>
      <c r="AW431" s="1">
        <f t="shared" si="1427"/>
        <v>195978</v>
      </c>
      <c r="AX431" s="1">
        <f t="shared" si="1427"/>
        <v>5226064</v>
      </c>
      <c r="AY431" s="1">
        <f t="shared" si="1427"/>
        <v>11758644</v>
      </c>
      <c r="AZ431" s="1">
        <f t="shared" si="1318"/>
        <v>161118120</v>
      </c>
      <c r="BA431" s="1">
        <f t="shared" si="1319"/>
        <v>80559060</v>
      </c>
      <c r="BC431" s="1">
        <f t="shared" si="1320"/>
        <v>420</v>
      </c>
    </row>
    <row r="432" s="1" customFormat="1" spans="2:55">
      <c r="B432" s="4">
        <v>421</v>
      </c>
      <c r="C432" s="1">
        <f t="shared" ref="C432:I432" si="1428">C$5+(C$6-C$5)*(POWER(C$7,$B432-1)-1)/(POWER(C$7,$B$3-1)-1)</f>
        <v>33260.3105361659</v>
      </c>
      <c r="D432" s="1">
        <f t="shared" si="1428"/>
        <v>9978.09316084978</v>
      </c>
      <c r="E432" s="1">
        <f t="shared" si="1428"/>
        <v>6652.06210723319</v>
      </c>
      <c r="F432" s="1">
        <f t="shared" si="1428"/>
        <v>122094.810828964</v>
      </c>
      <c r="G432" s="1">
        <f t="shared" si="1428"/>
        <v>36628.4432486891</v>
      </c>
      <c r="H432" s="1">
        <f t="shared" si="1428"/>
        <v>24418.9621657927</v>
      </c>
      <c r="I432" s="1">
        <f t="shared" si="1428"/>
        <v>0</v>
      </c>
      <c r="J432" s="1">
        <f>[1]标准模型!$I$65/1*$B432/$B$3</f>
        <v>3.0312</v>
      </c>
      <c r="K432" s="1">
        <f>J432*[1]标准模型!$J$63</f>
        <v>3.0312</v>
      </c>
      <c r="L432" s="1">
        <f t="shared" si="1297"/>
        <v>155355.12136513</v>
      </c>
      <c r="M432" s="1">
        <f t="shared" si="1298"/>
        <v>76852.1323987067</v>
      </c>
      <c r="N432" s="1">
        <f t="shared" si="1299"/>
        <v>51234.7549324711</v>
      </c>
      <c r="O432" s="1">
        <f t="shared" ref="O432:X432" si="1429">O$5+(O$6-O$5)*(POWER(O$7,$B432-1)-1)/(POWER(O$7,$B$3-1)-1)</f>
        <v>0.920858305676745</v>
      </c>
      <c r="P432" s="1">
        <f t="shared" si="1429"/>
        <v>0.315186623788854</v>
      </c>
      <c r="Q432" s="1">
        <f t="shared" si="1429"/>
        <v>0.50647206812221</v>
      </c>
      <c r="R432" s="1">
        <f t="shared" si="1429"/>
        <v>1.1683433222707</v>
      </c>
      <c r="S432" s="1">
        <f t="shared" si="1429"/>
        <v>0.589201627947443</v>
      </c>
      <c r="T432" s="1">
        <f t="shared" si="1429"/>
        <v>3.64134739213931</v>
      </c>
      <c r="U432" s="1">
        <f t="shared" si="1429"/>
        <v>1</v>
      </c>
      <c r="V432" s="1">
        <f t="shared" si="1429"/>
        <v>1.45898734875515</v>
      </c>
      <c r="W432" s="1">
        <f t="shared" si="1429"/>
        <v>1.2589897265703</v>
      </c>
      <c r="X432" s="1">
        <f t="shared" si="1429"/>
        <v>2.34674657816559</v>
      </c>
      <c r="Y432" s="1">
        <f t="shared" si="1323"/>
        <v>10.9069316175862</v>
      </c>
      <c r="Z432" s="1">
        <f t="shared" si="1324"/>
        <v>22.4334920480572</v>
      </c>
      <c r="AA432" s="1">
        <f t="shared" si="1301"/>
        <v>3485157.8797696</v>
      </c>
      <c r="AB432" s="1">
        <f t="shared" si="1302"/>
        <v>76852.1323987067</v>
      </c>
      <c r="AC432" s="1">
        <f t="shared" si="1303"/>
        <v>51234.7549324711</v>
      </c>
      <c r="AD432" s="1">
        <f>AC432/(AC432+[1]战斗公式!$M$27)</f>
        <v>0.680998495688039</v>
      </c>
      <c r="AE432" s="1">
        <f t="shared" si="1304"/>
        <v>10925208.2910599</v>
      </c>
      <c r="AF432" s="1">
        <f t="shared" si="1305"/>
        <v>13.0338048164609</v>
      </c>
      <c r="AG432" s="1">
        <f t="shared" si="1306"/>
        <v>6.33690098472278</v>
      </c>
      <c r="AH432" s="1">
        <f t="shared" si="1307"/>
        <v>4.92224962614363</v>
      </c>
      <c r="AI432" s="1">
        <f t="shared" si="1308"/>
        <v>1.88348495604992</v>
      </c>
      <c r="AJ432" s="1">
        <f t="shared" si="1309"/>
        <v>1.00000000049773</v>
      </c>
      <c r="AK432" s="1">
        <f t="shared" si="1310"/>
        <v>1.00013172861882</v>
      </c>
      <c r="AL432" s="1">
        <f t="shared" si="1311"/>
        <v>0.938447354833253</v>
      </c>
      <c r="AM432" s="27">
        <f t="shared" si="1312"/>
        <v>2707130</v>
      </c>
      <c r="AN432" s="27">
        <f t="shared" si="1313"/>
        <v>144750</v>
      </c>
      <c r="AO432" s="27">
        <f t="shared" si="1314"/>
        <v>51235</v>
      </c>
      <c r="AP432" s="1">
        <f t="shared" si="1315"/>
        <v>1316352</v>
      </c>
      <c r="AQ432" s="1">
        <f t="shared" si="1316"/>
        <v>135840</v>
      </c>
      <c r="AR432"/>
      <c r="AS432" s="1">
        <f t="shared" ref="AS432:AY432" si="1430">ROUNDUP(AS$10*$AP432,0)</f>
        <v>1316352</v>
      </c>
      <c r="AT432" s="1">
        <f t="shared" si="1430"/>
        <v>3949056</v>
      </c>
      <c r="AU432" s="1">
        <f t="shared" si="1430"/>
        <v>2369434</v>
      </c>
      <c r="AV432" s="1">
        <f t="shared" si="1430"/>
        <v>658176</v>
      </c>
      <c r="AW432" s="1">
        <f t="shared" si="1430"/>
        <v>197453</v>
      </c>
      <c r="AX432" s="1">
        <f t="shared" si="1430"/>
        <v>5265408</v>
      </c>
      <c r="AY432" s="1">
        <f t="shared" si="1430"/>
        <v>11847168</v>
      </c>
      <c r="AZ432" s="1">
        <f t="shared" si="1318"/>
        <v>162427800</v>
      </c>
      <c r="BA432" s="1">
        <f t="shared" si="1319"/>
        <v>81213900</v>
      </c>
      <c r="BC432" s="1">
        <f t="shared" si="1320"/>
        <v>421</v>
      </c>
    </row>
    <row r="433" s="1" customFormat="1" spans="2:55">
      <c r="B433" s="4">
        <v>422</v>
      </c>
      <c r="C433" s="1">
        <f t="shared" ref="C433:I433" si="1431">C$5+(C$6-C$5)*(POWER(C$7,$B433-1)-1)/(POWER(C$7,$B$3-1)-1)</f>
        <v>33339.2970274881</v>
      </c>
      <c r="D433" s="1">
        <f t="shared" si="1431"/>
        <v>10001.7891082464</v>
      </c>
      <c r="E433" s="1">
        <f t="shared" si="1431"/>
        <v>6667.85940549762</v>
      </c>
      <c r="F433" s="1">
        <f t="shared" si="1431"/>
        <v>122384.761240146</v>
      </c>
      <c r="G433" s="1">
        <f t="shared" si="1431"/>
        <v>36715.4283720439</v>
      </c>
      <c r="H433" s="1">
        <f t="shared" si="1431"/>
        <v>24476.9522480292</v>
      </c>
      <c r="I433" s="1">
        <f t="shared" si="1431"/>
        <v>0</v>
      </c>
      <c r="J433" s="1">
        <f>[1]标准模型!$I$65/1*$B433/$B$3</f>
        <v>3.0384</v>
      </c>
      <c r="K433" s="1">
        <f>J433*[1]标准模型!$J$63</f>
        <v>3.0384</v>
      </c>
      <c r="L433" s="1">
        <f t="shared" si="1297"/>
        <v>155724.058267634</v>
      </c>
      <c r="M433" s="1">
        <f t="shared" si="1298"/>
        <v>77106.6535067862</v>
      </c>
      <c r="N433" s="1">
        <f t="shared" si="1299"/>
        <v>51404.4356711908</v>
      </c>
      <c r="O433" s="1">
        <f t="shared" ref="O433:X433" si="1432">O$5+(O$6-O$5)*(POWER(O$7,$B433-1)-1)/(POWER(O$7,$B$3-1)-1)</f>
        <v>0.921860138346162</v>
      </c>
      <c r="P433" s="1">
        <f t="shared" si="1432"/>
        <v>0.316198660850067</v>
      </c>
      <c r="Q433" s="1">
        <f t="shared" si="1432"/>
        <v>0.507023076090389</v>
      </c>
      <c r="R433" s="1">
        <f t="shared" si="1432"/>
        <v>1.16874405533846</v>
      </c>
      <c r="S433" s="1">
        <f t="shared" si="1432"/>
        <v>0.590604193684627</v>
      </c>
      <c r="T433" s="1">
        <f t="shared" si="1432"/>
        <v>3.64525453955003</v>
      </c>
      <c r="U433" s="1">
        <f t="shared" si="1432"/>
        <v>1</v>
      </c>
      <c r="V433" s="1">
        <f t="shared" si="1432"/>
        <v>1.46007994575188</v>
      </c>
      <c r="W433" s="1">
        <f t="shared" si="1432"/>
        <v>1.25960623898225</v>
      </c>
      <c r="X433" s="1">
        <f t="shared" si="1432"/>
        <v>2.34995244270772</v>
      </c>
      <c r="Y433" s="1">
        <f t="shared" si="1323"/>
        <v>10.9744881013417</v>
      </c>
      <c r="Z433" s="1">
        <f t="shared" si="1324"/>
        <v>22.5857982616832</v>
      </c>
      <c r="AA433" s="1">
        <f t="shared" si="1301"/>
        <v>3517152.16452338</v>
      </c>
      <c r="AB433" s="1">
        <f t="shared" si="1302"/>
        <v>77106.6535067862</v>
      </c>
      <c r="AC433" s="1">
        <f t="shared" si="1303"/>
        <v>51404.4356711908</v>
      </c>
      <c r="AD433" s="1">
        <f>AC433/(AC433+[1]战斗公式!$M$27)</f>
        <v>0.681716336892241</v>
      </c>
      <c r="AE433" s="1">
        <f t="shared" si="1304"/>
        <v>11050369.7556497</v>
      </c>
      <c r="AF433" s="1">
        <f t="shared" si="1305"/>
        <v>13.0587222069452</v>
      </c>
      <c r="AG433" s="1">
        <f t="shared" si="1306"/>
        <v>6.34526129288848</v>
      </c>
      <c r="AH433" s="1">
        <f t="shared" si="1307"/>
        <v>4.92355040817861</v>
      </c>
      <c r="AI433" s="1">
        <f t="shared" si="1308"/>
        <v>1.8883570066498</v>
      </c>
      <c r="AJ433" s="1">
        <f t="shared" si="1309"/>
        <v>1.00000000047241</v>
      </c>
      <c r="AK433" s="1">
        <f t="shared" si="1310"/>
        <v>1.00012842423906</v>
      </c>
      <c r="AL433" s="1">
        <f t="shared" si="1311"/>
        <v>0.938611385232113</v>
      </c>
      <c r="AM433" s="27">
        <f t="shared" si="1312"/>
        <v>2729104</v>
      </c>
      <c r="AN433" s="27">
        <f t="shared" si="1313"/>
        <v>145605</v>
      </c>
      <c r="AO433" s="27">
        <f t="shared" si="1314"/>
        <v>51404</v>
      </c>
      <c r="AP433" s="1">
        <f t="shared" si="1315"/>
        <v>1326248</v>
      </c>
      <c r="AQ433" s="1">
        <f t="shared" si="1316"/>
        <v>136667</v>
      </c>
      <c r="AR433"/>
      <c r="AS433" s="1">
        <f t="shared" ref="AS433:AY433" si="1433">ROUNDUP(AS$10*$AP433,0)</f>
        <v>1326248</v>
      </c>
      <c r="AT433" s="1">
        <f t="shared" si="1433"/>
        <v>3978744</v>
      </c>
      <c r="AU433" s="1">
        <f t="shared" si="1433"/>
        <v>2387247</v>
      </c>
      <c r="AV433" s="1">
        <f t="shared" si="1433"/>
        <v>663124</v>
      </c>
      <c r="AW433" s="1">
        <f t="shared" si="1433"/>
        <v>198938</v>
      </c>
      <c r="AX433" s="1">
        <f t="shared" si="1433"/>
        <v>5304992</v>
      </c>
      <c r="AY433" s="1">
        <f t="shared" si="1433"/>
        <v>11936232</v>
      </c>
      <c r="AZ433" s="1">
        <f t="shared" si="1318"/>
        <v>163746240</v>
      </c>
      <c r="BA433" s="1">
        <f t="shared" si="1319"/>
        <v>81873120</v>
      </c>
      <c r="BC433" s="1">
        <f t="shared" si="1320"/>
        <v>422</v>
      </c>
    </row>
    <row r="434" s="1" customFormat="1" spans="2:55">
      <c r="B434" s="4">
        <v>423</v>
      </c>
      <c r="C434" s="1">
        <f t="shared" ref="C434:I434" si="1434">C$5+(C$6-C$5)*(POWER(C$7,$B434-1)-1)/(POWER(C$7,$B$3-1)-1)</f>
        <v>33418.2834398362</v>
      </c>
      <c r="D434" s="1">
        <f t="shared" si="1434"/>
        <v>10025.4850319509</v>
      </c>
      <c r="E434" s="1">
        <f t="shared" si="1434"/>
        <v>6683.65668796725</v>
      </c>
      <c r="F434" s="1">
        <f t="shared" si="1434"/>
        <v>122674.711361424</v>
      </c>
      <c r="G434" s="1">
        <f t="shared" si="1434"/>
        <v>36802.4134084272</v>
      </c>
      <c r="H434" s="1">
        <f t="shared" si="1434"/>
        <v>24534.9422722848</v>
      </c>
      <c r="I434" s="1">
        <f t="shared" si="1434"/>
        <v>0</v>
      </c>
      <c r="J434" s="1">
        <f>[1]标准模型!$I$65/1*$B434/$B$3</f>
        <v>3.0456</v>
      </c>
      <c r="K434" s="1">
        <f>J434*[1]标准模型!$J$63</f>
        <v>3.0456</v>
      </c>
      <c r="L434" s="1">
        <f t="shared" si="1297"/>
        <v>156092.99480126</v>
      </c>
      <c r="M434" s="1">
        <f t="shared" si="1298"/>
        <v>77361.5156536878</v>
      </c>
      <c r="N434" s="1">
        <f t="shared" si="1299"/>
        <v>51574.3437691251</v>
      </c>
      <c r="O434" s="1">
        <f t="shared" ref="O434:X434" si="1435">O$5+(O$6-O$5)*(POWER(O$7,$B434-1)-1)/(POWER(O$7,$B$3-1)-1)</f>
        <v>0.922861970013904</v>
      </c>
      <c r="P434" s="1">
        <f t="shared" si="1435"/>
        <v>0.317212215966872</v>
      </c>
      <c r="Q434" s="1">
        <f t="shared" si="1435"/>
        <v>0.507574083507647</v>
      </c>
      <c r="R434" s="1">
        <f t="shared" si="1435"/>
        <v>1.16914478800556</v>
      </c>
      <c r="S434" s="1">
        <f t="shared" si="1435"/>
        <v>0.592006758019466</v>
      </c>
      <c r="T434" s="1">
        <f t="shared" si="1435"/>
        <v>3.64916168305423</v>
      </c>
      <c r="U434" s="1">
        <f t="shared" si="1435"/>
        <v>1</v>
      </c>
      <c r="V434" s="1">
        <f t="shared" si="1435"/>
        <v>1.46117254165619</v>
      </c>
      <c r="W434" s="1">
        <f t="shared" si="1435"/>
        <v>1.26022275077779</v>
      </c>
      <c r="X434" s="1">
        <f t="shared" si="1435"/>
        <v>2.35315830404449</v>
      </c>
      <c r="Y434" s="1">
        <f t="shared" si="1323"/>
        <v>11.0424090957614</v>
      </c>
      <c r="Z434" s="1">
        <f t="shared" si="1324"/>
        <v>22.7390176751948</v>
      </c>
      <c r="AA434" s="1">
        <f t="shared" si="1301"/>
        <v>3549401.36775995</v>
      </c>
      <c r="AB434" s="1">
        <f t="shared" si="1302"/>
        <v>77361.5156536878</v>
      </c>
      <c r="AC434" s="1">
        <f t="shared" si="1303"/>
        <v>51574.3437691251</v>
      </c>
      <c r="AD434" s="1">
        <f>AC434/(AC434+[1]战斗公式!$M$27)</f>
        <v>0.682431910049811</v>
      </c>
      <c r="AE434" s="1">
        <f t="shared" si="1304"/>
        <v>11176819.9642372</v>
      </c>
      <c r="AF434" s="1">
        <f t="shared" si="1305"/>
        <v>13.0836661198557</v>
      </c>
      <c r="AG434" s="1">
        <f t="shared" si="1306"/>
        <v>6.35362511395568</v>
      </c>
      <c r="AH434" s="1">
        <f t="shared" si="1307"/>
        <v>4.92484143434832</v>
      </c>
      <c r="AI434" s="1">
        <f t="shared" si="1308"/>
        <v>1.89323880135087</v>
      </c>
      <c r="AJ434" s="1">
        <f t="shared" si="1309"/>
        <v>1.00000000044834</v>
      </c>
      <c r="AK434" s="1">
        <f t="shared" si="1310"/>
        <v>1.00012518594689</v>
      </c>
      <c r="AL434" s="1">
        <f t="shared" si="1311"/>
        <v>0.938774923539776</v>
      </c>
      <c r="AM434" s="27">
        <f t="shared" si="1312"/>
        <v>2751223</v>
      </c>
      <c r="AN434" s="27">
        <f t="shared" si="1313"/>
        <v>146464</v>
      </c>
      <c r="AO434" s="27">
        <f t="shared" si="1314"/>
        <v>51574</v>
      </c>
      <c r="AP434" s="1">
        <f t="shared" si="1315"/>
        <v>1336202</v>
      </c>
      <c r="AQ434" s="1">
        <f t="shared" si="1316"/>
        <v>137497</v>
      </c>
      <c r="AR434"/>
      <c r="AS434" s="1">
        <f t="shared" ref="AS434:AY434" si="1436">ROUNDUP(AS$10*$AP434,0)</f>
        <v>1336202</v>
      </c>
      <c r="AT434" s="1">
        <f t="shared" si="1436"/>
        <v>4008606</v>
      </c>
      <c r="AU434" s="1">
        <f t="shared" si="1436"/>
        <v>2405164</v>
      </c>
      <c r="AV434" s="1">
        <f t="shared" si="1436"/>
        <v>668101</v>
      </c>
      <c r="AW434" s="1">
        <f t="shared" si="1436"/>
        <v>200431</v>
      </c>
      <c r="AX434" s="1">
        <f t="shared" si="1436"/>
        <v>5344808</v>
      </c>
      <c r="AY434" s="1">
        <f t="shared" si="1436"/>
        <v>12025818</v>
      </c>
      <c r="AZ434" s="1">
        <f t="shared" si="1318"/>
        <v>165073380</v>
      </c>
      <c r="BA434" s="1">
        <f t="shared" si="1319"/>
        <v>82536690</v>
      </c>
      <c r="BC434" s="1">
        <f t="shared" si="1320"/>
        <v>423</v>
      </c>
    </row>
    <row r="435" s="1" customFormat="1" spans="2:55">
      <c r="B435" s="4">
        <v>424</v>
      </c>
      <c r="C435" s="1">
        <f t="shared" ref="C435:I435" si="1437">C$5+(C$6-C$5)*(POWER(C$7,$B435-1)-1)/(POWER(C$7,$B$3-1)-1)</f>
        <v>33497.2697731927</v>
      </c>
      <c r="D435" s="1">
        <f t="shared" si="1437"/>
        <v>10049.1809319578</v>
      </c>
      <c r="E435" s="1">
        <f t="shared" si="1437"/>
        <v>6699.45395463855</v>
      </c>
      <c r="F435" s="1">
        <f t="shared" si="1437"/>
        <v>122964.661192733</v>
      </c>
      <c r="G435" s="1">
        <f t="shared" si="1437"/>
        <v>36889.3983578198</v>
      </c>
      <c r="H435" s="1">
        <f t="shared" si="1437"/>
        <v>24592.9322385466</v>
      </c>
      <c r="I435" s="1">
        <f t="shared" si="1437"/>
        <v>0</v>
      </c>
      <c r="J435" s="1">
        <f>[1]标准模型!$I$65/1*$B435/$B$3</f>
        <v>3.0528</v>
      </c>
      <c r="K435" s="1">
        <f>J435*[1]标准模型!$J$63</f>
        <v>3.0528</v>
      </c>
      <c r="L435" s="1">
        <f t="shared" si="1297"/>
        <v>156461.930965926</v>
      </c>
      <c r="M435" s="1">
        <f t="shared" si="1298"/>
        <v>77616.7188388584</v>
      </c>
      <c r="N435" s="1">
        <f t="shared" si="1299"/>
        <v>51744.4792259057</v>
      </c>
      <c r="O435" s="1">
        <f t="shared" ref="O435:X435" si="1438">O$5+(O$6-O$5)*(POWER(O$7,$B435-1)-1)/(POWER(O$7,$B$3-1)-1)</f>
        <v>0.923863800679748</v>
      </c>
      <c r="P435" s="1">
        <f t="shared" si="1438"/>
        <v>0.318227291416351</v>
      </c>
      <c r="Q435" s="1">
        <f t="shared" si="1438"/>
        <v>0.508125090373862</v>
      </c>
      <c r="R435" s="1">
        <f t="shared" si="1438"/>
        <v>1.1695455202719</v>
      </c>
      <c r="S435" s="1">
        <f t="shared" si="1438"/>
        <v>0.593409320951648</v>
      </c>
      <c r="T435" s="1">
        <f t="shared" si="1438"/>
        <v>3.65306882265102</v>
      </c>
      <c r="U435" s="1">
        <f t="shared" si="1438"/>
        <v>1</v>
      </c>
      <c r="V435" s="1">
        <f t="shared" si="1438"/>
        <v>1.46226513646783</v>
      </c>
      <c r="W435" s="1">
        <f t="shared" si="1438"/>
        <v>1.26083926195677</v>
      </c>
      <c r="X435" s="1">
        <f t="shared" si="1438"/>
        <v>2.3563641621752</v>
      </c>
      <c r="Y435" s="1">
        <f t="shared" si="1323"/>
        <v>11.1106962541187</v>
      </c>
      <c r="Z435" s="1">
        <f t="shared" si="1324"/>
        <v>22.893154983385</v>
      </c>
      <c r="AA435" s="1">
        <f t="shared" si="1301"/>
        <v>3581907.23460262</v>
      </c>
      <c r="AB435" s="1">
        <f t="shared" si="1302"/>
        <v>77616.7188388584</v>
      </c>
      <c r="AC435" s="1">
        <f t="shared" si="1303"/>
        <v>51744.4792259057</v>
      </c>
      <c r="AD435" s="1">
        <f>AC435/(AC435+[1]战斗公式!$M$27)</f>
        <v>0.683145223978362</v>
      </c>
      <c r="AE435" s="1">
        <f t="shared" si="1304"/>
        <v>11304570.75502</v>
      </c>
      <c r="AF435" s="1">
        <f t="shared" si="1305"/>
        <v>13.1086365387636</v>
      </c>
      <c r="AG435" s="1">
        <f t="shared" si="1306"/>
        <v>6.36199243806931</v>
      </c>
      <c r="AH435" s="1">
        <f t="shared" si="1307"/>
        <v>4.92612277782176</v>
      </c>
      <c r="AI435" s="1">
        <f t="shared" si="1308"/>
        <v>1.89813035964134</v>
      </c>
      <c r="AJ435" s="1">
        <f t="shared" si="1309"/>
        <v>1.00000000042549</v>
      </c>
      <c r="AK435" s="1">
        <f t="shared" si="1310"/>
        <v>1.00012201242056</v>
      </c>
      <c r="AL435" s="1">
        <f t="shared" si="1311"/>
        <v>0.938937971232516</v>
      </c>
      <c r="AM435" s="27">
        <f t="shared" si="1312"/>
        <v>2773489</v>
      </c>
      <c r="AN435" s="27">
        <f t="shared" si="1313"/>
        <v>147327</v>
      </c>
      <c r="AO435" s="27">
        <f t="shared" si="1314"/>
        <v>51744</v>
      </c>
      <c r="AP435" s="1">
        <f t="shared" si="1315"/>
        <v>1346217</v>
      </c>
      <c r="AQ435" s="1">
        <f t="shared" si="1316"/>
        <v>138331</v>
      </c>
      <c r="AR435"/>
      <c r="AS435" s="1">
        <f t="shared" ref="AS435:AY435" si="1439">ROUNDUP(AS$10*$AP435,0)</f>
        <v>1346217</v>
      </c>
      <c r="AT435" s="1">
        <f t="shared" si="1439"/>
        <v>4038651</v>
      </c>
      <c r="AU435" s="1">
        <f t="shared" si="1439"/>
        <v>2423191</v>
      </c>
      <c r="AV435" s="1">
        <f t="shared" si="1439"/>
        <v>673109</v>
      </c>
      <c r="AW435" s="1">
        <f t="shared" si="1439"/>
        <v>201933</v>
      </c>
      <c r="AX435" s="1">
        <f t="shared" si="1439"/>
        <v>5384868</v>
      </c>
      <c r="AY435" s="1">
        <f t="shared" si="1439"/>
        <v>12115953</v>
      </c>
      <c r="AZ435" s="1">
        <f t="shared" si="1318"/>
        <v>166409340</v>
      </c>
      <c r="BA435" s="1">
        <f t="shared" si="1319"/>
        <v>83204670</v>
      </c>
      <c r="BC435" s="1">
        <f t="shared" si="1320"/>
        <v>424</v>
      </c>
    </row>
    <row r="436" s="1" customFormat="1" spans="2:55">
      <c r="B436" s="4">
        <v>425</v>
      </c>
      <c r="C436" s="1">
        <f t="shared" ref="C436:I436" si="1440">C$5+(C$6-C$5)*(POWER(C$7,$B436-1)-1)/(POWER(C$7,$B$3-1)-1)</f>
        <v>33576.2560275576</v>
      </c>
      <c r="D436" s="1">
        <f t="shared" si="1440"/>
        <v>10072.8768082673</v>
      </c>
      <c r="E436" s="1">
        <f t="shared" si="1440"/>
        <v>6715.25120551152</v>
      </c>
      <c r="F436" s="1">
        <f t="shared" si="1440"/>
        <v>123254.610734072</v>
      </c>
      <c r="G436" s="1">
        <f t="shared" si="1440"/>
        <v>36976.3832202217</v>
      </c>
      <c r="H436" s="1">
        <f t="shared" si="1440"/>
        <v>24650.9221468145</v>
      </c>
      <c r="I436" s="1">
        <f t="shared" si="1440"/>
        <v>0</v>
      </c>
      <c r="J436" s="1">
        <f>[1]标准模型!$I$65/1*$B436/$B$3</f>
        <v>3.06</v>
      </c>
      <c r="K436" s="1">
        <f>J436*[1]标准模型!$J$63</f>
        <v>3.06</v>
      </c>
      <c r="L436" s="1">
        <f t="shared" si="1297"/>
        <v>156830.86676163</v>
      </c>
      <c r="M436" s="1">
        <f t="shared" si="1298"/>
        <v>77872.2630617869</v>
      </c>
      <c r="N436" s="1">
        <f t="shared" si="1299"/>
        <v>51914.8420411913</v>
      </c>
      <c r="O436" s="1">
        <f t="shared" ref="O436:X436" si="1441">O$5+(O$6-O$5)*(POWER(O$7,$B436-1)-1)/(POWER(O$7,$B$3-1)-1)</f>
        <v>0.924865630343695</v>
      </c>
      <c r="P436" s="1">
        <f t="shared" si="1441"/>
        <v>0.319243889479006</v>
      </c>
      <c r="Q436" s="1">
        <f t="shared" si="1441"/>
        <v>0.508676096689032</v>
      </c>
      <c r="R436" s="1">
        <f t="shared" si="1441"/>
        <v>1.16994625213748</v>
      </c>
      <c r="S436" s="1">
        <f t="shared" si="1441"/>
        <v>0.594811882481173</v>
      </c>
      <c r="T436" s="1">
        <f t="shared" si="1441"/>
        <v>3.65697595834041</v>
      </c>
      <c r="U436" s="1">
        <f t="shared" si="1441"/>
        <v>1</v>
      </c>
      <c r="V436" s="1">
        <f t="shared" si="1441"/>
        <v>1.4633577301868</v>
      </c>
      <c r="W436" s="1">
        <f t="shared" si="1441"/>
        <v>1.2614557725192</v>
      </c>
      <c r="X436" s="1">
        <f t="shared" si="1441"/>
        <v>2.35957001709983</v>
      </c>
      <c r="Y436" s="1">
        <f t="shared" si="1323"/>
        <v>11.1793512357957</v>
      </c>
      <c r="Z436" s="1">
        <f t="shared" si="1324"/>
        <v>23.0482149011576</v>
      </c>
      <c r="AA436" s="1">
        <f t="shared" si="1301"/>
        <v>3614671.52025685</v>
      </c>
      <c r="AB436" s="1">
        <f t="shared" si="1302"/>
        <v>77872.2630617869</v>
      </c>
      <c r="AC436" s="1">
        <f t="shared" si="1303"/>
        <v>51914.8420411913</v>
      </c>
      <c r="AD436" s="1">
        <f>AC436/(AC436+[1]战斗公式!$M$27)</f>
        <v>0.683856287457232</v>
      </c>
      <c r="AE436" s="1">
        <f t="shared" si="1304"/>
        <v>11433634.0621288</v>
      </c>
      <c r="AF436" s="1">
        <f t="shared" si="1305"/>
        <v>13.1336334472678</v>
      </c>
      <c r="AG436" s="1">
        <f t="shared" si="1306"/>
        <v>6.37036325541317</v>
      </c>
      <c r="AH436" s="1">
        <f t="shared" si="1307"/>
        <v>4.92739451121915</v>
      </c>
      <c r="AI436" s="1">
        <f t="shared" si="1308"/>
        <v>1.9030317010484</v>
      </c>
      <c r="AJ436" s="1">
        <f t="shared" si="1309"/>
        <v>1.00000000040377</v>
      </c>
      <c r="AK436" s="1">
        <f t="shared" si="1310"/>
        <v>1.00011890236476</v>
      </c>
      <c r="AL436" s="1">
        <f t="shared" si="1311"/>
        <v>0.939100529782178</v>
      </c>
      <c r="AM436" s="27">
        <f t="shared" si="1312"/>
        <v>2795902</v>
      </c>
      <c r="AN436" s="27">
        <f t="shared" si="1313"/>
        <v>148193</v>
      </c>
      <c r="AO436" s="27">
        <f t="shared" si="1314"/>
        <v>51915</v>
      </c>
      <c r="AP436" s="1">
        <f t="shared" si="1315"/>
        <v>1356291</v>
      </c>
      <c r="AQ436" s="1">
        <f t="shared" si="1316"/>
        <v>139168</v>
      </c>
      <c r="AR436"/>
      <c r="AS436" s="1">
        <f t="shared" ref="AS436:AY436" si="1442">ROUNDUP(AS$10*$AP436,0)</f>
        <v>1356291</v>
      </c>
      <c r="AT436" s="1">
        <f t="shared" si="1442"/>
        <v>4068873</v>
      </c>
      <c r="AU436" s="1">
        <f t="shared" si="1442"/>
        <v>2441324</v>
      </c>
      <c r="AV436" s="1">
        <f t="shared" si="1442"/>
        <v>678146</v>
      </c>
      <c r="AW436" s="1">
        <f t="shared" si="1442"/>
        <v>203444</v>
      </c>
      <c r="AX436" s="1">
        <f t="shared" si="1442"/>
        <v>5425164</v>
      </c>
      <c r="AY436" s="1">
        <f t="shared" si="1442"/>
        <v>12206619</v>
      </c>
      <c r="AZ436" s="1">
        <f t="shared" si="1318"/>
        <v>167754120</v>
      </c>
      <c r="BA436" s="1">
        <f t="shared" si="1319"/>
        <v>83877060</v>
      </c>
      <c r="BC436" s="1">
        <f t="shared" si="1320"/>
        <v>425</v>
      </c>
    </row>
    <row r="437" s="1" customFormat="1" spans="2:55">
      <c r="B437" s="4">
        <v>426</v>
      </c>
      <c r="C437" s="1">
        <f t="shared" ref="C437:I437" si="1443">C$5+(C$6-C$5)*(POWER(C$7,$B437-1)-1)/(POWER(C$7,$B$3-1)-1)</f>
        <v>33655.2422029397</v>
      </c>
      <c r="D437" s="1">
        <f t="shared" si="1443"/>
        <v>10096.5726608819</v>
      </c>
      <c r="E437" s="1">
        <f t="shared" si="1443"/>
        <v>6731.04844058794</v>
      </c>
      <c r="F437" s="1">
        <f t="shared" si="1443"/>
        <v>123544.559985475</v>
      </c>
      <c r="G437" s="1">
        <f t="shared" si="1443"/>
        <v>37063.3679956424</v>
      </c>
      <c r="H437" s="1">
        <f t="shared" si="1443"/>
        <v>24708.911997095</v>
      </c>
      <c r="I437" s="1">
        <f t="shared" si="1443"/>
        <v>0</v>
      </c>
      <c r="J437" s="1">
        <f>[1]标准模型!$I$65/1*$B437/$B$3</f>
        <v>3.0672</v>
      </c>
      <c r="K437" s="1">
        <f>J437*[1]标准模型!$J$63</f>
        <v>3.0672</v>
      </c>
      <c r="L437" s="1">
        <f t="shared" si="1297"/>
        <v>157199.802188415</v>
      </c>
      <c r="M437" s="1">
        <f t="shared" si="1298"/>
        <v>78128.1483219813</v>
      </c>
      <c r="N437" s="1">
        <f t="shared" si="1299"/>
        <v>52085.4322146543</v>
      </c>
      <c r="O437" s="1">
        <f t="shared" ref="O437:X437" si="1444">O$5+(O$6-O$5)*(POWER(O$7,$B437-1)-1)/(POWER(O$7,$B$3-1)-1)</f>
        <v>0.925867459005856</v>
      </c>
      <c r="P437" s="1">
        <f t="shared" si="1444"/>
        <v>0.320262012438754</v>
      </c>
      <c r="Q437" s="1">
        <f t="shared" si="1444"/>
        <v>0.509227102453221</v>
      </c>
      <c r="R437" s="1">
        <f t="shared" si="1444"/>
        <v>1.17034698360234</v>
      </c>
      <c r="S437" s="1">
        <f t="shared" si="1444"/>
        <v>0.596214442608198</v>
      </c>
      <c r="T437" s="1">
        <f t="shared" si="1444"/>
        <v>3.66088309012284</v>
      </c>
      <c r="U437" s="1">
        <f t="shared" si="1444"/>
        <v>1</v>
      </c>
      <c r="V437" s="1">
        <f t="shared" si="1444"/>
        <v>1.46445032281322</v>
      </c>
      <c r="W437" s="1">
        <f t="shared" si="1444"/>
        <v>1.26207228246514</v>
      </c>
      <c r="X437" s="1">
        <f t="shared" si="1444"/>
        <v>2.36277586881874</v>
      </c>
      <c r="Y437" s="1">
        <f t="shared" si="1323"/>
        <v>11.2483757062944</v>
      </c>
      <c r="Z437" s="1">
        <f t="shared" si="1324"/>
        <v>23.2042021635833</v>
      </c>
      <c r="AA437" s="1">
        <f t="shared" si="1301"/>
        <v>3647695.99005528</v>
      </c>
      <c r="AB437" s="1">
        <f t="shared" si="1302"/>
        <v>78128.1483219813</v>
      </c>
      <c r="AC437" s="1">
        <f t="shared" si="1303"/>
        <v>52085.4322146543</v>
      </c>
      <c r="AD437" s="1">
        <f>AC437/(AC437+[1]战斗公式!$M$27)</f>
        <v>0.684565109227604</v>
      </c>
      <c r="AE437" s="1">
        <f t="shared" si="1304"/>
        <v>11564021.9162924</v>
      </c>
      <c r="AF437" s="1">
        <f t="shared" si="1305"/>
        <v>13.1586568289934</v>
      </c>
      <c r="AG437" s="1">
        <f t="shared" si="1306"/>
        <v>6.37873755620897</v>
      </c>
      <c r="AH437" s="1">
        <f t="shared" si="1307"/>
        <v>4.92865670661606</v>
      </c>
      <c r="AI437" s="1">
        <f t="shared" si="1308"/>
        <v>1.90794284513827</v>
      </c>
      <c r="AJ437" s="1">
        <f t="shared" si="1309"/>
        <v>1.00000000038314</v>
      </c>
      <c r="AK437" s="1">
        <f t="shared" si="1310"/>
        <v>1.00011585451008</v>
      </c>
      <c r="AL437" s="1">
        <f t="shared" si="1311"/>
        <v>0.939262600656191</v>
      </c>
      <c r="AM437" s="27">
        <f t="shared" si="1312"/>
        <v>2818464</v>
      </c>
      <c r="AN437" s="27">
        <f t="shared" si="1313"/>
        <v>149064</v>
      </c>
      <c r="AO437" s="27">
        <f t="shared" si="1314"/>
        <v>52085</v>
      </c>
      <c r="AP437" s="1">
        <f t="shared" si="1315"/>
        <v>1366425</v>
      </c>
      <c r="AQ437" s="1">
        <f t="shared" si="1316"/>
        <v>140010</v>
      </c>
      <c r="AR437"/>
      <c r="AS437" s="1">
        <f t="shared" ref="AS437:AY437" si="1445">ROUNDUP(AS$10*$AP437,0)</f>
        <v>1366425</v>
      </c>
      <c r="AT437" s="1">
        <f t="shared" si="1445"/>
        <v>4099275</v>
      </c>
      <c r="AU437" s="1">
        <f t="shared" si="1445"/>
        <v>2459565</v>
      </c>
      <c r="AV437" s="1">
        <f t="shared" si="1445"/>
        <v>683213</v>
      </c>
      <c r="AW437" s="1">
        <f t="shared" si="1445"/>
        <v>204964</v>
      </c>
      <c r="AX437" s="1">
        <f t="shared" si="1445"/>
        <v>5465700</v>
      </c>
      <c r="AY437" s="1">
        <f t="shared" si="1445"/>
        <v>12297825</v>
      </c>
      <c r="AZ437" s="1">
        <f t="shared" si="1318"/>
        <v>169107840</v>
      </c>
      <c r="BA437" s="1">
        <f t="shared" si="1319"/>
        <v>84553920</v>
      </c>
      <c r="BC437" s="1">
        <f t="shared" si="1320"/>
        <v>426</v>
      </c>
    </row>
    <row r="438" s="1" customFormat="1" spans="2:55">
      <c r="B438" s="4">
        <v>427</v>
      </c>
      <c r="C438" s="1">
        <f t="shared" ref="C438:I438" si="1446">C$5+(C$6-C$5)*(POWER(C$7,$B438-1)-1)/(POWER(C$7,$B$3-1)-1)</f>
        <v>33734.2282993389</v>
      </c>
      <c r="D438" s="1">
        <f t="shared" si="1446"/>
        <v>10120.2684898017</v>
      </c>
      <c r="E438" s="1">
        <f t="shared" si="1446"/>
        <v>6746.84565986778</v>
      </c>
      <c r="F438" s="1">
        <f t="shared" si="1446"/>
        <v>123834.50894694</v>
      </c>
      <c r="G438" s="1">
        <f t="shared" si="1446"/>
        <v>37150.3526840821</v>
      </c>
      <c r="H438" s="1">
        <f t="shared" si="1446"/>
        <v>24766.9017893881</v>
      </c>
      <c r="I438" s="1">
        <f t="shared" si="1446"/>
        <v>0</v>
      </c>
      <c r="J438" s="1">
        <f>[1]标准模型!$I$65/1*$B438/$B$3</f>
        <v>3.0744</v>
      </c>
      <c r="K438" s="1">
        <f>J438*[1]标准模型!$J$63</f>
        <v>3.0744</v>
      </c>
      <c r="L438" s="1">
        <f t="shared" si="1297"/>
        <v>157568.737246279</v>
      </c>
      <c r="M438" s="1">
        <f t="shared" si="1298"/>
        <v>78384.3746189302</v>
      </c>
      <c r="N438" s="1">
        <f t="shared" si="1299"/>
        <v>52256.2497459534</v>
      </c>
      <c r="O438" s="1">
        <f t="shared" ref="O438:X438" si="1447">O$5+(O$6-O$5)*(POWER(O$7,$B438-1)-1)/(POWER(O$7,$B$3-1)-1)</f>
        <v>0.92686928666623</v>
      </c>
      <c r="P438" s="1">
        <f t="shared" si="1447"/>
        <v>0.321281662582942</v>
      </c>
      <c r="Q438" s="1">
        <f t="shared" si="1447"/>
        <v>0.509778107666427</v>
      </c>
      <c r="R438" s="1">
        <f t="shared" si="1447"/>
        <v>1.17074771466649</v>
      </c>
      <c r="S438" s="1">
        <f t="shared" si="1447"/>
        <v>0.597617001332722</v>
      </c>
      <c r="T438" s="1">
        <f t="shared" si="1447"/>
        <v>3.6647902179983</v>
      </c>
      <c r="U438" s="1">
        <f t="shared" si="1447"/>
        <v>1</v>
      </c>
      <c r="V438" s="1">
        <f t="shared" si="1447"/>
        <v>1.4655429143471</v>
      </c>
      <c r="W438" s="1">
        <f t="shared" si="1447"/>
        <v>1.2626887917946</v>
      </c>
      <c r="X438" s="1">
        <f t="shared" si="1447"/>
        <v>2.36598171733194</v>
      </c>
      <c r="Y438" s="1">
        <f t="shared" si="1323"/>
        <v>11.3177713372428</v>
      </c>
      <c r="Z438" s="1">
        <f t="shared" si="1324"/>
        <v>23.3611215259386</v>
      </c>
      <c r="AA438" s="1">
        <f t="shared" si="1301"/>
        <v>3680982.41949901</v>
      </c>
      <c r="AB438" s="1">
        <f t="shared" si="1302"/>
        <v>78384.3746189302</v>
      </c>
      <c r="AC438" s="1">
        <f t="shared" si="1303"/>
        <v>52256.2497459534</v>
      </c>
      <c r="AD438" s="1">
        <f>AC438/(AC438+[1]战斗公式!$M$27)</f>
        <v>0.685271697992549</v>
      </c>
      <c r="AE438" s="1">
        <f t="shared" si="1304"/>
        <v>11695746.4454908</v>
      </c>
      <c r="AF438" s="1">
        <f t="shared" si="1305"/>
        <v>13.1837066675824</v>
      </c>
      <c r="AG438" s="1">
        <f t="shared" si="1306"/>
        <v>6.38711533071336</v>
      </c>
      <c r="AH438" s="1">
        <f t="shared" si="1307"/>
        <v>4.92990943554749</v>
      </c>
      <c r="AI438" s="1">
        <f t="shared" si="1308"/>
        <v>1.91286381151632</v>
      </c>
      <c r="AJ438" s="1">
        <f t="shared" si="1309"/>
        <v>1.00000000036355</v>
      </c>
      <c r="AK438" s="1">
        <f t="shared" si="1310"/>
        <v>1.00011286761249</v>
      </c>
      <c r="AL438" s="1">
        <f t="shared" si="1311"/>
        <v>0.939424185317583</v>
      </c>
      <c r="AM438" s="27">
        <f t="shared" si="1312"/>
        <v>2841175</v>
      </c>
      <c r="AN438" s="27">
        <f t="shared" si="1313"/>
        <v>149939</v>
      </c>
      <c r="AO438" s="27">
        <f t="shared" si="1314"/>
        <v>52256</v>
      </c>
      <c r="AP438" s="1">
        <f t="shared" si="1315"/>
        <v>1376620</v>
      </c>
      <c r="AQ438" s="1">
        <f t="shared" si="1316"/>
        <v>140856</v>
      </c>
      <c r="AR438"/>
      <c r="AS438" s="1">
        <f t="shared" ref="AS438:AY438" si="1448">ROUNDUP(AS$10*$AP438,0)</f>
        <v>1376620</v>
      </c>
      <c r="AT438" s="1">
        <f t="shared" si="1448"/>
        <v>4129860</v>
      </c>
      <c r="AU438" s="1">
        <f t="shared" si="1448"/>
        <v>2477916</v>
      </c>
      <c r="AV438" s="1">
        <f t="shared" si="1448"/>
        <v>688310</v>
      </c>
      <c r="AW438" s="1">
        <f t="shared" si="1448"/>
        <v>206493</v>
      </c>
      <c r="AX438" s="1">
        <f t="shared" si="1448"/>
        <v>5506480</v>
      </c>
      <c r="AY438" s="1">
        <f t="shared" si="1448"/>
        <v>12389580</v>
      </c>
      <c r="AZ438" s="1">
        <f t="shared" si="1318"/>
        <v>170470500</v>
      </c>
      <c r="BA438" s="1">
        <f t="shared" si="1319"/>
        <v>85235250</v>
      </c>
      <c r="BC438" s="1">
        <f t="shared" si="1320"/>
        <v>427</v>
      </c>
    </row>
    <row r="439" s="1" customFormat="1" spans="2:55">
      <c r="B439" s="4">
        <v>428</v>
      </c>
      <c r="C439" s="1">
        <f t="shared" ref="C439:I439" si="1449">C$5+(C$6-C$5)*(POWER(C$7,$B439-1)-1)/(POWER(C$7,$B$3-1)-1)</f>
        <v>33813.2143167553</v>
      </c>
      <c r="D439" s="1">
        <f t="shared" si="1449"/>
        <v>10143.9642950266</v>
      </c>
      <c r="E439" s="1">
        <f t="shared" si="1449"/>
        <v>6762.64286335106</v>
      </c>
      <c r="F439" s="1">
        <f t="shared" si="1449"/>
        <v>124124.457618469</v>
      </c>
      <c r="G439" s="1">
        <f t="shared" si="1449"/>
        <v>37237.3372855407</v>
      </c>
      <c r="H439" s="1">
        <f t="shared" si="1449"/>
        <v>24824.8915236938</v>
      </c>
      <c r="I439" s="1">
        <f t="shared" si="1449"/>
        <v>0</v>
      </c>
      <c r="J439" s="1">
        <f>[1]标准模型!$I$65/1*$B439/$B$3</f>
        <v>3.0816</v>
      </c>
      <c r="K439" s="1">
        <f>J439*[1]标准模型!$J$63</f>
        <v>3.0816</v>
      </c>
      <c r="L439" s="1">
        <f t="shared" si="1297"/>
        <v>157937.671935224</v>
      </c>
      <c r="M439" s="1">
        <f t="shared" si="1298"/>
        <v>78640.9419521213</v>
      </c>
      <c r="N439" s="1">
        <f t="shared" si="1299"/>
        <v>52427.2946347475</v>
      </c>
      <c r="O439" s="1">
        <f t="shared" ref="O439:X439" si="1450">O$5+(O$6-O$5)*(POWER(O$7,$B439-1)-1)/(POWER(O$7,$B$3-1)-1)</f>
        <v>0.927871113324818</v>
      </c>
      <c r="P439" s="1">
        <f t="shared" si="1450"/>
        <v>0.322302842202346</v>
      </c>
      <c r="Q439" s="1">
        <f t="shared" si="1450"/>
        <v>0.51032911232865</v>
      </c>
      <c r="R439" s="1">
        <f t="shared" si="1450"/>
        <v>1.17114844532993</v>
      </c>
      <c r="S439" s="1">
        <f t="shared" si="1450"/>
        <v>0.599019558654745</v>
      </c>
      <c r="T439" s="1">
        <f t="shared" si="1450"/>
        <v>3.66869734196679</v>
      </c>
      <c r="U439" s="1">
        <f t="shared" si="1450"/>
        <v>1</v>
      </c>
      <c r="V439" s="1">
        <f t="shared" si="1450"/>
        <v>1.46663550478843</v>
      </c>
      <c r="W439" s="1">
        <f t="shared" si="1450"/>
        <v>1.26330530050758</v>
      </c>
      <c r="X439" s="1">
        <f t="shared" si="1450"/>
        <v>2.36918756263942</v>
      </c>
      <c r="Y439" s="1">
        <f t="shared" si="1323"/>
        <v>11.3875398064195</v>
      </c>
      <c r="Z439" s="1">
        <f t="shared" si="1324"/>
        <v>23.5189777637925</v>
      </c>
      <c r="AA439" s="1">
        <f t="shared" si="1301"/>
        <v>3714532.5943097</v>
      </c>
      <c r="AB439" s="1">
        <f t="shared" si="1302"/>
        <v>78640.9419521213</v>
      </c>
      <c r="AC439" s="1">
        <f t="shared" si="1303"/>
        <v>52427.2946347475</v>
      </c>
      <c r="AD439" s="1">
        <f>AC439/(AC439+[1]战斗公式!$M$27)</f>
        <v>0.685976062417255</v>
      </c>
      <c r="AE439" s="1">
        <f t="shared" si="1304"/>
        <v>11828819.8756533</v>
      </c>
      <c r="AF439" s="1">
        <f t="shared" si="1305"/>
        <v>13.2087829466985</v>
      </c>
      <c r="AG439" s="1">
        <f t="shared" si="1306"/>
        <v>6.39549656921947</v>
      </c>
      <c r="AH439" s="1">
        <f t="shared" si="1307"/>
        <v>4.93115276901194</v>
      </c>
      <c r="AI439" s="1">
        <f t="shared" si="1308"/>
        <v>1.91779461982712</v>
      </c>
      <c r="AJ439" s="1">
        <f t="shared" si="1309"/>
        <v>1.00000000034493</v>
      </c>
      <c r="AK439" s="1">
        <f t="shared" si="1310"/>
        <v>1.00010994045285</v>
      </c>
      <c r="AL439" s="1">
        <f t="shared" si="1311"/>
        <v>0.93958528522499</v>
      </c>
      <c r="AM439" s="27">
        <f t="shared" si="1312"/>
        <v>2864035</v>
      </c>
      <c r="AN439" s="27">
        <f t="shared" si="1313"/>
        <v>150817</v>
      </c>
      <c r="AO439" s="27">
        <f t="shared" si="1314"/>
        <v>52427</v>
      </c>
      <c r="AP439" s="1">
        <f t="shared" si="1315"/>
        <v>1386876</v>
      </c>
      <c r="AQ439" s="1">
        <f t="shared" si="1316"/>
        <v>141705</v>
      </c>
      <c r="AR439"/>
      <c r="AS439" s="1">
        <f t="shared" ref="AS439:AY439" si="1451">ROUNDUP(AS$10*$AP439,0)</f>
        <v>1386876</v>
      </c>
      <c r="AT439" s="1">
        <f t="shared" si="1451"/>
        <v>4160628</v>
      </c>
      <c r="AU439" s="1">
        <f t="shared" si="1451"/>
        <v>2496377</v>
      </c>
      <c r="AV439" s="1">
        <f t="shared" si="1451"/>
        <v>693438</v>
      </c>
      <c r="AW439" s="1">
        <f t="shared" si="1451"/>
        <v>208032</v>
      </c>
      <c r="AX439" s="1">
        <f t="shared" si="1451"/>
        <v>5547504</v>
      </c>
      <c r="AY439" s="1">
        <f t="shared" si="1451"/>
        <v>12481884</v>
      </c>
      <c r="AZ439" s="1">
        <f t="shared" si="1318"/>
        <v>171842100</v>
      </c>
      <c r="BA439" s="1">
        <f t="shared" si="1319"/>
        <v>85921050</v>
      </c>
      <c r="BC439" s="1">
        <f t="shared" si="1320"/>
        <v>428</v>
      </c>
    </row>
    <row r="440" s="1" customFormat="1" spans="2:55">
      <c r="B440" s="4">
        <v>429</v>
      </c>
      <c r="C440" s="1">
        <f t="shared" ref="C440:I440" si="1452">C$5+(C$6-C$5)*(POWER(C$7,$B440-1)-1)/(POWER(C$7,$B$3-1)-1)</f>
        <v>33892.2002551801</v>
      </c>
      <c r="D440" s="1">
        <f t="shared" si="1452"/>
        <v>10167.660076554</v>
      </c>
      <c r="E440" s="1">
        <f t="shared" si="1452"/>
        <v>6778.44005103602</v>
      </c>
      <c r="F440" s="1">
        <f t="shared" si="1452"/>
        <v>124414.406000028</v>
      </c>
      <c r="G440" s="1">
        <f t="shared" si="1452"/>
        <v>37324.3218000085</v>
      </c>
      <c r="H440" s="1">
        <f t="shared" si="1452"/>
        <v>24882.8812000056</v>
      </c>
      <c r="I440" s="1">
        <f t="shared" si="1452"/>
        <v>0</v>
      </c>
      <c r="J440" s="1">
        <f>[1]标准模型!$I$65/1*$B440/$B$3</f>
        <v>3.0888</v>
      </c>
      <c r="K440" s="1">
        <f>J440*[1]标准模型!$J$63</f>
        <v>3.0888</v>
      </c>
      <c r="L440" s="1">
        <f t="shared" si="1297"/>
        <v>158306.606255208</v>
      </c>
      <c r="M440" s="1">
        <f t="shared" si="1298"/>
        <v>78897.8503210225</v>
      </c>
      <c r="N440" s="1">
        <f t="shared" si="1299"/>
        <v>52598.5668806817</v>
      </c>
      <c r="O440" s="1">
        <f t="shared" ref="O440:X440" si="1453">O$5+(O$6-O$5)*(POWER(O$7,$B440-1)-1)/(POWER(O$7,$B$3-1)-1)</f>
        <v>0.928872938981509</v>
      </c>
      <c r="P440" s="1">
        <f t="shared" si="1453"/>
        <v>0.323325553591179</v>
      </c>
      <c r="Q440" s="1">
        <f t="shared" si="1453"/>
        <v>0.51088011643983</v>
      </c>
      <c r="R440" s="1">
        <f t="shared" si="1453"/>
        <v>1.1715491755926</v>
      </c>
      <c r="S440" s="1">
        <f t="shared" si="1453"/>
        <v>0.600422114574112</v>
      </c>
      <c r="T440" s="1">
        <f t="shared" si="1453"/>
        <v>3.67260446202788</v>
      </c>
      <c r="U440" s="1">
        <f t="shared" si="1453"/>
        <v>1</v>
      </c>
      <c r="V440" s="1">
        <f t="shared" si="1453"/>
        <v>1.4677280941371</v>
      </c>
      <c r="W440" s="1">
        <f t="shared" si="1453"/>
        <v>1.26392180860401</v>
      </c>
      <c r="X440" s="1">
        <f t="shared" si="1453"/>
        <v>2.37239340474083</v>
      </c>
      <c r="Y440" s="1">
        <f t="shared" si="1323"/>
        <v>11.4576827977658</v>
      </c>
      <c r="Z440" s="1">
        <f t="shared" si="1324"/>
        <v>23.677775673062</v>
      </c>
      <c r="AA440" s="1">
        <f t="shared" si="1301"/>
        <v>3748348.31047457</v>
      </c>
      <c r="AB440" s="1">
        <f t="shared" si="1302"/>
        <v>78897.8503210225</v>
      </c>
      <c r="AC440" s="1">
        <f t="shared" si="1303"/>
        <v>52598.5668806817</v>
      </c>
      <c r="AD440" s="1">
        <f>AC440/(AC440+[1]战斗公式!$M$27)</f>
        <v>0.686678211129132</v>
      </c>
      <c r="AE440" s="1">
        <f t="shared" si="1304"/>
        <v>11963254.5313324</v>
      </c>
      <c r="AF440" s="1">
        <f t="shared" si="1305"/>
        <v>13.2338856500227</v>
      </c>
      <c r="AG440" s="1">
        <f t="shared" si="1306"/>
        <v>6.40388126205506</v>
      </c>
      <c r="AH440" s="1">
        <f t="shared" si="1307"/>
        <v>4.9323867774754</v>
      </c>
      <c r="AI440" s="1">
        <f t="shared" si="1308"/>
        <v>1.92273528975455</v>
      </c>
      <c r="AJ440" s="1">
        <f t="shared" si="1309"/>
        <v>1.00000000032724</v>
      </c>
      <c r="AK440" s="1">
        <f t="shared" si="1310"/>
        <v>1.00010707183641</v>
      </c>
      <c r="AL440" s="1">
        <f t="shared" si="1311"/>
        <v>0.939745901832674</v>
      </c>
      <c r="AM440" s="27">
        <f t="shared" si="1312"/>
        <v>2887047</v>
      </c>
      <c r="AN440" s="27">
        <f t="shared" si="1313"/>
        <v>151700</v>
      </c>
      <c r="AO440" s="27">
        <f t="shared" si="1314"/>
        <v>52599</v>
      </c>
      <c r="AP440" s="1">
        <f t="shared" si="1315"/>
        <v>1397192</v>
      </c>
      <c r="AQ440" s="1">
        <f t="shared" si="1316"/>
        <v>142559</v>
      </c>
      <c r="AR440"/>
      <c r="AS440" s="1">
        <f t="shared" ref="AS440:AY440" si="1454">ROUNDUP(AS$10*$AP440,0)</f>
        <v>1397192</v>
      </c>
      <c r="AT440" s="1">
        <f t="shared" si="1454"/>
        <v>4191576</v>
      </c>
      <c r="AU440" s="1">
        <f t="shared" si="1454"/>
        <v>2514946</v>
      </c>
      <c r="AV440" s="1">
        <f t="shared" si="1454"/>
        <v>698596</v>
      </c>
      <c r="AW440" s="1">
        <f t="shared" si="1454"/>
        <v>209579</v>
      </c>
      <c r="AX440" s="1">
        <f t="shared" si="1454"/>
        <v>5588768</v>
      </c>
      <c r="AY440" s="1">
        <f t="shared" si="1454"/>
        <v>12574728</v>
      </c>
      <c r="AZ440" s="1">
        <f t="shared" si="1318"/>
        <v>173222820</v>
      </c>
      <c r="BA440" s="1">
        <f t="shared" si="1319"/>
        <v>86611410</v>
      </c>
      <c r="BC440" s="1">
        <f t="shared" si="1320"/>
        <v>429</v>
      </c>
    </row>
    <row r="441" s="1" customFormat="1" spans="2:55">
      <c r="B441" s="4">
        <v>430</v>
      </c>
      <c r="C441" s="1">
        <f t="shared" ref="C441:I441" si="1455">C$5+(C$6-C$5)*(POWER(C$7,$B441-1)-1)/(POWER(C$7,$B$3-1)-1)</f>
        <v>33971.1861146133</v>
      </c>
      <c r="D441" s="1">
        <f t="shared" si="1455"/>
        <v>10191.355834384</v>
      </c>
      <c r="E441" s="1">
        <f t="shared" si="1455"/>
        <v>6794.23722292266</v>
      </c>
      <c r="F441" s="1">
        <f t="shared" si="1455"/>
        <v>124704.354091618</v>
      </c>
      <c r="G441" s="1">
        <f t="shared" si="1455"/>
        <v>37411.3062274855</v>
      </c>
      <c r="H441" s="1">
        <f t="shared" si="1455"/>
        <v>24940.8708183237</v>
      </c>
      <c r="I441" s="1">
        <f t="shared" si="1455"/>
        <v>0</v>
      </c>
      <c r="J441" s="1">
        <f>[1]标准模型!$I$65/1*$B441/$B$3</f>
        <v>3.096</v>
      </c>
      <c r="K441" s="1">
        <f>J441*[1]标准模型!$J$63</f>
        <v>3.096</v>
      </c>
      <c r="L441" s="1">
        <f t="shared" si="1297"/>
        <v>158675.540206231</v>
      </c>
      <c r="M441" s="1">
        <f t="shared" si="1298"/>
        <v>79155.0997251224</v>
      </c>
      <c r="N441" s="1">
        <f t="shared" si="1299"/>
        <v>52770.0664834149</v>
      </c>
      <c r="O441" s="1">
        <f t="shared" ref="O441:X441" si="1456">O$5+(O$6-O$5)*(POWER(O$7,$B441-1)-1)/(POWER(O$7,$B$3-1)-1)</f>
        <v>0.929874763636302</v>
      </c>
      <c r="P441" s="1">
        <f t="shared" si="1456"/>
        <v>0.324349799047095</v>
      </c>
      <c r="Q441" s="1">
        <f t="shared" si="1456"/>
        <v>0.511431119999966</v>
      </c>
      <c r="R441" s="1">
        <f t="shared" si="1456"/>
        <v>1.17194990545452</v>
      </c>
      <c r="S441" s="1">
        <f t="shared" si="1456"/>
        <v>0.601824669090822</v>
      </c>
      <c r="T441" s="1">
        <f t="shared" si="1456"/>
        <v>3.67651157818158</v>
      </c>
      <c r="U441" s="1">
        <f t="shared" si="1456"/>
        <v>1</v>
      </c>
      <c r="V441" s="1">
        <f t="shared" si="1456"/>
        <v>1.46882068239309</v>
      </c>
      <c r="W441" s="1">
        <f t="shared" si="1456"/>
        <v>1.26453831608388</v>
      </c>
      <c r="X441" s="1">
        <f t="shared" si="1456"/>
        <v>2.37559924363616</v>
      </c>
      <c r="Y441" s="1">
        <f t="shared" si="1323"/>
        <v>11.5282020014178</v>
      </c>
      <c r="Z441" s="1">
        <f t="shared" si="1324"/>
        <v>23.8375200701148</v>
      </c>
      <c r="AA441" s="1">
        <f t="shared" si="1301"/>
        <v>3782431.37430235</v>
      </c>
      <c r="AB441" s="1">
        <f t="shared" si="1302"/>
        <v>79155.0997251224</v>
      </c>
      <c r="AC441" s="1">
        <f t="shared" si="1303"/>
        <v>52770.0664834149</v>
      </c>
      <c r="AD441" s="1">
        <f>AC441/(AC441+[1]战斗公式!$M$27)</f>
        <v>0.687378152718093</v>
      </c>
      <c r="AE441" s="1">
        <f t="shared" si="1304"/>
        <v>12099062.8364227</v>
      </c>
      <c r="AF441" s="1">
        <f t="shared" si="1305"/>
        <v>13.2590147612606</v>
      </c>
      <c r="AG441" s="1">
        <f t="shared" si="1306"/>
        <v>6.41226939958507</v>
      </c>
      <c r="AH441" s="1">
        <f t="shared" si="1307"/>
        <v>4.93361153087539</v>
      </c>
      <c r="AI441" s="1">
        <f t="shared" si="1308"/>
        <v>1.92768584102183</v>
      </c>
      <c r="AJ441" s="1">
        <f t="shared" si="1309"/>
        <v>1.00000000031044</v>
      </c>
      <c r="AK441" s="1">
        <f t="shared" si="1310"/>
        <v>1.00010426059229</v>
      </c>
      <c r="AL441" s="1">
        <f t="shared" si="1311"/>
        <v>0.939906036590536</v>
      </c>
      <c r="AM441" s="27">
        <f t="shared" si="1312"/>
        <v>2910209</v>
      </c>
      <c r="AN441" s="27">
        <f t="shared" si="1313"/>
        <v>152586</v>
      </c>
      <c r="AO441" s="27">
        <f t="shared" si="1314"/>
        <v>52770</v>
      </c>
      <c r="AP441" s="1">
        <f t="shared" si="1315"/>
        <v>1407570</v>
      </c>
      <c r="AQ441" s="1">
        <f t="shared" si="1316"/>
        <v>143417</v>
      </c>
      <c r="AR441"/>
      <c r="AS441" s="1">
        <f t="shared" ref="AS441:AY441" si="1457">ROUNDUP(AS$10*$AP441,0)</f>
        <v>1407570</v>
      </c>
      <c r="AT441" s="1">
        <f t="shared" si="1457"/>
        <v>4222710</v>
      </c>
      <c r="AU441" s="1">
        <f t="shared" si="1457"/>
        <v>2533626</v>
      </c>
      <c r="AV441" s="1">
        <f t="shared" si="1457"/>
        <v>703785</v>
      </c>
      <c r="AW441" s="1">
        <f t="shared" si="1457"/>
        <v>211136</v>
      </c>
      <c r="AX441" s="1">
        <f t="shared" si="1457"/>
        <v>5630280</v>
      </c>
      <c r="AY441" s="1">
        <f t="shared" si="1457"/>
        <v>12668130</v>
      </c>
      <c r="AZ441" s="1">
        <f t="shared" si="1318"/>
        <v>174612540</v>
      </c>
      <c r="BA441" s="1">
        <f t="shared" si="1319"/>
        <v>87306270</v>
      </c>
      <c r="BC441" s="1">
        <f t="shared" si="1320"/>
        <v>430</v>
      </c>
    </row>
    <row r="442" s="1" customFormat="1" spans="2:55">
      <c r="B442" s="4">
        <v>431</v>
      </c>
      <c r="C442" s="1">
        <f t="shared" ref="C442:I442" si="1458">C$5+(C$6-C$5)*(POWER(C$7,$B442-1)-1)/(POWER(C$7,$B$3-1)-1)</f>
        <v>34050.1718950724</v>
      </c>
      <c r="D442" s="1">
        <f t="shared" si="1458"/>
        <v>10215.0515685217</v>
      </c>
      <c r="E442" s="1">
        <f t="shared" si="1458"/>
        <v>6810.03437901448</v>
      </c>
      <c r="F442" s="1">
        <f t="shared" si="1458"/>
        <v>124994.301893304</v>
      </c>
      <c r="G442" s="1">
        <f t="shared" si="1458"/>
        <v>37498.2905679911</v>
      </c>
      <c r="H442" s="1">
        <f t="shared" si="1458"/>
        <v>24998.8603786608</v>
      </c>
      <c r="I442" s="1">
        <f t="shared" si="1458"/>
        <v>0</v>
      </c>
      <c r="J442" s="1">
        <f>[1]标准模型!$I$65/1*$B442/$B$3</f>
        <v>3.1032</v>
      </c>
      <c r="K442" s="1">
        <f>J442*[1]标准模型!$J$63</f>
        <v>3.1032</v>
      </c>
      <c r="L442" s="1">
        <f t="shared" si="1297"/>
        <v>159044.473788376</v>
      </c>
      <c r="M442" s="1">
        <f t="shared" si="1298"/>
        <v>79412.6901639493</v>
      </c>
      <c r="N442" s="1">
        <f t="shared" si="1299"/>
        <v>52941.793442633</v>
      </c>
      <c r="O442" s="1">
        <f t="shared" ref="O442:X442" si="1459">O$5+(O$6-O$5)*(POWER(O$7,$B442-1)-1)/(POWER(O$7,$B$3-1)-1)</f>
        <v>0.93087658728942</v>
      </c>
      <c r="P442" s="1">
        <f t="shared" si="1459"/>
        <v>0.325375580871195</v>
      </c>
      <c r="Q442" s="1">
        <f t="shared" si="1459"/>
        <v>0.511982123009181</v>
      </c>
      <c r="R442" s="1">
        <f t="shared" si="1459"/>
        <v>1.17235063491577</v>
      </c>
      <c r="S442" s="1">
        <f t="shared" si="1459"/>
        <v>0.603227222205187</v>
      </c>
      <c r="T442" s="1">
        <f t="shared" si="1459"/>
        <v>3.68041869042874</v>
      </c>
      <c r="U442" s="1">
        <f t="shared" si="1459"/>
        <v>1</v>
      </c>
      <c r="V442" s="1">
        <f t="shared" si="1459"/>
        <v>1.46991326955667</v>
      </c>
      <c r="W442" s="1">
        <f t="shared" si="1459"/>
        <v>1.26515482294734</v>
      </c>
      <c r="X442" s="1">
        <f t="shared" si="1459"/>
        <v>2.37880507932614</v>
      </c>
      <c r="Y442" s="1">
        <f t="shared" si="1323"/>
        <v>11.5990991137317</v>
      </c>
      <c r="Z442" s="1">
        <f t="shared" si="1324"/>
        <v>23.9982157918585</v>
      </c>
      <c r="AA442" s="1">
        <f t="shared" si="1301"/>
        <v>3816783.60247604</v>
      </c>
      <c r="AB442" s="1">
        <f t="shared" si="1302"/>
        <v>79412.6901639493</v>
      </c>
      <c r="AC442" s="1">
        <f t="shared" si="1303"/>
        <v>52941.793442633</v>
      </c>
      <c r="AD442" s="1">
        <f>AC442/(AC442+[1]战斗公式!$M$27)</f>
        <v>0.688075895736767</v>
      </c>
      <c r="AE442" s="1">
        <f t="shared" si="1304"/>
        <v>12236257.3148725</v>
      </c>
      <c r="AF442" s="1">
        <f t="shared" si="1305"/>
        <v>13.284170264146</v>
      </c>
      <c r="AG442" s="1">
        <f t="shared" si="1306"/>
        <v>6.42066097221238</v>
      </c>
      <c r="AH442" s="1">
        <f t="shared" si="1307"/>
        <v>4.93482709862487</v>
      </c>
      <c r="AI442" s="1">
        <f t="shared" si="1308"/>
        <v>1.93264629339165</v>
      </c>
      <c r="AJ442" s="1">
        <f t="shared" si="1309"/>
        <v>1.00000000029448</v>
      </c>
      <c r="AK442" s="1">
        <f t="shared" si="1310"/>
        <v>1.00010150557306</v>
      </c>
      <c r="AL442" s="1">
        <f t="shared" si="1311"/>
        <v>0.940065690944124</v>
      </c>
      <c r="AM442" s="27">
        <f t="shared" si="1312"/>
        <v>2933525</v>
      </c>
      <c r="AN442" s="27">
        <f t="shared" si="1313"/>
        <v>153477</v>
      </c>
      <c r="AO442" s="27">
        <f t="shared" si="1314"/>
        <v>52942</v>
      </c>
      <c r="AP442" s="1">
        <f t="shared" si="1315"/>
        <v>1418009</v>
      </c>
      <c r="AQ442" s="1">
        <f t="shared" si="1316"/>
        <v>144278</v>
      </c>
      <c r="AR442"/>
      <c r="AS442" s="1">
        <f t="shared" ref="AS442:AY442" si="1460">ROUNDUP(AS$10*$AP442,0)</f>
        <v>1418009</v>
      </c>
      <c r="AT442" s="1">
        <f t="shared" si="1460"/>
        <v>4254027</v>
      </c>
      <c r="AU442" s="1">
        <f t="shared" si="1460"/>
        <v>2552417</v>
      </c>
      <c r="AV442" s="1">
        <f t="shared" si="1460"/>
        <v>709005</v>
      </c>
      <c r="AW442" s="1">
        <f t="shared" si="1460"/>
        <v>212702</v>
      </c>
      <c r="AX442" s="1">
        <f t="shared" si="1460"/>
        <v>5672036</v>
      </c>
      <c r="AY442" s="1">
        <f t="shared" si="1460"/>
        <v>12762081</v>
      </c>
      <c r="AZ442" s="1">
        <f t="shared" si="1318"/>
        <v>176011500</v>
      </c>
      <c r="BA442" s="1">
        <f t="shared" si="1319"/>
        <v>88005750</v>
      </c>
      <c r="BC442" s="1">
        <f t="shared" si="1320"/>
        <v>431</v>
      </c>
    </row>
    <row r="443" s="1" customFormat="1" spans="2:55">
      <c r="B443" s="4">
        <v>432</v>
      </c>
      <c r="C443" s="1">
        <f t="shared" ref="C443:I443" si="1461">C$5+(C$6-C$5)*(POWER(C$7,$B443-1)-1)/(POWER(C$7,$B$3-1)-1)</f>
        <v>34129.1575965312</v>
      </c>
      <c r="D443" s="1">
        <f t="shared" si="1461"/>
        <v>10238.7472789593</v>
      </c>
      <c r="E443" s="1">
        <f t="shared" si="1461"/>
        <v>6825.83151930623</v>
      </c>
      <c r="F443" s="1">
        <f t="shared" si="1461"/>
        <v>125284.249404988</v>
      </c>
      <c r="G443" s="1">
        <f t="shared" si="1461"/>
        <v>37585.2748214963</v>
      </c>
      <c r="H443" s="1">
        <f t="shared" si="1461"/>
        <v>25056.8498809976</v>
      </c>
      <c r="I443" s="1">
        <f t="shared" si="1461"/>
        <v>0</v>
      </c>
      <c r="J443" s="1">
        <f>[1]标准模型!$I$65/1*$B443/$B$3</f>
        <v>3.1104</v>
      </c>
      <c r="K443" s="1">
        <f>J443*[1]标准模型!$J$63</f>
        <v>3.1104</v>
      </c>
      <c r="L443" s="1">
        <f t="shared" si="1297"/>
        <v>159413.407001519</v>
      </c>
      <c r="M443" s="1">
        <f t="shared" si="1298"/>
        <v>79670.6216369306</v>
      </c>
      <c r="N443" s="1">
        <f t="shared" si="1299"/>
        <v>53113.7477579539</v>
      </c>
      <c r="O443" s="1">
        <f t="shared" ref="O443:X443" si="1462">O$5+(O$6-O$5)*(POWER(O$7,$B443-1)-1)/(POWER(O$7,$B$3-1)-1)</f>
        <v>0.931878409940529</v>
      </c>
      <c r="P443" s="1">
        <f t="shared" si="1462"/>
        <v>0.326402901368032</v>
      </c>
      <c r="Q443" s="1">
        <f t="shared" si="1462"/>
        <v>0.512533125467291</v>
      </c>
      <c r="R443" s="1">
        <f t="shared" si="1462"/>
        <v>1.17275136397621</v>
      </c>
      <c r="S443" s="1">
        <f t="shared" si="1462"/>
        <v>0.60462977391674</v>
      </c>
      <c r="T443" s="1">
        <f t="shared" si="1462"/>
        <v>3.68432579876806</v>
      </c>
      <c r="U443" s="1">
        <f t="shared" si="1462"/>
        <v>1</v>
      </c>
      <c r="V443" s="1">
        <f t="shared" si="1462"/>
        <v>1.47100585562745</v>
      </c>
      <c r="W443" s="1">
        <f t="shared" si="1462"/>
        <v>1.26577132919417</v>
      </c>
      <c r="X443" s="1">
        <f t="shared" si="1462"/>
        <v>2.38201091180969</v>
      </c>
      <c r="Y443" s="1">
        <f t="shared" si="1323"/>
        <v>11.6703758372556</v>
      </c>
      <c r="Z443" s="1">
        <f t="shared" si="1324"/>
        <v>24.1598676956978</v>
      </c>
      <c r="AA443" s="1">
        <f t="shared" si="1301"/>
        <v>3851406.82207713</v>
      </c>
      <c r="AB443" s="1">
        <f t="shared" si="1302"/>
        <v>79670.6216369306</v>
      </c>
      <c r="AC443" s="1">
        <f t="shared" si="1303"/>
        <v>53113.7477579539</v>
      </c>
      <c r="AD443" s="1">
        <f>AC443/(AC443+[1]战斗公式!$M$27)</f>
        <v>0.68877144870028</v>
      </c>
      <c r="AE443" s="1">
        <f t="shared" si="1304"/>
        <v>12374850.5912883</v>
      </c>
      <c r="AF443" s="1">
        <f t="shared" si="1305"/>
        <v>13.309352142415</v>
      </c>
      <c r="AG443" s="1">
        <f t="shared" si="1306"/>
        <v>6.42905597036961</v>
      </c>
      <c r="AH443" s="1">
        <f t="shared" si="1307"/>
        <v>4.93603354961624</v>
      </c>
      <c r="AI443" s="1">
        <f t="shared" si="1308"/>
        <v>1.93761666666621</v>
      </c>
      <c r="AJ443" s="1">
        <f t="shared" si="1309"/>
        <v>1.00000000027931</v>
      </c>
      <c r="AK443" s="1">
        <f t="shared" si="1310"/>
        <v>1.00009880565421</v>
      </c>
      <c r="AL443" s="1">
        <f t="shared" si="1311"/>
        <v>0.940224866334651</v>
      </c>
      <c r="AM443" s="27">
        <f t="shared" si="1312"/>
        <v>2956993</v>
      </c>
      <c r="AN443" s="27">
        <f t="shared" si="1313"/>
        <v>154371</v>
      </c>
      <c r="AO443" s="27">
        <f t="shared" si="1314"/>
        <v>53114</v>
      </c>
      <c r="AP443" s="1">
        <f t="shared" si="1315"/>
        <v>1428511</v>
      </c>
      <c r="AQ443" s="1">
        <f t="shared" si="1316"/>
        <v>145143</v>
      </c>
      <c r="AR443"/>
      <c r="AS443" s="1">
        <f t="shared" ref="AS443:AY443" si="1463">ROUNDUP(AS$10*$AP443,0)</f>
        <v>1428511</v>
      </c>
      <c r="AT443" s="1">
        <f t="shared" si="1463"/>
        <v>4285533</v>
      </c>
      <c r="AU443" s="1">
        <f t="shared" si="1463"/>
        <v>2571320</v>
      </c>
      <c r="AV443" s="1">
        <f t="shared" si="1463"/>
        <v>714256</v>
      </c>
      <c r="AW443" s="1">
        <f t="shared" si="1463"/>
        <v>214277</v>
      </c>
      <c r="AX443" s="1">
        <f t="shared" si="1463"/>
        <v>5714044</v>
      </c>
      <c r="AY443" s="1">
        <f t="shared" si="1463"/>
        <v>12856599</v>
      </c>
      <c r="AZ443" s="1">
        <f t="shared" si="1318"/>
        <v>177419580</v>
      </c>
      <c r="BA443" s="1">
        <f t="shared" si="1319"/>
        <v>88709790</v>
      </c>
      <c r="BC443" s="1">
        <f t="shared" si="1320"/>
        <v>432</v>
      </c>
    </row>
    <row r="444" s="1" customFormat="1" spans="2:55">
      <c r="B444" s="4">
        <v>433</v>
      </c>
      <c r="C444" s="1">
        <f t="shared" ref="C444:I444" si="1464">C$5+(C$6-C$5)*(POWER(C$7,$B444-1)-1)/(POWER(C$7,$B$3-1)-1)</f>
        <v>34208.1432190159</v>
      </c>
      <c r="D444" s="1">
        <f t="shared" si="1464"/>
        <v>10262.4429657048</v>
      </c>
      <c r="E444" s="1">
        <f t="shared" si="1464"/>
        <v>6841.62864380317</v>
      </c>
      <c r="F444" s="1">
        <f t="shared" si="1464"/>
        <v>125574.196626767</v>
      </c>
      <c r="G444" s="1">
        <f t="shared" si="1464"/>
        <v>37672.2589880301</v>
      </c>
      <c r="H444" s="1">
        <f t="shared" si="1464"/>
        <v>25114.8393253534</v>
      </c>
      <c r="I444" s="1">
        <f t="shared" si="1464"/>
        <v>0</v>
      </c>
      <c r="J444" s="1">
        <f>[1]标准模型!$I$65/1*$B444/$B$3</f>
        <v>3.1176</v>
      </c>
      <c r="K444" s="1">
        <f>J444*[1]标准模型!$J$63</f>
        <v>3.1176</v>
      </c>
      <c r="L444" s="1">
        <f t="shared" si="1297"/>
        <v>159782.339845783</v>
      </c>
      <c r="M444" s="1">
        <f t="shared" si="1298"/>
        <v>79928.8941436162</v>
      </c>
      <c r="N444" s="1">
        <f t="shared" si="1299"/>
        <v>53285.9294290773</v>
      </c>
      <c r="O444" s="1">
        <f t="shared" ref="O444:X444" si="1465">O$5+(O$6-O$5)*(POWER(O$7,$B444-1)-1)/(POWER(O$7,$B$3-1)-1)</f>
        <v>0.932880231589963</v>
      </c>
      <c r="P444" s="1">
        <f t="shared" si="1465"/>
        <v>0.327431762845614</v>
      </c>
      <c r="Q444" s="1">
        <f t="shared" si="1465"/>
        <v>0.51308412737448</v>
      </c>
      <c r="R444" s="1">
        <f t="shared" si="1465"/>
        <v>1.17315209263599</v>
      </c>
      <c r="S444" s="1">
        <f t="shared" si="1465"/>
        <v>0.606032324225948</v>
      </c>
      <c r="T444" s="1">
        <f t="shared" si="1465"/>
        <v>3.68823290320086</v>
      </c>
      <c r="U444" s="1">
        <f t="shared" si="1465"/>
        <v>1</v>
      </c>
      <c r="V444" s="1">
        <f t="shared" si="1465"/>
        <v>1.47209844060581</v>
      </c>
      <c r="W444" s="1">
        <f t="shared" si="1465"/>
        <v>1.26638783482459</v>
      </c>
      <c r="X444" s="1">
        <f t="shared" si="1465"/>
        <v>2.38521674108788</v>
      </c>
      <c r="Y444" s="1">
        <f t="shared" si="1323"/>
        <v>11.7420338808225</v>
      </c>
      <c r="Z444" s="1">
        <f t="shared" si="1324"/>
        <v>24.3224806597867</v>
      </c>
      <c r="AA444" s="1">
        <f t="shared" si="1301"/>
        <v>3886302.87067452</v>
      </c>
      <c r="AB444" s="1">
        <f t="shared" si="1302"/>
        <v>79928.8941436162</v>
      </c>
      <c r="AC444" s="1">
        <f t="shared" si="1303"/>
        <v>53285.9294290773</v>
      </c>
      <c r="AD444" s="1">
        <f>AC444/(AC444+[1]战斗公式!$M$27)</f>
        <v>0.689464820087025</v>
      </c>
      <c r="AE444" s="1">
        <f t="shared" si="1304"/>
        <v>12514855.3917905</v>
      </c>
      <c r="AF444" s="1">
        <f t="shared" si="1305"/>
        <v>13.3345603798463</v>
      </c>
      <c r="AG444" s="1">
        <f t="shared" si="1306"/>
        <v>6.4374543845316</v>
      </c>
      <c r="AH444" s="1">
        <f t="shared" si="1307"/>
        <v>4.93723095222517</v>
      </c>
      <c r="AI444" s="1">
        <f t="shared" si="1308"/>
        <v>1.94259698068731</v>
      </c>
      <c r="AJ444" s="1">
        <f t="shared" si="1309"/>
        <v>1.00000000026491</v>
      </c>
      <c r="AK444" s="1">
        <f t="shared" si="1310"/>
        <v>1.00009615973373</v>
      </c>
      <c r="AL444" s="1">
        <f t="shared" si="1311"/>
        <v>0.940383564199007</v>
      </c>
      <c r="AM444" s="27">
        <f t="shared" si="1312"/>
        <v>2980615</v>
      </c>
      <c r="AN444" s="27">
        <f t="shared" si="1313"/>
        <v>155270</v>
      </c>
      <c r="AO444" s="27">
        <f t="shared" si="1314"/>
        <v>53286</v>
      </c>
      <c r="AP444" s="1">
        <f t="shared" si="1315"/>
        <v>1439074</v>
      </c>
      <c r="AQ444" s="1">
        <f t="shared" si="1316"/>
        <v>146013</v>
      </c>
      <c r="AR444"/>
      <c r="AS444" s="1">
        <f t="shared" ref="AS444:AY444" si="1466">ROUNDUP(AS$10*$AP444,0)</f>
        <v>1439074</v>
      </c>
      <c r="AT444" s="1">
        <f t="shared" si="1466"/>
        <v>4317222</v>
      </c>
      <c r="AU444" s="1">
        <f t="shared" si="1466"/>
        <v>2590334</v>
      </c>
      <c r="AV444" s="1">
        <f t="shared" si="1466"/>
        <v>719537</v>
      </c>
      <c r="AW444" s="1">
        <f t="shared" si="1466"/>
        <v>215862</v>
      </c>
      <c r="AX444" s="1">
        <f t="shared" si="1466"/>
        <v>5756296</v>
      </c>
      <c r="AY444" s="1">
        <f t="shared" si="1466"/>
        <v>12951666</v>
      </c>
      <c r="AZ444" s="1">
        <f t="shared" si="1318"/>
        <v>178836900</v>
      </c>
      <c r="BA444" s="1">
        <f t="shared" si="1319"/>
        <v>89418450</v>
      </c>
      <c r="BC444" s="1">
        <f t="shared" si="1320"/>
        <v>433</v>
      </c>
    </row>
    <row r="445" s="1" customFormat="1" spans="2:55">
      <c r="B445" s="4">
        <v>434</v>
      </c>
      <c r="C445" s="1">
        <f t="shared" ref="C445:I445" si="1467">C$5+(C$6-C$5)*(POWER(C$7,$B445-1)-1)/(POWER(C$7,$B$3-1)-1)</f>
        <v>34287.1287625089</v>
      </c>
      <c r="D445" s="1">
        <f t="shared" si="1467"/>
        <v>10286.1386287527</v>
      </c>
      <c r="E445" s="1">
        <f t="shared" si="1467"/>
        <v>6857.42575250179</v>
      </c>
      <c r="F445" s="1">
        <f t="shared" si="1467"/>
        <v>125864.143558577</v>
      </c>
      <c r="G445" s="1">
        <f t="shared" si="1467"/>
        <v>37759.2430675731</v>
      </c>
      <c r="H445" s="1">
        <f t="shared" si="1467"/>
        <v>25172.8287117154</v>
      </c>
      <c r="I445" s="1">
        <f t="shared" si="1467"/>
        <v>0</v>
      </c>
      <c r="J445" s="1">
        <f>[1]标准模型!$I$65/1*$B445/$B$3</f>
        <v>3.1248</v>
      </c>
      <c r="K445" s="1">
        <f>J445*[1]标准模型!$J$63</f>
        <v>3.1248</v>
      </c>
      <c r="L445" s="1">
        <f t="shared" si="1297"/>
        <v>160151.272321086</v>
      </c>
      <c r="M445" s="1">
        <f t="shared" si="1298"/>
        <v>80187.5076834522</v>
      </c>
      <c r="N445" s="1">
        <f t="shared" si="1299"/>
        <v>53458.3384556348</v>
      </c>
      <c r="O445" s="1">
        <f t="shared" ref="O445:X445" si="1468">O$5+(O$6-O$5)*(POWER(O$7,$B445-1)-1)/(POWER(O$7,$B$3-1)-1)</f>
        <v>0.9338820522375</v>
      </c>
      <c r="P445" s="1">
        <f t="shared" si="1468"/>
        <v>0.328462167615412</v>
      </c>
      <c r="Q445" s="1">
        <f t="shared" si="1468"/>
        <v>0.513635128730625</v>
      </c>
      <c r="R445" s="1">
        <f t="shared" si="1468"/>
        <v>1.173552820895</v>
      </c>
      <c r="S445" s="1">
        <f t="shared" si="1468"/>
        <v>0.607434873132499</v>
      </c>
      <c r="T445" s="1">
        <f t="shared" si="1468"/>
        <v>3.69214000372625</v>
      </c>
      <c r="U445" s="1">
        <f t="shared" si="1468"/>
        <v>1</v>
      </c>
      <c r="V445" s="1">
        <f t="shared" si="1468"/>
        <v>1.4731910244915</v>
      </c>
      <c r="W445" s="1">
        <f t="shared" si="1468"/>
        <v>1.26700433983846</v>
      </c>
      <c r="X445" s="1">
        <f t="shared" si="1468"/>
        <v>2.38842256716</v>
      </c>
      <c r="Y445" s="1">
        <f t="shared" si="1323"/>
        <v>11.8140749594944</v>
      </c>
      <c r="Z445" s="1">
        <f t="shared" si="1324"/>
        <v>24.48605958292</v>
      </c>
      <c r="AA445" s="1">
        <f t="shared" si="1301"/>
        <v>3921473.59633456</v>
      </c>
      <c r="AB445" s="1">
        <f t="shared" si="1302"/>
        <v>80187.5076834522</v>
      </c>
      <c r="AC445" s="1">
        <f t="shared" si="1303"/>
        <v>53458.3384556348</v>
      </c>
      <c r="AD445" s="1">
        <f>AC445/(AC445+[1]战斗公式!$M$27)</f>
        <v>0.690156018338215</v>
      </c>
      <c r="AE445" s="1">
        <f t="shared" si="1304"/>
        <v>12656284.5445716</v>
      </c>
      <c r="AF445" s="1">
        <f t="shared" si="1305"/>
        <v>13.3597949602215</v>
      </c>
      <c r="AG445" s="1">
        <f t="shared" si="1306"/>
        <v>6.44585620520288</v>
      </c>
      <c r="AH445" s="1">
        <f t="shared" si="1307"/>
        <v>4.93841937431453</v>
      </c>
      <c r="AI445" s="1">
        <f t="shared" si="1308"/>
        <v>1.94758725533646</v>
      </c>
      <c r="AJ445" s="1">
        <f t="shared" si="1309"/>
        <v>1.00000000025122</v>
      </c>
      <c r="AK445" s="1">
        <f t="shared" si="1310"/>
        <v>1.00009356673167</v>
      </c>
      <c r="AL445" s="1">
        <f t="shared" si="1311"/>
        <v>0.94054178596977</v>
      </c>
      <c r="AM445" s="27">
        <f t="shared" si="1312"/>
        <v>3004392</v>
      </c>
      <c r="AN445" s="27">
        <f t="shared" si="1313"/>
        <v>156172</v>
      </c>
      <c r="AO445" s="27">
        <f t="shared" si="1314"/>
        <v>53458</v>
      </c>
      <c r="AP445" s="1">
        <f t="shared" si="1315"/>
        <v>1449700</v>
      </c>
      <c r="AQ445" s="1">
        <f t="shared" si="1316"/>
        <v>146886</v>
      </c>
      <c r="AR445"/>
      <c r="AS445" s="1">
        <f t="shared" ref="AS445:AY445" si="1469">ROUNDUP(AS$10*$AP445,0)</f>
        <v>1449700</v>
      </c>
      <c r="AT445" s="1">
        <f t="shared" si="1469"/>
        <v>4349100</v>
      </c>
      <c r="AU445" s="1">
        <f t="shared" si="1469"/>
        <v>2609460</v>
      </c>
      <c r="AV445" s="1">
        <f t="shared" si="1469"/>
        <v>724850</v>
      </c>
      <c r="AW445" s="1">
        <f t="shared" si="1469"/>
        <v>217455</v>
      </c>
      <c r="AX445" s="1">
        <f t="shared" si="1469"/>
        <v>5798800</v>
      </c>
      <c r="AY445" s="1">
        <f t="shared" si="1469"/>
        <v>13047300</v>
      </c>
      <c r="AZ445" s="1">
        <f t="shared" si="1318"/>
        <v>180263520</v>
      </c>
      <c r="BA445" s="1">
        <f t="shared" si="1319"/>
        <v>90131760</v>
      </c>
      <c r="BC445" s="1">
        <f t="shared" si="1320"/>
        <v>434</v>
      </c>
    </row>
    <row r="446" s="1" customFormat="1" spans="2:55">
      <c r="B446" s="4">
        <v>435</v>
      </c>
      <c r="C446" s="1">
        <f t="shared" ref="C446:I446" si="1470">C$5+(C$6-C$5)*(POWER(C$7,$B446-1)-1)/(POWER(C$7,$B$3-1)-1)</f>
        <v>34366.114227028</v>
      </c>
      <c r="D446" s="1">
        <f t="shared" si="1470"/>
        <v>10309.8342681084</v>
      </c>
      <c r="E446" s="1">
        <f t="shared" si="1470"/>
        <v>6873.22284540559</v>
      </c>
      <c r="F446" s="1">
        <f t="shared" si="1470"/>
        <v>126154.090200482</v>
      </c>
      <c r="G446" s="1">
        <f t="shared" si="1470"/>
        <v>37846.2270601447</v>
      </c>
      <c r="H446" s="1">
        <f t="shared" si="1470"/>
        <v>25230.8180400965</v>
      </c>
      <c r="I446" s="1">
        <f t="shared" si="1470"/>
        <v>0</v>
      </c>
      <c r="J446" s="1">
        <f>[1]标准模型!$I$65/1*$B446/$B$3</f>
        <v>3.132</v>
      </c>
      <c r="K446" s="1">
        <f>J446*[1]标准模型!$J$63</f>
        <v>3.132</v>
      </c>
      <c r="L446" s="1">
        <f t="shared" si="1297"/>
        <v>160520.20442751</v>
      </c>
      <c r="M446" s="1">
        <f t="shared" si="1298"/>
        <v>80446.4622559686</v>
      </c>
      <c r="N446" s="1">
        <f t="shared" si="1299"/>
        <v>53630.9748373124</v>
      </c>
      <c r="O446" s="1">
        <f t="shared" ref="O446:X446" si="1471">O$5+(O$6-O$5)*(POWER(O$7,$B446-1)-1)/(POWER(O$7,$B$3-1)-1)</f>
        <v>0.934883871883361</v>
      </c>
      <c r="P446" s="1">
        <f t="shared" si="1471"/>
        <v>0.329494117992364</v>
      </c>
      <c r="Q446" s="1">
        <f t="shared" si="1471"/>
        <v>0.514186129535849</v>
      </c>
      <c r="R446" s="1">
        <f t="shared" si="1471"/>
        <v>1.17395354875334</v>
      </c>
      <c r="S446" s="1">
        <f t="shared" si="1471"/>
        <v>0.608837420636705</v>
      </c>
      <c r="T446" s="1">
        <f t="shared" si="1471"/>
        <v>3.69604710034511</v>
      </c>
      <c r="U446" s="1">
        <f t="shared" si="1471"/>
        <v>1</v>
      </c>
      <c r="V446" s="1">
        <f t="shared" si="1471"/>
        <v>1.47428360728476</v>
      </c>
      <c r="W446" s="1">
        <f t="shared" si="1471"/>
        <v>1.26762084423591</v>
      </c>
      <c r="X446" s="1">
        <f t="shared" si="1471"/>
        <v>2.39162839002676</v>
      </c>
      <c r="Y446" s="1">
        <f t="shared" si="1323"/>
        <v>11.8865007946434</v>
      </c>
      <c r="Z446" s="1">
        <f t="shared" si="1324"/>
        <v>24.6506093847546</v>
      </c>
      <c r="AA446" s="1">
        <f t="shared" si="1301"/>
        <v>3956920.8577035</v>
      </c>
      <c r="AB446" s="1">
        <f t="shared" si="1302"/>
        <v>80446.4622559686</v>
      </c>
      <c r="AC446" s="1">
        <f t="shared" si="1303"/>
        <v>53630.9748373124</v>
      </c>
      <c r="AD446" s="1">
        <f>AC446/(AC446+[1]战斗公式!$M$27)</f>
        <v>0.690845051858544</v>
      </c>
      <c r="AE446" s="1">
        <f t="shared" si="1304"/>
        <v>12799150.980734</v>
      </c>
      <c r="AF446" s="1">
        <f t="shared" si="1305"/>
        <v>13.3850558673559</v>
      </c>
      <c r="AG446" s="1">
        <f t="shared" si="1306"/>
        <v>6.45426142292733</v>
      </c>
      <c r="AH446" s="1">
        <f t="shared" si="1307"/>
        <v>4.93959888323823</v>
      </c>
      <c r="AI446" s="1">
        <f t="shared" si="1308"/>
        <v>1.95258751053491</v>
      </c>
      <c r="AJ446" s="1">
        <f t="shared" si="1309"/>
        <v>1.00000000023822</v>
      </c>
      <c r="AK446" s="1">
        <f t="shared" si="1310"/>
        <v>1.00009102558965</v>
      </c>
      <c r="AL446" s="1">
        <f t="shared" si="1311"/>
        <v>0.94069953307522</v>
      </c>
      <c r="AM446" s="27">
        <f t="shared" si="1312"/>
        <v>3028325</v>
      </c>
      <c r="AN446" s="27">
        <f t="shared" si="1313"/>
        <v>157079</v>
      </c>
      <c r="AO446" s="27">
        <f t="shared" si="1314"/>
        <v>53631</v>
      </c>
      <c r="AP446" s="1">
        <f t="shared" si="1315"/>
        <v>1460388</v>
      </c>
      <c r="AQ446" s="1">
        <f t="shared" si="1316"/>
        <v>147764</v>
      </c>
      <c r="AR446"/>
      <c r="AS446" s="1">
        <f t="shared" ref="AS446:AY446" si="1472">ROUNDUP(AS$10*$AP446,0)</f>
        <v>1460388</v>
      </c>
      <c r="AT446" s="1">
        <f t="shared" si="1472"/>
        <v>4381164</v>
      </c>
      <c r="AU446" s="1">
        <f t="shared" si="1472"/>
        <v>2628699</v>
      </c>
      <c r="AV446" s="1">
        <f t="shared" si="1472"/>
        <v>730194</v>
      </c>
      <c r="AW446" s="1">
        <f t="shared" si="1472"/>
        <v>219059</v>
      </c>
      <c r="AX446" s="1">
        <f t="shared" si="1472"/>
        <v>5841552</v>
      </c>
      <c r="AY446" s="1">
        <f t="shared" si="1472"/>
        <v>13143492</v>
      </c>
      <c r="AZ446" s="1">
        <f t="shared" si="1318"/>
        <v>181699500</v>
      </c>
      <c r="BA446" s="1">
        <f t="shared" si="1319"/>
        <v>90849750</v>
      </c>
      <c r="BC446" s="1">
        <f t="shared" si="1320"/>
        <v>435</v>
      </c>
    </row>
    <row r="447" s="1" customFormat="1" spans="2:55">
      <c r="B447" s="4">
        <v>436</v>
      </c>
      <c r="C447" s="1">
        <f t="shared" ref="C447:I447" si="1473">C$5+(C$6-C$5)*(POWER(C$7,$B447-1)-1)/(POWER(C$7,$B$3-1)-1)</f>
        <v>34445.0996125466</v>
      </c>
      <c r="D447" s="1">
        <f t="shared" si="1473"/>
        <v>10333.529883764</v>
      </c>
      <c r="E447" s="1">
        <f t="shared" si="1473"/>
        <v>6889.01992250932</v>
      </c>
      <c r="F447" s="1">
        <f t="shared" si="1473"/>
        <v>126444.036552386</v>
      </c>
      <c r="G447" s="1">
        <f t="shared" si="1473"/>
        <v>37933.2109657159</v>
      </c>
      <c r="H447" s="1">
        <f t="shared" si="1473"/>
        <v>25288.8073104772</v>
      </c>
      <c r="I447" s="1">
        <f t="shared" si="1473"/>
        <v>0</v>
      </c>
      <c r="J447" s="1">
        <f>[1]标准模型!$I$65/1*$B447/$B$3</f>
        <v>3.1392</v>
      </c>
      <c r="K447" s="1">
        <f>J447*[1]标准模型!$J$63</f>
        <v>3.1392</v>
      </c>
      <c r="L447" s="1">
        <f t="shared" si="1297"/>
        <v>160889.136164933</v>
      </c>
      <c r="M447" s="1">
        <f t="shared" si="1298"/>
        <v>80705.7578605919</v>
      </c>
      <c r="N447" s="1">
        <f t="shared" si="1299"/>
        <v>53803.8385737278</v>
      </c>
      <c r="O447" s="1">
        <f t="shared" ref="O447:X447" si="1474">O$5+(O$6-O$5)*(POWER(O$7,$B447-1)-1)/(POWER(O$7,$B$3-1)-1)</f>
        <v>0.935885690527214</v>
      </c>
      <c r="P447" s="1">
        <f t="shared" si="1474"/>
        <v>0.330527616294883</v>
      </c>
      <c r="Q447" s="1">
        <f t="shared" si="1474"/>
        <v>0.514737129789968</v>
      </c>
      <c r="R447" s="1">
        <f t="shared" si="1474"/>
        <v>1.17435427621089</v>
      </c>
      <c r="S447" s="1">
        <f t="shared" si="1474"/>
        <v>0.610239966738099</v>
      </c>
      <c r="T447" s="1">
        <f t="shared" si="1474"/>
        <v>3.69995419305613</v>
      </c>
      <c r="U447" s="1">
        <f t="shared" si="1474"/>
        <v>1</v>
      </c>
      <c r="V447" s="1">
        <f t="shared" si="1474"/>
        <v>1.47537618898524</v>
      </c>
      <c r="W447" s="1">
        <f t="shared" si="1474"/>
        <v>1.26823734801675</v>
      </c>
      <c r="X447" s="1">
        <f t="shared" si="1474"/>
        <v>2.39483420968708</v>
      </c>
      <c r="Y447" s="1">
        <f t="shared" si="1323"/>
        <v>11.9593131139072</v>
      </c>
      <c r="Z447" s="1">
        <f t="shared" si="1324"/>
        <v>24.8161350057323</v>
      </c>
      <c r="AA447" s="1">
        <f t="shared" si="1301"/>
        <v>3992646.52402461</v>
      </c>
      <c r="AB447" s="1">
        <f t="shared" si="1302"/>
        <v>80705.7578605919</v>
      </c>
      <c r="AC447" s="1">
        <f t="shared" si="1303"/>
        <v>53803.8385737278</v>
      </c>
      <c r="AD447" s="1">
        <f>AC447/(AC447+[1]战斗公式!$M$27)</f>
        <v>0.69153192901585</v>
      </c>
      <c r="AE447" s="1">
        <f t="shared" si="1304"/>
        <v>12943467.7348819</v>
      </c>
      <c r="AF447" s="1">
        <f t="shared" si="1305"/>
        <v>13.4103430850682</v>
      </c>
      <c r="AG447" s="1">
        <f t="shared" si="1306"/>
        <v>6.46267002827816</v>
      </c>
      <c r="AH447" s="1">
        <f t="shared" si="1307"/>
        <v>4.94076954584499</v>
      </c>
      <c r="AI447" s="1">
        <f t="shared" si="1308"/>
        <v>1.95759776624375</v>
      </c>
      <c r="AJ447" s="1">
        <f t="shared" si="1309"/>
        <v>1.00000000022587</v>
      </c>
      <c r="AK447" s="1">
        <f t="shared" si="1310"/>
        <v>1.00008853527047</v>
      </c>
      <c r="AL447" s="1">
        <f t="shared" si="1311"/>
        <v>0.940856806939354</v>
      </c>
      <c r="AM447" s="27">
        <f t="shared" si="1312"/>
        <v>3052414</v>
      </c>
      <c r="AN447" s="27">
        <f t="shared" si="1313"/>
        <v>157989</v>
      </c>
      <c r="AO447" s="27">
        <f t="shared" si="1314"/>
        <v>53804</v>
      </c>
      <c r="AP447" s="1">
        <f t="shared" si="1315"/>
        <v>1471140</v>
      </c>
      <c r="AQ447" s="1">
        <f t="shared" si="1316"/>
        <v>148645</v>
      </c>
      <c r="AR447"/>
      <c r="AS447" s="1">
        <f t="shared" ref="AS447:AY447" si="1475">ROUNDUP(AS$10*$AP447,0)</f>
        <v>1471140</v>
      </c>
      <c r="AT447" s="1">
        <f t="shared" si="1475"/>
        <v>4413420</v>
      </c>
      <c r="AU447" s="1">
        <f t="shared" si="1475"/>
        <v>2648052</v>
      </c>
      <c r="AV447" s="1">
        <f t="shared" si="1475"/>
        <v>735570</v>
      </c>
      <c r="AW447" s="1">
        <f t="shared" si="1475"/>
        <v>220671</v>
      </c>
      <c r="AX447" s="1">
        <f t="shared" si="1475"/>
        <v>5884560</v>
      </c>
      <c r="AY447" s="1">
        <f t="shared" si="1475"/>
        <v>13240260</v>
      </c>
      <c r="AZ447" s="1">
        <f t="shared" si="1318"/>
        <v>183144840</v>
      </c>
      <c r="BA447" s="1">
        <f t="shared" si="1319"/>
        <v>91572420</v>
      </c>
      <c r="BC447" s="1">
        <f t="shared" si="1320"/>
        <v>436</v>
      </c>
    </row>
    <row r="448" s="1" customFormat="1" spans="2:55">
      <c r="B448" s="4">
        <v>437</v>
      </c>
      <c r="C448" s="1">
        <f t="shared" ref="C448:I448" si="1476">C$5+(C$6-C$5)*(POWER(C$7,$B448-1)-1)/(POWER(C$7,$B$3-1)-1)</f>
        <v>34524.0849190912</v>
      </c>
      <c r="D448" s="1">
        <f t="shared" si="1476"/>
        <v>10357.2254757274</v>
      </c>
      <c r="E448" s="1">
        <f t="shared" si="1476"/>
        <v>6904.81698381824</v>
      </c>
      <c r="F448" s="1">
        <f t="shared" si="1476"/>
        <v>126733.982614385</v>
      </c>
      <c r="G448" s="1">
        <f t="shared" si="1476"/>
        <v>38020.1947843156</v>
      </c>
      <c r="H448" s="1">
        <f t="shared" si="1476"/>
        <v>25346.7965228771</v>
      </c>
      <c r="I448" s="1">
        <f t="shared" si="1476"/>
        <v>0</v>
      </c>
      <c r="J448" s="1">
        <f>[1]标准模型!$I$65/1*$B448/$B$3</f>
        <v>3.1464</v>
      </c>
      <c r="K448" s="1">
        <f>J448*[1]标准模型!$J$63</f>
        <v>3.1464</v>
      </c>
      <c r="L448" s="1">
        <f t="shared" si="1297"/>
        <v>161258.067533476</v>
      </c>
      <c r="M448" s="1">
        <f t="shared" si="1298"/>
        <v>80965.3944968717</v>
      </c>
      <c r="N448" s="1">
        <f t="shared" si="1299"/>
        <v>53976.9296645811</v>
      </c>
      <c r="O448" s="1">
        <f t="shared" ref="O448:X448" si="1477">O$5+(O$6-O$5)*(POWER(O$7,$B448-1)-1)/(POWER(O$7,$B$3-1)-1)</f>
        <v>0.936887508169392</v>
      </c>
      <c r="P448" s="1">
        <f t="shared" si="1477"/>
        <v>0.331562664844854</v>
      </c>
      <c r="Q448" s="1">
        <f t="shared" si="1477"/>
        <v>0.515288129493165</v>
      </c>
      <c r="R448" s="1">
        <f t="shared" si="1477"/>
        <v>1.17475500326776</v>
      </c>
      <c r="S448" s="1">
        <f t="shared" si="1477"/>
        <v>0.611642511437148</v>
      </c>
      <c r="T448" s="1">
        <f t="shared" si="1477"/>
        <v>3.70386128186063</v>
      </c>
      <c r="U448" s="1">
        <f t="shared" si="1477"/>
        <v>1</v>
      </c>
      <c r="V448" s="1">
        <f t="shared" si="1477"/>
        <v>1.47646876959329</v>
      </c>
      <c r="W448" s="1">
        <f t="shared" si="1477"/>
        <v>1.26885385118116</v>
      </c>
      <c r="X448" s="1">
        <f t="shared" si="1477"/>
        <v>2.39804002614205</v>
      </c>
      <c r="Y448" s="1">
        <f t="shared" si="1323"/>
        <v>12.0325136512861</v>
      </c>
      <c r="Z448" s="1">
        <f t="shared" si="1324"/>
        <v>24.9826414073371</v>
      </c>
      <c r="AA448" s="1">
        <f t="shared" si="1301"/>
        <v>4028652.47522898</v>
      </c>
      <c r="AB448" s="1">
        <f t="shared" si="1302"/>
        <v>80965.3944968717</v>
      </c>
      <c r="AC448" s="1">
        <f t="shared" si="1303"/>
        <v>53976.9296645811</v>
      </c>
      <c r="AD448" s="1">
        <f>AC448/(AC448+[1]战斗公式!$M$27)</f>
        <v>0.692216658141884</v>
      </c>
      <c r="AE448" s="1">
        <f t="shared" si="1304"/>
        <v>13089247.9459988</v>
      </c>
      <c r="AF448" s="1">
        <f t="shared" si="1305"/>
        <v>13.4356565972182</v>
      </c>
      <c r="AG448" s="1">
        <f t="shared" si="1306"/>
        <v>6.47108201187009</v>
      </c>
      <c r="AH448" s="1">
        <f t="shared" si="1307"/>
        <v>4.94193142848221</v>
      </c>
      <c r="AI448" s="1">
        <f t="shared" si="1308"/>
        <v>1.96261804246401</v>
      </c>
      <c r="AJ448" s="1">
        <f t="shared" si="1309"/>
        <v>1.00000000021414</v>
      </c>
      <c r="AK448" s="1">
        <f t="shared" si="1310"/>
        <v>1.00008609475767</v>
      </c>
      <c r="AL448" s="1">
        <f t="shared" si="1311"/>
        <v>0.941013608981896</v>
      </c>
      <c r="AM448" s="27">
        <f t="shared" si="1312"/>
        <v>3076661</v>
      </c>
      <c r="AN448" s="27">
        <f t="shared" si="1313"/>
        <v>158904</v>
      </c>
      <c r="AO448" s="27">
        <f t="shared" si="1314"/>
        <v>53977</v>
      </c>
      <c r="AP448" s="1">
        <f t="shared" si="1315"/>
        <v>1481955</v>
      </c>
      <c r="AQ448" s="1">
        <f t="shared" si="1316"/>
        <v>149531</v>
      </c>
      <c r="AR448"/>
      <c r="AS448" s="1">
        <f t="shared" ref="AS448:AY448" si="1478">ROUNDUP(AS$10*$AP448,0)</f>
        <v>1481955</v>
      </c>
      <c r="AT448" s="1">
        <f t="shared" si="1478"/>
        <v>4445865</v>
      </c>
      <c r="AU448" s="1">
        <f t="shared" si="1478"/>
        <v>2667519</v>
      </c>
      <c r="AV448" s="1">
        <f t="shared" si="1478"/>
        <v>740978</v>
      </c>
      <c r="AW448" s="1">
        <f t="shared" si="1478"/>
        <v>222294</v>
      </c>
      <c r="AX448" s="1">
        <f t="shared" si="1478"/>
        <v>5927820</v>
      </c>
      <c r="AY448" s="1">
        <f t="shared" si="1478"/>
        <v>13337595</v>
      </c>
      <c r="AZ448" s="1">
        <f t="shared" si="1318"/>
        <v>184599660</v>
      </c>
      <c r="BA448" s="1">
        <f t="shared" si="1319"/>
        <v>92299830</v>
      </c>
      <c r="BC448" s="1">
        <f t="shared" si="1320"/>
        <v>437</v>
      </c>
    </row>
    <row r="449" s="1" customFormat="1" spans="2:55">
      <c r="B449" s="4">
        <v>438</v>
      </c>
      <c r="C449" s="1">
        <f t="shared" ref="C449:I449" si="1479">C$5+(C$6-C$5)*(POWER(C$7,$B449-1)-1)/(POWER(C$7,$B$3-1)-1)</f>
        <v>34603.0701466442</v>
      </c>
      <c r="D449" s="1">
        <f t="shared" si="1479"/>
        <v>10380.9210439932</v>
      </c>
      <c r="E449" s="1">
        <f t="shared" si="1479"/>
        <v>6920.61402932883</v>
      </c>
      <c r="F449" s="1">
        <f t="shared" si="1479"/>
        <v>127023.928386415</v>
      </c>
      <c r="G449" s="1">
        <f t="shared" si="1479"/>
        <v>38107.1785159246</v>
      </c>
      <c r="H449" s="1">
        <f t="shared" si="1479"/>
        <v>25404.7856772831</v>
      </c>
      <c r="I449" s="1">
        <f t="shared" si="1479"/>
        <v>0</v>
      </c>
      <c r="J449" s="1">
        <f>[1]标准模型!$I$65/1*$B449/$B$3</f>
        <v>3.1536</v>
      </c>
      <c r="K449" s="1">
        <f>J449*[1]标准模型!$J$63</f>
        <v>3.1536</v>
      </c>
      <c r="L449" s="1">
        <f t="shared" si="1297"/>
        <v>161626.998533059</v>
      </c>
      <c r="M449" s="1">
        <f t="shared" si="1298"/>
        <v>81225.3721642547</v>
      </c>
      <c r="N449" s="1">
        <f t="shared" si="1299"/>
        <v>54150.2481095033</v>
      </c>
      <c r="O449" s="1">
        <f t="shared" ref="O449:X449" si="1480">O$5+(O$6-O$5)*(POWER(O$7,$B449-1)-1)/(POWER(O$7,$B$3-1)-1)</f>
        <v>0.937889324809672</v>
      </c>
      <c r="P449" s="1">
        <f t="shared" si="1480"/>
        <v>0.332599265967651</v>
      </c>
      <c r="Q449" s="1">
        <f t="shared" si="1480"/>
        <v>0.51583912864532</v>
      </c>
      <c r="R449" s="1">
        <f t="shared" si="1480"/>
        <v>1.17515572992387</v>
      </c>
      <c r="S449" s="1">
        <f t="shared" si="1480"/>
        <v>0.613045054733541</v>
      </c>
      <c r="T449" s="1">
        <f t="shared" si="1480"/>
        <v>3.70776836675772</v>
      </c>
      <c r="U449" s="1">
        <f t="shared" si="1480"/>
        <v>1</v>
      </c>
      <c r="V449" s="1">
        <f t="shared" si="1480"/>
        <v>1.47756134910867</v>
      </c>
      <c r="W449" s="1">
        <f t="shared" si="1480"/>
        <v>1.26947035372903</v>
      </c>
      <c r="X449" s="1">
        <f t="shared" si="1480"/>
        <v>2.40124583939095</v>
      </c>
      <c r="Y449" s="1">
        <f t="shared" si="1323"/>
        <v>12.1061041470842</v>
      </c>
      <c r="Z449" s="1">
        <f t="shared" si="1324"/>
        <v>25.1501335719831</v>
      </c>
      <c r="AA449" s="1">
        <f t="shared" si="1301"/>
        <v>4064940.60194515</v>
      </c>
      <c r="AB449" s="1">
        <f t="shared" si="1302"/>
        <v>81225.3721642547</v>
      </c>
      <c r="AC449" s="1">
        <f t="shared" si="1303"/>
        <v>54150.2481095033</v>
      </c>
      <c r="AD449" s="1">
        <f>AC449/(AC449+[1]战斗公式!$M$27)</f>
        <v>0.692899247531864</v>
      </c>
      <c r="AE449" s="1">
        <f t="shared" si="1304"/>
        <v>13236504.858017</v>
      </c>
      <c r="AF449" s="1">
        <f t="shared" si="1305"/>
        <v>13.460996387668</v>
      </c>
      <c r="AG449" s="1">
        <f t="shared" si="1306"/>
        <v>6.47949736434672</v>
      </c>
      <c r="AH449" s="1">
        <f t="shared" si="1307"/>
        <v>4.94308459699964</v>
      </c>
      <c r="AI449" s="1">
        <f t="shared" si="1308"/>
        <v>1.96764835923671</v>
      </c>
      <c r="AJ449" s="1">
        <f t="shared" si="1309"/>
        <v>1.00000000020299</v>
      </c>
      <c r="AK449" s="1">
        <f t="shared" si="1310"/>
        <v>1.00008370305513</v>
      </c>
      <c r="AL449" s="1">
        <f t="shared" si="1311"/>
        <v>0.94116994061831</v>
      </c>
      <c r="AM449" s="27">
        <f t="shared" si="1312"/>
        <v>3101065</v>
      </c>
      <c r="AN449" s="27">
        <f t="shared" si="1313"/>
        <v>159823</v>
      </c>
      <c r="AO449" s="27">
        <f t="shared" si="1314"/>
        <v>54150</v>
      </c>
      <c r="AP449" s="1">
        <f t="shared" si="1315"/>
        <v>1492834</v>
      </c>
      <c r="AQ449" s="1">
        <f t="shared" si="1316"/>
        <v>150421</v>
      </c>
      <c r="AR449"/>
      <c r="AS449" s="1">
        <f t="shared" ref="AS449:AY449" si="1481">ROUNDUP(AS$10*$AP449,0)</f>
        <v>1492834</v>
      </c>
      <c r="AT449" s="1">
        <f t="shared" si="1481"/>
        <v>4478502</v>
      </c>
      <c r="AU449" s="1">
        <f t="shared" si="1481"/>
        <v>2687102</v>
      </c>
      <c r="AV449" s="1">
        <f t="shared" si="1481"/>
        <v>746417</v>
      </c>
      <c r="AW449" s="1">
        <f t="shared" si="1481"/>
        <v>223926</v>
      </c>
      <c r="AX449" s="1">
        <f t="shared" si="1481"/>
        <v>5971336</v>
      </c>
      <c r="AY449" s="1">
        <f t="shared" si="1481"/>
        <v>13435506</v>
      </c>
      <c r="AZ449" s="1">
        <f t="shared" si="1318"/>
        <v>186063900</v>
      </c>
      <c r="BA449" s="1">
        <f t="shared" si="1319"/>
        <v>93031950</v>
      </c>
      <c r="BC449" s="1">
        <f t="shared" si="1320"/>
        <v>438</v>
      </c>
    </row>
    <row r="450" s="1" customFormat="1" spans="2:55">
      <c r="B450" s="4">
        <v>439</v>
      </c>
      <c r="C450" s="1">
        <f t="shared" ref="C450:I450" si="1482">C$5+(C$6-C$5)*(POWER(C$7,$B450-1)-1)/(POWER(C$7,$B$3-1)-1)</f>
        <v>34682.0552952143</v>
      </c>
      <c r="D450" s="1">
        <f t="shared" si="1482"/>
        <v>10404.6165885643</v>
      </c>
      <c r="E450" s="1">
        <f t="shared" si="1482"/>
        <v>6936.41105904286</v>
      </c>
      <c r="F450" s="1">
        <f t="shared" si="1482"/>
        <v>127313.873868508</v>
      </c>
      <c r="G450" s="1">
        <f t="shared" si="1482"/>
        <v>38194.1621605525</v>
      </c>
      <c r="H450" s="1">
        <f t="shared" si="1482"/>
        <v>25462.7747737016</v>
      </c>
      <c r="I450" s="1">
        <f t="shared" si="1482"/>
        <v>0</v>
      </c>
      <c r="J450" s="1">
        <f>[1]标准模型!$I$65/1*$B450/$B$3</f>
        <v>3.1608</v>
      </c>
      <c r="K450" s="1">
        <f>J450*[1]标准模型!$J$63</f>
        <v>3.1608</v>
      </c>
      <c r="L450" s="1">
        <f t="shared" si="1297"/>
        <v>161995.929163722</v>
      </c>
      <c r="M450" s="1">
        <f t="shared" si="1298"/>
        <v>81485.6908622508</v>
      </c>
      <c r="N450" s="1">
        <f t="shared" si="1299"/>
        <v>54323.7939081671</v>
      </c>
      <c r="O450" s="1">
        <f t="shared" ref="O450:X450" si="1483">O$5+(O$6-O$5)*(POWER(O$7,$B450-1)-1)/(POWER(O$7,$B$3-1)-1)</f>
        <v>0.938891140448166</v>
      </c>
      <c r="P450" s="1">
        <f t="shared" si="1483"/>
        <v>0.333637421992133</v>
      </c>
      <c r="Q450" s="1">
        <f t="shared" si="1483"/>
        <v>0.516390127246491</v>
      </c>
      <c r="R450" s="1">
        <f t="shared" si="1483"/>
        <v>1.17555645617927</v>
      </c>
      <c r="S450" s="1">
        <f t="shared" si="1483"/>
        <v>0.614447596627432</v>
      </c>
      <c r="T450" s="1">
        <f t="shared" si="1483"/>
        <v>3.71167544774785</v>
      </c>
      <c r="U450" s="1">
        <f t="shared" si="1483"/>
        <v>1</v>
      </c>
      <c r="V450" s="1">
        <f t="shared" si="1483"/>
        <v>1.4786539275315</v>
      </c>
      <c r="W450" s="1">
        <f t="shared" si="1483"/>
        <v>1.27008685566041</v>
      </c>
      <c r="X450" s="1">
        <f t="shared" si="1483"/>
        <v>2.40445164943413</v>
      </c>
      <c r="Y450" s="1">
        <f t="shared" si="1323"/>
        <v>12.1800863479849</v>
      </c>
      <c r="Z450" s="1">
        <f t="shared" si="1324"/>
        <v>25.3186165032235</v>
      </c>
      <c r="AA450" s="1">
        <f t="shared" si="1301"/>
        <v>4101512.80557965</v>
      </c>
      <c r="AB450" s="1">
        <f t="shared" si="1302"/>
        <v>81485.6908622508</v>
      </c>
      <c r="AC450" s="1">
        <f t="shared" si="1303"/>
        <v>54323.7939081671</v>
      </c>
      <c r="AD450" s="1">
        <f>AC450/(AC450+[1]战斗公式!$M$27)</f>
        <v>0.693579705445073</v>
      </c>
      <c r="AE450" s="1">
        <f t="shared" si="1304"/>
        <v>13385251.8206637</v>
      </c>
      <c r="AF450" s="1">
        <f t="shared" si="1305"/>
        <v>13.4863624403104</v>
      </c>
      <c r="AG450" s="1">
        <f t="shared" si="1306"/>
        <v>6.48791607638939</v>
      </c>
      <c r="AH450" s="1">
        <f t="shared" si="1307"/>
        <v>4.9442291167532</v>
      </c>
      <c r="AI450" s="1">
        <f t="shared" si="1308"/>
        <v>1.97268873664296</v>
      </c>
      <c r="AJ450" s="1">
        <f t="shared" si="1309"/>
        <v>1.0000000001924</v>
      </c>
      <c r="AK450" s="1">
        <f t="shared" si="1310"/>
        <v>1.00008135918664</v>
      </c>
      <c r="AL450" s="1">
        <f t="shared" si="1311"/>
        <v>0.941325803259814</v>
      </c>
      <c r="AM450" s="27">
        <f t="shared" si="1312"/>
        <v>3125629</v>
      </c>
      <c r="AN450" s="27">
        <f t="shared" si="1313"/>
        <v>160746</v>
      </c>
      <c r="AO450" s="27">
        <f t="shared" si="1314"/>
        <v>54324</v>
      </c>
      <c r="AP450" s="1">
        <f t="shared" si="1315"/>
        <v>1503776</v>
      </c>
      <c r="AQ450" s="1">
        <f t="shared" si="1316"/>
        <v>151314</v>
      </c>
      <c r="AR450"/>
      <c r="AS450" s="1">
        <f t="shared" ref="AS450:AY450" si="1484">ROUNDUP(AS$10*$AP450,0)</f>
        <v>1503776</v>
      </c>
      <c r="AT450" s="1">
        <f t="shared" si="1484"/>
        <v>4511328</v>
      </c>
      <c r="AU450" s="1">
        <f t="shared" si="1484"/>
        <v>2706797</v>
      </c>
      <c r="AV450" s="1">
        <f t="shared" si="1484"/>
        <v>751888</v>
      </c>
      <c r="AW450" s="1">
        <f t="shared" si="1484"/>
        <v>225567</v>
      </c>
      <c r="AX450" s="1">
        <f t="shared" si="1484"/>
        <v>6015104</v>
      </c>
      <c r="AY450" s="1">
        <f t="shared" si="1484"/>
        <v>13533984</v>
      </c>
      <c r="AZ450" s="1">
        <f t="shared" si="1318"/>
        <v>187537740</v>
      </c>
      <c r="BA450" s="1">
        <f t="shared" si="1319"/>
        <v>93768870</v>
      </c>
      <c r="BC450" s="1">
        <f t="shared" si="1320"/>
        <v>439</v>
      </c>
    </row>
    <row r="451" s="1" customFormat="1" spans="2:55">
      <c r="B451" s="4">
        <v>440</v>
      </c>
      <c r="C451" s="1">
        <f t="shared" ref="C451:I451" si="1485">C$5+(C$6-C$5)*(POWER(C$7,$B451-1)-1)/(POWER(C$7,$B$3-1)-1)</f>
        <v>34761.0403647928</v>
      </c>
      <c r="D451" s="1">
        <f t="shared" si="1485"/>
        <v>10428.3121094379</v>
      </c>
      <c r="E451" s="1">
        <f t="shared" si="1485"/>
        <v>6952.20807295857</v>
      </c>
      <c r="F451" s="1">
        <f t="shared" si="1485"/>
        <v>127603.819060632</v>
      </c>
      <c r="G451" s="1">
        <f t="shared" si="1485"/>
        <v>38281.1457181896</v>
      </c>
      <c r="H451" s="1">
        <f t="shared" si="1485"/>
        <v>25520.7638121264</v>
      </c>
      <c r="I451" s="1">
        <f t="shared" si="1485"/>
        <v>0</v>
      </c>
      <c r="J451" s="1">
        <f>[1]标准模型!$I$65/1*$B451/$B$3</f>
        <v>3.168</v>
      </c>
      <c r="K451" s="1">
        <f>J451*[1]标准模型!$J$63</f>
        <v>3.168</v>
      </c>
      <c r="L451" s="1">
        <f t="shared" si="1297"/>
        <v>162364.859425425</v>
      </c>
      <c r="M451" s="1">
        <f t="shared" si="1298"/>
        <v>81746.3505903268</v>
      </c>
      <c r="N451" s="1">
        <f t="shared" si="1299"/>
        <v>54497.5670602177</v>
      </c>
      <c r="O451" s="1">
        <f t="shared" ref="O451:X451" si="1486">O$5+(O$6-O$5)*(POWER(O$7,$B451-1)-1)/(POWER(O$7,$B$3-1)-1)</f>
        <v>0.939892955084762</v>
      </c>
      <c r="P451" s="1">
        <f t="shared" si="1486"/>
        <v>0.33467713525065</v>
      </c>
      <c r="Q451" s="1">
        <f t="shared" si="1486"/>
        <v>0.516941125296619</v>
      </c>
      <c r="R451" s="1">
        <f t="shared" si="1486"/>
        <v>1.1759571820339</v>
      </c>
      <c r="S451" s="1">
        <f t="shared" si="1486"/>
        <v>0.615850137118667</v>
      </c>
      <c r="T451" s="1">
        <f t="shared" si="1486"/>
        <v>3.71558252483057</v>
      </c>
      <c r="U451" s="1">
        <f t="shared" si="1486"/>
        <v>1</v>
      </c>
      <c r="V451" s="1">
        <f t="shared" si="1486"/>
        <v>1.47974650486167</v>
      </c>
      <c r="W451" s="1">
        <f t="shared" si="1486"/>
        <v>1.27070335697524</v>
      </c>
      <c r="X451" s="1">
        <f t="shared" si="1486"/>
        <v>2.40765745627124</v>
      </c>
      <c r="Y451" s="1">
        <f t="shared" si="1323"/>
        <v>12.2544620070352</v>
      </c>
      <c r="Z451" s="1">
        <f t="shared" si="1324"/>
        <v>25.4880952257386</v>
      </c>
      <c r="AA451" s="1">
        <f t="shared" si="1301"/>
        <v>4138370.99834889</v>
      </c>
      <c r="AB451" s="1">
        <f t="shared" si="1302"/>
        <v>81746.3505903268</v>
      </c>
      <c r="AC451" s="1">
        <f t="shared" si="1303"/>
        <v>54497.5670602177</v>
      </c>
      <c r="AD451" s="1">
        <f>AC451/(AC451+[1]战斗公式!$M$27)</f>
        <v>0.694258040104747</v>
      </c>
      <c r="AE451" s="1">
        <f t="shared" si="1304"/>
        <v>13535502.290123</v>
      </c>
      <c r="AF451" s="1">
        <f t="shared" si="1305"/>
        <v>13.5117547390508</v>
      </c>
      <c r="AG451" s="1">
        <f t="shared" si="1306"/>
        <v>6.4963381387115</v>
      </c>
      <c r="AH451" s="1">
        <f t="shared" si="1307"/>
        <v>4.9453650526086</v>
      </c>
      <c r="AI451" s="1">
        <f t="shared" si="1308"/>
        <v>1.97773919480402</v>
      </c>
      <c r="AJ451" s="1">
        <f t="shared" si="1309"/>
        <v>1.00000000018234</v>
      </c>
      <c r="AK451" s="1">
        <f t="shared" si="1310"/>
        <v>1.00007906219552</v>
      </c>
      <c r="AL451" s="1">
        <f t="shared" si="1311"/>
        <v>0.941481198313395</v>
      </c>
      <c r="AM451" s="27">
        <f t="shared" si="1312"/>
        <v>3150353</v>
      </c>
      <c r="AN451" s="27">
        <f t="shared" si="1313"/>
        <v>161673</v>
      </c>
      <c r="AO451" s="27">
        <f t="shared" si="1314"/>
        <v>54498</v>
      </c>
      <c r="AP451" s="1">
        <f t="shared" si="1315"/>
        <v>1514783</v>
      </c>
      <c r="AQ451" s="1">
        <f t="shared" si="1316"/>
        <v>152212</v>
      </c>
      <c r="AR451"/>
      <c r="AS451" s="1">
        <f t="shared" ref="AS451:AY451" si="1487">ROUNDUP(AS$10*$AP451,0)</f>
        <v>1514783</v>
      </c>
      <c r="AT451" s="1">
        <f t="shared" si="1487"/>
        <v>4544349</v>
      </c>
      <c r="AU451" s="1">
        <f t="shared" si="1487"/>
        <v>2726610</v>
      </c>
      <c r="AV451" s="1">
        <f t="shared" si="1487"/>
        <v>757392</v>
      </c>
      <c r="AW451" s="1">
        <f t="shared" si="1487"/>
        <v>227218</v>
      </c>
      <c r="AX451" s="1">
        <f t="shared" si="1487"/>
        <v>6059132</v>
      </c>
      <c r="AY451" s="1">
        <f t="shared" si="1487"/>
        <v>13633047</v>
      </c>
      <c r="AZ451" s="1">
        <f t="shared" si="1318"/>
        <v>189021180</v>
      </c>
      <c r="BA451" s="1">
        <f t="shared" si="1319"/>
        <v>94510590</v>
      </c>
      <c r="BC451" s="1">
        <f t="shared" si="1320"/>
        <v>440</v>
      </c>
    </row>
    <row r="452" s="1" customFormat="1" spans="2:55">
      <c r="B452" s="4">
        <v>441</v>
      </c>
      <c r="C452" s="1">
        <f t="shared" ref="C452:I452" si="1488">C$5+(C$6-C$5)*(POWER(C$7,$B452-1)-1)/(POWER(C$7,$B$3-1)-1)</f>
        <v>34840.0253553973</v>
      </c>
      <c r="D452" s="1">
        <f t="shared" si="1488"/>
        <v>10452.0076066192</v>
      </c>
      <c r="E452" s="1">
        <f t="shared" si="1488"/>
        <v>6968.00507107946</v>
      </c>
      <c r="F452" s="1">
        <f t="shared" si="1488"/>
        <v>127893.763962851</v>
      </c>
      <c r="G452" s="1">
        <f t="shared" si="1488"/>
        <v>38368.1291888553</v>
      </c>
      <c r="H452" s="1">
        <f t="shared" si="1488"/>
        <v>25578.7527925702</v>
      </c>
      <c r="I452" s="1">
        <f t="shared" si="1488"/>
        <v>0</v>
      </c>
      <c r="J452" s="1">
        <f>[1]标准模型!$I$65/1*$B452/$B$3</f>
        <v>3.1752</v>
      </c>
      <c r="K452" s="1">
        <f>J452*[1]标准模型!$J$63</f>
        <v>3.1752</v>
      </c>
      <c r="L452" s="1">
        <f t="shared" si="1297"/>
        <v>162733.789318248</v>
      </c>
      <c r="M452" s="1">
        <f t="shared" si="1298"/>
        <v>82007.3513480118</v>
      </c>
      <c r="N452" s="1">
        <f t="shared" si="1299"/>
        <v>54671.5675653412</v>
      </c>
      <c r="O452" s="1">
        <f t="shared" ref="O452:X452" si="1489">O$5+(O$6-O$5)*(POWER(O$7,$B452-1)-1)/(POWER(O$7,$B$3-1)-1)</f>
        <v>0.940894768719684</v>
      </c>
      <c r="P452" s="1">
        <f t="shared" si="1489"/>
        <v>0.335718408079056</v>
      </c>
      <c r="Q452" s="1">
        <f t="shared" si="1489"/>
        <v>0.517492122795826</v>
      </c>
      <c r="R452" s="1">
        <f t="shared" si="1489"/>
        <v>1.17635790748787</v>
      </c>
      <c r="S452" s="1">
        <f t="shared" si="1489"/>
        <v>0.617252676207558</v>
      </c>
      <c r="T452" s="1">
        <f t="shared" si="1489"/>
        <v>3.71948959800677</v>
      </c>
      <c r="U452" s="1">
        <f t="shared" si="1489"/>
        <v>1</v>
      </c>
      <c r="V452" s="1">
        <f t="shared" si="1489"/>
        <v>1.48083908109942</v>
      </c>
      <c r="W452" s="1">
        <f t="shared" si="1489"/>
        <v>1.27131985767365</v>
      </c>
      <c r="X452" s="1">
        <f t="shared" si="1489"/>
        <v>2.41086325990299</v>
      </c>
      <c r="Y452" s="1">
        <f t="shared" si="1323"/>
        <v>12.3292328836999</v>
      </c>
      <c r="Z452" s="1">
        <f t="shared" si="1324"/>
        <v>25.6585747854963</v>
      </c>
      <c r="AA452" s="1">
        <f t="shared" si="1301"/>
        <v>4175517.10334947</v>
      </c>
      <c r="AB452" s="1">
        <f t="shared" si="1302"/>
        <v>82007.3513480118</v>
      </c>
      <c r="AC452" s="1">
        <f t="shared" si="1303"/>
        <v>54671.5675653412</v>
      </c>
      <c r="AD452" s="1">
        <f>AC452/(AC452+[1]战斗公式!$M$27)</f>
        <v>0.694934259698504</v>
      </c>
      <c r="AE452" s="1">
        <f t="shared" si="1304"/>
        <v>13687269.8298498</v>
      </c>
      <c r="AF452" s="1">
        <f t="shared" si="1305"/>
        <v>13.5371732678255</v>
      </c>
      <c r="AG452" s="1">
        <f t="shared" si="1306"/>
        <v>6.50476354206392</v>
      </c>
      <c r="AH452" s="1">
        <f t="shared" si="1307"/>
        <v>4.94649246894509</v>
      </c>
      <c r="AI452" s="1">
        <f t="shared" si="1308"/>
        <v>1.9827997538814</v>
      </c>
      <c r="AJ452" s="1">
        <f t="shared" si="1309"/>
        <v>1.00000000017278</v>
      </c>
      <c r="AK452" s="1">
        <f t="shared" si="1310"/>
        <v>1.00007681114422</v>
      </c>
      <c r="AL452" s="1">
        <f t="shared" si="1311"/>
        <v>0.941636127181814</v>
      </c>
      <c r="AM452" s="27">
        <f t="shared" si="1312"/>
        <v>3175237</v>
      </c>
      <c r="AN452" s="27">
        <f t="shared" si="1313"/>
        <v>162604</v>
      </c>
      <c r="AO452" s="27">
        <f t="shared" si="1314"/>
        <v>54672</v>
      </c>
      <c r="AP452" s="1">
        <f t="shared" si="1315"/>
        <v>1525854</v>
      </c>
      <c r="AQ452" s="1">
        <f t="shared" si="1316"/>
        <v>153114</v>
      </c>
      <c r="AR452"/>
      <c r="AS452" s="1">
        <f t="shared" ref="AS452:AY452" si="1490">ROUNDUP(AS$10*$AP452,0)</f>
        <v>1525854</v>
      </c>
      <c r="AT452" s="1">
        <f t="shared" si="1490"/>
        <v>4577562</v>
      </c>
      <c r="AU452" s="1">
        <f t="shared" si="1490"/>
        <v>2746538</v>
      </c>
      <c r="AV452" s="1">
        <f t="shared" si="1490"/>
        <v>762927</v>
      </c>
      <c r="AW452" s="1">
        <f t="shared" si="1490"/>
        <v>228879</v>
      </c>
      <c r="AX452" s="1">
        <f t="shared" si="1490"/>
        <v>6103416</v>
      </c>
      <c r="AY452" s="1">
        <f t="shared" si="1490"/>
        <v>13732686</v>
      </c>
      <c r="AZ452" s="1">
        <f t="shared" si="1318"/>
        <v>190514220</v>
      </c>
      <c r="BA452" s="1">
        <f t="shared" si="1319"/>
        <v>95257110</v>
      </c>
      <c r="BC452" s="1">
        <f t="shared" si="1320"/>
        <v>441</v>
      </c>
    </row>
    <row r="453" s="1" customFormat="1" spans="2:55">
      <c r="B453" s="4">
        <v>442</v>
      </c>
      <c r="C453" s="1">
        <f t="shared" ref="C453:I453" si="1491">C$5+(C$6-C$5)*(POWER(C$7,$B453-1)-1)/(POWER(C$7,$B$3-1)-1)</f>
        <v>34919.0102670102</v>
      </c>
      <c r="D453" s="1">
        <f t="shared" si="1491"/>
        <v>10475.7030801031</v>
      </c>
      <c r="E453" s="1">
        <f t="shared" si="1491"/>
        <v>6983.80205340204</v>
      </c>
      <c r="F453" s="1">
        <f t="shared" si="1491"/>
        <v>128183.708575101</v>
      </c>
      <c r="G453" s="1">
        <f t="shared" si="1491"/>
        <v>38455.1125725302</v>
      </c>
      <c r="H453" s="1">
        <f t="shared" si="1491"/>
        <v>25636.7417150201</v>
      </c>
      <c r="I453" s="1">
        <f t="shared" si="1491"/>
        <v>0</v>
      </c>
      <c r="J453" s="1">
        <f>[1]标准模型!$I$65/1*$B453/$B$3</f>
        <v>3.1824</v>
      </c>
      <c r="K453" s="1">
        <f>J453*[1]标准模型!$J$63</f>
        <v>3.1824</v>
      </c>
      <c r="L453" s="1">
        <f t="shared" si="1297"/>
        <v>163102.718842111</v>
      </c>
      <c r="M453" s="1">
        <f t="shared" si="1298"/>
        <v>82268.6931347534</v>
      </c>
      <c r="N453" s="1">
        <f t="shared" si="1299"/>
        <v>54845.7954231688</v>
      </c>
      <c r="O453" s="1">
        <f t="shared" ref="O453:X453" si="1492">O$5+(O$6-O$5)*(POWER(O$7,$B453-1)-1)/(POWER(O$7,$B$3-1)-1)</f>
        <v>0.941896581352708</v>
      </c>
      <c r="P453" s="1">
        <f t="shared" si="1492"/>
        <v>0.336761242816704</v>
      </c>
      <c r="Q453" s="1">
        <f t="shared" si="1492"/>
        <v>0.518043119743989</v>
      </c>
      <c r="R453" s="1">
        <f t="shared" si="1492"/>
        <v>1.17675863254108</v>
      </c>
      <c r="S453" s="1">
        <f t="shared" si="1492"/>
        <v>0.618655213893791</v>
      </c>
      <c r="T453" s="1">
        <f t="shared" si="1492"/>
        <v>3.72339666727556</v>
      </c>
      <c r="U453" s="1">
        <f t="shared" si="1492"/>
        <v>1</v>
      </c>
      <c r="V453" s="1">
        <f t="shared" si="1492"/>
        <v>1.48193165624449</v>
      </c>
      <c r="W453" s="1">
        <f t="shared" si="1492"/>
        <v>1.27193635775551</v>
      </c>
      <c r="X453" s="1">
        <f t="shared" si="1492"/>
        <v>2.41406906032867</v>
      </c>
      <c r="Y453" s="1">
        <f t="shared" si="1323"/>
        <v>12.4044007438312</v>
      </c>
      <c r="Z453" s="1">
        <f t="shared" si="1324"/>
        <v>25.8300602497046</v>
      </c>
      <c r="AA453" s="1">
        <f t="shared" si="1301"/>
        <v>4212953.05458236</v>
      </c>
      <c r="AB453" s="1">
        <f t="shared" si="1302"/>
        <v>82268.6931347534</v>
      </c>
      <c r="AC453" s="1">
        <f t="shared" si="1303"/>
        <v>54845.7954231688</v>
      </c>
      <c r="AD453" s="1">
        <f>AC453/(AC453+[1]战斗公式!$M$27)</f>
        <v>0.695608372378122</v>
      </c>
      <c r="AE453" s="1">
        <f t="shared" si="1304"/>
        <v>13840568.111209</v>
      </c>
      <c r="AF453" s="1">
        <f t="shared" si="1305"/>
        <v>13.5626180105754</v>
      </c>
      <c r="AG453" s="1">
        <f t="shared" si="1306"/>
        <v>6.51319227722685</v>
      </c>
      <c r="AH453" s="1">
        <f t="shared" si="1307"/>
        <v>4.94761142965906</v>
      </c>
      <c r="AI453" s="1">
        <f t="shared" si="1308"/>
        <v>1.98787043407694</v>
      </c>
      <c r="AJ453" s="1">
        <f t="shared" si="1309"/>
        <v>1.0000000001637</v>
      </c>
      <c r="AK453" s="1">
        <f t="shared" si="1310"/>
        <v>1.00007460511395</v>
      </c>
      <c r="AL453" s="1">
        <f t="shared" si="1311"/>
        <v>0.941790591263628</v>
      </c>
      <c r="AM453" s="27">
        <f t="shared" si="1312"/>
        <v>3200282</v>
      </c>
      <c r="AN453" s="27">
        <f t="shared" si="1313"/>
        <v>163540</v>
      </c>
      <c r="AO453" s="27">
        <f t="shared" si="1314"/>
        <v>54846</v>
      </c>
      <c r="AP453" s="1">
        <f t="shared" si="1315"/>
        <v>1536990</v>
      </c>
      <c r="AQ453" s="1">
        <f t="shared" si="1316"/>
        <v>154020</v>
      </c>
      <c r="AR453"/>
      <c r="AS453" s="1">
        <f t="shared" ref="AS453:AY453" si="1493">ROUNDUP(AS$10*$AP453,0)</f>
        <v>1536990</v>
      </c>
      <c r="AT453" s="1">
        <f t="shared" si="1493"/>
        <v>4610970</v>
      </c>
      <c r="AU453" s="1">
        <f t="shared" si="1493"/>
        <v>2766582</v>
      </c>
      <c r="AV453" s="1">
        <f t="shared" si="1493"/>
        <v>768495</v>
      </c>
      <c r="AW453" s="1">
        <f t="shared" si="1493"/>
        <v>230549</v>
      </c>
      <c r="AX453" s="1">
        <f t="shared" si="1493"/>
        <v>6147960</v>
      </c>
      <c r="AY453" s="1">
        <f t="shared" si="1493"/>
        <v>13832910</v>
      </c>
      <c r="AZ453" s="1">
        <f t="shared" si="1318"/>
        <v>192016920</v>
      </c>
      <c r="BA453" s="1">
        <f t="shared" si="1319"/>
        <v>96008460</v>
      </c>
      <c r="BC453" s="1">
        <f t="shared" si="1320"/>
        <v>442</v>
      </c>
    </row>
    <row r="454" s="1" customFormat="1" spans="2:55">
      <c r="B454" s="4">
        <v>443</v>
      </c>
      <c r="C454" s="1">
        <f t="shared" ref="C454:I454" si="1494">C$5+(C$6-C$5)*(POWER(C$7,$B454-1)-1)/(POWER(C$7,$B$3-1)-1)</f>
        <v>34997.9950996402</v>
      </c>
      <c r="D454" s="1">
        <f t="shared" si="1494"/>
        <v>10499.3985298921</v>
      </c>
      <c r="E454" s="1">
        <f t="shared" si="1494"/>
        <v>6999.59901992805</v>
      </c>
      <c r="F454" s="1">
        <f t="shared" si="1494"/>
        <v>128473.652897414</v>
      </c>
      <c r="G454" s="1">
        <f t="shared" si="1494"/>
        <v>38542.0958692241</v>
      </c>
      <c r="H454" s="1">
        <f t="shared" si="1494"/>
        <v>25694.7305794827</v>
      </c>
      <c r="I454" s="1">
        <f t="shared" si="1494"/>
        <v>0</v>
      </c>
      <c r="J454" s="1">
        <f>[1]标准模型!$I$65/1*$B454/$B$3</f>
        <v>3.1896</v>
      </c>
      <c r="K454" s="1">
        <f>J454*[1]标准模型!$J$63</f>
        <v>3.1896</v>
      </c>
      <c r="L454" s="1">
        <f t="shared" si="1297"/>
        <v>163471.647997054</v>
      </c>
      <c r="M454" s="1">
        <f t="shared" si="1298"/>
        <v>82530.37595006</v>
      </c>
      <c r="N454" s="1">
        <f t="shared" si="1299"/>
        <v>55020.2506333733</v>
      </c>
      <c r="O454" s="1">
        <f t="shared" ref="O454:X454" si="1495">O$5+(O$6-O$5)*(POWER(O$7,$B454-1)-1)/(POWER(O$7,$B$3-1)-1)</f>
        <v>0.942898392983946</v>
      </c>
      <c r="P454" s="1">
        <f t="shared" si="1495"/>
        <v>0.337805641806459</v>
      </c>
      <c r="Q454" s="1">
        <f t="shared" si="1495"/>
        <v>0.51859411614117</v>
      </c>
      <c r="R454" s="1">
        <f t="shared" si="1495"/>
        <v>1.17715935719358</v>
      </c>
      <c r="S454" s="1">
        <f t="shared" si="1495"/>
        <v>0.620057750177524</v>
      </c>
      <c r="T454" s="1">
        <f t="shared" si="1495"/>
        <v>3.72730373263739</v>
      </c>
      <c r="U454" s="1">
        <f t="shared" si="1495"/>
        <v>1</v>
      </c>
      <c r="V454" s="1">
        <f t="shared" si="1495"/>
        <v>1.48302423029702</v>
      </c>
      <c r="W454" s="1">
        <f t="shared" si="1495"/>
        <v>1.27255285722089</v>
      </c>
      <c r="X454" s="1">
        <f t="shared" si="1495"/>
        <v>2.41727485754863</v>
      </c>
      <c r="Y454" s="1">
        <f t="shared" si="1323"/>
        <v>12.4799673597384</v>
      </c>
      <c r="Z454" s="1">
        <f t="shared" si="1324"/>
        <v>26.0025567070075</v>
      </c>
      <c r="AA454" s="1">
        <f t="shared" si="1301"/>
        <v>4250680.79703137</v>
      </c>
      <c r="AB454" s="1">
        <f t="shared" si="1302"/>
        <v>82530.37595006</v>
      </c>
      <c r="AC454" s="1">
        <f t="shared" si="1303"/>
        <v>55020.2506333733</v>
      </c>
      <c r="AD454" s="1">
        <f>AC454/(AC454+[1]战斗公式!$M$27)</f>
        <v>0.696280386260077</v>
      </c>
      <c r="AE454" s="1">
        <f t="shared" si="1304"/>
        <v>13995410.9143286</v>
      </c>
      <c r="AF454" s="1">
        <f t="shared" si="1305"/>
        <v>13.5880889512722</v>
      </c>
      <c r="AG454" s="1">
        <f t="shared" si="1306"/>
        <v>6.52162433501774</v>
      </c>
      <c r="AH454" s="1">
        <f t="shared" si="1307"/>
        <v>4.94872199816766</v>
      </c>
      <c r="AI454" s="1">
        <f t="shared" si="1308"/>
        <v>1.99295125563286</v>
      </c>
      <c r="AJ454" s="1">
        <f t="shared" si="1309"/>
        <v>1.00000000015508</v>
      </c>
      <c r="AK454" s="1">
        <f t="shared" si="1310"/>
        <v>1.00007244320428</v>
      </c>
      <c r="AL454" s="1">
        <f t="shared" si="1311"/>
        <v>0.941944591953197</v>
      </c>
      <c r="AM454" s="27">
        <f t="shared" si="1312"/>
        <v>3225491</v>
      </c>
      <c r="AN454" s="27">
        <f t="shared" si="1313"/>
        <v>164479</v>
      </c>
      <c r="AO454" s="27">
        <f t="shared" si="1314"/>
        <v>55020</v>
      </c>
      <c r="AP454" s="1">
        <f t="shared" si="1315"/>
        <v>1548191</v>
      </c>
      <c r="AQ454" s="1">
        <f t="shared" si="1316"/>
        <v>154930</v>
      </c>
      <c r="AR454"/>
      <c r="AS454" s="1">
        <f t="shared" ref="AS454:AY454" si="1496">ROUNDUP(AS$10*$AP454,0)</f>
        <v>1548191</v>
      </c>
      <c r="AT454" s="1">
        <f t="shared" si="1496"/>
        <v>4644573</v>
      </c>
      <c r="AU454" s="1">
        <f t="shared" si="1496"/>
        <v>2786744</v>
      </c>
      <c r="AV454" s="1">
        <f t="shared" si="1496"/>
        <v>774096</v>
      </c>
      <c r="AW454" s="1">
        <f t="shared" si="1496"/>
        <v>232229</v>
      </c>
      <c r="AX454" s="1">
        <f t="shared" si="1496"/>
        <v>6192764</v>
      </c>
      <c r="AY454" s="1">
        <f t="shared" si="1496"/>
        <v>13933719</v>
      </c>
      <c r="AZ454" s="1">
        <f t="shared" si="1318"/>
        <v>193529460</v>
      </c>
      <c r="BA454" s="1">
        <f t="shared" si="1319"/>
        <v>96764730</v>
      </c>
      <c r="BC454" s="1">
        <f t="shared" si="1320"/>
        <v>443</v>
      </c>
    </row>
    <row r="455" s="1" customFormat="1" spans="2:55">
      <c r="B455" s="4">
        <v>444</v>
      </c>
      <c r="C455" s="1">
        <f t="shared" ref="C455:I455" si="1497">C$5+(C$6-C$5)*(POWER(C$7,$B455-1)-1)/(POWER(C$7,$B$3-1)-1)</f>
        <v>35076.9798532787</v>
      </c>
      <c r="D455" s="1">
        <f t="shared" si="1497"/>
        <v>10523.0939559836</v>
      </c>
      <c r="E455" s="1">
        <f t="shared" si="1497"/>
        <v>7015.39597065573</v>
      </c>
      <c r="F455" s="1">
        <f t="shared" si="1497"/>
        <v>128763.596929757</v>
      </c>
      <c r="G455" s="1">
        <f t="shared" si="1497"/>
        <v>38629.0790789271</v>
      </c>
      <c r="H455" s="1">
        <f t="shared" si="1497"/>
        <v>25752.7193859514</v>
      </c>
      <c r="I455" s="1">
        <f t="shared" si="1497"/>
        <v>0</v>
      </c>
      <c r="J455" s="1">
        <f>[1]标准模型!$I$65/1*$B455/$B$3</f>
        <v>3.1968</v>
      </c>
      <c r="K455" s="1">
        <f>J455*[1]标准模型!$J$63</f>
        <v>3.1968</v>
      </c>
      <c r="L455" s="1">
        <f t="shared" si="1297"/>
        <v>163840.576783036</v>
      </c>
      <c r="M455" s="1">
        <f t="shared" si="1298"/>
        <v>82792.3997933991</v>
      </c>
      <c r="N455" s="1">
        <f t="shared" si="1299"/>
        <v>55194.9331955994</v>
      </c>
      <c r="O455" s="1">
        <f t="shared" ref="O455:X455" si="1498">O$5+(O$6-O$5)*(POWER(O$7,$B455-1)-1)/(POWER(O$7,$B$3-1)-1)</f>
        <v>0.943900203613286</v>
      </c>
      <c r="P455" s="1">
        <f t="shared" si="1498"/>
        <v>0.338851607394698</v>
      </c>
      <c r="Q455" s="1">
        <f t="shared" si="1498"/>
        <v>0.519145111987307</v>
      </c>
      <c r="R455" s="1">
        <f t="shared" si="1498"/>
        <v>1.17756008144531</v>
      </c>
      <c r="S455" s="1">
        <f t="shared" si="1498"/>
        <v>0.6214602850586</v>
      </c>
      <c r="T455" s="1">
        <f t="shared" si="1498"/>
        <v>3.73121079409181</v>
      </c>
      <c r="U455" s="1">
        <f t="shared" si="1498"/>
        <v>1</v>
      </c>
      <c r="V455" s="1">
        <f t="shared" si="1498"/>
        <v>1.48411680325688</v>
      </c>
      <c r="W455" s="1">
        <f t="shared" si="1498"/>
        <v>1.27316935606971</v>
      </c>
      <c r="X455" s="1">
        <f t="shared" si="1498"/>
        <v>2.42048065156251</v>
      </c>
      <c r="Y455" s="1">
        <f t="shared" si="1323"/>
        <v>12.5559345101707</v>
      </c>
      <c r="Z455" s="1">
        <f t="shared" si="1324"/>
        <v>26.1760692674721</v>
      </c>
      <c r="AA455" s="1">
        <f t="shared" si="1301"/>
        <v>4288702.28669532</v>
      </c>
      <c r="AB455" s="1">
        <f t="shared" si="1302"/>
        <v>82792.3997933991</v>
      </c>
      <c r="AC455" s="1">
        <f t="shared" si="1303"/>
        <v>55194.9331955994</v>
      </c>
      <c r="AD455" s="1">
        <f>AC455/(AC455+[1]战斗公式!$M$27)</f>
        <v>0.696950309425432</v>
      </c>
      <c r="AE455" s="1">
        <f t="shared" si="1304"/>
        <v>14151812.1287771</v>
      </c>
      <c r="AF455" s="1">
        <f t="shared" si="1305"/>
        <v>13.6135860738994</v>
      </c>
      <c r="AG455" s="1">
        <f t="shared" si="1306"/>
        <v>6.53005970628532</v>
      </c>
      <c r="AH455" s="1">
        <f t="shared" si="1307"/>
        <v>4.94982423741246</v>
      </c>
      <c r="AI455" s="1">
        <f t="shared" si="1308"/>
        <v>1.9980422388319</v>
      </c>
      <c r="AJ455" s="1">
        <f t="shared" si="1309"/>
        <v>1.00000000014688</v>
      </c>
      <c r="AK455" s="1">
        <f t="shared" si="1310"/>
        <v>1.0000703245328</v>
      </c>
      <c r="AL455" s="1">
        <f t="shared" si="1311"/>
        <v>0.942098130640697</v>
      </c>
      <c r="AM455" s="27">
        <f t="shared" si="1312"/>
        <v>3250862</v>
      </c>
      <c r="AN455" s="27">
        <f t="shared" si="1313"/>
        <v>165423</v>
      </c>
      <c r="AO455" s="27">
        <f t="shared" si="1314"/>
        <v>55195</v>
      </c>
      <c r="AP455" s="1">
        <f t="shared" si="1315"/>
        <v>1559458</v>
      </c>
      <c r="AQ455" s="1">
        <f t="shared" si="1316"/>
        <v>155845</v>
      </c>
      <c r="AR455"/>
      <c r="AS455" s="1">
        <f t="shared" ref="AS455:AY455" si="1499">ROUNDUP(AS$10*$AP455,0)</f>
        <v>1559458</v>
      </c>
      <c r="AT455" s="1">
        <f t="shared" si="1499"/>
        <v>4678374</v>
      </c>
      <c r="AU455" s="1">
        <f t="shared" si="1499"/>
        <v>2807025</v>
      </c>
      <c r="AV455" s="1">
        <f t="shared" si="1499"/>
        <v>779729</v>
      </c>
      <c r="AW455" s="1">
        <f t="shared" si="1499"/>
        <v>233919</v>
      </c>
      <c r="AX455" s="1">
        <f t="shared" si="1499"/>
        <v>6237832</v>
      </c>
      <c r="AY455" s="1">
        <f t="shared" si="1499"/>
        <v>14035122</v>
      </c>
      <c r="AZ455" s="1">
        <f t="shared" si="1318"/>
        <v>195051720</v>
      </c>
      <c r="BA455" s="1">
        <f t="shared" si="1319"/>
        <v>97525860</v>
      </c>
      <c r="BC455" s="1">
        <f t="shared" si="1320"/>
        <v>444</v>
      </c>
    </row>
    <row r="456" s="1" customFormat="1" spans="2:55">
      <c r="B456" s="4">
        <v>445</v>
      </c>
      <c r="C456" s="1">
        <f t="shared" ref="C456:I456" si="1500">C$5+(C$6-C$5)*(POWER(C$7,$B456-1)-1)/(POWER(C$7,$B$3-1)-1)</f>
        <v>35155.964527943</v>
      </c>
      <c r="D456" s="1">
        <f t="shared" si="1500"/>
        <v>10546.7893583829</v>
      </c>
      <c r="E456" s="1">
        <f t="shared" si="1500"/>
        <v>7031.19290558861</v>
      </c>
      <c r="F456" s="1">
        <f t="shared" si="1500"/>
        <v>129053.540672196</v>
      </c>
      <c r="G456" s="1">
        <f t="shared" si="1500"/>
        <v>38716.0622016588</v>
      </c>
      <c r="H456" s="1">
        <f t="shared" si="1500"/>
        <v>25810.7081344392</v>
      </c>
      <c r="I456" s="1">
        <f t="shared" si="1500"/>
        <v>0</v>
      </c>
      <c r="J456" s="1">
        <f>[1]标准模型!$I$65/1*$B456/$B$3</f>
        <v>3.204</v>
      </c>
      <c r="K456" s="1">
        <f>J456*[1]标准模型!$J$63</f>
        <v>3.204</v>
      </c>
      <c r="L456" s="1">
        <f t="shared" si="1297"/>
        <v>164209.505200139</v>
      </c>
      <c r="M456" s="1">
        <f t="shared" si="1298"/>
        <v>83054.7646643005</v>
      </c>
      <c r="N456" s="1">
        <f t="shared" si="1299"/>
        <v>55369.8431095337</v>
      </c>
      <c r="O456" s="1">
        <f t="shared" ref="O456:X456" si="1501">O$5+(O$6-O$5)*(POWER(O$7,$B456-1)-1)/(POWER(O$7,$B$3-1)-1)</f>
        <v>0.944902013240951</v>
      </c>
      <c r="P456" s="1">
        <f t="shared" si="1501"/>
        <v>0.33989914193132</v>
      </c>
      <c r="Q456" s="1">
        <f t="shared" si="1501"/>
        <v>0.519696107282523</v>
      </c>
      <c r="R456" s="1">
        <f t="shared" si="1501"/>
        <v>1.17796080529638</v>
      </c>
      <c r="S456" s="1">
        <f t="shared" si="1501"/>
        <v>0.622862818537331</v>
      </c>
      <c r="T456" s="1">
        <f t="shared" si="1501"/>
        <v>3.73511785163971</v>
      </c>
      <c r="U456" s="1">
        <f t="shared" si="1501"/>
        <v>1</v>
      </c>
      <c r="V456" s="1">
        <f t="shared" si="1501"/>
        <v>1.48520937512432</v>
      </c>
      <c r="W456" s="1">
        <f t="shared" si="1501"/>
        <v>1.27378585430212</v>
      </c>
      <c r="X456" s="1">
        <f t="shared" si="1501"/>
        <v>2.42368644237104</v>
      </c>
      <c r="Y456" s="1">
        <f t="shared" si="1323"/>
        <v>12.6323039803734</v>
      </c>
      <c r="Z456" s="1">
        <f t="shared" si="1324"/>
        <v>26.3506030627518</v>
      </c>
      <c r="AA456" s="1">
        <f t="shared" si="1301"/>
        <v>4327019.49065974</v>
      </c>
      <c r="AB456" s="1">
        <f t="shared" si="1302"/>
        <v>83054.7646643005</v>
      </c>
      <c r="AC456" s="1">
        <f t="shared" si="1303"/>
        <v>55369.8431095337</v>
      </c>
      <c r="AD456" s="1">
        <f>AC456/(AC456+[1]战斗公式!$M$27)</f>
        <v>0.697618149920254</v>
      </c>
      <c r="AE456" s="1">
        <f t="shared" si="1304"/>
        <v>14309785.7543983</v>
      </c>
      <c r="AF456" s="1">
        <f t="shared" si="1305"/>
        <v>13.6391093624713</v>
      </c>
      <c r="AG456" s="1">
        <f t="shared" si="1306"/>
        <v>6.53849838191528</v>
      </c>
      <c r="AH456" s="1">
        <f t="shared" si="1307"/>
        <v>4.95091820986292</v>
      </c>
      <c r="AI456" s="1">
        <f t="shared" si="1308"/>
        <v>2.00314340399734</v>
      </c>
      <c r="AJ456" s="1">
        <f t="shared" si="1309"/>
        <v>1.0000000001391</v>
      </c>
      <c r="AK456" s="1">
        <f t="shared" si="1310"/>
        <v>1.00006824823476</v>
      </c>
      <c r="AL456" s="1">
        <f t="shared" si="1311"/>
        <v>0.942251208712135</v>
      </c>
      <c r="AM456" s="27">
        <f t="shared" si="1312"/>
        <v>3276397</v>
      </c>
      <c r="AN456" s="27">
        <f t="shared" si="1313"/>
        <v>166371</v>
      </c>
      <c r="AO456" s="27">
        <f t="shared" si="1314"/>
        <v>55370</v>
      </c>
      <c r="AP456" s="1">
        <f t="shared" si="1315"/>
        <v>1570790</v>
      </c>
      <c r="AQ456" s="1">
        <f t="shared" si="1316"/>
        <v>156763</v>
      </c>
      <c r="AR456"/>
      <c r="AS456" s="1">
        <f t="shared" ref="AS456:AY456" si="1502">ROUNDUP(AS$10*$AP456,0)</f>
        <v>1570790</v>
      </c>
      <c r="AT456" s="1">
        <f t="shared" si="1502"/>
        <v>4712370</v>
      </c>
      <c r="AU456" s="1">
        <f t="shared" si="1502"/>
        <v>2827422</v>
      </c>
      <c r="AV456" s="1">
        <f t="shared" si="1502"/>
        <v>785395</v>
      </c>
      <c r="AW456" s="1">
        <f t="shared" si="1502"/>
        <v>235619</v>
      </c>
      <c r="AX456" s="1">
        <f t="shared" si="1502"/>
        <v>6283160</v>
      </c>
      <c r="AY456" s="1">
        <f t="shared" si="1502"/>
        <v>14137110</v>
      </c>
      <c r="AZ456" s="1">
        <f t="shared" si="1318"/>
        <v>196583820</v>
      </c>
      <c r="BA456" s="1">
        <f t="shared" si="1319"/>
        <v>98291910</v>
      </c>
      <c r="BC456" s="1">
        <f t="shared" si="1320"/>
        <v>445</v>
      </c>
    </row>
    <row r="457" s="1" customFormat="1" spans="2:55">
      <c r="B457" s="4">
        <v>446</v>
      </c>
      <c r="C457" s="1">
        <f t="shared" ref="C457:I457" si="1503">C$5+(C$6-C$5)*(POWER(C$7,$B457-1)-1)/(POWER(C$7,$B$3-1)-1)</f>
        <v>35234.9491236158</v>
      </c>
      <c r="D457" s="1">
        <f t="shared" si="1503"/>
        <v>10570.4847370847</v>
      </c>
      <c r="E457" s="1">
        <f t="shared" si="1503"/>
        <v>7046.98982472316</v>
      </c>
      <c r="F457" s="1">
        <f t="shared" si="1503"/>
        <v>129343.484124666</v>
      </c>
      <c r="G457" s="1">
        <f t="shared" si="1503"/>
        <v>38803.0452373997</v>
      </c>
      <c r="H457" s="1">
        <f t="shared" si="1503"/>
        <v>25868.6968249331</v>
      </c>
      <c r="I457" s="1">
        <f t="shared" si="1503"/>
        <v>0</v>
      </c>
      <c r="J457" s="1">
        <f>[1]标准模型!$I$65/1*$B457/$B$3</f>
        <v>3.2112</v>
      </c>
      <c r="K457" s="1">
        <f>J457*[1]标准模型!$J$63</f>
        <v>3.2112</v>
      </c>
      <c r="L457" s="1">
        <f t="shared" si="1297"/>
        <v>164578.433248282</v>
      </c>
      <c r="M457" s="1">
        <f t="shared" si="1298"/>
        <v>83317.4705622108</v>
      </c>
      <c r="N457" s="1">
        <f t="shared" si="1299"/>
        <v>55544.9803748073</v>
      </c>
      <c r="O457" s="1">
        <f t="shared" ref="O457:X457" si="1504">O$5+(O$6-O$5)*(POWER(O$7,$B457-1)-1)/(POWER(O$7,$B$3-1)-1)</f>
        <v>0.945903821866718</v>
      </c>
      <c r="P457" s="1">
        <f t="shared" si="1504"/>
        <v>0.340948247769746</v>
      </c>
      <c r="Q457" s="1">
        <f t="shared" si="1504"/>
        <v>0.520247102026695</v>
      </c>
      <c r="R457" s="1">
        <f t="shared" si="1504"/>
        <v>1.17836152874669</v>
      </c>
      <c r="S457" s="1">
        <f t="shared" si="1504"/>
        <v>0.624265350613406</v>
      </c>
      <c r="T457" s="1">
        <f t="shared" si="1504"/>
        <v>3.7390249052802</v>
      </c>
      <c r="U457" s="1">
        <f t="shared" si="1504"/>
        <v>1</v>
      </c>
      <c r="V457" s="1">
        <f t="shared" si="1504"/>
        <v>1.48630194589909</v>
      </c>
      <c r="W457" s="1">
        <f t="shared" si="1504"/>
        <v>1.27440235191798</v>
      </c>
      <c r="X457" s="1">
        <f t="shared" si="1504"/>
        <v>2.4268922299735</v>
      </c>
      <c r="Y457" s="1">
        <f t="shared" si="1323"/>
        <v>12.7090775620562</v>
      </c>
      <c r="Z457" s="1">
        <f t="shared" si="1324"/>
        <v>26.5261632460371</v>
      </c>
      <c r="AA457" s="1">
        <f t="shared" si="1301"/>
        <v>4365634.38712094</v>
      </c>
      <c r="AB457" s="1">
        <f t="shared" si="1302"/>
        <v>83317.4705622108</v>
      </c>
      <c r="AC457" s="1">
        <f t="shared" si="1303"/>
        <v>55544.9803748073</v>
      </c>
      <c r="AD457" s="1">
        <f>AC457/(AC457+[1]战斗公式!$M$27)</f>
        <v>0.698283915755405</v>
      </c>
      <c r="AE457" s="1">
        <f t="shared" si="1304"/>
        <v>14469345.9019633</v>
      </c>
      <c r="AF457" s="1">
        <f t="shared" si="1305"/>
        <v>13.6646588010064</v>
      </c>
      <c r="AG457" s="1">
        <f t="shared" si="1306"/>
        <v>6.54694035282198</v>
      </c>
      <c r="AH457" s="1">
        <f t="shared" si="1307"/>
        <v>4.95200397752</v>
      </c>
      <c r="AI457" s="1">
        <f t="shared" si="1308"/>
        <v>2.00825477149311</v>
      </c>
      <c r="AJ457" s="1">
        <f t="shared" si="1309"/>
        <v>1.0000000001317</v>
      </c>
      <c r="AK457" s="1">
        <f t="shared" si="1310"/>
        <v>1.00006621346268</v>
      </c>
      <c r="AL457" s="1">
        <f t="shared" si="1311"/>
        <v>0.942403827549358</v>
      </c>
      <c r="AM457" s="27">
        <f t="shared" si="1312"/>
        <v>3302098</v>
      </c>
      <c r="AN457" s="27">
        <f t="shared" si="1313"/>
        <v>167323</v>
      </c>
      <c r="AO457" s="27">
        <f t="shared" si="1314"/>
        <v>55545</v>
      </c>
      <c r="AP457" s="1">
        <f t="shared" si="1315"/>
        <v>1582189</v>
      </c>
      <c r="AQ457" s="1">
        <f t="shared" si="1316"/>
        <v>157686</v>
      </c>
      <c r="AR457"/>
      <c r="AS457" s="1">
        <f t="shared" ref="AS457:AY457" si="1505">ROUNDUP(AS$10*$AP457,0)</f>
        <v>1582189</v>
      </c>
      <c r="AT457" s="1">
        <f t="shared" si="1505"/>
        <v>4746567</v>
      </c>
      <c r="AU457" s="1">
        <f t="shared" si="1505"/>
        <v>2847941</v>
      </c>
      <c r="AV457" s="1">
        <f t="shared" si="1505"/>
        <v>791095</v>
      </c>
      <c r="AW457" s="1">
        <f t="shared" si="1505"/>
        <v>237329</v>
      </c>
      <c r="AX457" s="1">
        <f t="shared" si="1505"/>
        <v>6328756</v>
      </c>
      <c r="AY457" s="1">
        <f t="shared" si="1505"/>
        <v>14239701</v>
      </c>
      <c r="AZ457" s="1">
        <f t="shared" si="1318"/>
        <v>198125880</v>
      </c>
      <c r="BA457" s="1">
        <f t="shared" si="1319"/>
        <v>99062940</v>
      </c>
      <c r="BC457" s="1">
        <f t="shared" si="1320"/>
        <v>446</v>
      </c>
    </row>
    <row r="458" s="1" customFormat="1" spans="2:55">
      <c r="B458" s="4">
        <v>447</v>
      </c>
      <c r="C458" s="1">
        <f t="shared" ref="C458:I458" si="1506">C$5+(C$6-C$5)*(POWER(C$7,$B458-1)-1)/(POWER(C$7,$B$3-1)-1)</f>
        <v>35313.9336403058</v>
      </c>
      <c r="D458" s="1">
        <f t="shared" si="1506"/>
        <v>10594.1800920917</v>
      </c>
      <c r="E458" s="1">
        <f t="shared" si="1506"/>
        <v>7062.78672806115</v>
      </c>
      <c r="F458" s="1">
        <f t="shared" si="1506"/>
        <v>129633.427287198</v>
      </c>
      <c r="G458" s="1">
        <f t="shared" si="1506"/>
        <v>38890.0281861595</v>
      </c>
      <c r="H458" s="1">
        <f t="shared" si="1506"/>
        <v>25926.6854574397</v>
      </c>
      <c r="I458" s="1">
        <f t="shared" si="1506"/>
        <v>0</v>
      </c>
      <c r="J458" s="1">
        <f>[1]标准模型!$I$65/1*$B458/$B$3</f>
        <v>3.2184</v>
      </c>
      <c r="K458" s="1">
        <f>J458*[1]标准模型!$J$63</f>
        <v>3.2184</v>
      </c>
      <c r="L458" s="1">
        <f t="shared" si="1297"/>
        <v>164947.360927504</v>
      </c>
      <c r="M458" s="1">
        <f t="shared" si="1298"/>
        <v>83580.5174866391</v>
      </c>
      <c r="N458" s="1">
        <f t="shared" si="1299"/>
        <v>55720.3449910929</v>
      </c>
      <c r="O458" s="1">
        <f t="shared" ref="O458:X458" si="1507">O$5+(O$6-O$5)*(POWER(O$7,$B458-1)-1)/(POWER(O$7,$B$3-1)-1)</f>
        <v>0.9469056294907</v>
      </c>
      <c r="P458" s="1">
        <f t="shared" si="1507"/>
        <v>0.341998927266931</v>
      </c>
      <c r="Q458" s="1">
        <f t="shared" si="1507"/>
        <v>0.520798096219885</v>
      </c>
      <c r="R458" s="1">
        <f t="shared" si="1507"/>
        <v>1.17876225179628</v>
      </c>
      <c r="S458" s="1">
        <f t="shared" si="1507"/>
        <v>0.62566788128698</v>
      </c>
      <c r="T458" s="1">
        <f t="shared" si="1507"/>
        <v>3.74293195501373</v>
      </c>
      <c r="U458" s="1">
        <f t="shared" si="1507"/>
        <v>1</v>
      </c>
      <c r="V458" s="1">
        <f t="shared" si="1507"/>
        <v>1.48739451558131</v>
      </c>
      <c r="W458" s="1">
        <f t="shared" si="1507"/>
        <v>1.27501884891735</v>
      </c>
      <c r="X458" s="1">
        <f t="shared" si="1507"/>
        <v>2.43009801437024</v>
      </c>
      <c r="Y458" s="1">
        <f t="shared" si="1323"/>
        <v>12.7862570534641</v>
      </c>
      <c r="Z458" s="1">
        <f t="shared" si="1324"/>
        <v>26.7027549922549</v>
      </c>
      <c r="AA458" s="1">
        <f t="shared" si="1301"/>
        <v>4404548.96546617</v>
      </c>
      <c r="AB458" s="1">
        <f t="shared" si="1302"/>
        <v>83580.5174866391</v>
      </c>
      <c r="AC458" s="1">
        <f t="shared" si="1303"/>
        <v>55720.3449910929</v>
      </c>
      <c r="AD458" s="1">
        <f>AC458/(AC458+[1]战斗公式!$M$27)</f>
        <v>0.698947614907066</v>
      </c>
      <c r="AE458" s="1">
        <f t="shared" si="1304"/>
        <v>14630506.7940468</v>
      </c>
      <c r="AF458" s="1">
        <f t="shared" si="1305"/>
        <v>13.690234373553</v>
      </c>
      <c r="AG458" s="1">
        <f t="shared" si="1306"/>
        <v>6.55538560995637</v>
      </c>
      <c r="AH458" s="1">
        <f t="shared" si="1307"/>
        <v>4.95308160191965</v>
      </c>
      <c r="AI458" s="1">
        <f t="shared" si="1308"/>
        <v>2.01337636172387</v>
      </c>
      <c r="AJ458" s="1">
        <f t="shared" si="1309"/>
        <v>1.00000000012468</v>
      </c>
      <c r="AK458" s="1">
        <f t="shared" si="1310"/>
        <v>1.00006421938604</v>
      </c>
      <c r="AL458" s="1">
        <f t="shared" si="1311"/>
        <v>0.94255598853007</v>
      </c>
      <c r="AM458" s="27">
        <f t="shared" si="1312"/>
        <v>3327964</v>
      </c>
      <c r="AN458" s="27">
        <f t="shared" si="1313"/>
        <v>168279</v>
      </c>
      <c r="AO458" s="27">
        <f t="shared" si="1314"/>
        <v>55720</v>
      </c>
      <c r="AP458" s="1">
        <f t="shared" si="1315"/>
        <v>1593654</v>
      </c>
      <c r="AQ458" s="1">
        <f t="shared" si="1316"/>
        <v>158612</v>
      </c>
      <c r="AR458"/>
      <c r="AS458" s="1">
        <f t="shared" ref="AS458:AY458" si="1508">ROUNDUP(AS$10*$AP458,0)</f>
        <v>1593654</v>
      </c>
      <c r="AT458" s="1">
        <f t="shared" si="1508"/>
        <v>4780962</v>
      </c>
      <c r="AU458" s="1">
        <f t="shared" si="1508"/>
        <v>2868578</v>
      </c>
      <c r="AV458" s="1">
        <f t="shared" si="1508"/>
        <v>796827</v>
      </c>
      <c r="AW458" s="1">
        <f t="shared" si="1508"/>
        <v>239049</v>
      </c>
      <c r="AX458" s="1">
        <f t="shared" si="1508"/>
        <v>6374616</v>
      </c>
      <c r="AY458" s="1">
        <f t="shared" si="1508"/>
        <v>14342886</v>
      </c>
      <c r="AZ458" s="1">
        <f t="shared" si="1318"/>
        <v>199677840</v>
      </c>
      <c r="BA458" s="1">
        <f t="shared" si="1319"/>
        <v>99838920</v>
      </c>
      <c r="BC458" s="1">
        <f t="shared" si="1320"/>
        <v>447</v>
      </c>
    </row>
    <row r="459" s="1" customFormat="1" spans="2:55">
      <c r="B459" s="4">
        <v>448</v>
      </c>
      <c r="C459" s="1">
        <f t="shared" ref="C459:I459" si="1509">C$5+(C$6-C$5)*(POWER(C$7,$B459-1)-1)/(POWER(C$7,$B$3-1)-1)</f>
        <v>35392.9180780129</v>
      </c>
      <c r="D459" s="1">
        <f t="shared" si="1509"/>
        <v>10617.8754234039</v>
      </c>
      <c r="E459" s="1">
        <f t="shared" si="1509"/>
        <v>7078.58361560257</v>
      </c>
      <c r="F459" s="1">
        <f t="shared" si="1509"/>
        <v>129923.370159794</v>
      </c>
      <c r="G459" s="1">
        <f t="shared" si="1509"/>
        <v>38977.0110479382</v>
      </c>
      <c r="H459" s="1">
        <f t="shared" si="1509"/>
        <v>25984.6740319588</v>
      </c>
      <c r="I459" s="1">
        <f t="shared" si="1509"/>
        <v>0</v>
      </c>
      <c r="J459" s="1">
        <f>[1]标准模型!$I$65/1*$B459/$B$3</f>
        <v>3.2256</v>
      </c>
      <c r="K459" s="1">
        <f>J459*[1]标准模型!$J$63</f>
        <v>3.2256</v>
      </c>
      <c r="L459" s="1">
        <f t="shared" si="1297"/>
        <v>165316.288237807</v>
      </c>
      <c r="M459" s="1">
        <f t="shared" si="1298"/>
        <v>83843.9054370737</v>
      </c>
      <c r="N459" s="1">
        <f t="shared" si="1299"/>
        <v>55895.936958049</v>
      </c>
      <c r="O459" s="1">
        <f t="shared" ref="O459:X459" si="1510">O$5+(O$6-O$5)*(POWER(O$7,$B459-1)-1)/(POWER(O$7,$B$3-1)-1)</f>
        <v>0.947907436112895</v>
      </c>
      <c r="P459" s="1">
        <f t="shared" si="1510"/>
        <v>0.343051182783361</v>
      </c>
      <c r="Q459" s="1">
        <f t="shared" si="1510"/>
        <v>0.521349089862092</v>
      </c>
      <c r="R459" s="1">
        <f t="shared" si="1510"/>
        <v>1.17916297444516</v>
      </c>
      <c r="S459" s="1">
        <f t="shared" si="1510"/>
        <v>0.627070410558053</v>
      </c>
      <c r="T459" s="1">
        <f t="shared" si="1510"/>
        <v>3.74683900084029</v>
      </c>
      <c r="U459" s="1">
        <f t="shared" si="1510"/>
        <v>1</v>
      </c>
      <c r="V459" s="1">
        <f t="shared" si="1510"/>
        <v>1.48848708417099</v>
      </c>
      <c r="W459" s="1">
        <f t="shared" si="1510"/>
        <v>1.27563534530024</v>
      </c>
      <c r="X459" s="1">
        <f t="shared" si="1510"/>
        <v>2.43330379556126</v>
      </c>
      <c r="Y459" s="1">
        <f t="shared" si="1323"/>
        <v>12.8638442593674</v>
      </c>
      <c r="Z459" s="1">
        <f t="shared" si="1324"/>
        <v>26.8803834980731</v>
      </c>
      <c r="AA459" s="1">
        <f t="shared" si="1301"/>
        <v>4443765.22631024</v>
      </c>
      <c r="AB459" s="1">
        <f t="shared" si="1302"/>
        <v>83843.9054370737</v>
      </c>
      <c r="AC459" s="1">
        <f t="shared" si="1303"/>
        <v>55895.936958049</v>
      </c>
      <c r="AD459" s="1">
        <f>AC459/(AC459+[1]战斗公式!$M$27)</f>
        <v>0.699609255316679</v>
      </c>
      <c r="AE459" s="1">
        <f t="shared" si="1304"/>
        <v>14793282.7657356</v>
      </c>
      <c r="AF459" s="1">
        <f t="shared" si="1305"/>
        <v>13.7158360641753</v>
      </c>
      <c r="AG459" s="1">
        <f t="shared" si="1306"/>
        <v>6.56383414430133</v>
      </c>
      <c r="AH459" s="1">
        <f t="shared" si="1307"/>
        <v>4.95415114413631</v>
      </c>
      <c r="AI459" s="1">
        <f t="shared" si="1308"/>
        <v>2.01850819513509</v>
      </c>
      <c r="AJ459" s="1">
        <f t="shared" si="1309"/>
        <v>1.000000000118</v>
      </c>
      <c r="AK459" s="1">
        <f t="shared" si="1310"/>
        <v>1.00006226519093</v>
      </c>
      <c r="AL459" s="1">
        <f t="shared" si="1311"/>
        <v>0.942707693027839</v>
      </c>
      <c r="AM459" s="27">
        <f t="shared" si="1312"/>
        <v>3353998</v>
      </c>
      <c r="AN459" s="27">
        <f t="shared" si="1313"/>
        <v>169240</v>
      </c>
      <c r="AO459" s="27">
        <f t="shared" si="1314"/>
        <v>55896</v>
      </c>
      <c r="AP459" s="1">
        <f t="shared" si="1315"/>
        <v>1605185</v>
      </c>
      <c r="AQ459" s="1">
        <f t="shared" si="1316"/>
        <v>159544</v>
      </c>
      <c r="AR459"/>
      <c r="AS459" s="1">
        <f t="shared" ref="AS459:AY459" si="1511">ROUNDUP(AS$10*$AP459,0)</f>
        <v>1605185</v>
      </c>
      <c r="AT459" s="1">
        <f t="shared" si="1511"/>
        <v>4815555</v>
      </c>
      <c r="AU459" s="1">
        <f t="shared" si="1511"/>
        <v>2889333</v>
      </c>
      <c r="AV459" s="1">
        <f t="shared" si="1511"/>
        <v>802593</v>
      </c>
      <c r="AW459" s="1">
        <f t="shared" si="1511"/>
        <v>240778</v>
      </c>
      <c r="AX459" s="1">
        <f t="shared" si="1511"/>
        <v>6420740</v>
      </c>
      <c r="AY459" s="1">
        <f t="shared" si="1511"/>
        <v>14446665</v>
      </c>
      <c r="AZ459" s="1">
        <f t="shared" si="1318"/>
        <v>201239880</v>
      </c>
      <c r="BA459" s="1">
        <f t="shared" si="1319"/>
        <v>100619940</v>
      </c>
      <c r="BC459" s="1">
        <f t="shared" si="1320"/>
        <v>448</v>
      </c>
    </row>
    <row r="460" s="1" customFormat="1" spans="2:55">
      <c r="B460" s="4">
        <v>449</v>
      </c>
      <c r="C460" s="1">
        <f t="shared" ref="C460:I460" si="1512">C$5+(C$6-C$5)*(POWER(C$7,$B460-1)-1)/(POWER(C$7,$B$3-1)-1)</f>
        <v>35471.9024367284</v>
      </c>
      <c r="D460" s="1">
        <f t="shared" si="1512"/>
        <v>10641.5707310185</v>
      </c>
      <c r="E460" s="1">
        <f t="shared" si="1512"/>
        <v>7094.38048734567</v>
      </c>
      <c r="F460" s="1">
        <f t="shared" si="1512"/>
        <v>130213.312742421</v>
      </c>
      <c r="G460" s="1">
        <f t="shared" si="1512"/>
        <v>39063.9938227262</v>
      </c>
      <c r="H460" s="1">
        <f t="shared" si="1512"/>
        <v>26042.6625484841</v>
      </c>
      <c r="I460" s="1">
        <f t="shared" si="1512"/>
        <v>0</v>
      </c>
      <c r="J460" s="1">
        <f>[1]标准模型!$I$65/1*$B460/$B$3</f>
        <v>3.2328</v>
      </c>
      <c r="K460" s="1">
        <f>J460*[1]标准模型!$J$63</f>
        <v>3.2328</v>
      </c>
      <c r="L460" s="1">
        <f t="shared" ref="L460:L511" si="1513">C460*(1+I460)+F460</f>
        <v>165685.215179149</v>
      </c>
      <c r="M460" s="1">
        <f t="shared" ref="M460:M511" si="1514">D460*(1+J460)+G460</f>
        <v>84107.6344129813</v>
      </c>
      <c r="N460" s="1">
        <f t="shared" ref="N460:N511" si="1515">E460*(1+K460)+H460</f>
        <v>56071.7562753208</v>
      </c>
      <c r="O460" s="1">
        <f t="shared" ref="O460:X460" si="1516">O$5+(O$6-O$5)*(POWER(O$7,$B460-1)-1)/(POWER(O$7,$B$3-1)-1)</f>
        <v>0.948909241733192</v>
      </c>
      <c r="P460" s="1">
        <f t="shared" si="1516"/>
        <v>0.344105016683065</v>
      </c>
      <c r="Q460" s="1">
        <f t="shared" si="1516"/>
        <v>0.521900082953256</v>
      </c>
      <c r="R460" s="1">
        <f t="shared" si="1516"/>
        <v>1.17956369669328</v>
      </c>
      <c r="S460" s="1">
        <f t="shared" si="1516"/>
        <v>0.628472938426469</v>
      </c>
      <c r="T460" s="1">
        <f t="shared" si="1516"/>
        <v>3.75074604275945</v>
      </c>
      <c r="U460" s="1">
        <f t="shared" si="1516"/>
        <v>1</v>
      </c>
      <c r="V460" s="1">
        <f t="shared" si="1516"/>
        <v>1.48957965166799</v>
      </c>
      <c r="W460" s="1">
        <f t="shared" si="1516"/>
        <v>1.27625184106658</v>
      </c>
      <c r="X460" s="1">
        <f t="shared" si="1516"/>
        <v>2.43650957354622</v>
      </c>
      <c r="Y460" s="1">
        <f t="shared" si="1323"/>
        <v>12.9418409910813</v>
      </c>
      <c r="Z460" s="1">
        <f t="shared" si="1324"/>
        <v>27.0590539819757</v>
      </c>
      <c r="AA460" s="1">
        <f t="shared" ref="AA460:AA511" si="1517">Z460*L460</f>
        <v>4483285.18154786</v>
      </c>
      <c r="AB460" s="1">
        <f t="shared" ref="AB460:AB511" si="1518">M460</f>
        <v>84107.6344129813</v>
      </c>
      <c r="AC460" s="1">
        <f t="shared" ref="AC460:AC511" si="1519">N460</f>
        <v>56071.7562753208</v>
      </c>
      <c r="AD460" s="1">
        <f>AC460/(AC460+[1]战斗公式!$M$27)</f>
        <v>0.700268844891103</v>
      </c>
      <c r="AE460" s="1">
        <f t="shared" ref="AE460:AE511" si="1520">AA460/(1-AD460)</f>
        <v>14957688.2654024</v>
      </c>
      <c r="AF460" s="1">
        <f t="shared" ref="AF460:AF511" si="1521">AE460/AB460/Y460</f>
        <v>13.7414638569529</v>
      </c>
      <c r="AG460" s="1">
        <f t="shared" ref="AG460:AG511" si="1522">AE460/AB460/Z460</f>
        <v>6.57228594687145</v>
      </c>
      <c r="AH460" s="1">
        <f t="shared" ref="AH460:AH511" si="1523">AH$5+(AH$6-AH$5)*(POWER(AH$7,$B460-1)-1)/(POWER(AH$7,$B$3-1)-1)</f>
        <v>4.95521266478634</v>
      </c>
      <c r="AI460" s="1">
        <f t="shared" ref="AI460:AI511" si="1524">$AI$5+($AI$6-$AI$5)*(POWER($AI$7,$B460-1)-1)/(POWER($AI$7,$B$3-1)-1)</f>
        <v>2.02365029221313</v>
      </c>
      <c r="AJ460" s="1">
        <f t="shared" ref="AJ460:AJ511" si="1525">$AJ$5+($AJ$6-$AJ$5)*(POWER($AJ$7,$B460-1)-1)/(POWER($AJ$7,$B$3-1)-1)</f>
        <v>1.00000000011166</v>
      </c>
      <c r="AK460" s="1">
        <f t="shared" ref="AK460:AK511" si="1526">$AK$5+($AK$6-$AK$5)*(POWER($AK$7,$B460-1)-1)/(POWER($AK$7,$B$3-1)-1)</f>
        <v>1.00006035007972</v>
      </c>
      <c r="AL460" s="1">
        <f t="shared" ref="AL460:AL511" si="1527">$AL$5+($AL$6-$AL$5)*(POWER($AL$7,$B460-1)-1)/(POWER($AL$7,$B$3-1)-1)</f>
        <v>0.942858942412115</v>
      </c>
      <c r="AM460" s="27">
        <f t="shared" ref="AM460:AM511" si="1528">ROUND(AA460/AG460*AH460,0)</f>
        <v>3380199</v>
      </c>
      <c r="AN460" s="27">
        <f t="shared" ref="AN460:AN511" si="1529">ROUND(AB460*AI460,0)</f>
        <v>170204</v>
      </c>
      <c r="AO460" s="27">
        <f t="shared" ref="AO460:AO511" si="1530">ROUND(AC460,0)</f>
        <v>56072</v>
      </c>
      <c r="AP460" s="1">
        <f t="shared" ref="AP460:AP511" si="1531">ROUND(AA460/$AF460*AH460*AK460,0)</f>
        <v>1616784</v>
      </c>
      <c r="AQ460" s="1">
        <f t="shared" ref="AQ460:AQ511" si="1532">ROUND(AN460*AL460,0)</f>
        <v>160478</v>
      </c>
      <c r="AR460"/>
      <c r="AS460" s="1">
        <f t="shared" ref="AS460:AY460" si="1533">ROUNDUP(AS$10*$AP460,0)</f>
        <v>1616784</v>
      </c>
      <c r="AT460" s="1">
        <f t="shared" si="1533"/>
        <v>4850352</v>
      </c>
      <c r="AU460" s="1">
        <f t="shared" si="1533"/>
        <v>2910212</v>
      </c>
      <c r="AV460" s="1">
        <f t="shared" si="1533"/>
        <v>808392</v>
      </c>
      <c r="AW460" s="1">
        <f t="shared" si="1533"/>
        <v>242518</v>
      </c>
      <c r="AX460" s="1">
        <f t="shared" si="1533"/>
        <v>6467136</v>
      </c>
      <c r="AY460" s="1">
        <f t="shared" si="1533"/>
        <v>14551056</v>
      </c>
      <c r="AZ460" s="1">
        <f t="shared" ref="AZ460:AZ511" si="1534">ROUND(AM460*$AZ$10*AJ460,0)</f>
        <v>202811940</v>
      </c>
      <c r="BA460" s="1">
        <f t="shared" ref="BA460:BA511" si="1535">ROUND(AM460*$BA$10*AJ460,0)</f>
        <v>101405970</v>
      </c>
      <c r="BC460" s="1">
        <f t="shared" ref="BC460:BC511" si="1536">B460</f>
        <v>449</v>
      </c>
    </row>
    <row r="461" s="1" customFormat="1" spans="2:55">
      <c r="B461" s="4">
        <v>450</v>
      </c>
      <c r="C461" s="1">
        <f t="shared" ref="C461:I461" si="1537">C$5+(C$6-C$5)*(POWER(C$7,$B461-1)-1)/(POWER(C$7,$B$3-1)-1)</f>
        <v>35550.8867164698</v>
      </c>
      <c r="D461" s="1">
        <f t="shared" si="1537"/>
        <v>10665.2660149409</v>
      </c>
      <c r="E461" s="1">
        <f t="shared" si="1537"/>
        <v>7110.17734329396</v>
      </c>
      <c r="F461" s="1">
        <f t="shared" si="1537"/>
        <v>130503.255035142</v>
      </c>
      <c r="G461" s="1">
        <f t="shared" si="1537"/>
        <v>39150.9765105427</v>
      </c>
      <c r="H461" s="1">
        <f t="shared" si="1537"/>
        <v>26100.6510070285</v>
      </c>
      <c r="I461" s="1">
        <f t="shared" si="1537"/>
        <v>0</v>
      </c>
      <c r="J461" s="1">
        <f>[1]标准模型!$I$65/1*$B461/$B$3</f>
        <v>3.24</v>
      </c>
      <c r="K461" s="1">
        <f>J461*[1]标准模型!$J$63</f>
        <v>3.24</v>
      </c>
      <c r="L461" s="1">
        <f t="shared" si="1513"/>
        <v>166054.141751612</v>
      </c>
      <c r="M461" s="1">
        <f t="shared" si="1514"/>
        <v>84371.7044138921</v>
      </c>
      <c r="N461" s="1">
        <f t="shared" si="1515"/>
        <v>56247.8029425949</v>
      </c>
      <c r="O461" s="1">
        <f t="shared" ref="O461:X461" si="1538">O$5+(O$6-O$5)*(POWER(O$7,$B461-1)-1)/(POWER(O$7,$B$3-1)-1)</f>
        <v>0.949911046351815</v>
      </c>
      <c r="P461" s="1">
        <f t="shared" si="1538"/>
        <v>0.34516043133362</v>
      </c>
      <c r="Q461" s="1">
        <f t="shared" si="1538"/>
        <v>0.522451075493498</v>
      </c>
      <c r="R461" s="1">
        <f t="shared" si="1538"/>
        <v>1.17996441854073</v>
      </c>
      <c r="S461" s="1">
        <f t="shared" si="1538"/>
        <v>0.629875464892541</v>
      </c>
      <c r="T461" s="1">
        <f t="shared" si="1538"/>
        <v>3.75465308077208</v>
      </c>
      <c r="U461" s="1">
        <f t="shared" si="1538"/>
        <v>1</v>
      </c>
      <c r="V461" s="1">
        <f t="shared" si="1538"/>
        <v>1.49067221807258</v>
      </c>
      <c r="W461" s="1">
        <f t="shared" si="1538"/>
        <v>1.2768683362165</v>
      </c>
      <c r="X461" s="1">
        <f t="shared" si="1538"/>
        <v>2.43971534832581</v>
      </c>
      <c r="Y461" s="1">
        <f t="shared" ref="Y461:Y511" si="1539">(1+S461*(T461-1))*U461*X461*(O461+P461)*R461*W461</f>
        <v>13.020249066516</v>
      </c>
      <c r="Z461" s="1">
        <f t="shared" ref="Z461:Z511" si="1540">(1+S461*(T461-1))*(O461+P461+Q461)*U461*V461*X461*R461*W461</f>
        <v>27.2387716844111</v>
      </c>
      <c r="AA461" s="1">
        <f t="shared" si="1517"/>
        <v>4523110.85442299</v>
      </c>
      <c r="AB461" s="1">
        <f t="shared" si="1518"/>
        <v>84371.7044138921</v>
      </c>
      <c r="AC461" s="1">
        <f t="shared" si="1519"/>
        <v>56247.8029425949</v>
      </c>
      <c r="AD461" s="1">
        <f>AC461/(AC461+[1]战斗公式!$M$27)</f>
        <v>0.700926391502975</v>
      </c>
      <c r="AE461" s="1">
        <f t="shared" si="1520"/>
        <v>15123737.855552</v>
      </c>
      <c r="AF461" s="1">
        <f t="shared" si="1521"/>
        <v>13.7671177359941</v>
      </c>
      <c r="AG461" s="1">
        <f t="shared" si="1522"/>
        <v>6.58074100871734</v>
      </c>
      <c r="AH461" s="1">
        <f t="shared" si="1523"/>
        <v>4.95626622403149</v>
      </c>
      <c r="AI461" s="1">
        <f t="shared" si="1524"/>
        <v>2.02880267348533</v>
      </c>
      <c r="AJ461" s="1">
        <f t="shared" si="1525"/>
        <v>1.00000000010564</v>
      </c>
      <c r="AK461" s="1">
        <f t="shared" si="1526"/>
        <v>1.00005847327074</v>
      </c>
      <c r="AL461" s="1">
        <f t="shared" si="1527"/>
        <v>0.943009738048239</v>
      </c>
      <c r="AM461" s="27">
        <f t="shared" si="1528"/>
        <v>3406568</v>
      </c>
      <c r="AN461" s="27">
        <f t="shared" si="1529"/>
        <v>171174</v>
      </c>
      <c r="AO461" s="27">
        <f t="shared" si="1530"/>
        <v>56248</v>
      </c>
      <c r="AP461" s="1">
        <f t="shared" si="1531"/>
        <v>1628449</v>
      </c>
      <c r="AQ461" s="1">
        <f t="shared" si="1532"/>
        <v>161419</v>
      </c>
      <c r="AR461"/>
      <c r="AS461" s="1">
        <f t="shared" ref="AS461:AY461" si="1541">ROUNDUP(AS$10*$AP461,0)</f>
        <v>1628449</v>
      </c>
      <c r="AT461" s="1">
        <f t="shared" si="1541"/>
        <v>4885347</v>
      </c>
      <c r="AU461" s="1">
        <f t="shared" si="1541"/>
        <v>2931209</v>
      </c>
      <c r="AV461" s="1">
        <f t="shared" si="1541"/>
        <v>814225</v>
      </c>
      <c r="AW461" s="1">
        <f t="shared" si="1541"/>
        <v>244268</v>
      </c>
      <c r="AX461" s="1">
        <f t="shared" si="1541"/>
        <v>6513796</v>
      </c>
      <c r="AY461" s="1">
        <f t="shared" si="1541"/>
        <v>14656041</v>
      </c>
      <c r="AZ461" s="1">
        <f t="shared" si="1534"/>
        <v>204394080</v>
      </c>
      <c r="BA461" s="1">
        <f t="shared" si="1535"/>
        <v>102197040</v>
      </c>
      <c r="BC461" s="1">
        <f t="shared" si="1536"/>
        <v>450</v>
      </c>
    </row>
    <row r="462" s="1" customFormat="1" spans="2:55">
      <c r="B462" s="4">
        <v>451</v>
      </c>
      <c r="C462" s="1">
        <f t="shared" ref="C462:I462" si="1542">C$5+(C$6-C$5)*(POWER(C$7,$B462-1)-1)/(POWER(C$7,$B$3-1)-1)</f>
        <v>35629.8709172196</v>
      </c>
      <c r="D462" s="1">
        <f t="shared" si="1542"/>
        <v>10688.9612751659</v>
      </c>
      <c r="E462" s="1">
        <f t="shared" si="1542"/>
        <v>7125.97418344393</v>
      </c>
      <c r="F462" s="1">
        <f t="shared" si="1542"/>
        <v>130793.197037895</v>
      </c>
      <c r="G462" s="1">
        <f t="shared" si="1542"/>
        <v>39237.9591113684</v>
      </c>
      <c r="H462" s="1">
        <f t="shared" si="1542"/>
        <v>26158.639407579</v>
      </c>
      <c r="I462" s="1">
        <f t="shared" si="1542"/>
        <v>0</v>
      </c>
      <c r="J462" s="1">
        <f>[1]标准模型!$I$65/1*$B462/$B$3</f>
        <v>3.2472</v>
      </c>
      <c r="K462" s="1">
        <f>J462*[1]标准模型!$J$63</f>
        <v>3.2472</v>
      </c>
      <c r="L462" s="1">
        <f t="shared" si="1513"/>
        <v>166423.067955115</v>
      </c>
      <c r="M462" s="1">
        <f t="shared" si="1514"/>
        <v>84636.115439253</v>
      </c>
      <c r="N462" s="1">
        <f t="shared" si="1515"/>
        <v>56424.0769595021</v>
      </c>
      <c r="O462" s="1">
        <f t="shared" ref="O462:X462" si="1543">O$5+(O$6-O$5)*(POWER(O$7,$B462-1)-1)/(POWER(O$7,$B$3-1)-1)</f>
        <v>0.95091284996854</v>
      </c>
      <c r="P462" s="1">
        <f t="shared" si="1543"/>
        <v>0.34621742910615</v>
      </c>
      <c r="Q462" s="1">
        <f t="shared" si="1543"/>
        <v>0.523002067482697</v>
      </c>
      <c r="R462" s="1">
        <f t="shared" si="1543"/>
        <v>1.18036513998742</v>
      </c>
      <c r="S462" s="1">
        <f t="shared" si="1543"/>
        <v>0.631277989955956</v>
      </c>
      <c r="T462" s="1">
        <f t="shared" si="1543"/>
        <v>3.75856011487731</v>
      </c>
      <c r="U462" s="1">
        <f t="shared" si="1543"/>
        <v>1</v>
      </c>
      <c r="V462" s="1">
        <f t="shared" si="1543"/>
        <v>1.49176478338449</v>
      </c>
      <c r="W462" s="1">
        <f t="shared" si="1543"/>
        <v>1.27748483074987</v>
      </c>
      <c r="X462" s="1">
        <f t="shared" si="1543"/>
        <v>2.44292111989933</v>
      </c>
      <c r="Y462" s="1">
        <f t="shared" si="1539"/>
        <v>13.0990703101431</v>
      </c>
      <c r="Z462" s="1">
        <f t="shared" si="1540"/>
        <v>27.4195418677413</v>
      </c>
      <c r="AA462" s="1">
        <f t="shared" si="1517"/>
        <v>4563244.27955322</v>
      </c>
      <c r="AB462" s="1">
        <f t="shared" si="1518"/>
        <v>84636.115439253</v>
      </c>
      <c r="AC462" s="1">
        <f t="shared" si="1519"/>
        <v>56424.0769595021</v>
      </c>
      <c r="AD462" s="1">
        <f>AC462/(AC462+[1]战斗公式!$M$27)</f>
        <v>0.701581902990502</v>
      </c>
      <c r="AE462" s="1">
        <f t="shared" si="1520"/>
        <v>15291446.2134915</v>
      </c>
      <c r="AF462" s="1">
        <f t="shared" si="1521"/>
        <v>13.7927976854124</v>
      </c>
      <c r="AG462" s="1">
        <f t="shared" si="1522"/>
        <v>6.58919932091773</v>
      </c>
      <c r="AH462" s="1">
        <f t="shared" si="1523"/>
        <v>4.95731188158231</v>
      </c>
      <c r="AI462" s="1">
        <f t="shared" si="1524"/>
        <v>2.03396535952007</v>
      </c>
      <c r="AJ462" s="1">
        <f t="shared" si="1525"/>
        <v>1.00000000009992</v>
      </c>
      <c r="AK462" s="1">
        <f t="shared" si="1526"/>
        <v>1.00005663399793</v>
      </c>
      <c r="AL462" s="1">
        <f t="shared" si="1527"/>
        <v>0.943160081297454</v>
      </c>
      <c r="AM462" s="27">
        <f t="shared" si="1528"/>
        <v>3433107</v>
      </c>
      <c r="AN462" s="27">
        <f t="shared" si="1529"/>
        <v>172147</v>
      </c>
      <c r="AO462" s="27">
        <f t="shared" si="1530"/>
        <v>56424</v>
      </c>
      <c r="AP462" s="1">
        <f t="shared" si="1531"/>
        <v>1640183</v>
      </c>
      <c r="AQ462" s="1">
        <f t="shared" si="1532"/>
        <v>162362</v>
      </c>
      <c r="AR462"/>
      <c r="AS462" s="1">
        <f t="shared" ref="AS462:AY462" si="1544">ROUNDUP(AS$10*$AP462,0)</f>
        <v>1640183</v>
      </c>
      <c r="AT462" s="1">
        <f t="shared" si="1544"/>
        <v>4920549</v>
      </c>
      <c r="AU462" s="1">
        <f t="shared" si="1544"/>
        <v>2952330</v>
      </c>
      <c r="AV462" s="1">
        <f t="shared" si="1544"/>
        <v>820092</v>
      </c>
      <c r="AW462" s="1">
        <f t="shared" si="1544"/>
        <v>246028</v>
      </c>
      <c r="AX462" s="1">
        <f t="shared" si="1544"/>
        <v>6560732</v>
      </c>
      <c r="AY462" s="1">
        <f t="shared" si="1544"/>
        <v>14761647</v>
      </c>
      <c r="AZ462" s="1">
        <f t="shared" si="1534"/>
        <v>205986420</v>
      </c>
      <c r="BA462" s="1">
        <f t="shared" si="1535"/>
        <v>102993210</v>
      </c>
      <c r="BC462" s="1">
        <f t="shared" si="1536"/>
        <v>451</v>
      </c>
    </row>
    <row r="463" s="1" customFormat="1" spans="2:55">
      <c r="B463" s="4">
        <v>452</v>
      </c>
      <c r="C463" s="1">
        <f t="shared" ref="C463:I463" si="1545">C$5+(C$6-C$5)*(POWER(C$7,$B463-1)-1)/(POWER(C$7,$B$3-1)-1)</f>
        <v>35708.8550389866</v>
      </c>
      <c r="D463" s="1">
        <f t="shared" si="1545"/>
        <v>10712.656511696</v>
      </c>
      <c r="E463" s="1">
        <f t="shared" si="1545"/>
        <v>7141.77100779733</v>
      </c>
      <c r="F463" s="1">
        <f t="shared" si="1545"/>
        <v>131083.13875071</v>
      </c>
      <c r="G463" s="1">
        <f t="shared" si="1545"/>
        <v>39324.9416252131</v>
      </c>
      <c r="H463" s="1">
        <f t="shared" si="1545"/>
        <v>26216.6277501421</v>
      </c>
      <c r="I463" s="1">
        <f t="shared" si="1545"/>
        <v>0</v>
      </c>
      <c r="J463" s="1">
        <f>[1]标准模型!$I$65/1*$B463/$B$3</f>
        <v>3.2544</v>
      </c>
      <c r="K463" s="1">
        <f>J463*[1]标准模型!$J$63</f>
        <v>3.2544</v>
      </c>
      <c r="L463" s="1">
        <f t="shared" si="1513"/>
        <v>166791.993789697</v>
      </c>
      <c r="M463" s="1">
        <f t="shared" si="1514"/>
        <v>84900.8674885726</v>
      </c>
      <c r="N463" s="1">
        <f t="shared" si="1515"/>
        <v>56600.5783257151</v>
      </c>
      <c r="O463" s="1">
        <f t="shared" ref="O463:X463" si="1546">O$5+(O$6-O$5)*(POWER(O$7,$B463-1)-1)/(POWER(O$7,$B$3-1)-1)</f>
        <v>0.951914652583479</v>
      </c>
      <c r="P463" s="1">
        <f t="shared" si="1546"/>
        <v>0.347276012375339</v>
      </c>
      <c r="Q463" s="1">
        <f t="shared" si="1546"/>
        <v>0.523553058920913</v>
      </c>
      <c r="R463" s="1">
        <f t="shared" si="1546"/>
        <v>1.18076586103339</v>
      </c>
      <c r="S463" s="1">
        <f t="shared" si="1546"/>
        <v>0.63268051361687</v>
      </c>
      <c r="T463" s="1">
        <f t="shared" si="1546"/>
        <v>3.76246714507557</v>
      </c>
      <c r="U463" s="1">
        <f t="shared" si="1546"/>
        <v>1</v>
      </c>
      <c r="V463" s="1">
        <f t="shared" si="1546"/>
        <v>1.49285734760386</v>
      </c>
      <c r="W463" s="1">
        <f t="shared" si="1546"/>
        <v>1.27810132466676</v>
      </c>
      <c r="X463" s="1">
        <f t="shared" si="1546"/>
        <v>2.44612688826713</v>
      </c>
      <c r="Y463" s="1">
        <f t="shared" si="1539"/>
        <v>13.1783065530689</v>
      </c>
      <c r="Z463" s="1">
        <f t="shared" si="1540"/>
        <v>27.6013698164453</v>
      </c>
      <c r="AA463" s="1">
        <f t="shared" si="1517"/>
        <v>4603687.50301166</v>
      </c>
      <c r="AB463" s="1">
        <f t="shared" si="1518"/>
        <v>84900.8674885726</v>
      </c>
      <c r="AC463" s="1">
        <f t="shared" si="1519"/>
        <v>56600.5783257151</v>
      </c>
      <c r="AD463" s="1">
        <f>AC463/(AC463+[1]战斗公式!$M$27)</f>
        <v>0.702235387157973</v>
      </c>
      <c r="AE463" s="1">
        <f t="shared" si="1520"/>
        <v>15460828.1322336</v>
      </c>
      <c r="AF463" s="1">
        <f t="shared" si="1521"/>
        <v>13.8185036893502</v>
      </c>
      <c r="AG463" s="1">
        <f t="shared" si="1522"/>
        <v>6.59766087458709</v>
      </c>
      <c r="AH463" s="1">
        <f t="shared" si="1523"/>
        <v>4.95834969670149</v>
      </c>
      <c r="AI463" s="1">
        <f t="shared" si="1524"/>
        <v>2.03913837092689</v>
      </c>
      <c r="AJ463" s="1">
        <f t="shared" si="1525"/>
        <v>1.00000000009448</v>
      </c>
      <c r="AK463" s="1">
        <f t="shared" si="1526"/>
        <v>1.00005483151059</v>
      </c>
      <c r="AL463" s="1">
        <f t="shared" si="1527"/>
        <v>0.943309973516921</v>
      </c>
      <c r="AM463" s="27">
        <f t="shared" si="1528"/>
        <v>3459816</v>
      </c>
      <c r="AN463" s="27">
        <f t="shared" si="1529"/>
        <v>173125</v>
      </c>
      <c r="AO463" s="27">
        <f t="shared" si="1530"/>
        <v>56601</v>
      </c>
      <c r="AP463" s="1">
        <f t="shared" si="1531"/>
        <v>1651984</v>
      </c>
      <c r="AQ463" s="1">
        <f t="shared" si="1532"/>
        <v>163311</v>
      </c>
      <c r="AR463"/>
      <c r="AS463" s="1">
        <f t="shared" ref="AS463:AY463" si="1547">ROUNDUP(AS$10*$AP463,0)</f>
        <v>1651984</v>
      </c>
      <c r="AT463" s="1">
        <f t="shared" si="1547"/>
        <v>4955952</v>
      </c>
      <c r="AU463" s="1">
        <f t="shared" si="1547"/>
        <v>2973572</v>
      </c>
      <c r="AV463" s="1">
        <f t="shared" si="1547"/>
        <v>825992</v>
      </c>
      <c r="AW463" s="1">
        <f t="shared" si="1547"/>
        <v>247798</v>
      </c>
      <c r="AX463" s="1">
        <f t="shared" si="1547"/>
        <v>6607936</v>
      </c>
      <c r="AY463" s="1">
        <f t="shared" si="1547"/>
        <v>14867856</v>
      </c>
      <c r="AZ463" s="1">
        <f t="shared" si="1534"/>
        <v>207588960</v>
      </c>
      <c r="BA463" s="1">
        <f t="shared" si="1535"/>
        <v>103794480</v>
      </c>
      <c r="BC463" s="1">
        <f t="shared" si="1536"/>
        <v>452</v>
      </c>
    </row>
    <row r="464" s="1" customFormat="1" spans="2:55">
      <c r="B464" s="4">
        <v>453</v>
      </c>
      <c r="C464" s="1">
        <f t="shared" ref="C464:I464" si="1548">C$5+(C$6-C$5)*(POWER(C$7,$B464-1)-1)/(POWER(C$7,$B$3-1)-1)</f>
        <v>35787.8390817708</v>
      </c>
      <c r="D464" s="1">
        <f t="shared" si="1548"/>
        <v>10736.3517245312</v>
      </c>
      <c r="E464" s="1">
        <f t="shared" si="1548"/>
        <v>7157.56781635416</v>
      </c>
      <c r="F464" s="1">
        <f t="shared" si="1548"/>
        <v>131373.080173589</v>
      </c>
      <c r="G464" s="1">
        <f t="shared" si="1548"/>
        <v>39411.9240520767</v>
      </c>
      <c r="H464" s="1">
        <f t="shared" si="1548"/>
        <v>26274.6160347178</v>
      </c>
      <c r="I464" s="1">
        <f t="shared" si="1548"/>
        <v>0</v>
      </c>
      <c r="J464" s="1">
        <f>[1]标准模型!$I$65/1*$B464/$B$3</f>
        <v>3.2616</v>
      </c>
      <c r="K464" s="1">
        <f>J464*[1]标准模型!$J$63</f>
        <v>3.2616</v>
      </c>
      <c r="L464" s="1">
        <f t="shared" si="1513"/>
        <v>167160.91925536</v>
      </c>
      <c r="M464" s="1">
        <f t="shared" si="1514"/>
        <v>85165.9605613389</v>
      </c>
      <c r="N464" s="1">
        <f t="shared" si="1515"/>
        <v>56777.3070408927</v>
      </c>
      <c r="O464" s="1">
        <f t="shared" ref="O464:X464" si="1549">O$5+(O$6-O$5)*(POWER(O$7,$B464-1)-1)/(POWER(O$7,$B$3-1)-1)</f>
        <v>0.952916454196631</v>
      </c>
      <c r="P464" s="1">
        <f t="shared" si="1549"/>
        <v>0.348336183519431</v>
      </c>
      <c r="Q464" s="1">
        <f t="shared" si="1549"/>
        <v>0.524104049808147</v>
      </c>
      <c r="R464" s="1">
        <f t="shared" si="1549"/>
        <v>1.18116658167865</v>
      </c>
      <c r="S464" s="1">
        <f t="shared" si="1549"/>
        <v>0.634083035875283</v>
      </c>
      <c r="T464" s="1">
        <f t="shared" si="1549"/>
        <v>3.76637417136686</v>
      </c>
      <c r="U464" s="1">
        <f t="shared" si="1549"/>
        <v>1</v>
      </c>
      <c r="V464" s="1">
        <f t="shared" si="1549"/>
        <v>1.49394991073068</v>
      </c>
      <c r="W464" s="1">
        <f t="shared" si="1549"/>
        <v>1.27871781796716</v>
      </c>
      <c r="X464" s="1">
        <f t="shared" si="1549"/>
        <v>2.44933265342922</v>
      </c>
      <c r="Y464" s="1">
        <f t="shared" si="1539"/>
        <v>13.2579596330237</v>
      </c>
      <c r="Z464" s="1">
        <f t="shared" si="1540"/>
        <v>27.7842608371234</v>
      </c>
      <c r="AA464" s="1">
        <f t="shared" si="1517"/>
        <v>4644442.58236424</v>
      </c>
      <c r="AB464" s="1">
        <f t="shared" si="1518"/>
        <v>85165.9605613389</v>
      </c>
      <c r="AC464" s="1">
        <f t="shared" si="1519"/>
        <v>56777.3070408927</v>
      </c>
      <c r="AD464" s="1">
        <f>AC464/(AC464+[1]战斗公式!$M$27)</f>
        <v>0.702886851775707</v>
      </c>
      <c r="AE464" s="1">
        <f t="shared" si="1520"/>
        <v>15631898.5212264</v>
      </c>
      <c r="AF464" s="1">
        <f t="shared" si="1521"/>
        <v>13.8442357319652</v>
      </c>
      <c r="AG464" s="1">
        <f t="shared" si="1522"/>
        <v>6.60612566087117</v>
      </c>
      <c r="AH464" s="1">
        <f t="shared" si="1523"/>
        <v>4.95937972820728</v>
      </c>
      <c r="AI464" s="1">
        <f t="shared" si="1524"/>
        <v>2.04432172835651</v>
      </c>
      <c r="AJ464" s="1">
        <f t="shared" si="1525"/>
        <v>1.00000000008932</v>
      </c>
      <c r="AK464" s="1">
        <f t="shared" si="1526"/>
        <v>1.00005306507299</v>
      </c>
      <c r="AL464" s="1">
        <f t="shared" si="1527"/>
        <v>0.94345941605973</v>
      </c>
      <c r="AM464" s="27">
        <f t="shared" si="1528"/>
        <v>3486696</v>
      </c>
      <c r="AN464" s="27">
        <f t="shared" si="1529"/>
        <v>174107</v>
      </c>
      <c r="AO464" s="27">
        <f t="shared" si="1530"/>
        <v>56777</v>
      </c>
      <c r="AP464" s="1">
        <f t="shared" si="1531"/>
        <v>1663853</v>
      </c>
      <c r="AQ464" s="1">
        <f t="shared" si="1532"/>
        <v>164263</v>
      </c>
      <c r="AR464"/>
      <c r="AS464" s="1">
        <f t="shared" ref="AS464:AY464" si="1550">ROUNDUP(AS$10*$AP464,0)</f>
        <v>1663853</v>
      </c>
      <c r="AT464" s="1">
        <f t="shared" si="1550"/>
        <v>4991559</v>
      </c>
      <c r="AU464" s="1">
        <f t="shared" si="1550"/>
        <v>2994936</v>
      </c>
      <c r="AV464" s="1">
        <f t="shared" si="1550"/>
        <v>831927</v>
      </c>
      <c r="AW464" s="1">
        <f t="shared" si="1550"/>
        <v>249578</v>
      </c>
      <c r="AX464" s="1">
        <f t="shared" si="1550"/>
        <v>6655412</v>
      </c>
      <c r="AY464" s="1">
        <f t="shared" si="1550"/>
        <v>14974677</v>
      </c>
      <c r="AZ464" s="1">
        <f t="shared" si="1534"/>
        <v>209201760</v>
      </c>
      <c r="BA464" s="1">
        <f t="shared" si="1535"/>
        <v>104600880</v>
      </c>
      <c r="BC464" s="1">
        <f t="shared" si="1536"/>
        <v>453</v>
      </c>
    </row>
    <row r="465" s="1" customFormat="1" spans="2:55">
      <c r="B465" s="4">
        <v>454</v>
      </c>
      <c r="C465" s="1">
        <f t="shared" ref="C465:I465" si="1551">C$5+(C$6-C$5)*(POWER(C$7,$B465-1)-1)/(POWER(C$7,$B$3-1)-1)</f>
        <v>35866.8230455721</v>
      </c>
      <c r="D465" s="1">
        <f t="shared" si="1551"/>
        <v>10760.0469136716</v>
      </c>
      <c r="E465" s="1">
        <f t="shared" si="1551"/>
        <v>7173.36460911442</v>
      </c>
      <c r="F465" s="1">
        <f t="shared" si="1551"/>
        <v>131663.021306531</v>
      </c>
      <c r="G465" s="1">
        <f t="shared" si="1551"/>
        <v>39498.9063919592</v>
      </c>
      <c r="H465" s="1">
        <f t="shared" si="1551"/>
        <v>26332.6042613061</v>
      </c>
      <c r="I465" s="1">
        <f t="shared" si="1551"/>
        <v>0</v>
      </c>
      <c r="J465" s="1">
        <f>[1]标准模型!$I$65/1*$B465/$B$3</f>
        <v>3.2688</v>
      </c>
      <c r="K465" s="1">
        <f>J465*[1]标准模型!$J$63</f>
        <v>3.2688</v>
      </c>
      <c r="L465" s="1">
        <f t="shared" si="1513"/>
        <v>167529.844352103</v>
      </c>
      <c r="M465" s="1">
        <f t="shared" si="1514"/>
        <v>85431.3946570405</v>
      </c>
      <c r="N465" s="1">
        <f t="shared" si="1515"/>
        <v>56954.2631046937</v>
      </c>
      <c r="O465" s="1">
        <f t="shared" ref="O465:X465" si="1552">O$5+(O$6-O$5)*(POWER(O$7,$B465-1)-1)/(POWER(O$7,$B$3-1)-1)</f>
        <v>0.953918254807997</v>
      </c>
      <c r="P465" s="1">
        <f t="shared" si="1552"/>
        <v>0.34939794492024</v>
      </c>
      <c r="Q465" s="1">
        <f t="shared" si="1552"/>
        <v>0.524655040144399</v>
      </c>
      <c r="R465" s="1">
        <f t="shared" si="1552"/>
        <v>1.1815673019232</v>
      </c>
      <c r="S465" s="1">
        <f t="shared" si="1552"/>
        <v>0.635485556731196</v>
      </c>
      <c r="T465" s="1">
        <f t="shared" si="1552"/>
        <v>3.77028119375119</v>
      </c>
      <c r="U465" s="1">
        <f t="shared" si="1552"/>
        <v>1</v>
      </c>
      <c r="V465" s="1">
        <f t="shared" si="1552"/>
        <v>1.49504247276496</v>
      </c>
      <c r="W465" s="1">
        <f t="shared" si="1552"/>
        <v>1.27933431065108</v>
      </c>
      <c r="X465" s="1">
        <f t="shared" si="1552"/>
        <v>2.45253841538559</v>
      </c>
      <c r="Y465" s="1">
        <f t="shared" si="1539"/>
        <v>13.3380313943893</v>
      </c>
      <c r="Z465" s="1">
        <f t="shared" si="1540"/>
        <v>27.9682202585913</v>
      </c>
      <c r="AA465" s="1">
        <f t="shared" si="1517"/>
        <v>4685511.58672714</v>
      </c>
      <c r="AB465" s="1">
        <f t="shared" si="1518"/>
        <v>85431.3946570405</v>
      </c>
      <c r="AC465" s="1">
        <f t="shared" si="1519"/>
        <v>56954.2631046937</v>
      </c>
      <c r="AD465" s="1">
        <f>AC465/(AC465+[1]战斗公式!$M$27)</f>
        <v>0.703536304580253</v>
      </c>
      <c r="AE465" s="1">
        <f t="shared" si="1520"/>
        <v>15804672.4071667</v>
      </c>
      <c r="AF465" s="1">
        <f t="shared" si="1521"/>
        <v>13.8699937974331</v>
      </c>
      <c r="AG465" s="1">
        <f t="shared" si="1522"/>
        <v>6.61459367094763</v>
      </c>
      <c r="AH465" s="1">
        <f t="shared" si="1523"/>
        <v>4.96040203447678</v>
      </c>
      <c r="AI465" s="1">
        <f t="shared" si="1524"/>
        <v>2.049515452501</v>
      </c>
      <c r="AJ465" s="1">
        <f t="shared" si="1525"/>
        <v>1.00000000008441</v>
      </c>
      <c r="AK465" s="1">
        <f t="shared" si="1526"/>
        <v>1.00005133396414</v>
      </c>
      <c r="AL465" s="1">
        <f t="shared" si="1527"/>
        <v>0.94360841027491</v>
      </c>
      <c r="AM465" s="27">
        <f t="shared" si="1528"/>
        <v>3513749</v>
      </c>
      <c r="AN465" s="27">
        <f t="shared" si="1529"/>
        <v>175093</v>
      </c>
      <c r="AO465" s="27">
        <f t="shared" si="1530"/>
        <v>56954</v>
      </c>
      <c r="AP465" s="1">
        <f t="shared" si="1531"/>
        <v>1675791</v>
      </c>
      <c r="AQ465" s="1">
        <f t="shared" si="1532"/>
        <v>165219</v>
      </c>
      <c r="AR465"/>
      <c r="AS465" s="1">
        <f t="shared" ref="AS465:AY465" si="1553">ROUNDUP(AS$10*$AP465,0)</f>
        <v>1675791</v>
      </c>
      <c r="AT465" s="1">
        <f t="shared" si="1553"/>
        <v>5027373</v>
      </c>
      <c r="AU465" s="1">
        <f t="shared" si="1553"/>
        <v>3016424</v>
      </c>
      <c r="AV465" s="1">
        <f t="shared" si="1553"/>
        <v>837896</v>
      </c>
      <c r="AW465" s="1">
        <f t="shared" si="1553"/>
        <v>251369</v>
      </c>
      <c r="AX465" s="1">
        <f t="shared" si="1553"/>
        <v>6703164</v>
      </c>
      <c r="AY465" s="1">
        <f t="shared" si="1553"/>
        <v>15082119</v>
      </c>
      <c r="AZ465" s="1">
        <f t="shared" si="1534"/>
        <v>210824940</v>
      </c>
      <c r="BA465" s="1">
        <f t="shared" si="1535"/>
        <v>105412470</v>
      </c>
      <c r="BC465" s="1">
        <f t="shared" si="1536"/>
        <v>454</v>
      </c>
    </row>
    <row r="466" s="1" customFormat="1" spans="2:55">
      <c r="B466" s="4">
        <v>455</v>
      </c>
      <c r="C466" s="1">
        <f t="shared" ref="C466:I466" si="1554">C$5+(C$6-C$5)*(POWER(C$7,$B466-1)-1)/(POWER(C$7,$B$3-1)-1)</f>
        <v>35945.8069303906</v>
      </c>
      <c r="D466" s="1">
        <f t="shared" si="1554"/>
        <v>10783.7420791172</v>
      </c>
      <c r="E466" s="1">
        <f t="shared" si="1554"/>
        <v>7189.16138607813</v>
      </c>
      <c r="F466" s="1">
        <f t="shared" si="1554"/>
        <v>131952.962149535</v>
      </c>
      <c r="G466" s="1">
        <f t="shared" si="1554"/>
        <v>39585.8886448606</v>
      </c>
      <c r="H466" s="1">
        <f t="shared" si="1554"/>
        <v>26390.592429907</v>
      </c>
      <c r="I466" s="1">
        <f t="shared" si="1554"/>
        <v>0</v>
      </c>
      <c r="J466" s="1">
        <f>[1]标准模型!$I$65/1*$B466/$B$3</f>
        <v>3.276</v>
      </c>
      <c r="K466" s="1">
        <f>J466*[1]标准模型!$J$63</f>
        <v>3.276</v>
      </c>
      <c r="L466" s="1">
        <f t="shared" si="1513"/>
        <v>167898.769079926</v>
      </c>
      <c r="M466" s="1">
        <f t="shared" si="1514"/>
        <v>85697.1697751657</v>
      </c>
      <c r="N466" s="1">
        <f t="shared" si="1515"/>
        <v>57131.4465167771</v>
      </c>
      <c r="O466" s="1">
        <f t="shared" ref="O466:X466" si="1555">O$5+(O$6-O$5)*(POWER(O$7,$B466-1)-1)/(POWER(O$7,$B$3-1)-1)</f>
        <v>0.954920054417577</v>
      </c>
      <c r="P466" s="1">
        <f t="shared" si="1555"/>
        <v>0.35046129896315</v>
      </c>
      <c r="Q466" s="1">
        <f t="shared" si="1555"/>
        <v>0.525206029929667</v>
      </c>
      <c r="R466" s="1">
        <f t="shared" si="1555"/>
        <v>1.18196802176703</v>
      </c>
      <c r="S466" s="1">
        <f t="shared" si="1555"/>
        <v>0.636888076184608</v>
      </c>
      <c r="T466" s="1">
        <f t="shared" si="1555"/>
        <v>3.77418821222855</v>
      </c>
      <c r="U466" s="1">
        <f t="shared" si="1555"/>
        <v>1</v>
      </c>
      <c r="V466" s="1">
        <f t="shared" si="1555"/>
        <v>1.49613503370669</v>
      </c>
      <c r="W466" s="1">
        <f t="shared" si="1555"/>
        <v>1.27995080271851</v>
      </c>
      <c r="X466" s="1">
        <f t="shared" si="1555"/>
        <v>2.45574417413625</v>
      </c>
      <c r="Y466" s="1">
        <f t="shared" si="1539"/>
        <v>13.4185236882192</v>
      </c>
      <c r="Z466" s="1">
        <f t="shared" si="1540"/>
        <v>28.1532534319578</v>
      </c>
      <c r="AA466" s="1">
        <f t="shared" si="1517"/>
        <v>4726896.59682091</v>
      </c>
      <c r="AB466" s="1">
        <f t="shared" si="1518"/>
        <v>85697.1697751657</v>
      </c>
      <c r="AC466" s="1">
        <f t="shared" si="1519"/>
        <v>57131.4465167771</v>
      </c>
      <c r="AD466" s="1">
        <f>AC466/(AC466+[1]战斗公式!$M$27)</f>
        <v>0.704183753274545</v>
      </c>
      <c r="AE466" s="1">
        <f t="shared" si="1520"/>
        <v>15979164.9348046</v>
      </c>
      <c r="AF466" s="1">
        <f t="shared" si="1521"/>
        <v>13.8957778699479</v>
      </c>
      <c r="AG466" s="1">
        <f t="shared" si="1522"/>
        <v>6.62306489602618</v>
      </c>
      <c r="AH466" s="1">
        <f t="shared" si="1523"/>
        <v>4.96141667344926</v>
      </c>
      <c r="AI466" s="1">
        <f t="shared" si="1524"/>
        <v>2.05471956409377</v>
      </c>
      <c r="AJ466" s="1">
        <f t="shared" si="1525"/>
        <v>1.00000000007975</v>
      </c>
      <c r="AK466" s="1">
        <f t="shared" si="1526"/>
        <v>1.00004963747747</v>
      </c>
      <c r="AL466" s="1">
        <f t="shared" si="1527"/>
        <v>0.943756957507445</v>
      </c>
      <c r="AM466" s="27">
        <f t="shared" si="1528"/>
        <v>3540974</v>
      </c>
      <c r="AN466" s="27">
        <f t="shared" si="1529"/>
        <v>176084</v>
      </c>
      <c r="AO466" s="27">
        <f t="shared" si="1530"/>
        <v>57131</v>
      </c>
      <c r="AP466" s="1">
        <f t="shared" si="1531"/>
        <v>1687798</v>
      </c>
      <c r="AQ466" s="1">
        <f t="shared" si="1532"/>
        <v>166181</v>
      </c>
      <c r="AR466"/>
      <c r="AS466" s="1">
        <f t="shared" ref="AS466:AY466" si="1556">ROUNDUP(AS$10*$AP466,0)</f>
        <v>1687798</v>
      </c>
      <c r="AT466" s="1">
        <f t="shared" si="1556"/>
        <v>5063394</v>
      </c>
      <c r="AU466" s="1">
        <f t="shared" si="1556"/>
        <v>3038037</v>
      </c>
      <c r="AV466" s="1">
        <f t="shared" si="1556"/>
        <v>843899</v>
      </c>
      <c r="AW466" s="1">
        <f t="shared" si="1556"/>
        <v>253170</v>
      </c>
      <c r="AX466" s="1">
        <f t="shared" si="1556"/>
        <v>6751192</v>
      </c>
      <c r="AY466" s="1">
        <f t="shared" si="1556"/>
        <v>15190182</v>
      </c>
      <c r="AZ466" s="1">
        <f t="shared" si="1534"/>
        <v>212458440</v>
      </c>
      <c r="BA466" s="1">
        <f t="shared" si="1535"/>
        <v>106229220</v>
      </c>
      <c r="BC466" s="1">
        <f t="shared" si="1536"/>
        <v>455</v>
      </c>
    </row>
    <row r="467" s="1" customFormat="1" spans="2:55">
      <c r="B467" s="4">
        <v>456</v>
      </c>
      <c r="C467" s="1">
        <f t="shared" ref="C467:I467" si="1557">C$5+(C$6-C$5)*(POWER(C$7,$B467-1)-1)/(POWER(C$7,$B$3-1)-1)</f>
        <v>36024.7907362263</v>
      </c>
      <c r="D467" s="1">
        <f t="shared" si="1557"/>
        <v>10807.4372208679</v>
      </c>
      <c r="E467" s="1">
        <f t="shared" si="1557"/>
        <v>7204.95814724526</v>
      </c>
      <c r="F467" s="1">
        <f t="shared" si="1557"/>
        <v>132242.902702603</v>
      </c>
      <c r="G467" s="1">
        <f t="shared" si="1557"/>
        <v>39672.8708107809</v>
      </c>
      <c r="H467" s="1">
        <f t="shared" si="1557"/>
        <v>26448.5805405206</v>
      </c>
      <c r="I467" s="1">
        <f t="shared" si="1557"/>
        <v>0</v>
      </c>
      <c r="J467" s="1">
        <f>[1]标准模型!$I$65/1*$B467/$B$3</f>
        <v>3.2832</v>
      </c>
      <c r="K467" s="1">
        <f>J467*[1]标准模型!$J$63</f>
        <v>3.2832</v>
      </c>
      <c r="L467" s="1">
        <f t="shared" si="1513"/>
        <v>168267.693438829</v>
      </c>
      <c r="M467" s="1">
        <f t="shared" si="1514"/>
        <v>85963.2859152023</v>
      </c>
      <c r="N467" s="1">
        <f t="shared" si="1515"/>
        <v>57308.8572768015</v>
      </c>
      <c r="O467" s="1">
        <f t="shared" ref="O467:X467" si="1558">O$5+(O$6-O$5)*(POWER(O$7,$B467-1)-1)/(POWER(O$7,$B$3-1)-1)</f>
        <v>0.955921853025371</v>
      </c>
      <c r="P467" s="1">
        <f t="shared" si="1558"/>
        <v>0.351526248037124</v>
      </c>
      <c r="Q467" s="1">
        <f t="shared" si="1558"/>
        <v>0.525757019163954</v>
      </c>
      <c r="R467" s="1">
        <f t="shared" si="1558"/>
        <v>1.18236874121015</v>
      </c>
      <c r="S467" s="1">
        <f t="shared" si="1558"/>
        <v>0.638290594235519</v>
      </c>
      <c r="T467" s="1">
        <f t="shared" si="1558"/>
        <v>3.77809522679895</v>
      </c>
      <c r="U467" s="1">
        <f t="shared" si="1558"/>
        <v>1</v>
      </c>
      <c r="V467" s="1">
        <f t="shared" si="1558"/>
        <v>1.49722759355587</v>
      </c>
      <c r="W467" s="1">
        <f t="shared" si="1558"/>
        <v>1.28056729416946</v>
      </c>
      <c r="X467" s="1">
        <f t="shared" si="1558"/>
        <v>2.45894992968119</v>
      </c>
      <c r="Y467" s="1">
        <f t="shared" si="1539"/>
        <v>13.4994383722583</v>
      </c>
      <c r="Z467" s="1">
        <f t="shared" si="1540"/>
        <v>28.3393657307017</v>
      </c>
      <c r="AA467" s="1">
        <f t="shared" si="1517"/>
        <v>4768599.70502458</v>
      </c>
      <c r="AB467" s="1">
        <f t="shared" si="1518"/>
        <v>85963.2859152023</v>
      </c>
      <c r="AC467" s="1">
        <f t="shared" si="1519"/>
        <v>57308.8572768015</v>
      </c>
      <c r="AD467" s="1">
        <f>AC467/(AC467+[1]战斗公式!$M$27)</f>
        <v>0.704829205528049</v>
      </c>
      <c r="AE467" s="1">
        <f t="shared" si="1520"/>
        <v>16155391.3677517</v>
      </c>
      <c r="AF467" s="1">
        <f t="shared" si="1521"/>
        <v>13.9215879337224</v>
      </c>
      <c r="AG467" s="1">
        <f t="shared" si="1522"/>
        <v>6.63153932734847</v>
      </c>
      <c r="AH467" s="1">
        <f t="shared" si="1523"/>
        <v>4.96242370262944</v>
      </c>
      <c r="AI467" s="1">
        <f t="shared" si="1524"/>
        <v>2.05993408390974</v>
      </c>
      <c r="AJ467" s="1">
        <f t="shared" si="1525"/>
        <v>1.00000000007532</v>
      </c>
      <c r="AK467" s="1">
        <f t="shared" si="1526"/>
        <v>1.00004797492053</v>
      </c>
      <c r="AL467" s="1">
        <f t="shared" si="1527"/>
        <v>0.943905059098283</v>
      </c>
      <c r="AM467" s="27">
        <f t="shared" si="1528"/>
        <v>3568374</v>
      </c>
      <c r="AN467" s="27">
        <f t="shared" si="1529"/>
        <v>177079</v>
      </c>
      <c r="AO467" s="27">
        <f t="shared" si="1530"/>
        <v>57309</v>
      </c>
      <c r="AP467" s="1">
        <f t="shared" si="1531"/>
        <v>1699874</v>
      </c>
      <c r="AQ467" s="1">
        <f t="shared" si="1532"/>
        <v>167146</v>
      </c>
      <c r="AR467"/>
      <c r="AS467" s="1">
        <f t="shared" ref="AS467:AY467" si="1559">ROUNDUP(AS$10*$AP467,0)</f>
        <v>1699874</v>
      </c>
      <c r="AT467" s="1">
        <f t="shared" si="1559"/>
        <v>5099622</v>
      </c>
      <c r="AU467" s="1">
        <f t="shared" si="1559"/>
        <v>3059774</v>
      </c>
      <c r="AV467" s="1">
        <f t="shared" si="1559"/>
        <v>849937</v>
      </c>
      <c r="AW467" s="1">
        <f t="shared" si="1559"/>
        <v>254982</v>
      </c>
      <c r="AX467" s="1">
        <f t="shared" si="1559"/>
        <v>6799496</v>
      </c>
      <c r="AY467" s="1">
        <f t="shared" si="1559"/>
        <v>15298866</v>
      </c>
      <c r="AZ467" s="1">
        <f t="shared" si="1534"/>
        <v>214102440</v>
      </c>
      <c r="BA467" s="1">
        <f t="shared" si="1535"/>
        <v>107051220</v>
      </c>
      <c r="BC467" s="1">
        <f t="shared" si="1536"/>
        <v>456</v>
      </c>
    </row>
    <row r="468" s="1" customFormat="1" spans="2:55">
      <c r="B468" s="4">
        <v>457</v>
      </c>
      <c r="C468" s="1">
        <f t="shared" ref="C468:I468" si="1560">C$5+(C$6-C$5)*(POWER(C$7,$B468-1)-1)/(POWER(C$7,$B$3-1)-1)</f>
        <v>36103.7744630704</v>
      </c>
      <c r="D468" s="1">
        <f t="shared" si="1560"/>
        <v>10831.1323389211</v>
      </c>
      <c r="E468" s="1">
        <f t="shared" si="1560"/>
        <v>7220.75489261407</v>
      </c>
      <c r="F468" s="1">
        <f t="shared" si="1560"/>
        <v>132532.842965701</v>
      </c>
      <c r="G468" s="1">
        <f t="shared" si="1560"/>
        <v>39759.8528897104</v>
      </c>
      <c r="H468" s="1">
        <f t="shared" si="1560"/>
        <v>26506.5685931403</v>
      </c>
      <c r="I468" s="1">
        <f t="shared" si="1560"/>
        <v>0</v>
      </c>
      <c r="J468" s="1">
        <f>[1]标准模型!$I$65/1*$B468/$B$3</f>
        <v>3.2904</v>
      </c>
      <c r="K468" s="1">
        <f>J468*[1]标准模型!$J$63</f>
        <v>3.2904</v>
      </c>
      <c r="L468" s="1">
        <f t="shared" si="1513"/>
        <v>168636.617428771</v>
      </c>
      <c r="M468" s="1">
        <f t="shared" si="1514"/>
        <v>86229.7430766175</v>
      </c>
      <c r="N468" s="1">
        <f t="shared" si="1515"/>
        <v>57486.4953844117</v>
      </c>
      <c r="O468" s="1">
        <f t="shared" ref="O468:X468" si="1561">O$5+(O$6-O$5)*(POWER(O$7,$B468-1)-1)/(POWER(O$7,$B$3-1)-1)</f>
        <v>0.956923650631267</v>
      </c>
      <c r="P468" s="1">
        <f t="shared" si="1561"/>
        <v>0.35259279453471</v>
      </c>
      <c r="Q468" s="1">
        <f t="shared" si="1561"/>
        <v>0.526308007847197</v>
      </c>
      <c r="R468" s="1">
        <f t="shared" si="1561"/>
        <v>1.18276946025251</v>
      </c>
      <c r="S468" s="1">
        <f t="shared" si="1561"/>
        <v>0.639693110883774</v>
      </c>
      <c r="T468" s="1">
        <f t="shared" si="1561"/>
        <v>3.78200223746194</v>
      </c>
      <c r="U468" s="1">
        <f t="shared" si="1561"/>
        <v>1</v>
      </c>
      <c r="V468" s="1">
        <f t="shared" si="1561"/>
        <v>1.49832015231239</v>
      </c>
      <c r="W468" s="1">
        <f t="shared" si="1561"/>
        <v>1.28118378500386</v>
      </c>
      <c r="X468" s="1">
        <f t="shared" si="1561"/>
        <v>2.46215568202005</v>
      </c>
      <c r="Y468" s="1">
        <f t="shared" si="1539"/>
        <v>13.5807773109556</v>
      </c>
      <c r="Z468" s="1">
        <f t="shared" si="1540"/>
        <v>28.5265625507304</v>
      </c>
      <c r="AA468" s="1">
        <f t="shared" si="1517"/>
        <v>4810623.01542544</v>
      </c>
      <c r="AB468" s="1">
        <f t="shared" si="1518"/>
        <v>86229.7430766175</v>
      </c>
      <c r="AC468" s="1">
        <f t="shared" si="1519"/>
        <v>57486.4953844117</v>
      </c>
      <c r="AD468" s="1">
        <f>AC468/(AC468+[1]战斗公式!$M$27)</f>
        <v>0.705472668976862</v>
      </c>
      <c r="AE468" s="1">
        <f t="shared" si="1520"/>
        <v>16333367.0892754</v>
      </c>
      <c r="AF468" s="1">
        <f t="shared" si="1521"/>
        <v>13.947423972983</v>
      </c>
      <c r="AG468" s="1">
        <f t="shared" si="1522"/>
        <v>6.64001695618654</v>
      </c>
      <c r="AH468" s="1">
        <f t="shared" si="1523"/>
        <v>4.96342317909077</v>
      </c>
      <c r="AI468" s="1">
        <f t="shared" si="1524"/>
        <v>2.06515903276533</v>
      </c>
      <c r="AJ468" s="1">
        <f t="shared" si="1525"/>
        <v>1.00000000007112</v>
      </c>
      <c r="AK468" s="1">
        <f t="shared" si="1526"/>
        <v>1.00004634561473</v>
      </c>
      <c r="AL468" s="1">
        <f t="shared" si="1527"/>
        <v>0.944052716384348</v>
      </c>
      <c r="AM468" s="27">
        <f t="shared" si="1528"/>
        <v>3595948</v>
      </c>
      <c r="AN468" s="27">
        <f t="shared" si="1529"/>
        <v>178078</v>
      </c>
      <c r="AO468" s="27">
        <f t="shared" si="1530"/>
        <v>57486</v>
      </c>
      <c r="AP468" s="1">
        <f t="shared" si="1531"/>
        <v>1712020</v>
      </c>
      <c r="AQ468" s="1">
        <f t="shared" si="1532"/>
        <v>168115</v>
      </c>
      <c r="AR468"/>
      <c r="AS468" s="1">
        <f t="shared" ref="AS468:AY468" si="1562">ROUNDUP(AS$10*$AP468,0)</f>
        <v>1712020</v>
      </c>
      <c r="AT468" s="1">
        <f t="shared" si="1562"/>
        <v>5136060</v>
      </c>
      <c r="AU468" s="1">
        <f t="shared" si="1562"/>
        <v>3081636</v>
      </c>
      <c r="AV468" s="1">
        <f t="shared" si="1562"/>
        <v>856010</v>
      </c>
      <c r="AW468" s="1">
        <f t="shared" si="1562"/>
        <v>256803</v>
      </c>
      <c r="AX468" s="1">
        <f t="shared" si="1562"/>
        <v>6848080</v>
      </c>
      <c r="AY468" s="1">
        <f t="shared" si="1562"/>
        <v>15408180</v>
      </c>
      <c r="AZ468" s="1">
        <f t="shared" si="1534"/>
        <v>215756880</v>
      </c>
      <c r="BA468" s="1">
        <f t="shared" si="1535"/>
        <v>107878440</v>
      </c>
      <c r="BC468" s="1">
        <f t="shared" si="1536"/>
        <v>457</v>
      </c>
    </row>
    <row r="469" s="1" customFormat="1" spans="2:55">
      <c r="B469" s="4">
        <v>458</v>
      </c>
      <c r="C469" s="1">
        <f t="shared" ref="C469:I469" si="1563">C$5+(C$6-C$5)*(POWER(C$7,$B469-1)-1)/(POWER(C$7,$B$3-1)-1)</f>
        <v>36182.7581109404</v>
      </c>
      <c r="D469" s="1">
        <f t="shared" si="1563"/>
        <v>10854.8274332821</v>
      </c>
      <c r="E469" s="1">
        <f t="shared" si="1563"/>
        <v>7236.55162218807</v>
      </c>
      <c r="F469" s="1">
        <f t="shared" si="1563"/>
        <v>132822.782938895</v>
      </c>
      <c r="G469" s="1">
        <f t="shared" si="1563"/>
        <v>39846.8348816685</v>
      </c>
      <c r="H469" s="1">
        <f t="shared" si="1563"/>
        <v>26564.556587779</v>
      </c>
      <c r="I469" s="1">
        <f t="shared" si="1563"/>
        <v>0</v>
      </c>
      <c r="J469" s="1">
        <f>[1]标准模型!$I$65/1*$B469/$B$3</f>
        <v>3.2976</v>
      </c>
      <c r="K469" s="1">
        <f>J469*[1]标准模型!$J$63</f>
        <v>3.2976</v>
      </c>
      <c r="L469" s="1">
        <f t="shared" si="1513"/>
        <v>169005.541049835</v>
      </c>
      <c r="M469" s="1">
        <f t="shared" si="1514"/>
        <v>86496.5412589417</v>
      </c>
      <c r="N469" s="1">
        <f t="shared" si="1515"/>
        <v>57664.3608392944</v>
      </c>
      <c r="O469" s="1">
        <f t="shared" ref="O469:X469" si="1564">O$5+(O$6-O$5)*(POWER(O$7,$B469-1)-1)/(POWER(O$7,$B$3-1)-1)</f>
        <v>0.957925447235488</v>
      </c>
      <c r="P469" s="1">
        <f t="shared" si="1564"/>
        <v>0.353660940852041</v>
      </c>
      <c r="Q469" s="1">
        <f t="shared" si="1564"/>
        <v>0.526858995979518</v>
      </c>
      <c r="R469" s="1">
        <f t="shared" si="1564"/>
        <v>1.1831701788942</v>
      </c>
      <c r="S469" s="1">
        <f t="shared" si="1564"/>
        <v>0.641095626129683</v>
      </c>
      <c r="T469" s="1">
        <f t="shared" si="1564"/>
        <v>3.7859092442184</v>
      </c>
      <c r="U469" s="1">
        <f t="shared" si="1564"/>
        <v>1</v>
      </c>
      <c r="V469" s="1">
        <f t="shared" si="1564"/>
        <v>1.49941270997648</v>
      </c>
      <c r="W469" s="1">
        <f t="shared" si="1564"/>
        <v>1.28180027522184</v>
      </c>
      <c r="X469" s="1">
        <f t="shared" si="1564"/>
        <v>2.46536143115356</v>
      </c>
      <c r="Y469" s="1">
        <f t="shared" si="1539"/>
        <v>13.6625423755151</v>
      </c>
      <c r="Z469" s="1">
        <f t="shared" si="1540"/>
        <v>28.7148493105334</v>
      </c>
      <c r="AA469" s="1">
        <f t="shared" si="1517"/>
        <v>4852968.64389119</v>
      </c>
      <c r="AB469" s="1">
        <f t="shared" si="1518"/>
        <v>86496.5412589417</v>
      </c>
      <c r="AC469" s="1">
        <f t="shared" si="1519"/>
        <v>57664.3608392944</v>
      </c>
      <c r="AD469" s="1">
        <f>AC469/(AC469+[1]战斗公式!$M$27)</f>
        <v>0.706114151224068</v>
      </c>
      <c r="AE469" s="1">
        <f t="shared" si="1520"/>
        <v>16513107.603188</v>
      </c>
      <c r="AF469" s="1">
        <f t="shared" si="1521"/>
        <v>13.9732859719859</v>
      </c>
      <c r="AG469" s="1">
        <f t="shared" si="1522"/>
        <v>6.64849777384749</v>
      </c>
      <c r="AH469" s="1">
        <f t="shared" si="1523"/>
        <v>4.96441515947865</v>
      </c>
      <c r="AI469" s="1">
        <f t="shared" si="1524"/>
        <v>2.07039443151863</v>
      </c>
      <c r="AJ469" s="1">
        <f t="shared" si="1525"/>
        <v>1.00000000006712</v>
      </c>
      <c r="AK469" s="1">
        <f t="shared" si="1526"/>
        <v>1.00004474889505</v>
      </c>
      <c r="AL469" s="1">
        <f t="shared" si="1527"/>
        <v>0.944199930698554</v>
      </c>
      <c r="AM469" s="27">
        <f t="shared" si="1528"/>
        <v>3623698</v>
      </c>
      <c r="AN469" s="27">
        <f t="shared" si="1529"/>
        <v>179082</v>
      </c>
      <c r="AO469" s="27">
        <f t="shared" si="1530"/>
        <v>57664</v>
      </c>
      <c r="AP469" s="1">
        <f t="shared" si="1531"/>
        <v>1724235</v>
      </c>
      <c r="AQ469" s="1">
        <f t="shared" si="1532"/>
        <v>169089</v>
      </c>
      <c r="AR469"/>
      <c r="AS469" s="1">
        <f t="shared" ref="AS469:AY469" si="1565">ROUNDUP(AS$10*$AP469,0)</f>
        <v>1724235</v>
      </c>
      <c r="AT469" s="1">
        <f t="shared" si="1565"/>
        <v>5172705</v>
      </c>
      <c r="AU469" s="1">
        <f t="shared" si="1565"/>
        <v>3103623</v>
      </c>
      <c r="AV469" s="1">
        <f t="shared" si="1565"/>
        <v>862118</v>
      </c>
      <c r="AW469" s="1">
        <f t="shared" si="1565"/>
        <v>258636</v>
      </c>
      <c r="AX469" s="1">
        <f t="shared" si="1565"/>
        <v>6896940</v>
      </c>
      <c r="AY469" s="1">
        <f t="shared" si="1565"/>
        <v>15518115</v>
      </c>
      <c r="AZ469" s="1">
        <f t="shared" si="1534"/>
        <v>217421880</v>
      </c>
      <c r="BA469" s="1">
        <f t="shared" si="1535"/>
        <v>108710940</v>
      </c>
      <c r="BC469" s="1">
        <f t="shared" si="1536"/>
        <v>458</v>
      </c>
    </row>
    <row r="470" s="1" customFormat="1" spans="2:55">
      <c r="B470" s="4">
        <v>459</v>
      </c>
      <c r="C470" s="1">
        <f t="shared" ref="C470:I470" si="1566">C$5+(C$6-C$5)*(POWER(C$7,$B470-1)-1)/(POWER(C$7,$B$3-1)-1)</f>
        <v>36261.7416798188</v>
      </c>
      <c r="D470" s="1">
        <f t="shared" si="1566"/>
        <v>10878.5225039456</v>
      </c>
      <c r="E470" s="1">
        <f t="shared" si="1566"/>
        <v>7252.34833596375</v>
      </c>
      <c r="F470" s="1">
        <f t="shared" si="1566"/>
        <v>133112.722622119</v>
      </c>
      <c r="G470" s="1">
        <f t="shared" si="1566"/>
        <v>39933.8167866358</v>
      </c>
      <c r="H470" s="1">
        <f t="shared" si="1566"/>
        <v>26622.5445244239</v>
      </c>
      <c r="I470" s="1">
        <f t="shared" si="1566"/>
        <v>0</v>
      </c>
      <c r="J470" s="1">
        <f>[1]标准模型!$I$65/1*$B470/$B$3</f>
        <v>3.3048</v>
      </c>
      <c r="K470" s="1">
        <f>J470*[1]标准模型!$J$63</f>
        <v>3.3048</v>
      </c>
      <c r="L470" s="1">
        <f t="shared" si="1513"/>
        <v>169374.464301938</v>
      </c>
      <c r="M470" s="1">
        <f t="shared" si="1514"/>
        <v>86763.6804616208</v>
      </c>
      <c r="N470" s="1">
        <f t="shared" si="1515"/>
        <v>57842.4536410807</v>
      </c>
      <c r="O470" s="1">
        <f t="shared" ref="O470:X470" si="1567">O$5+(O$6-O$5)*(POWER(O$7,$B470-1)-1)/(POWER(O$7,$B$3-1)-1)</f>
        <v>0.958927242837812</v>
      </c>
      <c r="P470" s="1">
        <f t="shared" si="1567"/>
        <v>0.354730689388849</v>
      </c>
      <c r="Q470" s="1">
        <f t="shared" si="1567"/>
        <v>0.527409983560796</v>
      </c>
      <c r="R470" s="1">
        <f t="shared" si="1567"/>
        <v>1.18357089713512</v>
      </c>
      <c r="S470" s="1">
        <f t="shared" si="1567"/>
        <v>0.642498139972936</v>
      </c>
      <c r="T470" s="1">
        <f t="shared" si="1567"/>
        <v>3.78981624706747</v>
      </c>
      <c r="U470" s="1">
        <f t="shared" si="1567"/>
        <v>1</v>
      </c>
      <c r="V470" s="1">
        <f t="shared" si="1567"/>
        <v>1.5005052665479</v>
      </c>
      <c r="W470" s="1">
        <f t="shared" si="1567"/>
        <v>1.28241676482327</v>
      </c>
      <c r="X470" s="1">
        <f t="shared" si="1567"/>
        <v>2.468567177081</v>
      </c>
      <c r="Y470" s="1">
        <f t="shared" si="1539"/>
        <v>13.7447354438618</v>
      </c>
      <c r="Z470" s="1">
        <f t="shared" si="1540"/>
        <v>28.9042314511275</v>
      </c>
      <c r="AA470" s="1">
        <f t="shared" si="1517"/>
        <v>4895638.71809394</v>
      </c>
      <c r="AB470" s="1">
        <f t="shared" si="1518"/>
        <v>86763.6804616208</v>
      </c>
      <c r="AC470" s="1">
        <f t="shared" si="1519"/>
        <v>57842.4536410807</v>
      </c>
      <c r="AD470" s="1">
        <f>AC470/(AC470+[1]战斗公式!$M$27)</f>
        <v>0.706753659839528</v>
      </c>
      <c r="AE470" s="1">
        <f t="shared" si="1520"/>
        <v>16694628.5345451</v>
      </c>
      <c r="AF470" s="1">
        <f t="shared" si="1521"/>
        <v>13.9991739149899</v>
      </c>
      <c r="AG470" s="1">
        <f t="shared" si="1522"/>
        <v>6.65698177166518</v>
      </c>
      <c r="AH470" s="1">
        <f t="shared" si="1523"/>
        <v>4.96539970001361</v>
      </c>
      <c r="AI470" s="1">
        <f t="shared" si="1524"/>
        <v>2.07564030106944</v>
      </c>
      <c r="AJ470" s="1">
        <f t="shared" si="1525"/>
        <v>1.00000000006332</v>
      </c>
      <c r="AK470" s="1">
        <f t="shared" si="1526"/>
        <v>1.00004318410976</v>
      </c>
      <c r="AL470" s="1">
        <f t="shared" si="1527"/>
        <v>0.944346703369818</v>
      </c>
      <c r="AM470" s="27">
        <f t="shared" si="1528"/>
        <v>3651625</v>
      </c>
      <c r="AN470" s="27">
        <f t="shared" si="1529"/>
        <v>180090</v>
      </c>
      <c r="AO470" s="27">
        <f t="shared" si="1530"/>
        <v>57842</v>
      </c>
      <c r="AP470" s="1">
        <f t="shared" si="1531"/>
        <v>1736521</v>
      </c>
      <c r="AQ470" s="1">
        <f t="shared" si="1532"/>
        <v>170067</v>
      </c>
      <c r="AR470"/>
      <c r="AS470" s="1">
        <f t="shared" ref="AS470:AY470" si="1568">ROUNDUP(AS$10*$AP470,0)</f>
        <v>1736521</v>
      </c>
      <c r="AT470" s="1">
        <f t="shared" si="1568"/>
        <v>5209563</v>
      </c>
      <c r="AU470" s="1">
        <f t="shared" si="1568"/>
        <v>3125738</v>
      </c>
      <c r="AV470" s="1">
        <f t="shared" si="1568"/>
        <v>868261</v>
      </c>
      <c r="AW470" s="1">
        <f t="shared" si="1568"/>
        <v>260479</v>
      </c>
      <c r="AX470" s="1">
        <f t="shared" si="1568"/>
        <v>6946084</v>
      </c>
      <c r="AY470" s="1">
        <f t="shared" si="1568"/>
        <v>15628689</v>
      </c>
      <c r="AZ470" s="1">
        <f t="shared" si="1534"/>
        <v>219097500</v>
      </c>
      <c r="BA470" s="1">
        <f t="shared" si="1535"/>
        <v>109548750</v>
      </c>
      <c r="BC470" s="1">
        <f t="shared" si="1536"/>
        <v>459</v>
      </c>
    </row>
    <row r="471" s="1" customFormat="1" spans="2:55">
      <c r="B471" s="4">
        <v>460</v>
      </c>
      <c r="C471" s="1">
        <f t="shared" ref="C471:I471" si="1569">C$5+(C$6-C$5)*(POWER(C$7,$B471-1)-1)/(POWER(C$7,$B$3-1)-1)</f>
        <v>36340.7251697143</v>
      </c>
      <c r="D471" s="1">
        <f t="shared" si="1569"/>
        <v>10902.2175509143</v>
      </c>
      <c r="E471" s="1">
        <f t="shared" si="1569"/>
        <v>7268.14503394286</v>
      </c>
      <c r="F471" s="1">
        <f t="shared" si="1569"/>
        <v>133402.662015407</v>
      </c>
      <c r="G471" s="1">
        <f t="shared" si="1569"/>
        <v>40020.7986046221</v>
      </c>
      <c r="H471" s="1">
        <f t="shared" si="1569"/>
        <v>26680.5324030814</v>
      </c>
      <c r="I471" s="1">
        <f t="shared" si="1569"/>
        <v>0</v>
      </c>
      <c r="J471" s="1">
        <f>[1]标准模型!$I$65/1*$B471/$B$3</f>
        <v>3.312</v>
      </c>
      <c r="K471" s="1">
        <f>J471*[1]标准模型!$J$63</f>
        <v>3.312</v>
      </c>
      <c r="L471" s="1">
        <f t="shared" si="1513"/>
        <v>169743.387185121</v>
      </c>
      <c r="M471" s="1">
        <f t="shared" si="1514"/>
        <v>87031.1606841646</v>
      </c>
      <c r="N471" s="1">
        <f t="shared" si="1515"/>
        <v>58020.773789443</v>
      </c>
      <c r="O471" s="1">
        <f t="shared" ref="O471:X471" si="1570">O$5+(O$6-O$5)*(POWER(O$7,$B471-1)-1)/(POWER(O$7,$B$3-1)-1)</f>
        <v>0.959929037438349</v>
      </c>
      <c r="P471" s="1">
        <f t="shared" si="1570"/>
        <v>0.355802042548462</v>
      </c>
      <c r="Q471" s="1">
        <f t="shared" si="1570"/>
        <v>0.527960970591092</v>
      </c>
      <c r="R471" s="1">
        <f t="shared" si="1570"/>
        <v>1.18397161497534</v>
      </c>
      <c r="S471" s="1">
        <f t="shared" si="1570"/>
        <v>0.643900652413689</v>
      </c>
      <c r="T471" s="1">
        <f t="shared" si="1570"/>
        <v>3.79372324600956</v>
      </c>
      <c r="U471" s="1">
        <f t="shared" si="1570"/>
        <v>1</v>
      </c>
      <c r="V471" s="1">
        <f t="shared" si="1570"/>
        <v>1.50159782202678</v>
      </c>
      <c r="W471" s="1">
        <f t="shared" si="1570"/>
        <v>1.28303325380821</v>
      </c>
      <c r="X471" s="1">
        <f t="shared" si="1570"/>
        <v>2.47177291980272</v>
      </c>
      <c r="Y471" s="1">
        <f t="shared" si="1539"/>
        <v>13.8273584007165</v>
      </c>
      <c r="Z471" s="1">
        <f t="shared" si="1540"/>
        <v>29.0947144362679</v>
      </c>
      <c r="AA471" s="1">
        <f t="shared" si="1517"/>
        <v>4938635.37759596</v>
      </c>
      <c r="AB471" s="1">
        <f t="shared" si="1518"/>
        <v>87031.1606841646</v>
      </c>
      <c r="AC471" s="1">
        <f t="shared" si="1519"/>
        <v>58020.773789443</v>
      </c>
      <c r="AD471" s="1">
        <f>AC471/(AC471+[1]战斗公式!$M$27)</f>
        <v>0.707391202360382</v>
      </c>
      <c r="AE471" s="1">
        <f t="shared" si="1520"/>
        <v>16877945.6305974</v>
      </c>
      <c r="AF471" s="1">
        <f t="shared" si="1521"/>
        <v>14.025087786283</v>
      </c>
      <c r="AG471" s="1">
        <f t="shared" si="1522"/>
        <v>6.66546894100822</v>
      </c>
      <c r="AH471" s="1">
        <f t="shared" si="1523"/>
        <v>4.96637685649456</v>
      </c>
      <c r="AI471" s="1">
        <f t="shared" si="1524"/>
        <v>2.08089666235935</v>
      </c>
      <c r="AJ471" s="1">
        <f t="shared" si="1525"/>
        <v>1.00000000005972</v>
      </c>
      <c r="AK471" s="1">
        <f t="shared" si="1526"/>
        <v>1.00004165062018</v>
      </c>
      <c r="AL471" s="1">
        <f t="shared" si="1527"/>
        <v>0.944493035723069</v>
      </c>
      <c r="AM471" s="27">
        <f t="shared" si="1528"/>
        <v>3679730</v>
      </c>
      <c r="AN471" s="27">
        <f t="shared" si="1529"/>
        <v>181103</v>
      </c>
      <c r="AO471" s="27">
        <f t="shared" si="1530"/>
        <v>58021</v>
      </c>
      <c r="AP471" s="1">
        <f t="shared" si="1531"/>
        <v>1748876</v>
      </c>
      <c r="AQ471" s="1">
        <f t="shared" si="1532"/>
        <v>171051</v>
      </c>
      <c r="AR471"/>
      <c r="AS471" s="1">
        <f t="shared" ref="AS471:AY471" si="1571">ROUNDUP(AS$10*$AP471,0)</f>
        <v>1748876</v>
      </c>
      <c r="AT471" s="1">
        <f t="shared" si="1571"/>
        <v>5246628</v>
      </c>
      <c r="AU471" s="1">
        <f t="shared" si="1571"/>
        <v>3147977</v>
      </c>
      <c r="AV471" s="1">
        <f t="shared" si="1571"/>
        <v>874438</v>
      </c>
      <c r="AW471" s="1">
        <f t="shared" si="1571"/>
        <v>262332</v>
      </c>
      <c r="AX471" s="1">
        <f t="shared" si="1571"/>
        <v>6995504</v>
      </c>
      <c r="AY471" s="1">
        <f t="shared" si="1571"/>
        <v>15739884</v>
      </c>
      <c r="AZ471" s="1">
        <f t="shared" si="1534"/>
        <v>220783800</v>
      </c>
      <c r="BA471" s="1">
        <f t="shared" si="1535"/>
        <v>110391900</v>
      </c>
      <c r="BC471" s="1">
        <f t="shared" si="1536"/>
        <v>460</v>
      </c>
    </row>
    <row r="472" s="1" customFormat="1" spans="2:55">
      <c r="B472" s="4">
        <v>461</v>
      </c>
      <c r="C472" s="1">
        <f t="shared" ref="C472:I472" si="1572">C$5+(C$6-C$5)*(POWER(C$7,$B472-1)-1)/(POWER(C$7,$B$3-1)-1)</f>
        <v>36419.7085806271</v>
      </c>
      <c r="D472" s="1">
        <f t="shared" si="1572"/>
        <v>10925.9125741881</v>
      </c>
      <c r="E472" s="1">
        <f t="shared" si="1572"/>
        <v>7283.94171612541</v>
      </c>
      <c r="F472" s="1">
        <f t="shared" si="1572"/>
        <v>133692.601118758</v>
      </c>
      <c r="G472" s="1">
        <f t="shared" si="1572"/>
        <v>40107.7803356273</v>
      </c>
      <c r="H472" s="1">
        <f t="shared" si="1572"/>
        <v>26738.5202237515</v>
      </c>
      <c r="I472" s="1">
        <f t="shared" si="1572"/>
        <v>0</v>
      </c>
      <c r="J472" s="1">
        <f>[1]标准模型!$I$65/1*$B472/$B$3</f>
        <v>3.3192</v>
      </c>
      <c r="K472" s="1">
        <f>J472*[1]标准模型!$J$63</f>
        <v>3.3192</v>
      </c>
      <c r="L472" s="1">
        <f t="shared" si="1513"/>
        <v>170112.309699385</v>
      </c>
      <c r="M472" s="1">
        <f t="shared" si="1514"/>
        <v>87298.9819260605</v>
      </c>
      <c r="N472" s="1">
        <f t="shared" si="1515"/>
        <v>58199.3212840404</v>
      </c>
      <c r="O472" s="1">
        <f t="shared" ref="O472:X472" si="1573">O$5+(O$6-O$5)*(POWER(O$7,$B472-1)-1)/(POWER(O$7,$B$3-1)-1)</f>
        <v>0.9609308310371</v>
      </c>
      <c r="P472" s="1">
        <f t="shared" si="1573"/>
        <v>0.356875002737814</v>
      </c>
      <c r="Q472" s="1">
        <f t="shared" si="1573"/>
        <v>0.528511957070405</v>
      </c>
      <c r="R472" s="1">
        <f t="shared" si="1573"/>
        <v>1.18437233241484</v>
      </c>
      <c r="S472" s="1">
        <f t="shared" si="1573"/>
        <v>0.64530316345194</v>
      </c>
      <c r="T472" s="1">
        <f t="shared" si="1573"/>
        <v>3.79763024104469</v>
      </c>
      <c r="U472" s="1">
        <f t="shared" si="1573"/>
        <v>1</v>
      </c>
      <c r="V472" s="1">
        <f t="shared" si="1573"/>
        <v>1.50269037641311</v>
      </c>
      <c r="W472" s="1">
        <f t="shared" si="1573"/>
        <v>1.28364974217668</v>
      </c>
      <c r="X472" s="1">
        <f t="shared" si="1573"/>
        <v>2.47497865931872</v>
      </c>
      <c r="Y472" s="1">
        <f t="shared" si="1539"/>
        <v>13.9104131375846</v>
      </c>
      <c r="Z472" s="1">
        <f t="shared" si="1540"/>
        <v>29.2863037524506</v>
      </c>
      <c r="AA472" s="1">
        <f t="shared" si="1517"/>
        <v>4981960.77388714</v>
      </c>
      <c r="AB472" s="1">
        <f t="shared" si="1518"/>
        <v>87298.9819260605</v>
      </c>
      <c r="AC472" s="1">
        <f t="shared" si="1519"/>
        <v>58199.3212840404</v>
      </c>
      <c r="AD472" s="1">
        <f>AC472/(AC472+[1]战斗公式!$M$27)</f>
        <v>0.708026786290998</v>
      </c>
      <c r="AE472" s="1">
        <f t="shared" si="1520"/>
        <v>17063074.7615515</v>
      </c>
      <c r="AF472" s="1">
        <f t="shared" si="1521"/>
        <v>14.0510275701675</v>
      </c>
      <c r="AG472" s="1">
        <f t="shared" si="1522"/>
        <v>6.67395927327518</v>
      </c>
      <c r="AH472" s="1">
        <f t="shared" si="1523"/>
        <v>4.9673466843019</v>
      </c>
      <c r="AI472" s="1">
        <f t="shared" si="1524"/>
        <v>2.08616353637185</v>
      </c>
      <c r="AJ472" s="1">
        <f t="shared" si="1525"/>
        <v>1.00000000005629</v>
      </c>
      <c r="AK472" s="1">
        <f t="shared" si="1526"/>
        <v>1.00004014780038</v>
      </c>
      <c r="AL472" s="1">
        <f t="shared" si="1527"/>
        <v>0.944638929079259</v>
      </c>
      <c r="AM472" s="27">
        <f t="shared" si="1528"/>
        <v>3708013</v>
      </c>
      <c r="AN472" s="27">
        <f t="shared" si="1529"/>
        <v>182120</v>
      </c>
      <c r="AO472" s="27">
        <f t="shared" si="1530"/>
        <v>58199</v>
      </c>
      <c r="AP472" s="1">
        <f t="shared" si="1531"/>
        <v>1761303</v>
      </c>
      <c r="AQ472" s="1">
        <f t="shared" si="1532"/>
        <v>172038</v>
      </c>
      <c r="AR472"/>
      <c r="AS472" s="1">
        <f t="shared" ref="AS472:AY472" si="1574">ROUNDUP(AS$10*$AP472,0)</f>
        <v>1761303</v>
      </c>
      <c r="AT472" s="1">
        <f t="shared" si="1574"/>
        <v>5283909</v>
      </c>
      <c r="AU472" s="1">
        <f t="shared" si="1574"/>
        <v>3170346</v>
      </c>
      <c r="AV472" s="1">
        <f t="shared" si="1574"/>
        <v>880652</v>
      </c>
      <c r="AW472" s="1">
        <f t="shared" si="1574"/>
        <v>264196</v>
      </c>
      <c r="AX472" s="1">
        <f t="shared" si="1574"/>
        <v>7045212</v>
      </c>
      <c r="AY472" s="1">
        <f t="shared" si="1574"/>
        <v>15851727</v>
      </c>
      <c r="AZ472" s="1">
        <f t="shared" si="1534"/>
        <v>222480780</v>
      </c>
      <c r="BA472" s="1">
        <f t="shared" si="1535"/>
        <v>111240390</v>
      </c>
      <c r="BC472" s="1">
        <f t="shared" si="1536"/>
        <v>461</v>
      </c>
    </row>
    <row r="473" s="1" customFormat="1" spans="2:55">
      <c r="B473" s="4">
        <v>462</v>
      </c>
      <c r="C473" s="1">
        <f t="shared" ref="C473:I473" si="1575">C$5+(C$6-C$5)*(POWER(C$7,$B473-1)-1)/(POWER(C$7,$B$3-1)-1)</f>
        <v>36498.6919125569</v>
      </c>
      <c r="D473" s="1">
        <f t="shared" si="1575"/>
        <v>10949.6075737671</v>
      </c>
      <c r="E473" s="1">
        <f t="shared" si="1575"/>
        <v>7299.73838251139</v>
      </c>
      <c r="F473" s="1">
        <f t="shared" si="1575"/>
        <v>133982.539932171</v>
      </c>
      <c r="G473" s="1">
        <f t="shared" si="1575"/>
        <v>40194.7619796513</v>
      </c>
      <c r="H473" s="1">
        <f t="shared" si="1575"/>
        <v>26796.5079864342</v>
      </c>
      <c r="I473" s="1">
        <f t="shared" si="1575"/>
        <v>0</v>
      </c>
      <c r="J473" s="1">
        <f>[1]标准模型!$I$65/1*$B473/$B$3</f>
        <v>3.3264</v>
      </c>
      <c r="K473" s="1">
        <f>J473*[1]标准模型!$J$63</f>
        <v>3.3264</v>
      </c>
      <c r="L473" s="1">
        <f t="shared" si="1513"/>
        <v>170481.231844728</v>
      </c>
      <c r="M473" s="1">
        <f t="shared" si="1514"/>
        <v>87567.1441867973</v>
      </c>
      <c r="N473" s="1">
        <f t="shared" si="1515"/>
        <v>58378.0961245315</v>
      </c>
      <c r="O473" s="1">
        <f t="shared" ref="O473:X473" si="1576">O$5+(O$6-O$5)*(POWER(O$7,$B473-1)-1)/(POWER(O$7,$B$3-1)-1)</f>
        <v>0.961932623634065</v>
      </c>
      <c r="P473" s="1">
        <f t="shared" si="1576"/>
        <v>0.357949572367451</v>
      </c>
      <c r="Q473" s="1">
        <f t="shared" si="1576"/>
        <v>0.529062942998736</v>
      </c>
      <c r="R473" s="1">
        <f t="shared" si="1576"/>
        <v>1.18477304945363</v>
      </c>
      <c r="S473" s="1">
        <f t="shared" si="1576"/>
        <v>0.646705673087691</v>
      </c>
      <c r="T473" s="1">
        <f t="shared" si="1576"/>
        <v>3.80153723217285</v>
      </c>
      <c r="U473" s="1">
        <f t="shared" si="1576"/>
        <v>1</v>
      </c>
      <c r="V473" s="1">
        <f t="shared" si="1576"/>
        <v>1.50378292970689</v>
      </c>
      <c r="W473" s="1">
        <f t="shared" si="1576"/>
        <v>1.28426622992866</v>
      </c>
      <c r="X473" s="1">
        <f t="shared" si="1576"/>
        <v>2.47818439562901</v>
      </c>
      <c r="Y473" s="1">
        <f t="shared" si="1539"/>
        <v>13.9939015527848</v>
      </c>
      <c r="Z473" s="1">
        <f t="shared" si="1540"/>
        <v>29.47900490901</v>
      </c>
      <c r="AA473" s="1">
        <f t="shared" si="1517"/>
        <v>5025617.07044481</v>
      </c>
      <c r="AB473" s="1">
        <f t="shared" si="1518"/>
        <v>87567.1441867973</v>
      </c>
      <c r="AC473" s="1">
        <f t="shared" si="1519"/>
        <v>58378.0961245315</v>
      </c>
      <c r="AD473" s="1">
        <f>AC473/(AC473+[1]战斗公式!$M$27)</f>
        <v>0.708660419103167</v>
      </c>
      <c r="AE473" s="1">
        <f t="shared" si="1520"/>
        <v>17250031.9214245</v>
      </c>
      <c r="AF473" s="1">
        <f t="shared" si="1521"/>
        <v>14.0769932509626</v>
      </c>
      <c r="AG473" s="1">
        <f t="shared" si="1522"/>
        <v>6.6824527598955</v>
      </c>
      <c r="AH473" s="1">
        <f t="shared" si="1523"/>
        <v>4.96830923840069</v>
      </c>
      <c r="AI473" s="1">
        <f t="shared" si="1524"/>
        <v>2.09144094413236</v>
      </c>
      <c r="AJ473" s="1">
        <f t="shared" si="1525"/>
        <v>1.00000000005304</v>
      </c>
      <c r="AK473" s="1">
        <f t="shared" si="1526"/>
        <v>1.00003867503699</v>
      </c>
      <c r="AL473" s="1">
        <f t="shared" si="1527"/>
        <v>0.944784384755381</v>
      </c>
      <c r="AM473" s="27">
        <f t="shared" si="1528"/>
        <v>3736475</v>
      </c>
      <c r="AN473" s="27">
        <f t="shared" si="1529"/>
        <v>183142</v>
      </c>
      <c r="AO473" s="27">
        <f t="shared" si="1530"/>
        <v>58378</v>
      </c>
      <c r="AP473" s="1">
        <f t="shared" si="1531"/>
        <v>1773801</v>
      </c>
      <c r="AQ473" s="1">
        <f t="shared" si="1532"/>
        <v>173030</v>
      </c>
      <c r="AR473"/>
      <c r="AS473" s="1">
        <f t="shared" ref="AS473:AY473" si="1577">ROUNDUP(AS$10*$AP473,0)</f>
        <v>1773801</v>
      </c>
      <c r="AT473" s="1">
        <f t="shared" si="1577"/>
        <v>5321403</v>
      </c>
      <c r="AU473" s="1">
        <f t="shared" si="1577"/>
        <v>3192842</v>
      </c>
      <c r="AV473" s="1">
        <f t="shared" si="1577"/>
        <v>886901</v>
      </c>
      <c r="AW473" s="1">
        <f t="shared" si="1577"/>
        <v>266071</v>
      </c>
      <c r="AX473" s="1">
        <f t="shared" si="1577"/>
        <v>7095204</v>
      </c>
      <c r="AY473" s="1">
        <f t="shared" si="1577"/>
        <v>15964209</v>
      </c>
      <c r="AZ473" s="1">
        <f t="shared" si="1534"/>
        <v>224188500</v>
      </c>
      <c r="BA473" s="1">
        <f t="shared" si="1535"/>
        <v>112094250</v>
      </c>
      <c r="BC473" s="1">
        <f t="shared" si="1536"/>
        <v>462</v>
      </c>
    </row>
    <row r="474" s="1" customFormat="1" spans="2:55">
      <c r="B474" s="4">
        <v>463</v>
      </c>
      <c r="C474" s="1">
        <f t="shared" ref="C474:I474" si="1578">C$5+(C$6-C$5)*(POWER(C$7,$B474-1)-1)/(POWER(C$7,$B$3-1)-1)</f>
        <v>36577.675165504</v>
      </c>
      <c r="D474" s="1">
        <f t="shared" si="1578"/>
        <v>10973.3025496512</v>
      </c>
      <c r="E474" s="1">
        <f t="shared" si="1578"/>
        <v>7315.5350331008</v>
      </c>
      <c r="F474" s="1">
        <f t="shared" si="1578"/>
        <v>134272.478455648</v>
      </c>
      <c r="G474" s="1">
        <f t="shared" si="1578"/>
        <v>40281.7435366943</v>
      </c>
      <c r="H474" s="1">
        <f t="shared" si="1578"/>
        <v>26854.4956911295</v>
      </c>
      <c r="I474" s="1">
        <f t="shared" si="1578"/>
        <v>0</v>
      </c>
      <c r="J474" s="1">
        <f>[1]标准模型!$I$65/1*$B474/$B$3</f>
        <v>3.3336</v>
      </c>
      <c r="K474" s="1">
        <f>J474*[1]标准模型!$J$63</f>
        <v>3.3336</v>
      </c>
      <c r="L474" s="1">
        <f t="shared" si="1513"/>
        <v>170850.153621152</v>
      </c>
      <c r="M474" s="1">
        <f t="shared" si="1514"/>
        <v>87835.6474658627</v>
      </c>
      <c r="N474" s="1">
        <f t="shared" si="1515"/>
        <v>58557.0983105751</v>
      </c>
      <c r="O474" s="1">
        <f t="shared" ref="O474:X474" si="1579">O$5+(O$6-O$5)*(POWER(O$7,$B474-1)-1)/(POWER(O$7,$B$3-1)-1)</f>
        <v>0.962934415229244</v>
      </c>
      <c r="P474" s="1">
        <f t="shared" si="1579"/>
        <v>0.359025753851531</v>
      </c>
      <c r="Q474" s="1">
        <f t="shared" si="1579"/>
        <v>0.529613928376084</v>
      </c>
      <c r="R474" s="1">
        <f t="shared" si="1579"/>
        <v>1.1851737660917</v>
      </c>
      <c r="S474" s="1">
        <f t="shared" si="1579"/>
        <v>0.648108181320941</v>
      </c>
      <c r="T474" s="1">
        <f t="shared" si="1579"/>
        <v>3.80544421939405</v>
      </c>
      <c r="U474" s="1">
        <f t="shared" si="1579"/>
        <v>1</v>
      </c>
      <c r="V474" s="1">
        <f t="shared" si="1579"/>
        <v>1.50487548190813</v>
      </c>
      <c r="W474" s="1">
        <f t="shared" si="1579"/>
        <v>1.28488271706415</v>
      </c>
      <c r="X474" s="1">
        <f t="shared" si="1579"/>
        <v>2.48139012873358</v>
      </c>
      <c r="Y474" s="1">
        <f t="shared" si="1539"/>
        <v>14.0778255514691</v>
      </c>
      <c r="Z474" s="1">
        <f t="shared" si="1540"/>
        <v>29.6728234381978</v>
      </c>
      <c r="AA474" s="1">
        <f t="shared" si="1517"/>
        <v>5069606.44278941</v>
      </c>
      <c r="AB474" s="1">
        <f t="shared" si="1518"/>
        <v>87835.6474658627</v>
      </c>
      <c r="AC474" s="1">
        <f t="shared" si="1519"/>
        <v>58557.0983105751</v>
      </c>
      <c r="AD474" s="1">
        <f>AC474/(AC474+[1]战斗公式!$M$27)</f>
        <v>0.709292108236249</v>
      </c>
      <c r="AE474" s="1">
        <f t="shared" si="1520"/>
        <v>17438833.2288871</v>
      </c>
      <c r="AF474" s="1">
        <f t="shared" si="1521"/>
        <v>14.1029848130059</v>
      </c>
      <c r="AG474" s="1">
        <f t="shared" si="1522"/>
        <v>6.69094939232965</v>
      </c>
      <c r="AH474" s="1">
        <f t="shared" si="1523"/>
        <v>4.96926457334374</v>
      </c>
      <c r="AI474" s="1">
        <f t="shared" si="1524"/>
        <v>2.0967289067084</v>
      </c>
      <c r="AJ474" s="1">
        <f t="shared" si="1525"/>
        <v>1.00000000004994</v>
      </c>
      <c r="AK474" s="1">
        <f t="shared" si="1526"/>
        <v>1.00003723172886</v>
      </c>
      <c r="AL474" s="1">
        <f t="shared" si="1527"/>
        <v>0.944929404064474</v>
      </c>
      <c r="AM474" s="27">
        <f t="shared" si="1528"/>
        <v>3765118</v>
      </c>
      <c r="AN474" s="27">
        <f t="shared" si="1529"/>
        <v>184168</v>
      </c>
      <c r="AO474" s="27">
        <f t="shared" si="1530"/>
        <v>58557</v>
      </c>
      <c r="AP474" s="1">
        <f t="shared" si="1531"/>
        <v>1786370</v>
      </c>
      <c r="AQ474" s="1">
        <f t="shared" si="1532"/>
        <v>174026</v>
      </c>
      <c r="AR474"/>
      <c r="AS474" s="1">
        <f t="shared" ref="AS474:AY474" si="1580">ROUNDUP(AS$10*$AP474,0)</f>
        <v>1786370</v>
      </c>
      <c r="AT474" s="1">
        <f t="shared" si="1580"/>
        <v>5359110</v>
      </c>
      <c r="AU474" s="1">
        <f t="shared" si="1580"/>
        <v>3215466</v>
      </c>
      <c r="AV474" s="1">
        <f t="shared" si="1580"/>
        <v>893185</v>
      </c>
      <c r="AW474" s="1">
        <f t="shared" si="1580"/>
        <v>267956</v>
      </c>
      <c r="AX474" s="1">
        <f t="shared" si="1580"/>
        <v>7145480</v>
      </c>
      <c r="AY474" s="1">
        <f t="shared" si="1580"/>
        <v>16077330</v>
      </c>
      <c r="AZ474" s="1">
        <f t="shared" si="1534"/>
        <v>225907080</v>
      </c>
      <c r="BA474" s="1">
        <f t="shared" si="1535"/>
        <v>112953540</v>
      </c>
      <c r="BC474" s="1">
        <f t="shared" si="1536"/>
        <v>463</v>
      </c>
    </row>
    <row r="475" s="1" customFormat="1" spans="2:55">
      <c r="B475" s="4">
        <v>464</v>
      </c>
      <c r="C475" s="1">
        <f t="shared" ref="C475:I475" si="1581">C$5+(C$6-C$5)*(POWER(C$7,$B475-1)-1)/(POWER(C$7,$B$3-1)-1)</f>
        <v>36656.6583394683</v>
      </c>
      <c r="D475" s="1">
        <f t="shared" si="1581"/>
        <v>10996.9975018405</v>
      </c>
      <c r="E475" s="1">
        <f t="shared" si="1581"/>
        <v>7331.33166789365</v>
      </c>
      <c r="F475" s="1">
        <f t="shared" si="1581"/>
        <v>134562.416689187</v>
      </c>
      <c r="G475" s="1">
        <f t="shared" si="1581"/>
        <v>40368.7250067562</v>
      </c>
      <c r="H475" s="1">
        <f t="shared" si="1581"/>
        <v>26912.4833378374</v>
      </c>
      <c r="I475" s="1">
        <f t="shared" si="1581"/>
        <v>0</v>
      </c>
      <c r="J475" s="1">
        <f>[1]标准模型!$I$65/1*$B475/$B$3</f>
        <v>3.3408</v>
      </c>
      <c r="K475" s="1">
        <f>J475*[1]标准模型!$J$63</f>
        <v>3.3408</v>
      </c>
      <c r="L475" s="1">
        <f t="shared" si="1513"/>
        <v>171219.075028655</v>
      </c>
      <c r="M475" s="1">
        <f t="shared" si="1514"/>
        <v>88104.4917627454</v>
      </c>
      <c r="N475" s="1">
        <f t="shared" si="1515"/>
        <v>58736.3278418301</v>
      </c>
      <c r="O475" s="1">
        <f t="shared" ref="O475:X475" si="1582">O$5+(O$6-O$5)*(POWER(O$7,$B475-1)-1)/(POWER(O$7,$B$3-1)-1)</f>
        <v>0.963936205822636</v>
      </c>
      <c r="P475" s="1">
        <f t="shared" si="1582"/>
        <v>0.360103549607838</v>
      </c>
      <c r="Q475" s="1">
        <f t="shared" si="1582"/>
        <v>0.53016491320245</v>
      </c>
      <c r="R475" s="1">
        <f t="shared" si="1582"/>
        <v>1.18557448232905</v>
      </c>
      <c r="S475" s="1">
        <f t="shared" si="1582"/>
        <v>0.64951068815169</v>
      </c>
      <c r="T475" s="1">
        <f t="shared" si="1582"/>
        <v>3.80935120270828</v>
      </c>
      <c r="U475" s="1">
        <f t="shared" si="1582"/>
        <v>1</v>
      </c>
      <c r="V475" s="1">
        <f t="shared" si="1582"/>
        <v>1.50596803301682</v>
      </c>
      <c r="W475" s="1">
        <f t="shared" si="1582"/>
        <v>1.28549920358316</v>
      </c>
      <c r="X475" s="1">
        <f t="shared" si="1582"/>
        <v>2.48459585863243</v>
      </c>
      <c r="Y475" s="1">
        <f t="shared" si="1539"/>
        <v>14.1621870456435</v>
      </c>
      <c r="Z475" s="1">
        <f t="shared" si="1540"/>
        <v>29.8677648952619</v>
      </c>
      <c r="AA475" s="1">
        <f t="shared" si="1517"/>
        <v>5113931.07854008</v>
      </c>
      <c r="AB475" s="1">
        <f t="shared" si="1518"/>
        <v>88104.4917627454</v>
      </c>
      <c r="AC475" s="1">
        <f t="shared" si="1519"/>
        <v>58736.3278418301</v>
      </c>
      <c r="AD475" s="1">
        <f>AC475/(AC475+[1]战斗公式!$M$27)</f>
        <v>0.709921861097321</v>
      </c>
      <c r="AE475" s="1">
        <f t="shared" si="1520"/>
        <v>17629494.928109</v>
      </c>
      <c r="AF475" s="1">
        <f t="shared" si="1521"/>
        <v>14.1290022406516</v>
      </c>
      <c r="AG475" s="1">
        <f t="shared" si="1522"/>
        <v>6.69944916206861</v>
      </c>
      <c r="AH475" s="1">
        <f t="shared" si="1523"/>
        <v>4.97021274327471</v>
      </c>
      <c r="AI475" s="1">
        <f t="shared" si="1524"/>
        <v>2.10202744520959</v>
      </c>
      <c r="AJ475" s="1">
        <f t="shared" si="1525"/>
        <v>1.00000000004701</v>
      </c>
      <c r="AK475" s="1">
        <f t="shared" si="1526"/>
        <v>1.00003581728689</v>
      </c>
      <c r="AL475" s="1">
        <f t="shared" si="1527"/>
        <v>0.945073988315641</v>
      </c>
      <c r="AM475" s="27">
        <f t="shared" si="1528"/>
        <v>3793943</v>
      </c>
      <c r="AN475" s="27">
        <f t="shared" si="1529"/>
        <v>185198</v>
      </c>
      <c r="AO475" s="27">
        <f t="shared" si="1530"/>
        <v>58736</v>
      </c>
      <c r="AP475" s="1">
        <f t="shared" si="1531"/>
        <v>1799011</v>
      </c>
      <c r="AQ475" s="1">
        <f t="shared" si="1532"/>
        <v>175026</v>
      </c>
      <c r="AR475"/>
      <c r="AS475" s="1">
        <f t="shared" ref="AS475:AY475" si="1583">ROUNDUP(AS$10*$AP475,0)</f>
        <v>1799011</v>
      </c>
      <c r="AT475" s="1">
        <f t="shared" si="1583"/>
        <v>5397033</v>
      </c>
      <c r="AU475" s="1">
        <f t="shared" si="1583"/>
        <v>3238220</v>
      </c>
      <c r="AV475" s="1">
        <f t="shared" si="1583"/>
        <v>899506</v>
      </c>
      <c r="AW475" s="1">
        <f t="shared" si="1583"/>
        <v>269852</v>
      </c>
      <c r="AX475" s="1">
        <f t="shared" si="1583"/>
        <v>7196044</v>
      </c>
      <c r="AY475" s="1">
        <f t="shared" si="1583"/>
        <v>16191099</v>
      </c>
      <c r="AZ475" s="1">
        <f t="shared" si="1534"/>
        <v>227636580</v>
      </c>
      <c r="BA475" s="1">
        <f t="shared" si="1535"/>
        <v>113818290</v>
      </c>
      <c r="BC475" s="1">
        <f t="shared" si="1536"/>
        <v>464</v>
      </c>
    </row>
    <row r="476" s="1" customFormat="1" spans="2:55">
      <c r="B476" s="4">
        <v>465</v>
      </c>
      <c r="C476" s="1">
        <f t="shared" ref="C476:I476" si="1584">C$5+(C$6-C$5)*(POWER(C$7,$B476-1)-1)/(POWER(C$7,$B$3-1)-1)</f>
        <v>36735.6414344497</v>
      </c>
      <c r="D476" s="1">
        <f t="shared" si="1584"/>
        <v>11020.6924303349</v>
      </c>
      <c r="E476" s="1">
        <f t="shared" si="1584"/>
        <v>7347.12828688993</v>
      </c>
      <c r="F476" s="1">
        <f t="shared" si="1584"/>
        <v>134852.35463279</v>
      </c>
      <c r="G476" s="1">
        <f t="shared" si="1584"/>
        <v>40455.706389837</v>
      </c>
      <c r="H476" s="1">
        <f t="shared" si="1584"/>
        <v>26970.470926558</v>
      </c>
      <c r="I476" s="1">
        <f t="shared" si="1584"/>
        <v>0</v>
      </c>
      <c r="J476" s="1">
        <f>[1]标准模型!$I$65/1*$B476/$B$3</f>
        <v>3.348</v>
      </c>
      <c r="K476" s="1">
        <f>J476*[1]标准模型!$J$63</f>
        <v>3.348</v>
      </c>
      <c r="L476" s="1">
        <f t="shared" si="1513"/>
        <v>171587.99606724</v>
      </c>
      <c r="M476" s="1">
        <f t="shared" si="1514"/>
        <v>88373.6770769331</v>
      </c>
      <c r="N476" s="1">
        <f t="shared" si="1515"/>
        <v>58915.7847179554</v>
      </c>
      <c r="O476" s="1">
        <f t="shared" ref="O476:X476" si="1585">O$5+(O$6-O$5)*(POWER(O$7,$B476-1)-1)/(POWER(O$7,$B$3-1)-1)</f>
        <v>0.964937995414242</v>
      </c>
      <c r="P476" s="1">
        <f t="shared" si="1585"/>
        <v>0.36118296205778</v>
      </c>
      <c r="Q476" s="1">
        <f t="shared" si="1585"/>
        <v>0.530715897477833</v>
      </c>
      <c r="R476" s="1">
        <f t="shared" si="1585"/>
        <v>1.1859751981657</v>
      </c>
      <c r="S476" s="1">
        <f t="shared" si="1585"/>
        <v>0.650913193579938</v>
      </c>
      <c r="T476" s="1">
        <f t="shared" si="1585"/>
        <v>3.81325818211554</v>
      </c>
      <c r="U476" s="1">
        <f t="shared" si="1585"/>
        <v>1</v>
      </c>
      <c r="V476" s="1">
        <f t="shared" si="1585"/>
        <v>1.50706058303297</v>
      </c>
      <c r="W476" s="1">
        <f t="shared" si="1585"/>
        <v>1.28611568948569</v>
      </c>
      <c r="X476" s="1">
        <f t="shared" si="1585"/>
        <v>2.48780158532557</v>
      </c>
      <c r="Y476" s="1">
        <f t="shared" si="1539"/>
        <v>14.2469879541885</v>
      </c>
      <c r="Z476" s="1">
        <f t="shared" si="1540"/>
        <v>30.0638348585262</v>
      </c>
      <c r="AA476" s="1">
        <f t="shared" si="1517"/>
        <v>5158593.17747094</v>
      </c>
      <c r="AB476" s="1">
        <f t="shared" si="1518"/>
        <v>88373.6770769331</v>
      </c>
      <c r="AC476" s="1">
        <f t="shared" si="1519"/>
        <v>58915.7847179554</v>
      </c>
      <c r="AD476" s="1">
        <f>AC476/(AC476+[1]战斗公式!$M$27)</f>
        <v>0.71054968506132</v>
      </c>
      <c r="AE476" s="1">
        <f t="shared" si="1520"/>
        <v>17822033.3896123</v>
      </c>
      <c r="AF476" s="1">
        <f t="shared" si="1521"/>
        <v>14.1550455182722</v>
      </c>
      <c r="AG476" s="1">
        <f t="shared" si="1522"/>
        <v>6.7079520606341</v>
      </c>
      <c r="AH476" s="1">
        <f t="shared" si="1523"/>
        <v>4.97115380193121</v>
      </c>
      <c r="AI476" s="1">
        <f t="shared" si="1524"/>
        <v>2.10733658078778</v>
      </c>
      <c r="AJ476" s="1">
        <f t="shared" si="1525"/>
        <v>1.00000000004422</v>
      </c>
      <c r="AK476" s="1">
        <f t="shared" si="1526"/>
        <v>1.00003443113377</v>
      </c>
      <c r="AL476" s="1">
        <f t="shared" si="1527"/>
        <v>0.945218138814053</v>
      </c>
      <c r="AM476" s="27">
        <f t="shared" si="1528"/>
        <v>3822949</v>
      </c>
      <c r="AN476" s="27">
        <f t="shared" si="1529"/>
        <v>186233</v>
      </c>
      <c r="AO476" s="27">
        <f t="shared" si="1530"/>
        <v>58916</v>
      </c>
      <c r="AP476" s="1">
        <f t="shared" si="1531"/>
        <v>1811725</v>
      </c>
      <c r="AQ476" s="1">
        <f t="shared" si="1532"/>
        <v>176031</v>
      </c>
      <c r="AR476"/>
      <c r="AS476" s="1">
        <f t="shared" ref="AS476:AY476" si="1586">ROUNDUP(AS$10*$AP476,0)</f>
        <v>1811725</v>
      </c>
      <c r="AT476" s="1">
        <f t="shared" si="1586"/>
        <v>5435175</v>
      </c>
      <c r="AU476" s="1">
        <f t="shared" si="1586"/>
        <v>3261105</v>
      </c>
      <c r="AV476" s="1">
        <f t="shared" si="1586"/>
        <v>905863</v>
      </c>
      <c r="AW476" s="1">
        <f t="shared" si="1586"/>
        <v>271759</v>
      </c>
      <c r="AX476" s="1">
        <f t="shared" si="1586"/>
        <v>7246900</v>
      </c>
      <c r="AY476" s="1">
        <f t="shared" si="1586"/>
        <v>16305525</v>
      </c>
      <c r="AZ476" s="1">
        <f t="shared" si="1534"/>
        <v>229376940</v>
      </c>
      <c r="BA476" s="1">
        <f t="shared" si="1535"/>
        <v>114688470</v>
      </c>
      <c r="BC476" s="1">
        <f t="shared" si="1536"/>
        <v>465</v>
      </c>
    </row>
    <row r="477" s="1" customFormat="1" spans="2:55">
      <c r="B477" s="4">
        <v>466</v>
      </c>
      <c r="C477" s="1">
        <f t="shared" ref="C477:I477" si="1587">C$5+(C$6-C$5)*(POWER(C$7,$B477-1)-1)/(POWER(C$7,$B$3-1)-1)</f>
        <v>36814.6244504482</v>
      </c>
      <c r="D477" s="1">
        <f t="shared" si="1587"/>
        <v>11044.3873351345</v>
      </c>
      <c r="E477" s="1">
        <f t="shared" si="1587"/>
        <v>7362.92489008964</v>
      </c>
      <c r="F477" s="1">
        <f t="shared" si="1587"/>
        <v>135142.292286455</v>
      </c>
      <c r="G477" s="1">
        <f t="shared" si="1587"/>
        <v>40542.6876859366</v>
      </c>
      <c r="H477" s="1">
        <f t="shared" si="1587"/>
        <v>27028.4584572911</v>
      </c>
      <c r="I477" s="1">
        <f t="shared" si="1587"/>
        <v>0</v>
      </c>
      <c r="J477" s="1">
        <f>[1]标准模型!$I$65/1*$B477/$B$3</f>
        <v>3.3552</v>
      </c>
      <c r="K477" s="1">
        <f>J477*[1]标准模型!$J$63</f>
        <v>3.3552</v>
      </c>
      <c r="L477" s="1">
        <f t="shared" si="1513"/>
        <v>171956.916736903</v>
      </c>
      <c r="M477" s="1">
        <f t="shared" si="1514"/>
        <v>88643.2034079144</v>
      </c>
      <c r="N477" s="1">
        <f t="shared" si="1515"/>
        <v>59095.4689386095</v>
      </c>
      <c r="O477" s="1">
        <f t="shared" ref="O477:X477" si="1588">O$5+(O$6-O$5)*(POWER(O$7,$B477-1)-1)/(POWER(O$7,$B$3-1)-1)</f>
        <v>0.965939784004062</v>
      </c>
      <c r="P477" s="1">
        <f t="shared" si="1588"/>
        <v>0.362263993626396</v>
      </c>
      <c r="Q477" s="1">
        <f t="shared" si="1588"/>
        <v>0.531266881202234</v>
      </c>
      <c r="R477" s="1">
        <f t="shared" si="1588"/>
        <v>1.18637591360162</v>
      </c>
      <c r="S477" s="1">
        <f t="shared" si="1588"/>
        <v>0.652315697605686</v>
      </c>
      <c r="T477" s="1">
        <f t="shared" si="1588"/>
        <v>3.81716515761584</v>
      </c>
      <c r="U477" s="1">
        <f t="shared" si="1588"/>
        <v>1</v>
      </c>
      <c r="V477" s="1">
        <f t="shared" si="1588"/>
        <v>1.50815313195657</v>
      </c>
      <c r="W477" s="1">
        <f t="shared" si="1588"/>
        <v>1.28673217477173</v>
      </c>
      <c r="X477" s="1">
        <f t="shared" si="1588"/>
        <v>2.491007308813</v>
      </c>
      <c r="Y477" s="1">
        <f t="shared" si="1539"/>
        <v>14.3322302028796</v>
      </c>
      <c r="Z477" s="1">
        <f t="shared" si="1540"/>
        <v>30.2610389294698</v>
      </c>
      <c r="AA477" s="1">
        <f t="shared" si="1517"/>
        <v>5203594.95156702</v>
      </c>
      <c r="AB477" s="1">
        <f t="shared" si="1518"/>
        <v>88643.2034079144</v>
      </c>
      <c r="AC477" s="1">
        <f t="shared" si="1519"/>
        <v>59095.4689386095</v>
      </c>
      <c r="AD477" s="1">
        <f>AC477/(AC477+[1]战斗公式!$M$27)</f>
        <v>0.711175587471188</v>
      </c>
      <c r="AE477" s="1">
        <f t="shared" si="1520"/>
        <v>18016465.1111268</v>
      </c>
      <c r="AF477" s="1">
        <f t="shared" si="1521"/>
        <v>14.1811146302567</v>
      </c>
      <c r="AG477" s="1">
        <f t="shared" si="1522"/>
        <v>6.71645807957804</v>
      </c>
      <c r="AH477" s="1">
        <f t="shared" si="1523"/>
        <v>4.97208780264777</v>
      </c>
      <c r="AI477" s="1">
        <f t="shared" si="1524"/>
        <v>2.11265633463713</v>
      </c>
      <c r="AJ477" s="1">
        <f t="shared" si="1525"/>
        <v>1.00000000004156</v>
      </c>
      <c r="AK477" s="1">
        <f t="shared" si="1526"/>
        <v>1.0000330727037</v>
      </c>
      <c r="AL477" s="1">
        <f t="shared" si="1527"/>
        <v>0.945361856860971</v>
      </c>
      <c r="AM477" s="27">
        <f t="shared" si="1528"/>
        <v>3852139</v>
      </c>
      <c r="AN477" s="27">
        <f t="shared" si="1529"/>
        <v>187273</v>
      </c>
      <c r="AO477" s="27">
        <f t="shared" si="1530"/>
        <v>59095</v>
      </c>
      <c r="AP477" s="1">
        <f t="shared" si="1531"/>
        <v>1824510</v>
      </c>
      <c r="AQ477" s="1">
        <f t="shared" si="1532"/>
        <v>177041</v>
      </c>
      <c r="AR477"/>
      <c r="AS477" s="1">
        <f t="shared" ref="AS477:AY477" si="1589">ROUNDUP(AS$10*$AP477,0)</f>
        <v>1824510</v>
      </c>
      <c r="AT477" s="1">
        <f t="shared" si="1589"/>
        <v>5473530</v>
      </c>
      <c r="AU477" s="1">
        <f t="shared" si="1589"/>
        <v>3284118</v>
      </c>
      <c r="AV477" s="1">
        <f t="shared" si="1589"/>
        <v>912255</v>
      </c>
      <c r="AW477" s="1">
        <f t="shared" si="1589"/>
        <v>273677</v>
      </c>
      <c r="AX477" s="1">
        <f t="shared" si="1589"/>
        <v>7298040</v>
      </c>
      <c r="AY477" s="1">
        <f t="shared" si="1589"/>
        <v>16420590</v>
      </c>
      <c r="AZ477" s="1">
        <f t="shared" si="1534"/>
        <v>231128340</v>
      </c>
      <c r="BA477" s="1">
        <f t="shared" si="1535"/>
        <v>115564170</v>
      </c>
      <c r="BC477" s="1">
        <f t="shared" si="1536"/>
        <v>466</v>
      </c>
    </row>
    <row r="478" s="1" customFormat="1" spans="2:55">
      <c r="B478" s="4">
        <v>467</v>
      </c>
      <c r="C478" s="1">
        <f t="shared" ref="C478:I478" si="1590">C$5+(C$6-C$5)*(POWER(C$7,$B478-1)-1)/(POWER(C$7,$B$3-1)-1)</f>
        <v>36893.607387464</v>
      </c>
      <c r="D478" s="1">
        <f t="shared" si="1590"/>
        <v>11068.0822162392</v>
      </c>
      <c r="E478" s="1">
        <f t="shared" si="1590"/>
        <v>7378.72147749279</v>
      </c>
      <c r="F478" s="1">
        <f t="shared" si="1590"/>
        <v>135432.229650184</v>
      </c>
      <c r="G478" s="1">
        <f t="shared" si="1590"/>
        <v>40629.6688950552</v>
      </c>
      <c r="H478" s="1">
        <f t="shared" si="1590"/>
        <v>27086.4459300368</v>
      </c>
      <c r="I478" s="1">
        <f t="shared" si="1590"/>
        <v>0</v>
      </c>
      <c r="J478" s="1">
        <f>[1]标准模型!$I$65/1*$B478/$B$3</f>
        <v>3.3624</v>
      </c>
      <c r="K478" s="1">
        <f>J478*[1]标准模型!$J$63</f>
        <v>3.3624</v>
      </c>
      <c r="L478" s="1">
        <f t="shared" si="1513"/>
        <v>172325.837037648</v>
      </c>
      <c r="M478" s="1">
        <f t="shared" si="1514"/>
        <v>88913.0707551771</v>
      </c>
      <c r="N478" s="1">
        <f t="shared" si="1515"/>
        <v>59275.3805034513</v>
      </c>
      <c r="O478" s="1">
        <f t="shared" ref="O478:X478" si="1591">O$5+(O$6-O$5)*(POWER(O$7,$B478-1)-1)/(POWER(O$7,$B$3-1)-1)</f>
        <v>0.966941571592095</v>
      </c>
      <c r="P478" s="1">
        <f t="shared" si="1591"/>
        <v>0.363346646742365</v>
      </c>
      <c r="Q478" s="1">
        <f t="shared" si="1591"/>
        <v>0.531817864375652</v>
      </c>
      <c r="R478" s="1">
        <f t="shared" si="1591"/>
        <v>1.18677662863684</v>
      </c>
      <c r="S478" s="1">
        <f t="shared" si="1591"/>
        <v>0.653718200228933</v>
      </c>
      <c r="T478" s="1">
        <f t="shared" si="1591"/>
        <v>3.82107212920917</v>
      </c>
      <c r="U478" s="1">
        <f t="shared" si="1591"/>
        <v>1</v>
      </c>
      <c r="V478" s="1">
        <f t="shared" si="1591"/>
        <v>1.50924567978762</v>
      </c>
      <c r="W478" s="1">
        <f t="shared" si="1591"/>
        <v>1.28734865944129</v>
      </c>
      <c r="X478" s="1">
        <f t="shared" si="1591"/>
        <v>2.4942130290947</v>
      </c>
      <c r="Y478" s="1">
        <f t="shared" si="1539"/>
        <v>14.4179157244082</v>
      </c>
      <c r="Z478" s="1">
        <f t="shared" si="1540"/>
        <v>30.4593827328069</v>
      </c>
      <c r="AA478" s="1">
        <f t="shared" si="1517"/>
        <v>5248938.62508103</v>
      </c>
      <c r="AB478" s="1">
        <f t="shared" si="1518"/>
        <v>88913.0707551771</v>
      </c>
      <c r="AC478" s="1">
        <f t="shared" si="1519"/>
        <v>59275.3805034513</v>
      </c>
      <c r="AD478" s="1">
        <f>AC478/(AC478+[1]战斗公式!$M$27)</f>
        <v>0.71179957563802</v>
      </c>
      <c r="AE478" s="1">
        <f t="shared" si="1520"/>
        <v>18212806.7184536</v>
      </c>
      <c r="AF478" s="1">
        <f t="shared" si="1521"/>
        <v>14.2072095610119</v>
      </c>
      <c r="AG478" s="1">
        <f t="shared" si="1522"/>
        <v>6.7249672104829</v>
      </c>
      <c r="AH478" s="1">
        <f t="shared" si="1523"/>
        <v>4.97301479835897</v>
      </c>
      <c r="AI478" s="1">
        <f t="shared" si="1524"/>
        <v>2.11798672799418</v>
      </c>
      <c r="AJ478" s="1">
        <f t="shared" si="1525"/>
        <v>1.00000000003905</v>
      </c>
      <c r="AK478" s="1">
        <f t="shared" si="1526"/>
        <v>1.00003174144224</v>
      </c>
      <c r="AL478" s="1">
        <f t="shared" si="1527"/>
        <v>0.945505143753748</v>
      </c>
      <c r="AM478" s="27">
        <f t="shared" si="1528"/>
        <v>3881513</v>
      </c>
      <c r="AN478" s="27">
        <f t="shared" si="1529"/>
        <v>188317</v>
      </c>
      <c r="AO478" s="27">
        <f t="shared" si="1530"/>
        <v>59275</v>
      </c>
      <c r="AP478" s="1">
        <f t="shared" si="1531"/>
        <v>1837368</v>
      </c>
      <c r="AQ478" s="1">
        <f t="shared" si="1532"/>
        <v>178055</v>
      </c>
      <c r="AR478"/>
      <c r="AS478" s="1">
        <f t="shared" ref="AS478:AY478" si="1592">ROUNDUP(AS$10*$AP478,0)</f>
        <v>1837368</v>
      </c>
      <c r="AT478" s="1">
        <f t="shared" si="1592"/>
        <v>5512104</v>
      </c>
      <c r="AU478" s="1">
        <f t="shared" si="1592"/>
        <v>3307263</v>
      </c>
      <c r="AV478" s="1">
        <f t="shared" si="1592"/>
        <v>918684</v>
      </c>
      <c r="AW478" s="1">
        <f t="shared" si="1592"/>
        <v>275606</v>
      </c>
      <c r="AX478" s="1">
        <f t="shared" si="1592"/>
        <v>7349472</v>
      </c>
      <c r="AY478" s="1">
        <f t="shared" si="1592"/>
        <v>16536312</v>
      </c>
      <c r="AZ478" s="1">
        <f t="shared" si="1534"/>
        <v>232890780</v>
      </c>
      <c r="BA478" s="1">
        <f t="shared" si="1535"/>
        <v>116445390</v>
      </c>
      <c r="BC478" s="1">
        <f t="shared" si="1536"/>
        <v>467</v>
      </c>
    </row>
    <row r="479" s="1" customFormat="1" spans="2:55">
      <c r="B479" s="4">
        <v>468</v>
      </c>
      <c r="C479" s="1">
        <f t="shared" ref="C479:I479" si="1593">C$5+(C$6-C$5)*(POWER(C$7,$B479-1)-1)/(POWER(C$7,$B$3-1)-1)</f>
        <v>36972.5902454969</v>
      </c>
      <c r="D479" s="1">
        <f t="shared" si="1593"/>
        <v>11091.7770736491</v>
      </c>
      <c r="E479" s="1">
        <f t="shared" si="1593"/>
        <v>7394.51804909937</v>
      </c>
      <c r="F479" s="1">
        <f t="shared" si="1593"/>
        <v>135722.166723976</v>
      </c>
      <c r="G479" s="1">
        <f t="shared" si="1593"/>
        <v>40716.6500171927</v>
      </c>
      <c r="H479" s="1">
        <f t="shared" si="1593"/>
        <v>27144.4333447952</v>
      </c>
      <c r="I479" s="1">
        <f t="shared" si="1593"/>
        <v>0</v>
      </c>
      <c r="J479" s="1">
        <f>[1]标准模型!$I$65/1*$B479/$B$3</f>
        <v>3.3696</v>
      </c>
      <c r="K479" s="1">
        <f>J479*[1]标准模型!$J$63</f>
        <v>3.3696</v>
      </c>
      <c r="L479" s="1">
        <f t="shared" si="1513"/>
        <v>172694.756969473</v>
      </c>
      <c r="M479" s="1">
        <f t="shared" si="1514"/>
        <v>89183.2791182098</v>
      </c>
      <c r="N479" s="1">
        <f t="shared" si="1515"/>
        <v>59455.5194121398</v>
      </c>
      <c r="O479" s="1">
        <f t="shared" ref="O479:X479" si="1594">O$5+(O$6-O$5)*(POWER(O$7,$B479-1)-1)/(POWER(O$7,$B$3-1)-1)</f>
        <v>0.967943358178342</v>
      </c>
      <c r="P479" s="1">
        <f t="shared" si="1594"/>
        <v>0.364430923838008</v>
      </c>
      <c r="Q479" s="1">
        <f t="shared" si="1594"/>
        <v>0.532368846998088</v>
      </c>
      <c r="R479" s="1">
        <f t="shared" si="1594"/>
        <v>1.18717734327134</v>
      </c>
      <c r="S479" s="1">
        <f t="shared" si="1594"/>
        <v>0.655120701449679</v>
      </c>
      <c r="T479" s="1">
        <f t="shared" si="1594"/>
        <v>3.82497909689553</v>
      </c>
      <c r="U479" s="1">
        <f t="shared" si="1594"/>
        <v>1</v>
      </c>
      <c r="V479" s="1">
        <f t="shared" si="1594"/>
        <v>1.51033822652612</v>
      </c>
      <c r="W479" s="1">
        <f t="shared" si="1594"/>
        <v>1.28796514349436</v>
      </c>
      <c r="X479" s="1">
        <f t="shared" si="1594"/>
        <v>2.49741874617069</v>
      </c>
      <c r="Y479" s="1">
        <f t="shared" si="1539"/>
        <v>14.504046458402</v>
      </c>
      <c r="Z479" s="1">
        <f t="shared" si="1540"/>
        <v>30.658871916567</v>
      </c>
      <c r="AA479" s="1">
        <f t="shared" si="1517"/>
        <v>5294626.43458974</v>
      </c>
      <c r="AB479" s="1">
        <f t="shared" si="1518"/>
        <v>89183.2791182098</v>
      </c>
      <c r="AC479" s="1">
        <f t="shared" si="1519"/>
        <v>59455.5194121398</v>
      </c>
      <c r="AD479" s="1">
        <f>AC479/(AC479+[1]战斗公式!$M$27)</f>
        <v>0.712421656841203</v>
      </c>
      <c r="AE479" s="1">
        <f t="shared" si="1520"/>
        <v>18411074.9663305</v>
      </c>
      <c r="AF479" s="1">
        <f t="shared" si="1521"/>
        <v>14.2333302949612</v>
      </c>
      <c r="AG479" s="1">
        <f t="shared" si="1522"/>
        <v>6.73347944496108</v>
      </c>
      <c r="AH479" s="1">
        <f t="shared" si="1523"/>
        <v>4.97393484160233</v>
      </c>
      <c r="AI479" s="1">
        <f t="shared" si="1524"/>
        <v>2.12332778213794</v>
      </c>
      <c r="AJ479" s="1">
        <f t="shared" si="1525"/>
        <v>1.00000000003665</v>
      </c>
      <c r="AK479" s="1">
        <f t="shared" si="1526"/>
        <v>1.00003043680601</v>
      </c>
      <c r="AL479" s="1">
        <f t="shared" si="1527"/>
        <v>0.945648000785846</v>
      </c>
      <c r="AM479" s="27">
        <f t="shared" si="1528"/>
        <v>3911073</v>
      </c>
      <c r="AN479" s="27">
        <f t="shared" si="1529"/>
        <v>189365</v>
      </c>
      <c r="AO479" s="27">
        <f t="shared" si="1530"/>
        <v>59456</v>
      </c>
      <c r="AP479" s="1">
        <f t="shared" si="1531"/>
        <v>1850300</v>
      </c>
      <c r="AQ479" s="1">
        <f t="shared" si="1532"/>
        <v>179073</v>
      </c>
      <c r="AR479"/>
      <c r="AS479" s="1">
        <f t="shared" ref="AS479:AY479" si="1595">ROUNDUP(AS$10*$AP479,0)</f>
        <v>1850300</v>
      </c>
      <c r="AT479" s="1">
        <f t="shared" si="1595"/>
        <v>5550900</v>
      </c>
      <c r="AU479" s="1">
        <f t="shared" si="1595"/>
        <v>3330540</v>
      </c>
      <c r="AV479" s="1">
        <f t="shared" si="1595"/>
        <v>925150</v>
      </c>
      <c r="AW479" s="1">
        <f t="shared" si="1595"/>
        <v>277545</v>
      </c>
      <c r="AX479" s="1">
        <f t="shared" si="1595"/>
        <v>7401200</v>
      </c>
      <c r="AY479" s="1">
        <f t="shared" si="1595"/>
        <v>16652700</v>
      </c>
      <c r="AZ479" s="1">
        <f t="shared" si="1534"/>
        <v>234664380</v>
      </c>
      <c r="BA479" s="1">
        <f t="shared" si="1535"/>
        <v>117332190</v>
      </c>
      <c r="BC479" s="1">
        <f t="shared" si="1536"/>
        <v>468</v>
      </c>
    </row>
    <row r="480" s="1" customFormat="1" spans="2:55">
      <c r="B480" s="4">
        <v>469</v>
      </c>
      <c r="C480" s="1">
        <f t="shared" ref="C480:I480" si="1596">C$5+(C$6-C$5)*(POWER(C$7,$B480-1)-1)/(POWER(C$7,$B$3-1)-1)</f>
        <v>37051.5730245469</v>
      </c>
      <c r="D480" s="1">
        <f t="shared" si="1596"/>
        <v>11115.4719073641</v>
      </c>
      <c r="E480" s="1">
        <f t="shared" si="1596"/>
        <v>7410.31460490938</v>
      </c>
      <c r="F480" s="1">
        <f t="shared" si="1596"/>
        <v>136012.10350783</v>
      </c>
      <c r="G480" s="1">
        <f t="shared" si="1596"/>
        <v>40803.6310523491</v>
      </c>
      <c r="H480" s="1">
        <f t="shared" si="1596"/>
        <v>27202.4207015661</v>
      </c>
      <c r="I480" s="1">
        <f t="shared" si="1596"/>
        <v>0</v>
      </c>
      <c r="J480" s="1">
        <f>[1]标准模型!$I$65/1*$B480/$B$3</f>
        <v>3.3768</v>
      </c>
      <c r="K480" s="1">
        <f>J480*[1]标准模型!$J$63</f>
        <v>3.3768</v>
      </c>
      <c r="L480" s="1">
        <f t="shared" si="1513"/>
        <v>173063.676532377</v>
      </c>
      <c r="M480" s="1">
        <f t="shared" si="1514"/>
        <v>89453.8284965003</v>
      </c>
      <c r="N480" s="1">
        <f t="shared" si="1515"/>
        <v>59635.8856643335</v>
      </c>
      <c r="O480" s="1">
        <f t="shared" ref="O480:X480" si="1597">O$5+(O$6-O$5)*(POWER(O$7,$B480-1)-1)/(POWER(O$7,$B$3-1)-1)</f>
        <v>0.968945143762803</v>
      </c>
      <c r="P480" s="1">
        <f t="shared" si="1597"/>
        <v>0.365516827349295</v>
      </c>
      <c r="Q480" s="1">
        <f t="shared" si="1597"/>
        <v>0.532919829069542</v>
      </c>
      <c r="R480" s="1">
        <f t="shared" si="1597"/>
        <v>1.18757805750512</v>
      </c>
      <c r="S480" s="1">
        <f t="shared" si="1597"/>
        <v>0.656523201267924</v>
      </c>
      <c r="T480" s="1">
        <f t="shared" si="1597"/>
        <v>3.82888606067493</v>
      </c>
      <c r="U480" s="1">
        <f t="shared" si="1597"/>
        <v>1</v>
      </c>
      <c r="V480" s="1">
        <f t="shared" si="1597"/>
        <v>1.51143077217208</v>
      </c>
      <c r="W480" s="1">
        <f t="shared" si="1597"/>
        <v>1.28858162693096</v>
      </c>
      <c r="X480" s="1">
        <f t="shared" si="1597"/>
        <v>2.50062446004097</v>
      </c>
      <c r="Y480" s="1">
        <f t="shared" si="1539"/>
        <v>14.5906243514461</v>
      </c>
      <c r="Z480" s="1">
        <f t="shared" si="1540"/>
        <v>30.859512152175</v>
      </c>
      <c r="AA480" s="1">
        <f t="shared" si="1517"/>
        <v>5340660.62905097</v>
      </c>
      <c r="AB480" s="1">
        <f t="shared" si="1518"/>
        <v>89453.8284965003</v>
      </c>
      <c r="AC480" s="1">
        <f t="shared" si="1519"/>
        <v>59635.8856643335</v>
      </c>
      <c r="AD480" s="1">
        <f>AC480/(AC480+[1]战斗公式!$M$27)</f>
        <v>0.713041838328559</v>
      </c>
      <c r="AE480" s="1">
        <f t="shared" si="1520"/>
        <v>18611286.7393048</v>
      </c>
      <c r="AF480" s="1">
        <f t="shared" si="1521"/>
        <v>14.2594768165454</v>
      </c>
      <c r="AG480" s="1">
        <f t="shared" si="1522"/>
        <v>6.74199477465506</v>
      </c>
      <c r="AH480" s="1">
        <f t="shared" si="1523"/>
        <v>4.97484798452136</v>
      </c>
      <c r="AI480" s="1">
        <f t="shared" si="1524"/>
        <v>2.12867951838999</v>
      </c>
      <c r="AJ480" s="1">
        <f t="shared" si="1525"/>
        <v>1.00000000003438</v>
      </c>
      <c r="AK480" s="1">
        <f t="shared" si="1526"/>
        <v>1.0000291582625</v>
      </c>
      <c r="AL480" s="1">
        <f t="shared" si="1527"/>
        <v>0.945790429246848</v>
      </c>
      <c r="AM480" s="27">
        <f t="shared" si="1528"/>
        <v>3940818</v>
      </c>
      <c r="AN480" s="27">
        <f t="shared" si="1529"/>
        <v>190419</v>
      </c>
      <c r="AO480" s="27">
        <f t="shared" si="1530"/>
        <v>59636</v>
      </c>
      <c r="AP480" s="1">
        <f t="shared" si="1531"/>
        <v>1863305</v>
      </c>
      <c r="AQ480" s="1">
        <f t="shared" si="1532"/>
        <v>180096</v>
      </c>
      <c r="AR480"/>
      <c r="AS480" s="1">
        <f t="shared" ref="AS480:AY480" si="1598">ROUNDUP(AS$10*$AP480,0)</f>
        <v>1863305</v>
      </c>
      <c r="AT480" s="1">
        <f t="shared" si="1598"/>
        <v>5589915</v>
      </c>
      <c r="AU480" s="1">
        <f t="shared" si="1598"/>
        <v>3353949</v>
      </c>
      <c r="AV480" s="1">
        <f t="shared" si="1598"/>
        <v>931653</v>
      </c>
      <c r="AW480" s="1">
        <f t="shared" si="1598"/>
        <v>279496</v>
      </c>
      <c r="AX480" s="1">
        <f t="shared" si="1598"/>
        <v>7453220</v>
      </c>
      <c r="AY480" s="1">
        <f t="shared" si="1598"/>
        <v>16769745</v>
      </c>
      <c r="AZ480" s="1">
        <f t="shared" si="1534"/>
        <v>236449080</v>
      </c>
      <c r="BA480" s="1">
        <f t="shared" si="1535"/>
        <v>118224540</v>
      </c>
      <c r="BC480" s="1">
        <f t="shared" si="1536"/>
        <v>469</v>
      </c>
    </row>
    <row r="481" s="1" customFormat="1" spans="2:55">
      <c r="B481" s="4">
        <v>470</v>
      </c>
      <c r="C481" s="1">
        <f t="shared" ref="C481:I481" si="1599">C$5+(C$6-C$5)*(POWER(C$7,$B481-1)-1)/(POWER(C$7,$B$3-1)-1)</f>
        <v>37130.5557246142</v>
      </c>
      <c r="D481" s="1">
        <f t="shared" si="1599"/>
        <v>11139.1667173842</v>
      </c>
      <c r="E481" s="1">
        <f t="shared" si="1599"/>
        <v>7426.11114492283</v>
      </c>
      <c r="F481" s="1">
        <f t="shared" si="1599"/>
        <v>136302.040001748</v>
      </c>
      <c r="G481" s="1">
        <f t="shared" si="1599"/>
        <v>40890.6120005245</v>
      </c>
      <c r="H481" s="1">
        <f t="shared" si="1599"/>
        <v>27260.4080003496</v>
      </c>
      <c r="I481" s="1">
        <f t="shared" si="1599"/>
        <v>0</v>
      </c>
      <c r="J481" s="1">
        <f>[1]标准模型!$I$65/1*$B481/$B$3</f>
        <v>3.384</v>
      </c>
      <c r="K481" s="1">
        <f>J481*[1]标准模型!$J$63</f>
        <v>3.384</v>
      </c>
      <c r="L481" s="1">
        <f t="shared" si="1513"/>
        <v>173432.595726362</v>
      </c>
      <c r="M481" s="1">
        <f t="shared" si="1514"/>
        <v>89724.7188895368</v>
      </c>
      <c r="N481" s="1">
        <f t="shared" si="1515"/>
        <v>59816.4792596913</v>
      </c>
      <c r="O481" s="1">
        <f t="shared" ref="O481:X481" si="1600">O$5+(O$6-O$5)*(POWER(O$7,$B481-1)-1)/(POWER(O$7,$B$3-1)-1)</f>
        <v>0.969946928345478</v>
      </c>
      <c r="P481" s="1">
        <f t="shared" si="1600"/>
        <v>0.366604359715849</v>
      </c>
      <c r="Q481" s="1">
        <f t="shared" si="1600"/>
        <v>0.533470810590013</v>
      </c>
      <c r="R481" s="1">
        <f t="shared" si="1600"/>
        <v>1.18797877133819</v>
      </c>
      <c r="S481" s="1">
        <f t="shared" si="1600"/>
        <v>0.657925699683669</v>
      </c>
      <c r="T481" s="1">
        <f t="shared" si="1600"/>
        <v>3.83279302054736</v>
      </c>
      <c r="U481" s="1">
        <f t="shared" si="1600"/>
        <v>1</v>
      </c>
      <c r="V481" s="1">
        <f t="shared" si="1600"/>
        <v>1.5125233167255</v>
      </c>
      <c r="W481" s="1">
        <f t="shared" si="1600"/>
        <v>1.28919810975106</v>
      </c>
      <c r="X481" s="1">
        <f t="shared" si="1600"/>
        <v>2.50383017070553</v>
      </c>
      <c r="Y481" s="1">
        <f t="shared" si="1539"/>
        <v>14.6776513571036</v>
      </c>
      <c r="Z481" s="1">
        <f t="shared" si="1540"/>
        <v>31.0613091345319</v>
      </c>
      <c r="AA481" s="1">
        <f t="shared" si="1517"/>
        <v>5387043.46986083</v>
      </c>
      <c r="AB481" s="1">
        <f t="shared" si="1518"/>
        <v>89724.7188895368</v>
      </c>
      <c r="AC481" s="1">
        <f t="shared" si="1519"/>
        <v>59816.4792596913</v>
      </c>
      <c r="AD481" s="1">
        <f>AC481/(AC481+[1]战斗公式!$M$27)</f>
        <v>0.713660127316491</v>
      </c>
      <c r="AE481" s="1">
        <f t="shared" si="1520"/>
        <v>18813459.0526102</v>
      </c>
      <c r="AF481" s="1">
        <f t="shared" si="1521"/>
        <v>14.2856491102221</v>
      </c>
      <c r="AG481" s="1">
        <f t="shared" si="1522"/>
        <v>6.75051319123731</v>
      </c>
      <c r="AH481" s="1">
        <f t="shared" si="1523"/>
        <v>4.97575427886851</v>
      </c>
      <c r="AI481" s="1">
        <f t="shared" si="1524"/>
        <v>2.13404195811454</v>
      </c>
      <c r="AJ481" s="1">
        <f t="shared" si="1525"/>
        <v>1.00000000003222</v>
      </c>
      <c r="AK481" s="1">
        <f t="shared" si="1526"/>
        <v>1.00002790528986</v>
      </c>
      <c r="AL481" s="1">
        <f t="shared" si="1527"/>
        <v>0.945932430422468</v>
      </c>
      <c r="AM481" s="27">
        <f t="shared" si="1528"/>
        <v>3970751</v>
      </c>
      <c r="AN481" s="27">
        <f t="shared" si="1529"/>
        <v>191476</v>
      </c>
      <c r="AO481" s="27">
        <f t="shared" si="1530"/>
        <v>59816</v>
      </c>
      <c r="AP481" s="1">
        <f t="shared" si="1531"/>
        <v>1876383</v>
      </c>
      <c r="AQ481" s="1">
        <f t="shared" si="1532"/>
        <v>181123</v>
      </c>
      <c r="AR481"/>
      <c r="AS481" s="1">
        <f t="shared" ref="AS481:AY481" si="1601">ROUNDUP(AS$10*$AP481,0)</f>
        <v>1876383</v>
      </c>
      <c r="AT481" s="1">
        <f t="shared" si="1601"/>
        <v>5629149</v>
      </c>
      <c r="AU481" s="1">
        <f t="shared" si="1601"/>
        <v>3377490</v>
      </c>
      <c r="AV481" s="1">
        <f t="shared" si="1601"/>
        <v>938192</v>
      </c>
      <c r="AW481" s="1">
        <f t="shared" si="1601"/>
        <v>281458</v>
      </c>
      <c r="AX481" s="1">
        <f t="shared" si="1601"/>
        <v>7505532</v>
      </c>
      <c r="AY481" s="1">
        <f t="shared" si="1601"/>
        <v>16887447</v>
      </c>
      <c r="AZ481" s="1">
        <f t="shared" si="1534"/>
        <v>238245060</v>
      </c>
      <c r="BA481" s="1">
        <f t="shared" si="1535"/>
        <v>119122530</v>
      </c>
      <c r="BC481" s="1">
        <f t="shared" si="1536"/>
        <v>470</v>
      </c>
    </row>
    <row r="482" s="1" customFormat="1" spans="2:55">
      <c r="B482" s="4">
        <v>471</v>
      </c>
      <c r="C482" s="1">
        <f t="shared" ref="C482:I482" si="1602">C$5+(C$6-C$5)*(POWER(C$7,$B482-1)-1)/(POWER(C$7,$B$3-1)-1)</f>
        <v>37209.5383456986</v>
      </c>
      <c r="D482" s="1">
        <f t="shared" si="1602"/>
        <v>11162.8615037096</v>
      </c>
      <c r="E482" s="1">
        <f t="shared" si="1602"/>
        <v>7441.90766913971</v>
      </c>
      <c r="F482" s="1">
        <f t="shared" si="1602"/>
        <v>136591.976205729</v>
      </c>
      <c r="G482" s="1">
        <f t="shared" si="1602"/>
        <v>40977.5928617187</v>
      </c>
      <c r="H482" s="1">
        <f t="shared" si="1602"/>
        <v>27318.3952411458</v>
      </c>
      <c r="I482" s="1">
        <f t="shared" si="1602"/>
        <v>0</v>
      </c>
      <c r="J482" s="1">
        <f>[1]标准模型!$I$65/1*$B482/$B$3</f>
        <v>3.3912</v>
      </c>
      <c r="K482" s="1">
        <f>J482*[1]标准模型!$J$63</f>
        <v>3.3912</v>
      </c>
      <c r="L482" s="1">
        <f t="shared" si="1513"/>
        <v>173801.514551428</v>
      </c>
      <c r="M482" s="1">
        <f t="shared" si="1514"/>
        <v>89995.9502968083</v>
      </c>
      <c r="N482" s="1">
        <f t="shared" si="1515"/>
        <v>59997.3001978721</v>
      </c>
      <c r="O482" s="1">
        <f t="shared" ref="O482:X482" si="1603">O$5+(O$6-O$5)*(POWER(O$7,$B482-1)-1)/(POWER(O$7,$B$3-1)-1)</f>
        <v>0.970948711926366</v>
      </c>
      <c r="P482" s="1">
        <f t="shared" si="1603"/>
        <v>0.367693523380952</v>
      </c>
      <c r="Q482" s="1">
        <f t="shared" si="1603"/>
        <v>0.534021791559501</v>
      </c>
      <c r="R482" s="1">
        <f t="shared" si="1603"/>
        <v>1.18837948477055</v>
      </c>
      <c r="S482" s="1">
        <f t="shared" si="1603"/>
        <v>0.659328196696913</v>
      </c>
      <c r="T482" s="1">
        <f t="shared" si="1603"/>
        <v>3.83669997651283</v>
      </c>
      <c r="U482" s="1">
        <f t="shared" si="1603"/>
        <v>1</v>
      </c>
      <c r="V482" s="1">
        <f t="shared" si="1603"/>
        <v>1.51361586018636</v>
      </c>
      <c r="W482" s="1">
        <f t="shared" si="1603"/>
        <v>1.28981459195469</v>
      </c>
      <c r="X482" s="1">
        <f t="shared" si="1603"/>
        <v>2.50703587816437</v>
      </c>
      <c r="Y482" s="1">
        <f t="shared" si="1539"/>
        <v>14.7651294359366</v>
      </c>
      <c r="Z482" s="1">
        <f t="shared" si="1540"/>
        <v>31.2642685820955</v>
      </c>
      <c r="AA482" s="1">
        <f t="shared" si="1517"/>
        <v>5433777.23091081</v>
      </c>
      <c r="AB482" s="1">
        <f t="shared" si="1518"/>
        <v>89995.9502968083</v>
      </c>
      <c r="AC482" s="1">
        <f t="shared" si="1519"/>
        <v>59997.3001978721</v>
      </c>
      <c r="AD482" s="1">
        <f>AC482/(AC482+[1]战斗公式!$M$27)</f>
        <v>0.714276530990124</v>
      </c>
      <c r="AE482" s="1">
        <f t="shared" si="1520"/>
        <v>19017609.0530491</v>
      </c>
      <c r="AF482" s="1">
        <f t="shared" si="1521"/>
        <v>14.3118471604657</v>
      </c>
      <c r="AG482" s="1">
        <f t="shared" si="1522"/>
        <v>6.75903468640987</v>
      </c>
      <c r="AH482" s="1">
        <f t="shared" si="1523"/>
        <v>4.97665377600804</v>
      </c>
      <c r="AI482" s="1">
        <f t="shared" si="1524"/>
        <v>2.13941512271855</v>
      </c>
      <c r="AJ482" s="1">
        <f t="shared" si="1525"/>
        <v>1.00000000003017</v>
      </c>
      <c r="AK482" s="1">
        <f t="shared" si="1526"/>
        <v>1.00002667737668</v>
      </c>
      <c r="AL482" s="1">
        <f t="shared" si="1527"/>
        <v>0.94607400559456</v>
      </c>
      <c r="AM482" s="27">
        <f t="shared" si="1528"/>
        <v>4000871</v>
      </c>
      <c r="AN482" s="27">
        <f t="shared" si="1529"/>
        <v>192539</v>
      </c>
      <c r="AO482" s="27">
        <f t="shared" si="1530"/>
        <v>59997</v>
      </c>
      <c r="AP482" s="1">
        <f t="shared" si="1531"/>
        <v>1889536</v>
      </c>
      <c r="AQ482" s="1">
        <f t="shared" si="1532"/>
        <v>182156</v>
      </c>
      <c r="AR482"/>
      <c r="AS482" s="1">
        <f t="shared" ref="AS482:AY482" si="1604">ROUNDUP(AS$10*$AP482,0)</f>
        <v>1889536</v>
      </c>
      <c r="AT482" s="1">
        <f t="shared" si="1604"/>
        <v>5668608</v>
      </c>
      <c r="AU482" s="1">
        <f t="shared" si="1604"/>
        <v>3401165</v>
      </c>
      <c r="AV482" s="1">
        <f t="shared" si="1604"/>
        <v>944768</v>
      </c>
      <c r="AW482" s="1">
        <f t="shared" si="1604"/>
        <v>283431</v>
      </c>
      <c r="AX482" s="1">
        <f t="shared" si="1604"/>
        <v>7558144</v>
      </c>
      <c r="AY482" s="1">
        <f t="shared" si="1604"/>
        <v>17005824</v>
      </c>
      <c r="AZ482" s="1">
        <f t="shared" si="1534"/>
        <v>240052260</v>
      </c>
      <c r="BA482" s="1">
        <f t="shared" si="1535"/>
        <v>120026130</v>
      </c>
      <c r="BC482" s="1">
        <f t="shared" si="1536"/>
        <v>471</v>
      </c>
    </row>
    <row r="483" s="1" customFormat="1" spans="2:55">
      <c r="B483" s="4">
        <v>472</v>
      </c>
      <c r="C483" s="1">
        <f t="shared" ref="C483:I483" si="1605">C$5+(C$6-C$5)*(POWER(C$7,$B483-1)-1)/(POWER(C$7,$B$3-1)-1)</f>
        <v>37288.5208878001</v>
      </c>
      <c r="D483" s="1">
        <f t="shared" si="1605"/>
        <v>11186.55626634</v>
      </c>
      <c r="E483" s="1">
        <f t="shared" si="1605"/>
        <v>7457.70417756003</v>
      </c>
      <c r="F483" s="1">
        <f t="shared" si="1605"/>
        <v>136881.912119773</v>
      </c>
      <c r="G483" s="1">
        <f t="shared" si="1605"/>
        <v>41064.5736359318</v>
      </c>
      <c r="H483" s="1">
        <f t="shared" si="1605"/>
        <v>27376.3824239545</v>
      </c>
      <c r="I483" s="1">
        <f t="shared" si="1605"/>
        <v>0</v>
      </c>
      <c r="J483" s="1">
        <f>[1]标准模型!$I$65/1*$B483/$B$3</f>
        <v>3.3984</v>
      </c>
      <c r="K483" s="1">
        <f>J483*[1]标准模型!$J$63</f>
        <v>3.3984</v>
      </c>
      <c r="L483" s="1">
        <f t="shared" si="1513"/>
        <v>174170.433007573</v>
      </c>
      <c r="M483" s="1">
        <f t="shared" si="1514"/>
        <v>90267.5227178017</v>
      </c>
      <c r="N483" s="1">
        <f t="shared" si="1515"/>
        <v>60178.3484785345</v>
      </c>
      <c r="O483" s="1">
        <f t="shared" ref="O483:X483" si="1606">O$5+(O$6-O$5)*(POWER(O$7,$B483-1)-1)/(POWER(O$7,$B$3-1)-1)</f>
        <v>0.971950494505468</v>
      </c>
      <c r="P483" s="1">
        <f t="shared" si="1606"/>
        <v>0.368784320791553</v>
      </c>
      <c r="Q483" s="1">
        <f t="shared" si="1606"/>
        <v>0.534572771978008</v>
      </c>
      <c r="R483" s="1">
        <f t="shared" si="1606"/>
        <v>1.18878019780219</v>
      </c>
      <c r="S483" s="1">
        <f t="shared" si="1606"/>
        <v>0.660730692307656</v>
      </c>
      <c r="T483" s="1">
        <f t="shared" si="1606"/>
        <v>3.84060692857133</v>
      </c>
      <c r="U483" s="1">
        <f t="shared" si="1606"/>
        <v>1</v>
      </c>
      <c r="V483" s="1">
        <f t="shared" si="1606"/>
        <v>1.51470840255468</v>
      </c>
      <c r="W483" s="1">
        <f t="shared" si="1606"/>
        <v>1.29043107354183</v>
      </c>
      <c r="X483" s="1">
        <f t="shared" si="1606"/>
        <v>2.5102415824175</v>
      </c>
      <c r="Y483" s="1">
        <f t="shared" si="1539"/>
        <v>14.8530605555271</v>
      </c>
      <c r="Z483" s="1">
        <f t="shared" si="1540"/>
        <v>31.4683962369613</v>
      </c>
      <c r="AA483" s="1">
        <f t="shared" si="1517"/>
        <v>5480864.19864544</v>
      </c>
      <c r="AB483" s="1">
        <f t="shared" si="1518"/>
        <v>90267.5227178017</v>
      </c>
      <c r="AC483" s="1">
        <f t="shared" si="1519"/>
        <v>60178.3484785345</v>
      </c>
      <c r="AD483" s="1">
        <f>AC483/(AC483+[1]战斗公式!$M$27)</f>
        <v>0.714891056503443</v>
      </c>
      <c r="AE483" s="1">
        <f t="shared" si="1520"/>
        <v>19223754.0198792</v>
      </c>
      <c r="AF483" s="1">
        <f t="shared" si="1521"/>
        <v>14.3380709517675</v>
      </c>
      <c r="AG483" s="1">
        <f t="shared" si="1522"/>
        <v>6.76755925190457</v>
      </c>
      <c r="AH483" s="1">
        <f t="shared" si="1523"/>
        <v>4.97754652691904</v>
      </c>
      <c r="AI483" s="1">
        <f t="shared" si="1524"/>
        <v>2.14479903365176</v>
      </c>
      <c r="AJ483" s="1">
        <f t="shared" si="1525"/>
        <v>1.00000000002822</v>
      </c>
      <c r="AK483" s="1">
        <f t="shared" si="1526"/>
        <v>1.00002547402176</v>
      </c>
      <c r="AL483" s="1">
        <f t="shared" si="1527"/>
        <v>0.946215156041136</v>
      </c>
      <c r="AM483" s="27">
        <f t="shared" si="1528"/>
        <v>4031181</v>
      </c>
      <c r="AN483" s="27">
        <f t="shared" si="1529"/>
        <v>193606</v>
      </c>
      <c r="AO483" s="27">
        <f t="shared" si="1530"/>
        <v>60178</v>
      </c>
      <c r="AP483" s="1">
        <f t="shared" si="1531"/>
        <v>1902763</v>
      </c>
      <c r="AQ483" s="1">
        <f t="shared" si="1532"/>
        <v>183193</v>
      </c>
      <c r="AR483"/>
      <c r="AS483" s="1">
        <f t="shared" ref="AS483:AY483" si="1607">ROUNDUP(AS$10*$AP483,0)</f>
        <v>1902763</v>
      </c>
      <c r="AT483" s="1">
        <f t="shared" si="1607"/>
        <v>5708289</v>
      </c>
      <c r="AU483" s="1">
        <f t="shared" si="1607"/>
        <v>3424974</v>
      </c>
      <c r="AV483" s="1">
        <f t="shared" si="1607"/>
        <v>951382</v>
      </c>
      <c r="AW483" s="1">
        <f t="shared" si="1607"/>
        <v>285415</v>
      </c>
      <c r="AX483" s="1">
        <f t="shared" si="1607"/>
        <v>7611052</v>
      </c>
      <c r="AY483" s="1">
        <f t="shared" si="1607"/>
        <v>17124867</v>
      </c>
      <c r="AZ483" s="1">
        <f t="shared" si="1534"/>
        <v>241870860</v>
      </c>
      <c r="BA483" s="1">
        <f t="shared" si="1535"/>
        <v>120935430</v>
      </c>
      <c r="BC483" s="1">
        <f t="shared" si="1536"/>
        <v>472</v>
      </c>
    </row>
    <row r="484" s="1" customFormat="1" spans="2:55">
      <c r="B484" s="4">
        <v>473</v>
      </c>
      <c r="C484" s="1">
        <f t="shared" ref="C484:I484" si="1608">C$5+(C$6-C$5)*(POWER(C$7,$B484-1)-1)/(POWER(C$7,$B$3-1)-1)</f>
        <v>37367.5033509189</v>
      </c>
      <c r="D484" s="1">
        <f t="shared" si="1608"/>
        <v>11210.2510052757</v>
      </c>
      <c r="E484" s="1">
        <f t="shared" si="1608"/>
        <v>7473.50067018377</v>
      </c>
      <c r="F484" s="1">
        <f t="shared" si="1608"/>
        <v>137171.847743879</v>
      </c>
      <c r="G484" s="1">
        <f t="shared" si="1608"/>
        <v>41151.5543231638</v>
      </c>
      <c r="H484" s="1">
        <f t="shared" si="1608"/>
        <v>27434.3695487759</v>
      </c>
      <c r="I484" s="1">
        <f t="shared" si="1608"/>
        <v>0</v>
      </c>
      <c r="J484" s="1">
        <f>[1]标准模型!$I$65/1*$B484/$B$3</f>
        <v>3.4056</v>
      </c>
      <c r="K484" s="1">
        <f>J484*[1]标准模型!$J$63</f>
        <v>3.4056</v>
      </c>
      <c r="L484" s="1">
        <f t="shared" si="1513"/>
        <v>174539.351094798</v>
      </c>
      <c r="M484" s="1">
        <f t="shared" si="1514"/>
        <v>90539.4361520064</v>
      </c>
      <c r="N484" s="1">
        <f t="shared" si="1515"/>
        <v>60359.6241013375</v>
      </c>
      <c r="O484" s="1">
        <f t="shared" ref="O484:X484" si="1609">O$5+(O$6-O$5)*(POWER(O$7,$B484-1)-1)/(POWER(O$7,$B$3-1)-1)</f>
        <v>0.972952276082784</v>
      </c>
      <c r="P484" s="1">
        <f t="shared" si="1609"/>
        <v>0.36987675439827</v>
      </c>
      <c r="Q484" s="1">
        <f t="shared" si="1609"/>
        <v>0.535123751845531</v>
      </c>
      <c r="R484" s="1">
        <f t="shared" si="1609"/>
        <v>1.18918091043311</v>
      </c>
      <c r="S484" s="1">
        <f t="shared" si="1609"/>
        <v>0.662133186515898</v>
      </c>
      <c r="T484" s="1">
        <f t="shared" si="1609"/>
        <v>3.84451387672286</v>
      </c>
      <c r="U484" s="1">
        <f t="shared" si="1609"/>
        <v>1</v>
      </c>
      <c r="V484" s="1">
        <f t="shared" si="1609"/>
        <v>1.51580094383046</v>
      </c>
      <c r="W484" s="1">
        <f t="shared" si="1609"/>
        <v>1.29104755451248</v>
      </c>
      <c r="X484" s="1">
        <f t="shared" si="1609"/>
        <v>2.51344728346491</v>
      </c>
      <c r="Y484" s="1">
        <f t="shared" si="1539"/>
        <v>14.9414466904981</v>
      </c>
      <c r="Z484" s="1">
        <f t="shared" si="1540"/>
        <v>31.6736978649443</v>
      </c>
      <c r="AA484" s="1">
        <f t="shared" si="1517"/>
        <v>5528306.67212006</v>
      </c>
      <c r="AB484" s="1">
        <f t="shared" si="1518"/>
        <v>90539.4361520064</v>
      </c>
      <c r="AC484" s="1">
        <f t="shared" si="1519"/>
        <v>60359.6241013375</v>
      </c>
      <c r="AD484" s="1">
        <f>AC484/(AC484+[1]战斗公式!$M$27)</f>
        <v>0.715503710979439</v>
      </c>
      <c r="AE484" s="1">
        <f t="shared" si="1520"/>
        <v>19431911.3657068</v>
      </c>
      <c r="AF484" s="1">
        <f t="shared" si="1521"/>
        <v>14.3643204686351</v>
      </c>
      <c r="AG484" s="1">
        <f t="shared" si="1522"/>
        <v>6.7760868794825</v>
      </c>
      <c r="AH484" s="1">
        <f t="shared" si="1523"/>
        <v>4.9784325821982</v>
      </c>
      <c r="AI484" s="1">
        <f t="shared" si="1524"/>
        <v>2.15019371240683</v>
      </c>
      <c r="AJ484" s="1">
        <f t="shared" si="1525"/>
        <v>1.00000000002637</v>
      </c>
      <c r="AK484" s="1">
        <f t="shared" si="1526"/>
        <v>1.00002429473393</v>
      </c>
      <c r="AL484" s="1">
        <f t="shared" si="1527"/>
        <v>0.946355883036372</v>
      </c>
      <c r="AM484" s="27">
        <f t="shared" si="1528"/>
        <v>4061681</v>
      </c>
      <c r="AN484" s="27">
        <f t="shared" si="1529"/>
        <v>194677</v>
      </c>
      <c r="AO484" s="27">
        <f t="shared" si="1530"/>
        <v>60360</v>
      </c>
      <c r="AP484" s="1">
        <f t="shared" si="1531"/>
        <v>1916065</v>
      </c>
      <c r="AQ484" s="1">
        <f t="shared" si="1532"/>
        <v>184234</v>
      </c>
      <c r="AR484"/>
      <c r="AS484" s="1">
        <f t="shared" ref="AS484:AY484" si="1610">ROUNDUP(AS$10*$AP484,0)</f>
        <v>1916065</v>
      </c>
      <c r="AT484" s="1">
        <f t="shared" si="1610"/>
        <v>5748195</v>
      </c>
      <c r="AU484" s="1">
        <f t="shared" si="1610"/>
        <v>3448917</v>
      </c>
      <c r="AV484" s="1">
        <f t="shared" si="1610"/>
        <v>958033</v>
      </c>
      <c r="AW484" s="1">
        <f t="shared" si="1610"/>
        <v>287410</v>
      </c>
      <c r="AX484" s="1">
        <f t="shared" si="1610"/>
        <v>7664260</v>
      </c>
      <c r="AY484" s="1">
        <f t="shared" si="1610"/>
        <v>17244585</v>
      </c>
      <c r="AZ484" s="1">
        <f t="shared" si="1534"/>
        <v>243700860</v>
      </c>
      <c r="BA484" s="1">
        <f t="shared" si="1535"/>
        <v>121850430</v>
      </c>
      <c r="BC484" s="1">
        <f t="shared" si="1536"/>
        <v>473</v>
      </c>
    </row>
    <row r="485" s="1" customFormat="1" spans="2:55">
      <c r="B485" s="4">
        <v>474</v>
      </c>
      <c r="C485" s="1">
        <f t="shared" ref="C485:I485" si="1611">C$5+(C$6-C$5)*(POWER(C$7,$B485-1)-1)/(POWER(C$7,$B$3-1)-1)</f>
        <v>37446.4857350548</v>
      </c>
      <c r="D485" s="1">
        <f t="shared" si="1611"/>
        <v>11233.9457205164</v>
      </c>
      <c r="E485" s="1">
        <f t="shared" si="1611"/>
        <v>7489.29714701096</v>
      </c>
      <c r="F485" s="1">
        <f t="shared" si="1611"/>
        <v>137461.783078049</v>
      </c>
      <c r="G485" s="1">
        <f t="shared" si="1611"/>
        <v>41238.5349234148</v>
      </c>
      <c r="H485" s="1">
        <f t="shared" si="1611"/>
        <v>27492.3566156098</v>
      </c>
      <c r="I485" s="1">
        <f t="shared" si="1611"/>
        <v>0</v>
      </c>
      <c r="J485" s="1">
        <f>[1]标准模型!$I$65/1*$B485/$B$3</f>
        <v>3.4128</v>
      </c>
      <c r="K485" s="1">
        <f>J485*[1]标准模型!$J$63</f>
        <v>3.4128</v>
      </c>
      <c r="L485" s="1">
        <f t="shared" si="1513"/>
        <v>174908.268813104</v>
      </c>
      <c r="M485" s="1">
        <f t="shared" si="1514"/>
        <v>90811.6905989096</v>
      </c>
      <c r="N485" s="1">
        <f t="shared" si="1515"/>
        <v>60541.1270659398</v>
      </c>
      <c r="O485" s="1">
        <f t="shared" ref="O485:X485" si="1612">O$5+(O$6-O$5)*(POWER(O$7,$B485-1)-1)/(POWER(O$7,$B$3-1)-1)</f>
        <v>0.973954056658314</v>
      </c>
      <c r="P485" s="1">
        <f t="shared" si="1612"/>
        <v>0.370970826655397</v>
      </c>
      <c r="Q485" s="1">
        <f t="shared" si="1612"/>
        <v>0.535674731162073</v>
      </c>
      <c r="R485" s="1">
        <f t="shared" si="1612"/>
        <v>1.18958162266333</v>
      </c>
      <c r="S485" s="1">
        <f t="shared" si="1612"/>
        <v>0.663535679321639</v>
      </c>
      <c r="T485" s="1">
        <f t="shared" si="1612"/>
        <v>3.84842082096742</v>
      </c>
      <c r="U485" s="1">
        <f t="shared" si="1612"/>
        <v>1</v>
      </c>
      <c r="V485" s="1">
        <f t="shared" si="1612"/>
        <v>1.51689348401368</v>
      </c>
      <c r="W485" s="1">
        <f t="shared" si="1612"/>
        <v>1.29166403486665</v>
      </c>
      <c r="X485" s="1">
        <f t="shared" si="1612"/>
        <v>2.5166529813066</v>
      </c>
      <c r="Y485" s="1">
        <f t="shared" si="1539"/>
        <v>15.0302898225344</v>
      </c>
      <c r="Z485" s="1">
        <f t="shared" si="1540"/>
        <v>31.8801792556597</v>
      </c>
      <c r="AA485" s="1">
        <f t="shared" si="1517"/>
        <v>5576106.96305886</v>
      </c>
      <c r="AB485" s="1">
        <f t="shared" si="1518"/>
        <v>90811.6905989096</v>
      </c>
      <c r="AC485" s="1">
        <f t="shared" si="1519"/>
        <v>60541.1270659398</v>
      </c>
      <c r="AD485" s="1">
        <f>AC485/(AC485+[1]战斗公式!$M$27)</f>
        <v>0.716114501510245</v>
      </c>
      <c r="AE485" s="1">
        <f t="shared" si="1520"/>
        <v>19642098.6373846</v>
      </c>
      <c r="AF485" s="1">
        <f t="shared" si="1521"/>
        <v>14.3905956955935</v>
      </c>
      <c r="AG485" s="1">
        <f t="shared" si="1522"/>
        <v>6.78461756093443</v>
      </c>
      <c r="AH485" s="1">
        <f t="shared" si="1523"/>
        <v>4.97931199206276</v>
      </c>
      <c r="AI485" s="1">
        <f t="shared" si="1524"/>
        <v>2.15559918051942</v>
      </c>
      <c r="AJ485" s="1">
        <f t="shared" si="1525"/>
        <v>1.00000000002461</v>
      </c>
      <c r="AK485" s="1">
        <f t="shared" si="1526"/>
        <v>1.00002313903187</v>
      </c>
      <c r="AL485" s="1">
        <f t="shared" si="1527"/>
        <v>0.946496187850623</v>
      </c>
      <c r="AM485" s="27">
        <f t="shared" si="1528"/>
        <v>4092372</v>
      </c>
      <c r="AN485" s="27">
        <f t="shared" si="1529"/>
        <v>195754</v>
      </c>
      <c r="AO485" s="27">
        <f t="shared" si="1530"/>
        <v>60541</v>
      </c>
      <c r="AP485" s="1">
        <f t="shared" si="1531"/>
        <v>1929442</v>
      </c>
      <c r="AQ485" s="1">
        <f t="shared" si="1532"/>
        <v>185280</v>
      </c>
      <c r="AR485"/>
      <c r="AS485" s="1">
        <f t="shared" ref="AS485:AY485" si="1613">ROUNDUP(AS$10*$AP485,0)</f>
        <v>1929442</v>
      </c>
      <c r="AT485" s="1">
        <f t="shared" si="1613"/>
        <v>5788326</v>
      </c>
      <c r="AU485" s="1">
        <f t="shared" si="1613"/>
        <v>3472996</v>
      </c>
      <c r="AV485" s="1">
        <f t="shared" si="1613"/>
        <v>964721</v>
      </c>
      <c r="AW485" s="1">
        <f t="shared" si="1613"/>
        <v>289417</v>
      </c>
      <c r="AX485" s="1">
        <f t="shared" si="1613"/>
        <v>7717768</v>
      </c>
      <c r="AY485" s="1">
        <f t="shared" si="1613"/>
        <v>17364978</v>
      </c>
      <c r="AZ485" s="1">
        <f t="shared" si="1534"/>
        <v>245542320</v>
      </c>
      <c r="BA485" s="1">
        <f t="shared" si="1535"/>
        <v>122771160</v>
      </c>
      <c r="BC485" s="1">
        <f t="shared" si="1536"/>
        <v>474</v>
      </c>
    </row>
    <row r="486" s="1" customFormat="1" spans="2:55">
      <c r="B486" s="4">
        <v>475</v>
      </c>
      <c r="C486" s="1">
        <f t="shared" ref="C486:I486" si="1614">C$5+(C$6-C$5)*(POWER(C$7,$B486-1)-1)/(POWER(C$7,$B$3-1)-1)</f>
        <v>37525.4680402078</v>
      </c>
      <c r="D486" s="1">
        <f t="shared" si="1614"/>
        <v>11257.6404120624</v>
      </c>
      <c r="E486" s="1">
        <f t="shared" si="1614"/>
        <v>7505.09360804157</v>
      </c>
      <c r="F486" s="1">
        <f t="shared" si="1614"/>
        <v>137751.718122282</v>
      </c>
      <c r="G486" s="1">
        <f t="shared" si="1614"/>
        <v>41325.5154366846</v>
      </c>
      <c r="H486" s="1">
        <f t="shared" si="1614"/>
        <v>27550.3436244564</v>
      </c>
      <c r="I486" s="1">
        <f t="shared" si="1614"/>
        <v>0</v>
      </c>
      <c r="J486" s="1">
        <f>[1]标准模型!$I$65/1*$B486/$B$3</f>
        <v>3.42</v>
      </c>
      <c r="K486" s="1">
        <f>J486*[1]标准模型!$J$63</f>
        <v>3.42</v>
      </c>
      <c r="L486" s="1">
        <f t="shared" si="1513"/>
        <v>175277.18616249</v>
      </c>
      <c r="M486" s="1">
        <f t="shared" si="1514"/>
        <v>91084.2860580004</v>
      </c>
      <c r="N486" s="1">
        <f t="shared" si="1515"/>
        <v>60722.8573720001</v>
      </c>
      <c r="O486" s="1">
        <f t="shared" ref="O486:X486" si="1615">O$5+(O$6-O$5)*(POWER(O$7,$B486-1)-1)/(POWER(O$7,$B$3-1)-1)</f>
        <v>0.974955836232057</v>
      </c>
      <c r="P486" s="1">
        <f t="shared" si="1615"/>
        <v>0.37206654002091</v>
      </c>
      <c r="Q486" s="1">
        <f t="shared" si="1615"/>
        <v>0.536225709927631</v>
      </c>
      <c r="R486" s="1">
        <f t="shared" si="1615"/>
        <v>1.18998233449282</v>
      </c>
      <c r="S486" s="1">
        <f t="shared" si="1615"/>
        <v>0.66493817072488</v>
      </c>
      <c r="T486" s="1">
        <f t="shared" si="1615"/>
        <v>3.85232776130502</v>
      </c>
      <c r="U486" s="1">
        <f t="shared" si="1615"/>
        <v>1</v>
      </c>
      <c r="V486" s="1">
        <f t="shared" si="1615"/>
        <v>1.51798602310436</v>
      </c>
      <c r="W486" s="1">
        <f t="shared" si="1615"/>
        <v>1.29228051460434</v>
      </c>
      <c r="X486" s="1">
        <f t="shared" si="1615"/>
        <v>2.51985867594258</v>
      </c>
      <c r="Y486" s="1">
        <f t="shared" si="1539"/>
        <v>15.1195919404042</v>
      </c>
      <c r="Z486" s="1">
        <f t="shared" si="1540"/>
        <v>32.0878462226053</v>
      </c>
      <c r="AA486" s="1">
        <f t="shared" si="1517"/>
        <v>5624267.39591294</v>
      </c>
      <c r="AB486" s="1">
        <f t="shared" si="1518"/>
        <v>91084.2860580004</v>
      </c>
      <c r="AC486" s="1">
        <f t="shared" si="1519"/>
        <v>60722.8573720001</v>
      </c>
      <c r="AD486" s="1">
        <f>AC486/(AC486+[1]战斗公式!$M$27)</f>
        <v>0.716723435157279</v>
      </c>
      <c r="AE486" s="1">
        <f t="shared" si="1520"/>
        <v>19854333.5169134</v>
      </c>
      <c r="AF486" s="1">
        <f t="shared" si="1521"/>
        <v>14.4168966171833</v>
      </c>
      <c r="AG486" s="1">
        <f t="shared" si="1522"/>
        <v>6.79315128808004</v>
      </c>
      <c r="AH486" s="1">
        <f t="shared" si="1523"/>
        <v>4.98018480635334</v>
      </c>
      <c r="AI486" s="1">
        <f t="shared" si="1524"/>
        <v>2.16101545956823</v>
      </c>
      <c r="AJ486" s="1">
        <f t="shared" si="1525"/>
        <v>1.00000000002294</v>
      </c>
      <c r="AK486" s="1">
        <f t="shared" si="1526"/>
        <v>1.00002200644384</v>
      </c>
      <c r="AL486" s="1">
        <f t="shared" si="1527"/>
        <v>0.946636071750431</v>
      </c>
      <c r="AM486" s="27">
        <f t="shared" si="1528"/>
        <v>4123254</v>
      </c>
      <c r="AN486" s="27">
        <f t="shared" si="1529"/>
        <v>196835</v>
      </c>
      <c r="AO486" s="27">
        <f t="shared" si="1530"/>
        <v>60723</v>
      </c>
      <c r="AP486" s="1">
        <f t="shared" si="1531"/>
        <v>1942894</v>
      </c>
      <c r="AQ486" s="1">
        <f t="shared" si="1532"/>
        <v>186331</v>
      </c>
      <c r="AR486"/>
      <c r="AS486" s="1">
        <f t="shared" ref="AS486:AY486" si="1616">ROUNDUP(AS$10*$AP486,0)</f>
        <v>1942894</v>
      </c>
      <c r="AT486" s="1">
        <f t="shared" si="1616"/>
        <v>5828682</v>
      </c>
      <c r="AU486" s="1">
        <f t="shared" si="1616"/>
        <v>3497210</v>
      </c>
      <c r="AV486" s="1">
        <f t="shared" si="1616"/>
        <v>971447</v>
      </c>
      <c r="AW486" s="1">
        <f t="shared" si="1616"/>
        <v>291435</v>
      </c>
      <c r="AX486" s="1">
        <f t="shared" si="1616"/>
        <v>7771576</v>
      </c>
      <c r="AY486" s="1">
        <f t="shared" si="1616"/>
        <v>17486046</v>
      </c>
      <c r="AZ486" s="1">
        <f t="shared" si="1534"/>
        <v>247395240</v>
      </c>
      <c r="BA486" s="1">
        <f t="shared" si="1535"/>
        <v>123697620</v>
      </c>
      <c r="BC486" s="1">
        <f t="shared" si="1536"/>
        <v>475</v>
      </c>
    </row>
    <row r="487" s="1" customFormat="1" spans="2:55">
      <c r="B487" s="4">
        <v>476</v>
      </c>
      <c r="C487" s="1">
        <f t="shared" ref="C487:I487" si="1617">C$5+(C$6-C$5)*(POWER(C$7,$B487-1)-1)/(POWER(C$7,$B$3-1)-1)</f>
        <v>37604.4502663781</v>
      </c>
      <c r="D487" s="1">
        <f t="shared" si="1617"/>
        <v>11281.3350799134</v>
      </c>
      <c r="E487" s="1">
        <f t="shared" si="1617"/>
        <v>7520.89005327562</v>
      </c>
      <c r="F487" s="1">
        <f t="shared" si="1617"/>
        <v>138041.652876578</v>
      </c>
      <c r="G487" s="1">
        <f t="shared" si="1617"/>
        <v>41412.4958629733</v>
      </c>
      <c r="H487" s="1">
        <f t="shared" si="1617"/>
        <v>27608.3305753156</v>
      </c>
      <c r="I487" s="1">
        <f t="shared" si="1617"/>
        <v>0</v>
      </c>
      <c r="J487" s="1">
        <f>[1]标准模型!$I$65/1*$B487/$B$3</f>
        <v>3.4272</v>
      </c>
      <c r="K487" s="1">
        <f>J487*[1]标准模型!$J$63</f>
        <v>3.4272</v>
      </c>
      <c r="L487" s="1">
        <f t="shared" si="1513"/>
        <v>175646.103142956</v>
      </c>
      <c r="M487" s="1">
        <f t="shared" si="1514"/>
        <v>91357.2225287659</v>
      </c>
      <c r="N487" s="1">
        <f t="shared" si="1515"/>
        <v>60904.8150191774</v>
      </c>
      <c r="O487" s="1">
        <f t="shared" ref="O487:X487" si="1618">O$5+(O$6-O$5)*(POWER(O$7,$B487-1)-1)/(POWER(O$7,$B$3-1)-1)</f>
        <v>0.975957614804014</v>
      </c>
      <c r="P487" s="1">
        <f t="shared" si="1618"/>
        <v>0.373163896956471</v>
      </c>
      <c r="Q487" s="1">
        <f t="shared" si="1618"/>
        <v>0.536776688142208</v>
      </c>
      <c r="R487" s="1">
        <f t="shared" si="1618"/>
        <v>1.19038304592161</v>
      </c>
      <c r="S487" s="1">
        <f t="shared" si="1618"/>
        <v>0.66634066072562</v>
      </c>
      <c r="T487" s="1">
        <f t="shared" si="1618"/>
        <v>3.85623469773566</v>
      </c>
      <c r="U487" s="1">
        <f t="shared" si="1618"/>
        <v>1</v>
      </c>
      <c r="V487" s="1">
        <f t="shared" si="1618"/>
        <v>1.5190785611025</v>
      </c>
      <c r="W487" s="1">
        <f t="shared" si="1618"/>
        <v>1.29289699372555</v>
      </c>
      <c r="X487" s="1">
        <f t="shared" si="1618"/>
        <v>2.52306436737285</v>
      </c>
      <c r="Y487" s="1">
        <f t="shared" si="1539"/>
        <v>15.2093550399797</v>
      </c>
      <c r="Z487" s="1">
        <f t="shared" si="1540"/>
        <v>32.2967046032432</v>
      </c>
      <c r="AA487" s="1">
        <f t="shared" si="1517"/>
        <v>5672790.30791884</v>
      </c>
      <c r="AB487" s="1">
        <f t="shared" si="1518"/>
        <v>91357.2225287659</v>
      </c>
      <c r="AC487" s="1">
        <f t="shared" si="1519"/>
        <v>60904.8150191774</v>
      </c>
      <c r="AD487" s="1">
        <f>AC487/(AC487+[1]战斗公式!$M$27)</f>
        <v>0.71733051895138</v>
      </c>
      <c r="AE487" s="1">
        <f t="shared" si="1520"/>
        <v>20068633.8223513</v>
      </c>
      <c r="AF487" s="1">
        <f t="shared" si="1521"/>
        <v>14.4432232179623</v>
      </c>
      <c r="AG487" s="1">
        <f t="shared" si="1522"/>
        <v>6.8016880527683</v>
      </c>
      <c r="AH487" s="1">
        <f t="shared" si="1523"/>
        <v>4.98105107453675</v>
      </c>
      <c r="AI487" s="1">
        <f t="shared" si="1524"/>
        <v>2.16644257117514</v>
      </c>
      <c r="AJ487" s="1">
        <f t="shared" si="1525"/>
        <v>1.00000000002135</v>
      </c>
      <c r="AK487" s="1">
        <f t="shared" si="1526"/>
        <v>1.00002089650757</v>
      </c>
      <c r="AL487" s="1">
        <f t="shared" si="1527"/>
        <v>0.946775535998539</v>
      </c>
      <c r="AM487" s="27">
        <f t="shared" si="1528"/>
        <v>4154330</v>
      </c>
      <c r="AN487" s="27">
        <f t="shared" si="1529"/>
        <v>197920</v>
      </c>
      <c r="AO487" s="27">
        <f t="shared" si="1530"/>
        <v>60905</v>
      </c>
      <c r="AP487" s="1">
        <f t="shared" si="1531"/>
        <v>1956423</v>
      </c>
      <c r="AQ487" s="1">
        <f t="shared" si="1532"/>
        <v>187386</v>
      </c>
      <c r="AR487"/>
      <c r="AS487" s="1">
        <f t="shared" ref="AS487:AY487" si="1619">ROUNDUP(AS$10*$AP487,0)</f>
        <v>1956423</v>
      </c>
      <c r="AT487" s="1">
        <f t="shared" si="1619"/>
        <v>5869269</v>
      </c>
      <c r="AU487" s="1">
        <f t="shared" si="1619"/>
        <v>3521562</v>
      </c>
      <c r="AV487" s="1">
        <f t="shared" si="1619"/>
        <v>978212</v>
      </c>
      <c r="AW487" s="1">
        <f t="shared" si="1619"/>
        <v>293464</v>
      </c>
      <c r="AX487" s="1">
        <f t="shared" si="1619"/>
        <v>7825692</v>
      </c>
      <c r="AY487" s="1">
        <f t="shared" si="1619"/>
        <v>17607807</v>
      </c>
      <c r="AZ487" s="1">
        <f t="shared" si="1534"/>
        <v>249259800</v>
      </c>
      <c r="BA487" s="1">
        <f t="shared" si="1535"/>
        <v>124629900</v>
      </c>
      <c r="BC487" s="1">
        <f t="shared" si="1536"/>
        <v>476</v>
      </c>
    </row>
    <row r="488" s="1" customFormat="1" spans="2:55">
      <c r="B488" s="4">
        <v>477</v>
      </c>
      <c r="C488" s="1">
        <f t="shared" ref="C488:I488" si="1620">C$5+(C$6-C$5)*(POWER(C$7,$B488-1)-1)/(POWER(C$7,$B$3-1)-1)</f>
        <v>37683.4324135655</v>
      </c>
      <c r="D488" s="1">
        <f t="shared" si="1620"/>
        <v>11305.0297240696</v>
      </c>
      <c r="E488" s="1">
        <f t="shared" si="1620"/>
        <v>7536.6864827131</v>
      </c>
      <c r="F488" s="1">
        <f t="shared" si="1620"/>
        <v>138331.587340937</v>
      </c>
      <c r="G488" s="1">
        <f t="shared" si="1620"/>
        <v>41499.476202281</v>
      </c>
      <c r="H488" s="1">
        <f t="shared" si="1620"/>
        <v>27666.3174681873</v>
      </c>
      <c r="I488" s="1">
        <f t="shared" si="1620"/>
        <v>0</v>
      </c>
      <c r="J488" s="1">
        <f>[1]标准模型!$I$65/1*$B488/$B$3</f>
        <v>3.4344</v>
      </c>
      <c r="K488" s="1">
        <f>J488*[1]标准模型!$J$63</f>
        <v>3.4344</v>
      </c>
      <c r="L488" s="1">
        <f t="shared" si="1513"/>
        <v>176015.019754502</v>
      </c>
      <c r="M488" s="1">
        <f t="shared" si="1514"/>
        <v>91630.5000106952</v>
      </c>
      <c r="N488" s="1">
        <f t="shared" si="1515"/>
        <v>61087.0000071303</v>
      </c>
      <c r="O488" s="1">
        <f t="shared" ref="O488:X488" si="1621">O$5+(O$6-O$5)*(POWER(O$7,$B488-1)-1)/(POWER(O$7,$B$3-1)-1)</f>
        <v>0.976959392374185</v>
      </c>
      <c r="P488" s="1">
        <f t="shared" si="1621"/>
        <v>0.374262899927435</v>
      </c>
      <c r="Q488" s="1">
        <f t="shared" si="1621"/>
        <v>0.537327665805802</v>
      </c>
      <c r="R488" s="1">
        <f t="shared" si="1621"/>
        <v>1.19078375694967</v>
      </c>
      <c r="S488" s="1">
        <f t="shared" si="1621"/>
        <v>0.667743149323859</v>
      </c>
      <c r="T488" s="1">
        <f t="shared" si="1621"/>
        <v>3.86014163025932</v>
      </c>
      <c r="U488" s="1">
        <f t="shared" si="1621"/>
        <v>1</v>
      </c>
      <c r="V488" s="1">
        <f t="shared" si="1621"/>
        <v>1.52017109800809</v>
      </c>
      <c r="W488" s="1">
        <f t="shared" si="1621"/>
        <v>1.29351347223027</v>
      </c>
      <c r="X488" s="1">
        <f t="shared" si="1621"/>
        <v>2.52627005559739</v>
      </c>
      <c r="Y488" s="1">
        <f t="shared" si="1539"/>
        <v>15.2995811242588</v>
      </c>
      <c r="Z488" s="1">
        <f t="shared" si="1540"/>
        <v>32.5067602590822</v>
      </c>
      <c r="AA488" s="1">
        <f t="shared" si="1517"/>
        <v>5721678.04915723</v>
      </c>
      <c r="AB488" s="1">
        <f t="shared" si="1518"/>
        <v>91630.5000106952</v>
      </c>
      <c r="AC488" s="1">
        <f t="shared" si="1519"/>
        <v>61087.0000071303</v>
      </c>
      <c r="AD488" s="1">
        <f>AC488/(AC488+[1]战斗公式!$M$27)</f>
        <v>0.717935759892947</v>
      </c>
      <c r="AE488" s="1">
        <f t="shared" si="1520"/>
        <v>20285017.5087266</v>
      </c>
      <c r="AF488" s="1">
        <f t="shared" si="1521"/>
        <v>14.469575482504</v>
      </c>
      <c r="AG488" s="1">
        <f t="shared" si="1522"/>
        <v>6.810227846877</v>
      </c>
      <c r="AH488" s="1">
        <f t="shared" si="1523"/>
        <v>4.98191084570877</v>
      </c>
      <c r="AI488" s="1">
        <f t="shared" si="1524"/>
        <v>2.17188053700526</v>
      </c>
      <c r="AJ488" s="1">
        <f t="shared" si="1525"/>
        <v>1.00000000001984</v>
      </c>
      <c r="AK488" s="1">
        <f t="shared" si="1526"/>
        <v>1.00001980877003</v>
      </c>
      <c r="AL488" s="1">
        <f t="shared" si="1527"/>
        <v>0.946914581853903</v>
      </c>
      <c r="AM488" s="27">
        <f t="shared" si="1528"/>
        <v>4185600</v>
      </c>
      <c r="AN488" s="27">
        <f t="shared" si="1529"/>
        <v>199010</v>
      </c>
      <c r="AO488" s="27">
        <f t="shared" si="1530"/>
        <v>61087</v>
      </c>
      <c r="AP488" s="1">
        <f t="shared" si="1531"/>
        <v>1970027</v>
      </c>
      <c r="AQ488" s="1">
        <f t="shared" si="1532"/>
        <v>188445</v>
      </c>
      <c r="AR488"/>
      <c r="AS488" s="1">
        <f t="shared" ref="AS488:AY488" si="1622">ROUNDUP(AS$10*$AP488,0)</f>
        <v>1970027</v>
      </c>
      <c r="AT488" s="1">
        <f t="shared" si="1622"/>
        <v>5910081</v>
      </c>
      <c r="AU488" s="1">
        <f t="shared" si="1622"/>
        <v>3546049</v>
      </c>
      <c r="AV488" s="1">
        <f t="shared" si="1622"/>
        <v>985014</v>
      </c>
      <c r="AW488" s="1">
        <f t="shared" si="1622"/>
        <v>295505</v>
      </c>
      <c r="AX488" s="1">
        <f t="shared" si="1622"/>
        <v>7880108</v>
      </c>
      <c r="AY488" s="1">
        <f t="shared" si="1622"/>
        <v>17730243</v>
      </c>
      <c r="AZ488" s="1">
        <f t="shared" si="1534"/>
        <v>251136000</v>
      </c>
      <c r="BA488" s="1">
        <f t="shared" si="1535"/>
        <v>125568000</v>
      </c>
      <c r="BC488" s="1">
        <f t="shared" si="1536"/>
        <v>477</v>
      </c>
    </row>
    <row r="489" s="1" customFormat="1" spans="2:55">
      <c r="B489" s="4">
        <v>478</v>
      </c>
      <c r="C489" s="1">
        <f t="shared" ref="C489:I489" si="1623">C$5+(C$6-C$5)*(POWER(C$7,$B489-1)-1)/(POWER(C$7,$B$3-1)-1)</f>
        <v>37762.4144817701</v>
      </c>
      <c r="D489" s="1">
        <f t="shared" si="1623"/>
        <v>11328.724344531</v>
      </c>
      <c r="E489" s="1">
        <f t="shared" si="1623"/>
        <v>7552.48289635401</v>
      </c>
      <c r="F489" s="1">
        <f t="shared" si="1623"/>
        <v>138621.521515358</v>
      </c>
      <c r="G489" s="1">
        <f t="shared" si="1623"/>
        <v>41586.4564546075</v>
      </c>
      <c r="H489" s="1">
        <f t="shared" si="1623"/>
        <v>27724.3043030717</v>
      </c>
      <c r="I489" s="1">
        <f t="shared" si="1623"/>
        <v>0</v>
      </c>
      <c r="J489" s="1">
        <f>[1]标准模型!$I$65/1*$B489/$B$3</f>
        <v>3.4416</v>
      </c>
      <c r="K489" s="1">
        <f>J489*[1]标准模型!$J$63</f>
        <v>3.4416</v>
      </c>
      <c r="L489" s="1">
        <f t="shared" si="1513"/>
        <v>176383.935997128</v>
      </c>
      <c r="M489" s="1">
        <f t="shared" si="1514"/>
        <v>91904.1185032764</v>
      </c>
      <c r="N489" s="1">
        <f t="shared" si="1515"/>
        <v>61269.4123355177</v>
      </c>
      <c r="O489" s="1">
        <f t="shared" ref="O489:X489" si="1624">O$5+(O$6-O$5)*(POWER(O$7,$B489-1)-1)/(POWER(O$7,$B$3-1)-1)</f>
        <v>0.97796116894257</v>
      </c>
      <c r="P489" s="1">
        <f t="shared" si="1624"/>
        <v>0.375363551402856</v>
      </c>
      <c r="Q489" s="1">
        <f t="shared" si="1624"/>
        <v>0.537878642918413</v>
      </c>
      <c r="R489" s="1">
        <f t="shared" si="1624"/>
        <v>1.19118446757703</v>
      </c>
      <c r="S489" s="1">
        <f t="shared" si="1624"/>
        <v>0.669145636519597</v>
      </c>
      <c r="T489" s="1">
        <f t="shared" si="1624"/>
        <v>3.86404855887602</v>
      </c>
      <c r="U489" s="1">
        <f t="shared" si="1624"/>
        <v>1</v>
      </c>
      <c r="V489" s="1">
        <f t="shared" si="1624"/>
        <v>1.52126363382113</v>
      </c>
      <c r="W489" s="1">
        <f t="shared" si="1624"/>
        <v>1.2941299501185</v>
      </c>
      <c r="X489" s="1">
        <f t="shared" si="1624"/>
        <v>2.52947574061622</v>
      </c>
      <c r="Y489" s="1">
        <f t="shared" si="1539"/>
        <v>15.3902722033861</v>
      </c>
      <c r="Z489" s="1">
        <f t="shared" si="1540"/>
        <v>32.7180190757602</v>
      </c>
      <c r="AA489" s="1">
        <f t="shared" si="1517"/>
        <v>5770932.9826117</v>
      </c>
      <c r="AB489" s="1">
        <f t="shared" si="1518"/>
        <v>91904.1185032764</v>
      </c>
      <c r="AC489" s="1">
        <f t="shared" si="1519"/>
        <v>61269.4123355177</v>
      </c>
      <c r="AD489" s="1">
        <f>AC489/(AC489+[1]战斗公式!$M$27)</f>
        <v>0.718539164952082</v>
      </c>
      <c r="AE489" s="1">
        <f t="shared" si="1520"/>
        <v>20503502.6689565</v>
      </c>
      <c r="AF489" s="1">
        <f t="shared" si="1521"/>
        <v>14.4959533953987</v>
      </c>
      <c r="AG489" s="1">
        <f t="shared" si="1522"/>
        <v>6.81877066231281</v>
      </c>
      <c r="AH489" s="1">
        <f t="shared" si="1523"/>
        <v>4.98276416859701</v>
      </c>
      <c r="AI489" s="1">
        <f t="shared" si="1524"/>
        <v>2.17732937876705</v>
      </c>
      <c r="AJ489" s="1">
        <f t="shared" si="1525"/>
        <v>1.00000000001841</v>
      </c>
      <c r="AK489" s="1">
        <f t="shared" si="1526"/>
        <v>1.00001874278725</v>
      </c>
      <c r="AL489" s="1">
        <f t="shared" si="1527"/>
        <v>0.947053210571701</v>
      </c>
      <c r="AM489" s="27">
        <f t="shared" si="1528"/>
        <v>4217065</v>
      </c>
      <c r="AN489" s="27">
        <f t="shared" si="1529"/>
        <v>200106</v>
      </c>
      <c r="AO489" s="27">
        <f t="shared" si="1530"/>
        <v>61269</v>
      </c>
      <c r="AP489" s="1">
        <f t="shared" si="1531"/>
        <v>1983708</v>
      </c>
      <c r="AQ489" s="1">
        <f t="shared" si="1532"/>
        <v>189511</v>
      </c>
      <c r="AR489"/>
      <c r="AS489" s="1">
        <f t="shared" ref="AS489:AY489" si="1625">ROUNDUP(AS$10*$AP489,0)</f>
        <v>1983708</v>
      </c>
      <c r="AT489" s="1">
        <f t="shared" si="1625"/>
        <v>5951124</v>
      </c>
      <c r="AU489" s="1">
        <f t="shared" si="1625"/>
        <v>3570675</v>
      </c>
      <c r="AV489" s="1">
        <f t="shared" si="1625"/>
        <v>991854</v>
      </c>
      <c r="AW489" s="1">
        <f t="shared" si="1625"/>
        <v>297557</v>
      </c>
      <c r="AX489" s="1">
        <f t="shared" si="1625"/>
        <v>7934832</v>
      </c>
      <c r="AY489" s="1">
        <f t="shared" si="1625"/>
        <v>17853372</v>
      </c>
      <c r="AZ489" s="1">
        <f t="shared" si="1534"/>
        <v>253023900</v>
      </c>
      <c r="BA489" s="1">
        <f t="shared" si="1535"/>
        <v>126511950</v>
      </c>
      <c r="BC489" s="1">
        <f t="shared" si="1536"/>
        <v>478</v>
      </c>
    </row>
    <row r="490" s="1" customFormat="1" spans="2:55">
      <c r="B490" s="4">
        <v>479</v>
      </c>
      <c r="C490" s="1">
        <f t="shared" ref="C490:I490" si="1626">C$5+(C$6-C$5)*(POWER(C$7,$B490-1)-1)/(POWER(C$7,$B$3-1)-1)</f>
        <v>37841.3964709918</v>
      </c>
      <c r="D490" s="1">
        <f t="shared" si="1626"/>
        <v>11352.4189412975</v>
      </c>
      <c r="E490" s="1">
        <f t="shared" si="1626"/>
        <v>7568.27929419836</v>
      </c>
      <c r="F490" s="1">
        <f t="shared" si="1626"/>
        <v>138911.455399843</v>
      </c>
      <c r="G490" s="1">
        <f t="shared" si="1626"/>
        <v>41673.436619953</v>
      </c>
      <c r="H490" s="1">
        <f t="shared" si="1626"/>
        <v>27782.2910799687</v>
      </c>
      <c r="I490" s="1">
        <f t="shared" si="1626"/>
        <v>0</v>
      </c>
      <c r="J490" s="1">
        <f>[1]标准模型!$I$65/1*$B490/$B$3</f>
        <v>3.4488</v>
      </c>
      <c r="K490" s="1">
        <f>J490*[1]标准模型!$J$63</f>
        <v>3.4488</v>
      </c>
      <c r="L490" s="1">
        <f t="shared" si="1513"/>
        <v>176752.851870835</v>
      </c>
      <c r="M490" s="1">
        <f t="shared" si="1514"/>
        <v>92178.0780059973</v>
      </c>
      <c r="N490" s="1">
        <f t="shared" si="1515"/>
        <v>61452.0520039984</v>
      </c>
      <c r="O490" s="1">
        <f t="shared" ref="O490:X490" si="1627">O$5+(O$6-O$5)*(POWER(O$7,$B490-1)-1)/(POWER(O$7,$B$3-1)-1)</f>
        <v>0.978962944509168</v>
      </c>
      <c r="P490" s="1">
        <f t="shared" si="1627"/>
        <v>0.37646585385549</v>
      </c>
      <c r="Q490" s="1">
        <f t="shared" si="1627"/>
        <v>0.538429619480042</v>
      </c>
      <c r="R490" s="1">
        <f t="shared" si="1627"/>
        <v>1.19158517780367</v>
      </c>
      <c r="S490" s="1">
        <f t="shared" si="1627"/>
        <v>0.670548122312835</v>
      </c>
      <c r="T490" s="1">
        <f t="shared" si="1627"/>
        <v>3.86795548358575</v>
      </c>
      <c r="U490" s="1">
        <f t="shared" si="1627"/>
        <v>1</v>
      </c>
      <c r="V490" s="1">
        <f t="shared" si="1627"/>
        <v>1.52235616854162</v>
      </c>
      <c r="W490" s="1">
        <f t="shared" si="1627"/>
        <v>1.29474642739026</v>
      </c>
      <c r="X490" s="1">
        <f t="shared" si="1627"/>
        <v>2.53268142242934</v>
      </c>
      <c r="Y490" s="1">
        <f t="shared" si="1539"/>
        <v>15.4814302946746</v>
      </c>
      <c r="Z490" s="1">
        <f t="shared" si="1540"/>
        <v>32.9304869631267</v>
      </c>
      <c r="AA490" s="1">
        <f t="shared" si="1517"/>
        <v>5820557.48422799</v>
      </c>
      <c r="AB490" s="1">
        <f t="shared" si="1518"/>
        <v>92178.0780059973</v>
      </c>
      <c r="AC490" s="1">
        <f t="shared" si="1519"/>
        <v>61452.0520039984</v>
      </c>
      <c r="AD490" s="1">
        <f>AC490/(AC490+[1]战斗公式!$M$27)</f>
        <v>0.719140741068722</v>
      </c>
      <c r="AE490" s="1">
        <f t="shared" si="1520"/>
        <v>20724107.5347713</v>
      </c>
      <c r="AF490" s="1">
        <f t="shared" si="1521"/>
        <v>14.5223569412526</v>
      </c>
      <c r="AG490" s="1">
        <f t="shared" si="1522"/>
        <v>6.82731649101125</v>
      </c>
      <c r="AH490" s="1">
        <f t="shared" si="1523"/>
        <v>4.98361109156359</v>
      </c>
      <c r="AI490" s="1">
        <f t="shared" si="1524"/>
        <v>2.18278911821235</v>
      </c>
      <c r="AJ490" s="1">
        <f t="shared" si="1525"/>
        <v>1.00000000001705</v>
      </c>
      <c r="AK490" s="1">
        <f t="shared" si="1526"/>
        <v>1.00001769812411</v>
      </c>
      <c r="AL490" s="1">
        <f t="shared" si="1527"/>
        <v>0.947191423403346</v>
      </c>
      <c r="AM490" s="27">
        <f t="shared" si="1528"/>
        <v>4248726</v>
      </c>
      <c r="AN490" s="27">
        <f t="shared" si="1529"/>
        <v>201205</v>
      </c>
      <c r="AO490" s="27">
        <f t="shared" si="1530"/>
        <v>61452</v>
      </c>
      <c r="AP490" s="1">
        <f t="shared" si="1531"/>
        <v>1997466</v>
      </c>
      <c r="AQ490" s="1">
        <f t="shared" si="1532"/>
        <v>190580</v>
      </c>
      <c r="AR490"/>
      <c r="AS490" s="1">
        <f t="shared" ref="AS490:AY490" si="1628">ROUNDUP(AS$10*$AP490,0)</f>
        <v>1997466</v>
      </c>
      <c r="AT490" s="1">
        <f t="shared" si="1628"/>
        <v>5992398</v>
      </c>
      <c r="AU490" s="1">
        <f t="shared" si="1628"/>
        <v>3595439</v>
      </c>
      <c r="AV490" s="1">
        <f t="shared" si="1628"/>
        <v>998733</v>
      </c>
      <c r="AW490" s="1">
        <f t="shared" si="1628"/>
        <v>299620</v>
      </c>
      <c r="AX490" s="1">
        <f t="shared" si="1628"/>
        <v>7989864</v>
      </c>
      <c r="AY490" s="1">
        <f t="shared" si="1628"/>
        <v>17977194</v>
      </c>
      <c r="AZ490" s="1">
        <f t="shared" si="1534"/>
        <v>254923560</v>
      </c>
      <c r="BA490" s="1">
        <f t="shared" si="1535"/>
        <v>127461780</v>
      </c>
      <c r="BC490" s="1">
        <f t="shared" si="1536"/>
        <v>479</v>
      </c>
    </row>
    <row r="491" s="1" customFormat="1" spans="2:55">
      <c r="B491" s="4">
        <v>480</v>
      </c>
      <c r="C491" s="1">
        <f t="shared" ref="C491:I491" si="1629">C$5+(C$6-C$5)*(POWER(C$7,$B491-1)-1)/(POWER(C$7,$B$3-1)-1)</f>
        <v>37920.3783812395</v>
      </c>
      <c r="D491" s="1">
        <f t="shared" si="1629"/>
        <v>11376.1135143718</v>
      </c>
      <c r="E491" s="1">
        <f t="shared" si="1629"/>
        <v>7584.0756762479</v>
      </c>
      <c r="F491" s="1">
        <f t="shared" si="1629"/>
        <v>139201.388994423</v>
      </c>
      <c r="G491" s="1">
        <f t="shared" si="1629"/>
        <v>41760.416698327</v>
      </c>
      <c r="H491" s="1">
        <f t="shared" si="1629"/>
        <v>27840.2777988847</v>
      </c>
      <c r="I491" s="1">
        <f t="shared" si="1629"/>
        <v>0</v>
      </c>
      <c r="J491" s="1">
        <f>[1]标准模型!$I$65/1*$B491/$B$3</f>
        <v>3.456</v>
      </c>
      <c r="K491" s="1">
        <f>J491*[1]标准模型!$J$63</f>
        <v>3.456</v>
      </c>
      <c r="L491" s="1">
        <f t="shared" si="1513"/>
        <v>177121.767375662</v>
      </c>
      <c r="M491" s="1">
        <f t="shared" si="1514"/>
        <v>92452.3785183677</v>
      </c>
      <c r="N491" s="1">
        <f t="shared" si="1515"/>
        <v>61634.9190122453</v>
      </c>
      <c r="O491" s="1">
        <f t="shared" ref="O491:X491" si="1630">O$5+(O$6-O$5)*(POWER(O$7,$B491-1)-1)/(POWER(O$7,$B$3-1)-1)</f>
        <v>0.979964719074091</v>
      </c>
      <c r="P491" s="1">
        <f t="shared" si="1630"/>
        <v>0.377569809761803</v>
      </c>
      <c r="Q491" s="1">
        <f t="shared" si="1630"/>
        <v>0.53898059549075</v>
      </c>
      <c r="R491" s="1">
        <f t="shared" si="1630"/>
        <v>1.19198588762964</v>
      </c>
      <c r="S491" s="1">
        <f t="shared" si="1630"/>
        <v>0.671950606703727</v>
      </c>
      <c r="T491" s="1">
        <f t="shared" si="1630"/>
        <v>3.87186240438896</v>
      </c>
      <c r="U491" s="1">
        <f t="shared" si="1630"/>
        <v>1</v>
      </c>
      <c r="V491" s="1">
        <f t="shared" si="1630"/>
        <v>1.52344870216969</v>
      </c>
      <c r="W491" s="1">
        <f t="shared" si="1630"/>
        <v>1.29536290404559</v>
      </c>
      <c r="X491" s="1">
        <f t="shared" si="1630"/>
        <v>2.53588710103709</v>
      </c>
      <c r="Y491" s="1">
        <f t="shared" si="1539"/>
        <v>15.5730574226355</v>
      </c>
      <c r="Z491" s="1">
        <f t="shared" si="1540"/>
        <v>33.1441698553481</v>
      </c>
      <c r="AA491" s="1">
        <f t="shared" si="1517"/>
        <v>5870553.94297841</v>
      </c>
      <c r="AB491" s="1">
        <f t="shared" si="1518"/>
        <v>92452.3785183677</v>
      </c>
      <c r="AC491" s="1">
        <f t="shared" si="1519"/>
        <v>61634.9190122453</v>
      </c>
      <c r="AD491" s="1">
        <f>AC491/(AC491+[1]战斗公式!$M$27)</f>
        <v>0.719740495152823</v>
      </c>
      <c r="AE491" s="1">
        <f t="shared" si="1520"/>
        <v>20946850.4776656</v>
      </c>
      <c r="AF491" s="1">
        <f t="shared" si="1521"/>
        <v>14.5487861046919</v>
      </c>
      <c r="AG491" s="1">
        <f t="shared" si="1522"/>
        <v>6.83586532493734</v>
      </c>
      <c r="AH491" s="1">
        <f t="shared" si="1523"/>
        <v>4.98445166260791</v>
      </c>
      <c r="AI491" s="1">
        <f t="shared" si="1524"/>
        <v>2.18825977713655</v>
      </c>
      <c r="AJ491" s="1">
        <f t="shared" si="1525"/>
        <v>1.00000000001576</v>
      </c>
      <c r="AK491" s="1">
        <f t="shared" si="1526"/>
        <v>1.00001667435424</v>
      </c>
      <c r="AL491" s="1">
        <f t="shared" si="1527"/>
        <v>0.947329221596495</v>
      </c>
      <c r="AM491" s="27">
        <f t="shared" si="1528"/>
        <v>4280584</v>
      </c>
      <c r="AN491" s="27">
        <f t="shared" si="1529"/>
        <v>202310</v>
      </c>
      <c r="AO491" s="27">
        <f t="shared" si="1530"/>
        <v>61635</v>
      </c>
      <c r="AP491" s="1">
        <f t="shared" si="1531"/>
        <v>2011300</v>
      </c>
      <c r="AQ491" s="1">
        <f t="shared" si="1532"/>
        <v>191654</v>
      </c>
      <c r="AR491"/>
      <c r="AS491" s="1">
        <f t="shared" ref="AS491:AY491" si="1631">ROUNDUP(AS$10*$AP491,0)</f>
        <v>2011300</v>
      </c>
      <c r="AT491" s="1">
        <f t="shared" si="1631"/>
        <v>6033900</v>
      </c>
      <c r="AU491" s="1">
        <f t="shared" si="1631"/>
        <v>3620340</v>
      </c>
      <c r="AV491" s="1">
        <f t="shared" si="1631"/>
        <v>1005650</v>
      </c>
      <c r="AW491" s="1">
        <f t="shared" si="1631"/>
        <v>301695</v>
      </c>
      <c r="AX491" s="1">
        <f t="shared" si="1631"/>
        <v>8045200</v>
      </c>
      <c r="AY491" s="1">
        <f t="shared" si="1631"/>
        <v>18101700</v>
      </c>
      <c r="AZ491" s="1">
        <f t="shared" si="1534"/>
        <v>256835040</v>
      </c>
      <c r="BA491" s="1">
        <f t="shared" si="1535"/>
        <v>128417520</v>
      </c>
      <c r="BC491" s="1">
        <f t="shared" si="1536"/>
        <v>480</v>
      </c>
    </row>
    <row r="492" s="1" customFormat="1" spans="2:55">
      <c r="B492" s="4">
        <v>481</v>
      </c>
      <c r="C492" s="1">
        <f t="shared" ref="C492:I492" si="1632">C$5+(C$6-C$5)*(POWER(C$7,$B492-1)-1)/(POWER(C$7,$B$3-1)-1)</f>
        <v>37999.3602124956</v>
      </c>
      <c r="D492" s="1">
        <f t="shared" si="1632"/>
        <v>11399.8080637487</v>
      </c>
      <c r="E492" s="1">
        <f t="shared" si="1632"/>
        <v>7599.87204249911</v>
      </c>
      <c r="F492" s="1">
        <f t="shared" si="1632"/>
        <v>139491.322299034</v>
      </c>
      <c r="G492" s="1">
        <f t="shared" si="1632"/>
        <v>41847.3966897103</v>
      </c>
      <c r="H492" s="1">
        <f t="shared" si="1632"/>
        <v>27898.2644598069</v>
      </c>
      <c r="I492" s="1">
        <f t="shared" si="1632"/>
        <v>0</v>
      </c>
      <c r="J492" s="1">
        <f>[1]标准模型!$I$65/1*$B492/$B$3</f>
        <v>3.4632</v>
      </c>
      <c r="K492" s="1">
        <f>J492*[1]标准模型!$J$63</f>
        <v>3.4632</v>
      </c>
      <c r="L492" s="1">
        <f t="shared" si="1513"/>
        <v>177490.68251153</v>
      </c>
      <c r="M492" s="1">
        <f t="shared" si="1514"/>
        <v>92727.0200398335</v>
      </c>
      <c r="N492" s="1">
        <f t="shared" si="1515"/>
        <v>61818.0133598889</v>
      </c>
      <c r="O492" s="1">
        <f t="shared" ref="O492:X492" si="1633">O$5+(O$6-O$5)*(POWER(O$7,$B492-1)-1)/(POWER(O$7,$B$3-1)-1)</f>
        <v>0.980966492637117</v>
      </c>
      <c r="P492" s="1">
        <f t="shared" si="1633"/>
        <v>0.378675421601975</v>
      </c>
      <c r="Q492" s="1">
        <f t="shared" si="1633"/>
        <v>0.539531570950414</v>
      </c>
      <c r="R492" s="1">
        <f t="shared" si="1633"/>
        <v>1.19238659705485</v>
      </c>
      <c r="S492" s="1">
        <f t="shared" si="1633"/>
        <v>0.673353089691964</v>
      </c>
      <c r="T492" s="1">
        <f t="shared" si="1633"/>
        <v>3.87576932128476</v>
      </c>
      <c r="U492" s="1">
        <f t="shared" si="1633"/>
        <v>1</v>
      </c>
      <c r="V492" s="1">
        <f t="shared" si="1633"/>
        <v>1.5245412347051</v>
      </c>
      <c r="W492" s="1">
        <f t="shared" si="1633"/>
        <v>1.29597938008438</v>
      </c>
      <c r="X492" s="1">
        <f t="shared" si="1633"/>
        <v>2.53909277643877</v>
      </c>
      <c r="Y492" s="1">
        <f t="shared" si="1539"/>
        <v>15.6651556189649</v>
      </c>
      <c r="Z492" s="1">
        <f t="shared" si="1540"/>
        <v>33.3590737109036</v>
      </c>
      <c r="AA492" s="1">
        <f t="shared" si="1517"/>
        <v>5920924.7609007</v>
      </c>
      <c r="AB492" s="1">
        <f t="shared" si="1518"/>
        <v>92727.0200398335</v>
      </c>
      <c r="AC492" s="1">
        <f t="shared" si="1519"/>
        <v>61818.0133598889</v>
      </c>
      <c r="AD492" s="1">
        <f>AC492/(AC492+[1]战斗公式!$M$27)</f>
        <v>0.720338434084312</v>
      </c>
      <c r="AE492" s="1">
        <f t="shared" si="1520"/>
        <v>21171750.0097447</v>
      </c>
      <c r="AF492" s="1">
        <f t="shared" si="1521"/>
        <v>14.5752408703473</v>
      </c>
      <c r="AG492" s="1">
        <f t="shared" si="1522"/>
        <v>6.84441715608125</v>
      </c>
      <c r="AH492" s="1">
        <f t="shared" si="1523"/>
        <v>4.9852859293694</v>
      </c>
      <c r="AI492" s="1">
        <f t="shared" si="1524"/>
        <v>2.1937413773786</v>
      </c>
      <c r="AJ492" s="1">
        <f t="shared" si="1525"/>
        <v>1.00000000001453</v>
      </c>
      <c r="AK492" s="1">
        <f t="shared" si="1526"/>
        <v>1.00001567105977</v>
      </c>
      <c r="AL492" s="1">
        <f t="shared" si="1527"/>
        <v>0.947466606395065</v>
      </c>
      <c r="AM492" s="27">
        <f t="shared" si="1528"/>
        <v>4312639</v>
      </c>
      <c r="AN492" s="27">
        <f t="shared" si="1529"/>
        <v>203419</v>
      </c>
      <c r="AO492" s="27">
        <f t="shared" si="1530"/>
        <v>61818</v>
      </c>
      <c r="AP492" s="1">
        <f t="shared" si="1531"/>
        <v>2025213</v>
      </c>
      <c r="AQ492" s="1">
        <f t="shared" si="1532"/>
        <v>192733</v>
      </c>
      <c r="AR492"/>
      <c r="AS492" s="1">
        <f t="shared" ref="AS492:AY492" si="1634">ROUNDUP(AS$10*$AP492,0)</f>
        <v>2025213</v>
      </c>
      <c r="AT492" s="1">
        <f t="shared" si="1634"/>
        <v>6075639</v>
      </c>
      <c r="AU492" s="1">
        <f t="shared" si="1634"/>
        <v>3645384</v>
      </c>
      <c r="AV492" s="1">
        <f t="shared" si="1634"/>
        <v>1012607</v>
      </c>
      <c r="AW492" s="1">
        <f t="shared" si="1634"/>
        <v>303782</v>
      </c>
      <c r="AX492" s="1">
        <f t="shared" si="1634"/>
        <v>8100852</v>
      </c>
      <c r="AY492" s="1">
        <f t="shared" si="1634"/>
        <v>18226917</v>
      </c>
      <c r="AZ492" s="1">
        <f t="shared" si="1534"/>
        <v>258758340</v>
      </c>
      <c r="BA492" s="1">
        <f t="shared" si="1535"/>
        <v>129379170</v>
      </c>
      <c r="BC492" s="1">
        <f t="shared" si="1536"/>
        <v>481</v>
      </c>
    </row>
    <row r="493" s="1" customFormat="1" spans="2:55">
      <c r="B493" s="4">
        <v>482</v>
      </c>
      <c r="C493" s="1">
        <f t="shared" ref="C493:I493" si="1635">C$5+(C$6-C$5)*(POWER(C$7,$B493-1)-1)/(POWER(C$7,$B$3-1)-1)</f>
        <v>38078.3419647776</v>
      </c>
      <c r="D493" s="1">
        <f t="shared" si="1635"/>
        <v>11423.5025894333</v>
      </c>
      <c r="E493" s="1">
        <f t="shared" si="1635"/>
        <v>7615.66839295552</v>
      </c>
      <c r="F493" s="1">
        <f t="shared" si="1635"/>
        <v>139781.25531374</v>
      </c>
      <c r="G493" s="1">
        <f t="shared" si="1635"/>
        <v>41934.3765941221</v>
      </c>
      <c r="H493" s="1">
        <f t="shared" si="1635"/>
        <v>27956.2510627481</v>
      </c>
      <c r="I493" s="1">
        <f t="shared" si="1635"/>
        <v>0</v>
      </c>
      <c r="J493" s="1">
        <f>[1]标准模型!$I$65/1*$B493/$B$3</f>
        <v>3.4704</v>
      </c>
      <c r="K493" s="1">
        <f>J493*[1]标准模型!$J$63</f>
        <v>3.4704</v>
      </c>
      <c r="L493" s="1">
        <f t="shared" si="1513"/>
        <v>177859.597278518</v>
      </c>
      <c r="M493" s="1">
        <f t="shared" si="1514"/>
        <v>93002.0025699247</v>
      </c>
      <c r="N493" s="1">
        <f t="shared" si="1515"/>
        <v>62001.3350466165</v>
      </c>
      <c r="O493" s="1">
        <f t="shared" ref="O493:X493" si="1636">O$5+(O$6-O$5)*(POWER(O$7,$B493-1)-1)/(POWER(O$7,$B$3-1)-1)</f>
        <v>0.981968265198468</v>
      </c>
      <c r="P493" s="1">
        <f t="shared" si="1636"/>
        <v>0.379782691859908</v>
      </c>
      <c r="Q493" s="1">
        <f t="shared" si="1636"/>
        <v>0.540082545859157</v>
      </c>
      <c r="R493" s="1">
        <f t="shared" si="1636"/>
        <v>1.19278730607939</v>
      </c>
      <c r="S493" s="1">
        <f t="shared" si="1636"/>
        <v>0.674755571277854</v>
      </c>
      <c r="T493" s="1">
        <f t="shared" si="1636"/>
        <v>3.87967623427402</v>
      </c>
      <c r="U493" s="1">
        <f t="shared" si="1636"/>
        <v>1</v>
      </c>
      <c r="V493" s="1">
        <f t="shared" si="1636"/>
        <v>1.52563376614807</v>
      </c>
      <c r="W493" s="1">
        <f t="shared" si="1636"/>
        <v>1.29659585550675</v>
      </c>
      <c r="X493" s="1">
        <f t="shared" si="1636"/>
        <v>2.5422984486351</v>
      </c>
      <c r="Y493" s="1">
        <f t="shared" si="1539"/>
        <v>15.7577269226264</v>
      </c>
      <c r="Z493" s="1">
        <f t="shared" si="1540"/>
        <v>33.5752045128209</v>
      </c>
      <c r="AA493" s="1">
        <f t="shared" si="1517"/>
        <v>5971672.35319419</v>
      </c>
      <c r="AB493" s="1">
        <f t="shared" si="1518"/>
        <v>93002.0025699247</v>
      </c>
      <c r="AC493" s="1">
        <f t="shared" si="1519"/>
        <v>62001.3350466165</v>
      </c>
      <c r="AD493" s="1">
        <f>AC493/(AC493+[1]战斗公式!$M$27)</f>
        <v>0.720934564713548</v>
      </c>
      <c r="AE493" s="1">
        <f t="shared" si="1520"/>
        <v>21398824.7848196</v>
      </c>
      <c r="AF493" s="1">
        <f t="shared" si="1521"/>
        <v>14.6017212228811</v>
      </c>
      <c r="AG493" s="1">
        <f t="shared" si="1522"/>
        <v>6.85297197646606</v>
      </c>
      <c r="AH493" s="1">
        <f t="shared" si="1523"/>
        <v>4.98611393913019</v>
      </c>
      <c r="AI493" s="1">
        <f t="shared" si="1524"/>
        <v>2.19923394082113</v>
      </c>
      <c r="AJ493" s="1">
        <f t="shared" si="1525"/>
        <v>1.00000000001336</v>
      </c>
      <c r="AK493" s="1">
        <f t="shared" si="1526"/>
        <v>1.00001468783119</v>
      </c>
      <c r="AL493" s="1">
        <f t="shared" si="1527"/>
        <v>0.94760357903924</v>
      </c>
      <c r="AM493" s="27">
        <f t="shared" si="1528"/>
        <v>4344894</v>
      </c>
      <c r="AN493" s="27">
        <f t="shared" si="1529"/>
        <v>204533</v>
      </c>
      <c r="AO493" s="27">
        <f t="shared" si="1530"/>
        <v>62001</v>
      </c>
      <c r="AP493" s="1">
        <f t="shared" si="1531"/>
        <v>2039203</v>
      </c>
      <c r="AQ493" s="1">
        <f t="shared" si="1532"/>
        <v>193816</v>
      </c>
      <c r="AR493"/>
      <c r="AS493" s="1">
        <f t="shared" ref="AS493:AY493" si="1637">ROUNDUP(AS$10*$AP493,0)</f>
        <v>2039203</v>
      </c>
      <c r="AT493" s="1">
        <f t="shared" si="1637"/>
        <v>6117609</v>
      </c>
      <c r="AU493" s="1">
        <f t="shared" si="1637"/>
        <v>3670566</v>
      </c>
      <c r="AV493" s="1">
        <f t="shared" si="1637"/>
        <v>1019602</v>
      </c>
      <c r="AW493" s="1">
        <f t="shared" si="1637"/>
        <v>305881</v>
      </c>
      <c r="AX493" s="1">
        <f t="shared" si="1637"/>
        <v>8156812</v>
      </c>
      <c r="AY493" s="1">
        <f t="shared" si="1637"/>
        <v>18352827</v>
      </c>
      <c r="AZ493" s="1">
        <f t="shared" si="1534"/>
        <v>260693640</v>
      </c>
      <c r="BA493" s="1">
        <f t="shared" si="1535"/>
        <v>130346820</v>
      </c>
      <c r="BC493" s="1">
        <f t="shared" si="1536"/>
        <v>482</v>
      </c>
    </row>
    <row r="494" s="1" customFormat="1" spans="2:55">
      <c r="B494" s="4">
        <v>483</v>
      </c>
      <c r="C494" s="1">
        <f t="shared" ref="C494:I494" si="1638">C$5+(C$6-C$5)*(POWER(C$7,$B494-1)-1)/(POWER(C$7,$B$3-1)-1)</f>
        <v>38157.3236380768</v>
      </c>
      <c r="D494" s="1">
        <f t="shared" si="1638"/>
        <v>11447.197091423</v>
      </c>
      <c r="E494" s="1">
        <f t="shared" si="1638"/>
        <v>7631.46472761535</v>
      </c>
      <c r="F494" s="1">
        <f t="shared" si="1638"/>
        <v>140071.18803851</v>
      </c>
      <c r="G494" s="1">
        <f t="shared" si="1638"/>
        <v>42021.3564115529</v>
      </c>
      <c r="H494" s="1">
        <f t="shared" si="1638"/>
        <v>28014.2376077019</v>
      </c>
      <c r="I494" s="1">
        <f t="shared" si="1638"/>
        <v>0</v>
      </c>
      <c r="J494" s="1">
        <f>[1]标准模型!$I$65/1*$B494/$B$3</f>
        <v>3.4776</v>
      </c>
      <c r="K494" s="1">
        <f>J494*[1]标准模型!$J$63</f>
        <v>3.4776</v>
      </c>
      <c r="L494" s="1">
        <f t="shared" si="1513"/>
        <v>178228.511676587</v>
      </c>
      <c r="M494" s="1">
        <f t="shared" si="1514"/>
        <v>93277.3261081085</v>
      </c>
      <c r="N494" s="1">
        <f t="shared" si="1515"/>
        <v>62184.8840720724</v>
      </c>
      <c r="O494" s="1">
        <f t="shared" ref="O494:X494" si="1639">O$5+(O$6-O$5)*(POWER(O$7,$B494-1)-1)/(POWER(O$7,$B$3-1)-1)</f>
        <v>0.982970036758032</v>
      </c>
      <c r="P494" s="1">
        <f t="shared" si="1639"/>
        <v>0.380891623023227</v>
      </c>
      <c r="Q494" s="1">
        <f t="shared" si="1639"/>
        <v>0.540633520216918</v>
      </c>
      <c r="R494" s="1">
        <f t="shared" si="1639"/>
        <v>1.19318801470321</v>
      </c>
      <c r="S494" s="1">
        <f t="shared" si="1639"/>
        <v>0.676158051461245</v>
      </c>
      <c r="T494" s="1">
        <f t="shared" si="1639"/>
        <v>3.88358314335633</v>
      </c>
      <c r="U494" s="1">
        <f t="shared" si="1639"/>
        <v>1</v>
      </c>
      <c r="V494" s="1">
        <f t="shared" si="1639"/>
        <v>1.5267262964985</v>
      </c>
      <c r="W494" s="1">
        <f t="shared" si="1639"/>
        <v>1.29721233031264</v>
      </c>
      <c r="X494" s="1">
        <f t="shared" si="1639"/>
        <v>2.5455041176257</v>
      </c>
      <c r="Y494" s="1">
        <f t="shared" si="1539"/>
        <v>15.8507733798117</v>
      </c>
      <c r="Z494" s="1">
        <f t="shared" si="1540"/>
        <v>33.7925682686075</v>
      </c>
      <c r="AA494" s="1">
        <f t="shared" si="1517"/>
        <v>6022799.14824337</v>
      </c>
      <c r="AB494" s="1">
        <f t="shared" si="1518"/>
        <v>93277.3261081085</v>
      </c>
      <c r="AC494" s="1">
        <f t="shared" si="1519"/>
        <v>62184.8840720724</v>
      </c>
      <c r="AD494" s="1">
        <f>AC494/(AC494+[1]战斗公式!$M$27)</f>
        <v>0.721528893861133</v>
      </c>
      <c r="AE494" s="1">
        <f t="shared" si="1520"/>
        <v>21628093.5991971</v>
      </c>
      <c r="AF494" s="1">
        <f t="shared" si="1521"/>
        <v>14.6282271469596</v>
      </c>
      <c r="AG494" s="1">
        <f t="shared" si="1522"/>
        <v>6.86152977813961</v>
      </c>
      <c r="AH494" s="1">
        <f t="shared" si="1523"/>
        <v>4.98693573881776</v>
      </c>
      <c r="AI494" s="1">
        <f t="shared" si="1524"/>
        <v>2.20473748939055</v>
      </c>
      <c r="AJ494" s="1">
        <f t="shared" si="1525"/>
        <v>1.00000000001226</v>
      </c>
      <c r="AK494" s="1">
        <f t="shared" si="1526"/>
        <v>1.00001372426717</v>
      </c>
      <c r="AL494" s="1">
        <f t="shared" si="1527"/>
        <v>0.947740140765482</v>
      </c>
      <c r="AM494" s="27">
        <f t="shared" si="1528"/>
        <v>4377349</v>
      </c>
      <c r="AN494" s="27">
        <f t="shared" si="1529"/>
        <v>205652</v>
      </c>
      <c r="AO494" s="27">
        <f t="shared" si="1530"/>
        <v>62185</v>
      </c>
      <c r="AP494" s="1">
        <f t="shared" si="1531"/>
        <v>2053272</v>
      </c>
      <c r="AQ494" s="1">
        <f t="shared" si="1532"/>
        <v>194905</v>
      </c>
      <c r="AR494"/>
      <c r="AS494" s="1">
        <f t="shared" ref="AS494:AY494" si="1640">ROUNDUP(AS$10*$AP494,0)</f>
        <v>2053272</v>
      </c>
      <c r="AT494" s="1">
        <f t="shared" si="1640"/>
        <v>6159816</v>
      </c>
      <c r="AU494" s="1">
        <f t="shared" si="1640"/>
        <v>3695890</v>
      </c>
      <c r="AV494" s="1">
        <f t="shared" si="1640"/>
        <v>1026636</v>
      </c>
      <c r="AW494" s="1">
        <f t="shared" si="1640"/>
        <v>307991</v>
      </c>
      <c r="AX494" s="1">
        <f t="shared" si="1640"/>
        <v>8213088</v>
      </c>
      <c r="AY494" s="1">
        <f t="shared" si="1640"/>
        <v>18479448</v>
      </c>
      <c r="AZ494" s="1">
        <f t="shared" si="1534"/>
        <v>262640940</v>
      </c>
      <c r="BA494" s="1">
        <f t="shared" si="1535"/>
        <v>131320470</v>
      </c>
      <c r="BC494" s="1">
        <f t="shared" si="1536"/>
        <v>483</v>
      </c>
    </row>
    <row r="495" s="1" customFormat="1" spans="2:55">
      <c r="B495" s="4">
        <v>484</v>
      </c>
      <c r="C495" s="1">
        <f t="shared" ref="C495:I495" si="1641">C$5+(C$6-C$5)*(POWER(C$7,$B495-1)-1)/(POWER(C$7,$B$3-1)-1)</f>
        <v>38236.3052323931</v>
      </c>
      <c r="D495" s="1">
        <f t="shared" si="1641"/>
        <v>11470.8915697179</v>
      </c>
      <c r="E495" s="1">
        <f t="shared" si="1641"/>
        <v>7647.26104647862</v>
      </c>
      <c r="F495" s="1">
        <f t="shared" si="1641"/>
        <v>140361.120473342</v>
      </c>
      <c r="G495" s="1">
        <f t="shared" si="1641"/>
        <v>42108.3361420025</v>
      </c>
      <c r="H495" s="1">
        <f t="shared" si="1641"/>
        <v>28072.2240946684</v>
      </c>
      <c r="I495" s="1">
        <f t="shared" si="1641"/>
        <v>0</v>
      </c>
      <c r="J495" s="1">
        <f>[1]标准模型!$I$65/1*$B495/$B$3</f>
        <v>3.4848</v>
      </c>
      <c r="K495" s="1">
        <f>J495*[1]标准模型!$J$63</f>
        <v>3.4848</v>
      </c>
      <c r="L495" s="1">
        <f t="shared" si="1513"/>
        <v>178597.425705735</v>
      </c>
      <c r="M495" s="1">
        <f t="shared" si="1514"/>
        <v>93552.9906538733</v>
      </c>
      <c r="N495" s="1">
        <f t="shared" si="1515"/>
        <v>62368.6604359157</v>
      </c>
      <c r="O495" s="1">
        <f t="shared" ref="O495:X495" si="1642">O$5+(O$6-O$5)*(POWER(O$7,$B495-1)-1)/(POWER(O$7,$B$3-1)-1)</f>
        <v>0.98397180731581</v>
      </c>
      <c r="P495" s="1">
        <f t="shared" si="1642"/>
        <v>0.382002217583292</v>
      </c>
      <c r="Q495" s="1">
        <f t="shared" si="1642"/>
        <v>0.541184494023696</v>
      </c>
      <c r="R495" s="1">
        <f t="shared" si="1642"/>
        <v>1.19358872292632</v>
      </c>
      <c r="S495" s="1">
        <f t="shared" si="1642"/>
        <v>0.677560530242134</v>
      </c>
      <c r="T495" s="1">
        <f t="shared" si="1642"/>
        <v>3.88749004853166</v>
      </c>
      <c r="U495" s="1">
        <f t="shared" si="1642"/>
        <v>1</v>
      </c>
      <c r="V495" s="1">
        <f t="shared" si="1642"/>
        <v>1.52781882575639</v>
      </c>
      <c r="W495" s="1">
        <f t="shared" si="1642"/>
        <v>1.29782880450204</v>
      </c>
      <c r="X495" s="1">
        <f t="shared" si="1642"/>
        <v>2.54870978341059</v>
      </c>
      <c r="Y495" s="1">
        <f t="shared" si="1539"/>
        <v>15.9442970439969</v>
      </c>
      <c r="Z495" s="1">
        <f t="shared" si="1540"/>
        <v>34.0111710104223</v>
      </c>
      <c r="AA495" s="1">
        <f t="shared" si="1517"/>
        <v>6074307.58769895</v>
      </c>
      <c r="AB495" s="1">
        <f t="shared" si="1518"/>
        <v>93552.9906538733</v>
      </c>
      <c r="AC495" s="1">
        <f t="shared" si="1519"/>
        <v>62368.6604359157</v>
      </c>
      <c r="AD495" s="1">
        <f>AC495/(AC495+[1]战斗公式!$M$27)</f>
        <v>0.722121428318231</v>
      </c>
      <c r="AE495" s="1">
        <f t="shared" si="1520"/>
        <v>21859575.3927199</v>
      </c>
      <c r="AF495" s="1">
        <f t="shared" si="1521"/>
        <v>14.654758627269</v>
      </c>
      <c r="AG495" s="1">
        <f t="shared" si="1522"/>
        <v>6.87009055317886</v>
      </c>
      <c r="AH495" s="1">
        <f t="shared" si="1523"/>
        <v>4.98775137500768</v>
      </c>
      <c r="AI495" s="1">
        <f t="shared" si="1524"/>
        <v>2.2102520450571</v>
      </c>
      <c r="AJ495" s="1">
        <f t="shared" si="1525"/>
        <v>1.0000000000112</v>
      </c>
      <c r="AK495" s="1">
        <f t="shared" si="1526"/>
        <v>1.00001277997444</v>
      </c>
      <c r="AL495" s="1">
        <f t="shared" si="1527"/>
        <v>0.947876292806545</v>
      </c>
      <c r="AM495" s="27">
        <f t="shared" si="1528"/>
        <v>4410005</v>
      </c>
      <c r="AN495" s="27">
        <f t="shared" si="1529"/>
        <v>206776</v>
      </c>
      <c r="AO495" s="27">
        <f t="shared" si="1530"/>
        <v>62369</v>
      </c>
      <c r="AP495" s="1">
        <f t="shared" si="1531"/>
        <v>2067419</v>
      </c>
      <c r="AQ495" s="1">
        <f t="shared" si="1532"/>
        <v>195998</v>
      </c>
      <c r="AR495"/>
      <c r="AS495" s="1">
        <f t="shared" ref="AS495:AY495" si="1643">ROUNDUP(AS$10*$AP495,0)</f>
        <v>2067419</v>
      </c>
      <c r="AT495" s="1">
        <f t="shared" si="1643"/>
        <v>6202257</v>
      </c>
      <c r="AU495" s="1">
        <f t="shared" si="1643"/>
        <v>3721355</v>
      </c>
      <c r="AV495" s="1">
        <f t="shared" si="1643"/>
        <v>1033710</v>
      </c>
      <c r="AW495" s="1">
        <f t="shared" si="1643"/>
        <v>310113</v>
      </c>
      <c r="AX495" s="1">
        <f t="shared" si="1643"/>
        <v>8269676</v>
      </c>
      <c r="AY495" s="1">
        <f t="shared" si="1643"/>
        <v>18606771</v>
      </c>
      <c r="AZ495" s="1">
        <f t="shared" si="1534"/>
        <v>264600300</v>
      </c>
      <c r="BA495" s="1">
        <f t="shared" si="1535"/>
        <v>132300150</v>
      </c>
      <c r="BC495" s="1">
        <f t="shared" si="1536"/>
        <v>484</v>
      </c>
    </row>
    <row r="496" s="1" customFormat="1" spans="2:55">
      <c r="B496" s="4">
        <v>485</v>
      </c>
      <c r="C496" s="1">
        <f t="shared" ref="C496:I496" si="1644">C$5+(C$6-C$5)*(POWER(C$7,$B496-1)-1)/(POWER(C$7,$B$3-1)-1)</f>
        <v>38315.2867477266</v>
      </c>
      <c r="D496" s="1">
        <f t="shared" si="1644"/>
        <v>11494.586024318</v>
      </c>
      <c r="E496" s="1">
        <f t="shared" si="1644"/>
        <v>7663.05734954533</v>
      </c>
      <c r="F496" s="1">
        <f t="shared" si="1644"/>
        <v>140651.052618237</v>
      </c>
      <c r="G496" s="1">
        <f t="shared" si="1644"/>
        <v>42195.3157854711</v>
      </c>
      <c r="H496" s="1">
        <f t="shared" si="1644"/>
        <v>28130.2105236474</v>
      </c>
      <c r="I496" s="1">
        <f t="shared" si="1644"/>
        <v>0</v>
      </c>
      <c r="J496" s="1">
        <f>[1]标准模型!$I$65/1*$B496/$B$3</f>
        <v>3.492</v>
      </c>
      <c r="K496" s="1">
        <f>J496*[1]标准模型!$J$63</f>
        <v>3.492</v>
      </c>
      <c r="L496" s="1">
        <f t="shared" si="1513"/>
        <v>178966.339365964</v>
      </c>
      <c r="M496" s="1">
        <f t="shared" si="1514"/>
        <v>93828.9962067076</v>
      </c>
      <c r="N496" s="1">
        <f t="shared" si="1515"/>
        <v>62552.664137805</v>
      </c>
      <c r="O496" s="1">
        <f t="shared" ref="O496:X496" si="1645">O$5+(O$6-O$5)*(POWER(O$7,$B496-1)-1)/(POWER(O$7,$B$3-1)-1)</f>
        <v>0.984973576871802</v>
      </c>
      <c r="P496" s="1">
        <f t="shared" si="1645"/>
        <v>0.383114478035196</v>
      </c>
      <c r="Q496" s="1">
        <f t="shared" si="1645"/>
        <v>0.541735467279491</v>
      </c>
      <c r="R496" s="1">
        <f t="shared" si="1645"/>
        <v>1.19398943074872</v>
      </c>
      <c r="S496" s="1">
        <f t="shared" si="1645"/>
        <v>0.678963007620523</v>
      </c>
      <c r="T496" s="1">
        <f t="shared" si="1645"/>
        <v>3.89139694980003</v>
      </c>
      <c r="U496" s="1">
        <f t="shared" si="1645"/>
        <v>1</v>
      </c>
      <c r="V496" s="1">
        <f t="shared" si="1645"/>
        <v>1.52891135392173</v>
      </c>
      <c r="W496" s="1">
        <f t="shared" si="1645"/>
        <v>1.29844527807496</v>
      </c>
      <c r="X496" s="1">
        <f t="shared" si="1645"/>
        <v>2.55191544598977</v>
      </c>
      <c r="Y496" s="1">
        <f t="shared" si="1539"/>
        <v>16.038299975956</v>
      </c>
      <c r="Z496" s="1">
        <f t="shared" si="1540"/>
        <v>34.2310187951372</v>
      </c>
      <c r="AA496" s="1">
        <f t="shared" si="1517"/>
        <v>6126200.1265332</v>
      </c>
      <c r="AB496" s="1">
        <f t="shared" si="1518"/>
        <v>93828.9962067076</v>
      </c>
      <c r="AC496" s="1">
        <f t="shared" si="1519"/>
        <v>62552.664137805</v>
      </c>
      <c r="AD496" s="1">
        <f>AC496/(AC496+[1]战斗公式!$M$27)</f>
        <v>0.722712174846654</v>
      </c>
      <c r="AE496" s="1">
        <f t="shared" si="1520"/>
        <v>22093289.2497003</v>
      </c>
      <c r="AF496" s="1">
        <f t="shared" si="1521"/>
        <v>14.6813156485107</v>
      </c>
      <c r="AG496" s="1">
        <f t="shared" si="1522"/>
        <v>6.87865429368879</v>
      </c>
      <c r="AH496" s="1">
        <f t="shared" si="1523"/>
        <v>4.98856089392618</v>
      </c>
      <c r="AI496" s="1">
        <f t="shared" si="1524"/>
        <v>2.21577762983499</v>
      </c>
      <c r="AJ496" s="1">
        <f t="shared" si="1525"/>
        <v>1.0000000000102</v>
      </c>
      <c r="AK496" s="1">
        <f t="shared" si="1526"/>
        <v>1.00001185456756</v>
      </c>
      <c r="AL496" s="1">
        <f t="shared" si="1527"/>
        <v>0.948012036391485</v>
      </c>
      <c r="AM496" s="27">
        <f t="shared" si="1528"/>
        <v>4442864</v>
      </c>
      <c r="AN496" s="27">
        <f t="shared" si="1529"/>
        <v>207904</v>
      </c>
      <c r="AO496" s="27">
        <f t="shared" si="1530"/>
        <v>62553</v>
      </c>
      <c r="AP496" s="1">
        <f t="shared" si="1531"/>
        <v>2081645</v>
      </c>
      <c r="AQ496" s="1">
        <f t="shared" si="1532"/>
        <v>197095</v>
      </c>
      <c r="AR496"/>
      <c r="AS496" s="1">
        <f t="shared" ref="AS496:AY496" si="1646">ROUNDUP(AS$10*$AP496,0)</f>
        <v>2081645</v>
      </c>
      <c r="AT496" s="1">
        <f t="shared" si="1646"/>
        <v>6244935</v>
      </c>
      <c r="AU496" s="1">
        <f t="shared" si="1646"/>
        <v>3746961</v>
      </c>
      <c r="AV496" s="1">
        <f t="shared" si="1646"/>
        <v>1040823</v>
      </c>
      <c r="AW496" s="1">
        <f t="shared" si="1646"/>
        <v>312247</v>
      </c>
      <c r="AX496" s="1">
        <f t="shared" si="1646"/>
        <v>8326580</v>
      </c>
      <c r="AY496" s="1">
        <f t="shared" si="1646"/>
        <v>18734805</v>
      </c>
      <c r="AZ496" s="1">
        <f t="shared" si="1534"/>
        <v>266571840</v>
      </c>
      <c r="BA496" s="1">
        <f t="shared" si="1535"/>
        <v>133285920</v>
      </c>
      <c r="BC496" s="1">
        <f t="shared" si="1536"/>
        <v>485</v>
      </c>
    </row>
    <row r="497" s="1" customFormat="1" spans="2:55">
      <c r="B497" s="4">
        <v>486</v>
      </c>
      <c r="C497" s="1">
        <f t="shared" ref="C497:I497" si="1647">C$5+(C$6-C$5)*(POWER(C$7,$B497-1)-1)/(POWER(C$7,$B$3-1)-1)</f>
        <v>38394.2681840773</v>
      </c>
      <c r="D497" s="1">
        <f t="shared" si="1647"/>
        <v>11518.2804552232</v>
      </c>
      <c r="E497" s="1">
        <f t="shared" si="1647"/>
        <v>7678.85363681546</v>
      </c>
      <c r="F497" s="1">
        <f t="shared" si="1647"/>
        <v>140940.984473195</v>
      </c>
      <c r="G497" s="1">
        <f t="shared" si="1647"/>
        <v>42282.2953419586</v>
      </c>
      <c r="H497" s="1">
        <f t="shared" si="1647"/>
        <v>28188.196894639</v>
      </c>
      <c r="I497" s="1">
        <f t="shared" si="1647"/>
        <v>0</v>
      </c>
      <c r="J497" s="1">
        <f>[1]标准模型!$I$65/1*$B497/$B$3</f>
        <v>3.4992</v>
      </c>
      <c r="K497" s="1">
        <f>J497*[1]标准模型!$J$63</f>
        <v>3.4992</v>
      </c>
      <c r="L497" s="1">
        <f t="shared" si="1513"/>
        <v>179335.252657272</v>
      </c>
      <c r="M497" s="1">
        <f t="shared" si="1514"/>
        <v>94105.3427660988</v>
      </c>
      <c r="N497" s="1">
        <f t="shared" si="1515"/>
        <v>62736.8951773991</v>
      </c>
      <c r="O497" s="1">
        <f t="shared" ref="O497:X497" si="1648">O$5+(O$6-O$5)*(POWER(O$7,$B497-1)-1)/(POWER(O$7,$B$3-1)-1)</f>
        <v>0.985975345426008</v>
      </c>
      <c r="P497" s="1">
        <f t="shared" si="1648"/>
        <v>0.384228406877779</v>
      </c>
      <c r="Q497" s="1">
        <f t="shared" si="1648"/>
        <v>0.542286439984304</v>
      </c>
      <c r="R497" s="1">
        <f t="shared" si="1648"/>
        <v>1.1943901381704</v>
      </c>
      <c r="S497" s="1">
        <f t="shared" si="1648"/>
        <v>0.680365483596411</v>
      </c>
      <c r="T497" s="1">
        <f t="shared" si="1648"/>
        <v>3.89530384716143</v>
      </c>
      <c r="U497" s="1">
        <f t="shared" si="1648"/>
        <v>1</v>
      </c>
      <c r="V497" s="1">
        <f t="shared" si="1648"/>
        <v>1.53000388099452</v>
      </c>
      <c r="W497" s="1">
        <f t="shared" si="1648"/>
        <v>1.29906175103139</v>
      </c>
      <c r="X497" s="1">
        <f t="shared" si="1648"/>
        <v>2.55512110536323</v>
      </c>
      <c r="Y497" s="1">
        <f t="shared" si="1539"/>
        <v>16.1327842437819</v>
      </c>
      <c r="Z497" s="1">
        <f t="shared" si="1540"/>
        <v>34.4521177044224</v>
      </c>
      <c r="AA497" s="1">
        <f t="shared" si="1517"/>
        <v>6178479.23310068</v>
      </c>
      <c r="AB497" s="1">
        <f t="shared" si="1518"/>
        <v>94105.3427660988</v>
      </c>
      <c r="AC497" s="1">
        <f t="shared" si="1519"/>
        <v>62736.8951773991</v>
      </c>
      <c r="AD497" s="1">
        <f>AC497/(AC497+[1]战斗公式!$M$27)</f>
        <v>0.723301140178999</v>
      </c>
      <c r="AE497" s="1">
        <f t="shared" si="1520"/>
        <v>22329254.399883</v>
      </c>
      <c r="AF497" s="1">
        <f t="shared" si="1521"/>
        <v>14.7078981954027</v>
      </c>
      <c r="AG497" s="1">
        <f t="shared" si="1522"/>
        <v>6.88722099180229</v>
      </c>
      <c r="AH497" s="1">
        <f t="shared" si="1523"/>
        <v>4.98936434145278</v>
      </c>
      <c r="AI497" s="1">
        <f t="shared" si="1524"/>
        <v>2.22131426578243</v>
      </c>
      <c r="AJ497" s="1">
        <f t="shared" si="1525"/>
        <v>1.00000000000925</v>
      </c>
      <c r="AK497" s="1">
        <f t="shared" si="1526"/>
        <v>1.00001094766883</v>
      </c>
      <c r="AL497" s="1">
        <f t="shared" si="1527"/>
        <v>0.94814737274567</v>
      </c>
      <c r="AM497" s="27">
        <f t="shared" si="1528"/>
        <v>4475925</v>
      </c>
      <c r="AN497" s="27">
        <f t="shared" si="1529"/>
        <v>209038</v>
      </c>
      <c r="AO497" s="27">
        <f t="shared" si="1530"/>
        <v>62737</v>
      </c>
      <c r="AP497" s="1">
        <f t="shared" si="1531"/>
        <v>2095950</v>
      </c>
      <c r="AQ497" s="1">
        <f t="shared" si="1532"/>
        <v>198199</v>
      </c>
      <c r="AR497"/>
      <c r="AS497" s="1">
        <f t="shared" ref="AS497:AY497" si="1649">ROUNDUP(AS$10*$AP497,0)</f>
        <v>2095950</v>
      </c>
      <c r="AT497" s="1">
        <f t="shared" si="1649"/>
        <v>6287850</v>
      </c>
      <c r="AU497" s="1">
        <f t="shared" si="1649"/>
        <v>3772710</v>
      </c>
      <c r="AV497" s="1">
        <f t="shared" si="1649"/>
        <v>1047975</v>
      </c>
      <c r="AW497" s="1">
        <f t="shared" si="1649"/>
        <v>314393</v>
      </c>
      <c r="AX497" s="1">
        <f t="shared" si="1649"/>
        <v>8383800</v>
      </c>
      <c r="AY497" s="1">
        <f t="shared" si="1649"/>
        <v>18863550</v>
      </c>
      <c r="AZ497" s="1">
        <f t="shared" si="1534"/>
        <v>268555500</v>
      </c>
      <c r="BA497" s="1">
        <f t="shared" si="1535"/>
        <v>134277750</v>
      </c>
      <c r="BC497" s="1">
        <f t="shared" si="1536"/>
        <v>486</v>
      </c>
    </row>
    <row r="498" s="1" customFormat="1" spans="2:55">
      <c r="B498" s="4">
        <v>487</v>
      </c>
      <c r="C498" s="1">
        <f t="shared" ref="C498:I498" si="1650">C$5+(C$6-C$5)*(POWER(C$7,$B498-1)-1)/(POWER(C$7,$B$3-1)-1)</f>
        <v>38473.2495414452</v>
      </c>
      <c r="D498" s="1">
        <f t="shared" si="1650"/>
        <v>11541.9748624335</v>
      </c>
      <c r="E498" s="1">
        <f t="shared" si="1650"/>
        <v>7694.64990828903</v>
      </c>
      <c r="F498" s="1">
        <f t="shared" si="1650"/>
        <v>141230.916038216</v>
      </c>
      <c r="G498" s="1">
        <f t="shared" si="1650"/>
        <v>42369.2748114649</v>
      </c>
      <c r="H498" s="1">
        <f t="shared" si="1650"/>
        <v>28246.1832076433</v>
      </c>
      <c r="I498" s="1">
        <f t="shared" si="1650"/>
        <v>0</v>
      </c>
      <c r="J498" s="1">
        <f>[1]标准模型!$I$65/1*$B498/$B$3</f>
        <v>3.5064</v>
      </c>
      <c r="K498" s="1">
        <f>J498*[1]标准模型!$J$63</f>
        <v>3.5064</v>
      </c>
      <c r="L498" s="1">
        <f t="shared" si="1513"/>
        <v>179704.165579661</v>
      </c>
      <c r="M498" s="1">
        <f t="shared" si="1514"/>
        <v>94382.0303315352</v>
      </c>
      <c r="N498" s="1">
        <f t="shared" si="1515"/>
        <v>62921.353554357</v>
      </c>
      <c r="O498" s="1">
        <f t="shared" ref="O498:X498" si="1651">O$5+(O$6-O$5)*(POWER(O$7,$B498-1)-1)/(POWER(O$7,$B$3-1)-1)</f>
        <v>0.986977112978427</v>
      </c>
      <c r="P498" s="1">
        <f t="shared" si="1651"/>
        <v>0.385344006613625</v>
      </c>
      <c r="Q498" s="1">
        <f t="shared" si="1651"/>
        <v>0.542837412138135</v>
      </c>
      <c r="R498" s="1">
        <f t="shared" si="1651"/>
        <v>1.19479084519137</v>
      </c>
      <c r="S498" s="1">
        <f t="shared" si="1651"/>
        <v>0.681767958169798</v>
      </c>
      <c r="T498" s="1">
        <f t="shared" si="1651"/>
        <v>3.89921074061587</v>
      </c>
      <c r="U498" s="1">
        <f t="shared" si="1651"/>
        <v>1</v>
      </c>
      <c r="V498" s="1">
        <f t="shared" si="1651"/>
        <v>1.53109640697476</v>
      </c>
      <c r="W498" s="1">
        <f t="shared" si="1651"/>
        <v>1.29967822337134</v>
      </c>
      <c r="X498" s="1">
        <f t="shared" si="1651"/>
        <v>2.55832676153097</v>
      </c>
      <c r="Y498" s="1">
        <f t="shared" si="1539"/>
        <v>16.227751922909</v>
      </c>
      <c r="Z498" s="1">
        <f t="shared" si="1540"/>
        <v>34.6744738448305</v>
      </c>
      <c r="AA498" s="1">
        <f t="shared" si="1517"/>
        <v>6231147.38919905</v>
      </c>
      <c r="AB498" s="1">
        <f t="shared" si="1518"/>
        <v>94382.0303315352</v>
      </c>
      <c r="AC498" s="1">
        <f t="shared" si="1519"/>
        <v>62921.353554357</v>
      </c>
      <c r="AD498" s="1">
        <f>AC498/(AC498+[1]战斗公式!$M$27)</f>
        <v>0.723888331018782</v>
      </c>
      <c r="AE498" s="1">
        <f t="shared" si="1520"/>
        <v>22567490.2194116</v>
      </c>
      <c r="AF498" s="1">
        <f t="shared" si="1521"/>
        <v>14.7345062526778</v>
      </c>
      <c r="AG498" s="1">
        <f t="shared" si="1522"/>
        <v>6.89579063967989</v>
      </c>
      <c r="AH498" s="1">
        <f t="shared" si="1523"/>
        <v>4.99016176312294</v>
      </c>
      <c r="AI498" s="1">
        <f t="shared" si="1524"/>
        <v>2.22686197500177</v>
      </c>
      <c r="AJ498" s="1">
        <f t="shared" si="1525"/>
        <v>1.00000000000835</v>
      </c>
      <c r="AK498" s="1">
        <f t="shared" si="1526"/>
        <v>1.00001005890806</v>
      </c>
      <c r="AL498" s="1">
        <f t="shared" si="1527"/>
        <v>0.948282303090793</v>
      </c>
      <c r="AM498" s="27">
        <f t="shared" si="1528"/>
        <v>4509190</v>
      </c>
      <c r="AN498" s="27">
        <f t="shared" si="1529"/>
        <v>210176</v>
      </c>
      <c r="AO498" s="27">
        <f t="shared" si="1530"/>
        <v>62921</v>
      </c>
      <c r="AP498" s="1">
        <f t="shared" si="1531"/>
        <v>2110335</v>
      </c>
      <c r="AQ498" s="1">
        <f t="shared" si="1532"/>
        <v>199306</v>
      </c>
      <c r="AR498"/>
      <c r="AS498" s="1">
        <f t="shared" ref="AS498:AY498" si="1652">ROUNDUP(AS$10*$AP498,0)</f>
        <v>2110335</v>
      </c>
      <c r="AT498" s="1">
        <f t="shared" si="1652"/>
        <v>6331005</v>
      </c>
      <c r="AU498" s="1">
        <f t="shared" si="1652"/>
        <v>3798603</v>
      </c>
      <c r="AV498" s="1">
        <f t="shared" si="1652"/>
        <v>1055168</v>
      </c>
      <c r="AW498" s="1">
        <f t="shared" si="1652"/>
        <v>316551</v>
      </c>
      <c r="AX498" s="1">
        <f t="shared" si="1652"/>
        <v>8441340</v>
      </c>
      <c r="AY498" s="1">
        <f t="shared" si="1652"/>
        <v>18993015</v>
      </c>
      <c r="AZ498" s="1">
        <f t="shared" si="1534"/>
        <v>270551400</v>
      </c>
      <c r="BA498" s="1">
        <f t="shared" si="1535"/>
        <v>135275700</v>
      </c>
      <c r="BC498" s="1">
        <f t="shared" si="1536"/>
        <v>487</v>
      </c>
    </row>
    <row r="499" s="1" customFormat="1" spans="2:55">
      <c r="B499" s="4">
        <v>488</v>
      </c>
      <c r="C499" s="1">
        <f t="shared" ref="C499:I499" si="1653">C$5+(C$6-C$5)*(POWER(C$7,$B499-1)-1)/(POWER(C$7,$B$3-1)-1)</f>
        <v>38552.230819839</v>
      </c>
      <c r="D499" s="1">
        <f t="shared" si="1653"/>
        <v>11565.6692459517</v>
      </c>
      <c r="E499" s="1">
        <f t="shared" si="1653"/>
        <v>7710.44616396779</v>
      </c>
      <c r="F499" s="1">
        <f t="shared" si="1653"/>
        <v>141520.847313333</v>
      </c>
      <c r="G499" s="1">
        <f t="shared" si="1653"/>
        <v>42456.2541939999</v>
      </c>
      <c r="H499" s="1">
        <f t="shared" si="1653"/>
        <v>28304.1694626666</v>
      </c>
      <c r="I499" s="1">
        <f t="shared" si="1653"/>
        <v>0</v>
      </c>
      <c r="J499" s="1">
        <f>[1]标准模型!$I$65/1*$B499/$B$3</f>
        <v>3.5136</v>
      </c>
      <c r="K499" s="1">
        <f>J499*[1]标准模型!$J$63</f>
        <v>3.5136</v>
      </c>
      <c r="L499" s="1">
        <f t="shared" si="1513"/>
        <v>180073.078133172</v>
      </c>
      <c r="M499" s="1">
        <f t="shared" si="1514"/>
        <v>94659.0589025275</v>
      </c>
      <c r="N499" s="1">
        <f t="shared" si="1515"/>
        <v>63106.0392683516</v>
      </c>
      <c r="O499" s="1">
        <f t="shared" ref="O499:X499" si="1654">O$5+(O$6-O$5)*(POWER(O$7,$B499-1)-1)/(POWER(O$7,$B$3-1)-1)</f>
        <v>0.987978879529172</v>
      </c>
      <c r="P499" s="1">
        <f t="shared" si="1654"/>
        <v>0.386461279749075</v>
      </c>
      <c r="Q499" s="1">
        <f t="shared" si="1654"/>
        <v>0.543388383741044</v>
      </c>
      <c r="R499" s="1">
        <f t="shared" si="1654"/>
        <v>1.19519155181167</v>
      </c>
      <c r="S499" s="1">
        <f t="shared" si="1654"/>
        <v>0.68317043134084</v>
      </c>
      <c r="T499" s="1">
        <f t="shared" si="1654"/>
        <v>3.90311763016377</v>
      </c>
      <c r="U499" s="1">
        <f t="shared" si="1654"/>
        <v>1</v>
      </c>
      <c r="V499" s="1">
        <f t="shared" si="1654"/>
        <v>1.53218893186258</v>
      </c>
      <c r="W499" s="1">
        <f t="shared" si="1654"/>
        <v>1.30029469509487</v>
      </c>
      <c r="X499" s="1">
        <f t="shared" si="1654"/>
        <v>2.56153241449335</v>
      </c>
      <c r="Y499" s="1">
        <f t="shared" si="1539"/>
        <v>16.3232050961439</v>
      </c>
      <c r="Z499" s="1">
        <f t="shared" si="1540"/>
        <v>34.8980933479048</v>
      </c>
      <c r="AA499" s="1">
        <f t="shared" si="1517"/>
        <v>6284207.09013599</v>
      </c>
      <c r="AB499" s="1">
        <f t="shared" si="1518"/>
        <v>94659.0589025275</v>
      </c>
      <c r="AC499" s="1">
        <f t="shared" si="1519"/>
        <v>63106.0392683516</v>
      </c>
      <c r="AD499" s="1">
        <f>AC499/(AC499+[1]战斗公式!$M$27)</f>
        <v>0.724473754040611</v>
      </c>
      <c r="AE499" s="1">
        <f t="shared" si="1520"/>
        <v>22808016.2318266</v>
      </c>
      <c r="AF499" s="1">
        <f t="shared" si="1521"/>
        <v>14.7611398050883</v>
      </c>
      <c r="AG499" s="1">
        <f t="shared" si="1522"/>
        <v>6.90436322951082</v>
      </c>
      <c r="AH499" s="1">
        <f t="shared" si="1523"/>
        <v>4.99095320413057</v>
      </c>
      <c r="AI499" s="1">
        <f t="shared" si="1524"/>
        <v>2.23242077963955</v>
      </c>
      <c r="AJ499" s="1">
        <f t="shared" si="1525"/>
        <v>1.00000000000749</v>
      </c>
      <c r="AK499" s="1">
        <f t="shared" si="1526"/>
        <v>1.00000918792251</v>
      </c>
      <c r="AL499" s="1">
        <f t="shared" si="1527"/>
        <v>0.94841682864488</v>
      </c>
      <c r="AM499" s="27">
        <f t="shared" si="1528"/>
        <v>4542661</v>
      </c>
      <c r="AN499" s="27">
        <f t="shared" si="1529"/>
        <v>211319</v>
      </c>
      <c r="AO499" s="27">
        <f t="shared" si="1530"/>
        <v>63106</v>
      </c>
      <c r="AP499" s="1">
        <f t="shared" si="1531"/>
        <v>2124800</v>
      </c>
      <c r="AQ499" s="1">
        <f t="shared" si="1532"/>
        <v>200418</v>
      </c>
      <c r="AR499"/>
      <c r="AS499" s="1">
        <f t="shared" ref="AS499:AY499" si="1655">ROUNDUP(AS$10*$AP499,0)</f>
        <v>2124800</v>
      </c>
      <c r="AT499" s="1">
        <f t="shared" si="1655"/>
        <v>6374400</v>
      </c>
      <c r="AU499" s="1">
        <f t="shared" si="1655"/>
        <v>3824640</v>
      </c>
      <c r="AV499" s="1">
        <f t="shared" si="1655"/>
        <v>1062400</v>
      </c>
      <c r="AW499" s="1">
        <f t="shared" si="1655"/>
        <v>318720</v>
      </c>
      <c r="AX499" s="1">
        <f t="shared" si="1655"/>
        <v>8499200</v>
      </c>
      <c r="AY499" s="1">
        <f t="shared" si="1655"/>
        <v>19123200</v>
      </c>
      <c r="AZ499" s="1">
        <f t="shared" si="1534"/>
        <v>272559660</v>
      </c>
      <c r="BA499" s="1">
        <f t="shared" si="1535"/>
        <v>136279830</v>
      </c>
      <c r="BC499" s="1">
        <f t="shared" si="1536"/>
        <v>488</v>
      </c>
    </row>
    <row r="500" s="1" customFormat="1" spans="2:55">
      <c r="B500" s="4">
        <v>489</v>
      </c>
      <c r="C500" s="1">
        <f t="shared" ref="C500:I500" si="1656">C$5+(C$6-C$5)*(POWER(C$7,$B500-1)-1)/(POWER(C$7,$B$3-1)-1)</f>
        <v>38631.2120192499</v>
      </c>
      <c r="D500" s="1">
        <f t="shared" si="1656"/>
        <v>11589.363605775</v>
      </c>
      <c r="E500" s="1">
        <f t="shared" si="1656"/>
        <v>7726.24240384998</v>
      </c>
      <c r="F500" s="1">
        <f t="shared" si="1656"/>
        <v>141810.778298512</v>
      </c>
      <c r="G500" s="1">
        <f t="shared" si="1656"/>
        <v>42543.2334895537</v>
      </c>
      <c r="H500" s="1">
        <f t="shared" si="1656"/>
        <v>28362.1556597025</v>
      </c>
      <c r="I500" s="1">
        <f t="shared" si="1656"/>
        <v>0</v>
      </c>
      <c r="J500" s="1">
        <f>[1]标准模型!$I$65/1*$B500/$B$3</f>
        <v>3.5208</v>
      </c>
      <c r="K500" s="1">
        <f>J500*[1]标准模型!$J$63</f>
        <v>3.5208</v>
      </c>
      <c r="L500" s="1">
        <f t="shared" si="1513"/>
        <v>180441.990317762</v>
      </c>
      <c r="M500" s="1">
        <f t="shared" si="1514"/>
        <v>94936.4284785413</v>
      </c>
      <c r="N500" s="1">
        <f t="shared" si="1515"/>
        <v>63290.9523190275</v>
      </c>
      <c r="O500" s="1">
        <f t="shared" ref="O500:X500" si="1657">O$5+(O$6-O$5)*(POWER(O$7,$B500-1)-1)/(POWER(O$7,$B$3-1)-1)</f>
        <v>0.98898064507813</v>
      </c>
      <c r="P500" s="1">
        <f t="shared" si="1657"/>
        <v>0.387580228794228</v>
      </c>
      <c r="Q500" s="1">
        <f t="shared" si="1657"/>
        <v>0.543939354792972</v>
      </c>
      <c r="R500" s="1">
        <f t="shared" si="1657"/>
        <v>1.19559225803125</v>
      </c>
      <c r="S500" s="1">
        <f t="shared" si="1657"/>
        <v>0.684572903109382</v>
      </c>
      <c r="T500" s="1">
        <f t="shared" si="1657"/>
        <v>3.90702451580471</v>
      </c>
      <c r="U500" s="1">
        <f t="shared" si="1657"/>
        <v>1</v>
      </c>
      <c r="V500" s="1">
        <f t="shared" si="1657"/>
        <v>1.53328145565786</v>
      </c>
      <c r="W500" s="1">
        <f t="shared" si="1657"/>
        <v>1.30091116620193</v>
      </c>
      <c r="X500" s="1">
        <f t="shared" si="1657"/>
        <v>2.56473806425002</v>
      </c>
      <c r="Y500" s="1">
        <f t="shared" si="1539"/>
        <v>16.41914585366</v>
      </c>
      <c r="Z500" s="1">
        <f t="shared" si="1540"/>
        <v>35.1229823701962</v>
      </c>
      <c r="AA500" s="1">
        <f t="shared" si="1517"/>
        <v>6337660.84477387</v>
      </c>
      <c r="AB500" s="1">
        <f t="shared" si="1518"/>
        <v>94936.4284785413</v>
      </c>
      <c r="AC500" s="1">
        <f t="shared" si="1519"/>
        <v>63290.9523190275</v>
      </c>
      <c r="AD500" s="1">
        <f>AC500/(AC500+[1]战斗公式!$M$27)</f>
        <v>0.725057415890186</v>
      </c>
      <c r="AE500" s="1">
        <f t="shared" si="1520"/>
        <v>23050852.1089718</v>
      </c>
      <c r="AF500" s="1">
        <f t="shared" si="1521"/>
        <v>14.7877988373943</v>
      </c>
      <c r="AG500" s="1">
        <f t="shared" si="1522"/>
        <v>6.9129387535095</v>
      </c>
      <c r="AH500" s="1">
        <f t="shared" si="1523"/>
        <v>4.99173870933064</v>
      </c>
      <c r="AI500" s="1">
        <f t="shared" si="1524"/>
        <v>2.2379907018866</v>
      </c>
      <c r="AJ500" s="1">
        <f t="shared" si="1525"/>
        <v>1.00000000000668</v>
      </c>
      <c r="AK500" s="1">
        <f t="shared" si="1526"/>
        <v>1.00000833435667</v>
      </c>
      <c r="AL500" s="1">
        <f t="shared" si="1527"/>
        <v>0.948550950622305</v>
      </c>
      <c r="AM500" s="27">
        <f t="shared" si="1528"/>
        <v>4576338</v>
      </c>
      <c r="AN500" s="27">
        <f t="shared" si="1529"/>
        <v>212467</v>
      </c>
      <c r="AO500" s="27">
        <f t="shared" si="1530"/>
        <v>63291</v>
      </c>
      <c r="AP500" s="1">
        <f t="shared" si="1531"/>
        <v>2139345</v>
      </c>
      <c r="AQ500" s="1">
        <f t="shared" si="1532"/>
        <v>201536</v>
      </c>
      <c r="AR500"/>
      <c r="AS500" s="1">
        <f t="shared" ref="AS500:AY500" si="1658">ROUNDUP(AS$10*$AP500,0)</f>
        <v>2139345</v>
      </c>
      <c r="AT500" s="1">
        <f t="shared" si="1658"/>
        <v>6418035</v>
      </c>
      <c r="AU500" s="1">
        <f t="shared" si="1658"/>
        <v>3850821</v>
      </c>
      <c r="AV500" s="1">
        <f t="shared" si="1658"/>
        <v>1069673</v>
      </c>
      <c r="AW500" s="1">
        <f t="shared" si="1658"/>
        <v>320902</v>
      </c>
      <c r="AX500" s="1">
        <f t="shared" si="1658"/>
        <v>8557380</v>
      </c>
      <c r="AY500" s="1">
        <f t="shared" si="1658"/>
        <v>19254105</v>
      </c>
      <c r="AZ500" s="1">
        <f t="shared" si="1534"/>
        <v>274580280</v>
      </c>
      <c r="BA500" s="1">
        <f t="shared" si="1535"/>
        <v>137290140</v>
      </c>
      <c r="BC500" s="1">
        <f t="shared" si="1536"/>
        <v>489</v>
      </c>
    </row>
    <row r="501" s="1" customFormat="1" spans="2:55">
      <c r="B501" s="4">
        <v>490</v>
      </c>
      <c r="C501" s="1">
        <f t="shared" ref="C501:I501" si="1659">C$5+(C$6-C$5)*(POWER(C$7,$B501-1)-1)/(POWER(C$7,$B$3-1)-1)</f>
        <v>38710.193139678</v>
      </c>
      <c r="D501" s="1">
        <f t="shared" si="1659"/>
        <v>11613.0579419034</v>
      </c>
      <c r="E501" s="1">
        <f t="shared" si="1659"/>
        <v>7742.03862793561</v>
      </c>
      <c r="F501" s="1">
        <f t="shared" si="1659"/>
        <v>142100.708993755</v>
      </c>
      <c r="G501" s="1">
        <f t="shared" si="1659"/>
        <v>42630.2126981265</v>
      </c>
      <c r="H501" s="1">
        <f t="shared" si="1659"/>
        <v>28420.141798751</v>
      </c>
      <c r="I501" s="1">
        <f t="shared" si="1659"/>
        <v>0</v>
      </c>
      <c r="J501" s="1">
        <f>[1]标准模型!$I$65/1*$B501/$B$3</f>
        <v>3.528</v>
      </c>
      <c r="K501" s="1">
        <f>J501*[1]标准模型!$J$63</f>
        <v>3.528</v>
      </c>
      <c r="L501" s="1">
        <f t="shared" si="1513"/>
        <v>180810.902133433</v>
      </c>
      <c r="M501" s="1">
        <f t="shared" si="1514"/>
        <v>95214.1390590651</v>
      </c>
      <c r="N501" s="1">
        <f t="shared" si="1515"/>
        <v>63476.0927060434</v>
      </c>
      <c r="O501" s="1">
        <f t="shared" ref="O501:X501" si="1660">O$5+(O$6-O$5)*(POWER(O$7,$B501-1)-1)/(POWER(O$7,$B$3-1)-1)</f>
        <v>0.989982409625302</v>
      </c>
      <c r="P501" s="1">
        <f t="shared" si="1660"/>
        <v>0.388700856262949</v>
      </c>
      <c r="Q501" s="1">
        <f t="shared" si="1660"/>
        <v>0.544490325293916</v>
      </c>
      <c r="R501" s="1">
        <f t="shared" si="1660"/>
        <v>1.19599296385012</v>
      </c>
      <c r="S501" s="1">
        <f t="shared" si="1660"/>
        <v>0.685975373475422</v>
      </c>
      <c r="T501" s="1">
        <f t="shared" si="1660"/>
        <v>3.91093139753868</v>
      </c>
      <c r="U501" s="1">
        <f t="shared" si="1660"/>
        <v>1</v>
      </c>
      <c r="V501" s="1">
        <f t="shared" si="1660"/>
        <v>1.53437397836059</v>
      </c>
      <c r="W501" s="1">
        <f t="shared" si="1660"/>
        <v>1.30152763669249</v>
      </c>
      <c r="X501" s="1">
        <f t="shared" si="1660"/>
        <v>2.56794371080097</v>
      </c>
      <c r="Y501" s="1">
        <f t="shared" si="1539"/>
        <v>16.5155762930465</v>
      </c>
      <c r="Z501" s="1">
        <f t="shared" si="1540"/>
        <v>35.3491470934165</v>
      </c>
      <c r="AA501" s="1">
        <f t="shared" si="1517"/>
        <v>6391511.17560806</v>
      </c>
      <c r="AB501" s="1">
        <f t="shared" si="1518"/>
        <v>95214.1390590651</v>
      </c>
      <c r="AC501" s="1">
        <f t="shared" si="1519"/>
        <v>63476.0927060434</v>
      </c>
      <c r="AD501" s="1">
        <f>AC501/(AC501+[1]战斗公式!$M$27)</f>
        <v>0.725639323184563</v>
      </c>
      <c r="AE501" s="1">
        <f t="shared" si="1520"/>
        <v>23296017.6720501</v>
      </c>
      <c r="AF501" s="1">
        <f t="shared" si="1521"/>
        <v>14.8144833343754</v>
      </c>
      <c r="AG501" s="1">
        <f t="shared" si="1522"/>
        <v>6.92151720391892</v>
      </c>
      <c r="AH501" s="1">
        <f t="shared" si="1523"/>
        <v>4.99251832324172</v>
      </c>
      <c r="AI501" s="1">
        <f t="shared" si="1524"/>
        <v>2.24357176397814</v>
      </c>
      <c r="AJ501" s="1">
        <f t="shared" si="1525"/>
        <v>1.0000000000059</v>
      </c>
      <c r="AK501" s="1">
        <f t="shared" si="1526"/>
        <v>1.00000749786215</v>
      </c>
      <c r="AL501" s="1">
        <f t="shared" si="1527"/>
        <v>0.948684670233798</v>
      </c>
      <c r="AM501" s="27">
        <f t="shared" si="1528"/>
        <v>4610223</v>
      </c>
      <c r="AN501" s="27">
        <f t="shared" si="1529"/>
        <v>213620</v>
      </c>
      <c r="AO501" s="27">
        <f t="shared" si="1530"/>
        <v>63476</v>
      </c>
      <c r="AP501" s="1">
        <f t="shared" si="1531"/>
        <v>2153972</v>
      </c>
      <c r="AQ501" s="1">
        <f t="shared" si="1532"/>
        <v>202658</v>
      </c>
      <c r="AR501"/>
      <c r="AS501" s="1">
        <f t="shared" ref="AS501:AY501" si="1661">ROUNDUP(AS$10*$AP501,0)</f>
        <v>2153972</v>
      </c>
      <c r="AT501" s="1">
        <f t="shared" si="1661"/>
        <v>6461916</v>
      </c>
      <c r="AU501" s="1">
        <f t="shared" si="1661"/>
        <v>3877150</v>
      </c>
      <c r="AV501" s="1">
        <f t="shared" si="1661"/>
        <v>1076986</v>
      </c>
      <c r="AW501" s="1">
        <f t="shared" si="1661"/>
        <v>323096</v>
      </c>
      <c r="AX501" s="1">
        <f t="shared" si="1661"/>
        <v>8615888</v>
      </c>
      <c r="AY501" s="1">
        <f t="shared" si="1661"/>
        <v>19385748</v>
      </c>
      <c r="AZ501" s="1">
        <f t="shared" si="1534"/>
        <v>276613380</v>
      </c>
      <c r="BA501" s="1">
        <f t="shared" si="1535"/>
        <v>138306690</v>
      </c>
      <c r="BC501" s="1">
        <f t="shared" si="1536"/>
        <v>490</v>
      </c>
    </row>
    <row r="502" s="1" customFormat="1" spans="2:55">
      <c r="B502" s="4">
        <v>491</v>
      </c>
      <c r="C502" s="1">
        <f t="shared" ref="C502:I502" si="1662">C$5+(C$6-C$5)*(POWER(C$7,$B502-1)-1)/(POWER(C$7,$B$3-1)-1)</f>
        <v>38789.1741811233</v>
      </c>
      <c r="D502" s="1">
        <f t="shared" si="1662"/>
        <v>11636.752254337</v>
      </c>
      <c r="E502" s="1">
        <f t="shared" si="1662"/>
        <v>7757.83483622467</v>
      </c>
      <c r="F502" s="1">
        <f t="shared" si="1662"/>
        <v>142390.63939906</v>
      </c>
      <c r="G502" s="1">
        <f t="shared" si="1662"/>
        <v>42717.1918197181</v>
      </c>
      <c r="H502" s="1">
        <f t="shared" si="1662"/>
        <v>28478.1278798121</v>
      </c>
      <c r="I502" s="1">
        <f t="shared" si="1662"/>
        <v>0</v>
      </c>
      <c r="J502" s="1">
        <f>[1]标准模型!$I$65/1*$B502/$B$3</f>
        <v>3.5352</v>
      </c>
      <c r="K502" s="1">
        <f>J502*[1]标准模型!$J$63</f>
        <v>3.5352</v>
      </c>
      <c r="L502" s="1">
        <f t="shared" si="1513"/>
        <v>181179.813580183</v>
      </c>
      <c r="M502" s="1">
        <f t="shared" si="1514"/>
        <v>95492.1906435873</v>
      </c>
      <c r="N502" s="1">
        <f t="shared" si="1515"/>
        <v>63661.4604290582</v>
      </c>
      <c r="O502" s="1">
        <f t="shared" ref="O502:X502" si="1663">O$5+(O$6-O$5)*(POWER(O$7,$B502-1)-1)/(POWER(O$7,$B$3-1)-1)</f>
        <v>0.990984173170687</v>
      </c>
      <c r="P502" s="1">
        <f t="shared" si="1663"/>
        <v>0.389823164672873</v>
      </c>
      <c r="Q502" s="1">
        <f t="shared" si="1663"/>
        <v>0.545041295243878</v>
      </c>
      <c r="R502" s="1">
        <f t="shared" si="1663"/>
        <v>1.19639366926827</v>
      </c>
      <c r="S502" s="1">
        <f t="shared" si="1663"/>
        <v>0.687377842438962</v>
      </c>
      <c r="T502" s="1">
        <f t="shared" si="1663"/>
        <v>3.91483827536568</v>
      </c>
      <c r="U502" s="1">
        <f t="shared" si="1663"/>
        <v>1</v>
      </c>
      <c r="V502" s="1">
        <f t="shared" si="1663"/>
        <v>1.53546649997077</v>
      </c>
      <c r="W502" s="1">
        <f t="shared" si="1663"/>
        <v>1.30214410656658</v>
      </c>
      <c r="X502" s="1">
        <f t="shared" si="1663"/>
        <v>2.5711493541462</v>
      </c>
      <c r="Y502" s="1">
        <f t="shared" si="1539"/>
        <v>16.6124985193223</v>
      </c>
      <c r="Z502" s="1">
        <f t="shared" si="1540"/>
        <v>35.5765937245017</v>
      </c>
      <c r="AA502" s="1">
        <f t="shared" si="1517"/>
        <v>6445760.61882314</v>
      </c>
      <c r="AB502" s="1">
        <f t="shared" si="1518"/>
        <v>95492.1906435873</v>
      </c>
      <c r="AC502" s="1">
        <f t="shared" si="1519"/>
        <v>63661.4604290582</v>
      </c>
      <c r="AD502" s="1">
        <f>AC502/(AC502+[1]战斗公式!$M$27)</f>
        <v>0.726219482512244</v>
      </c>
      <c r="AE502" s="1">
        <f t="shared" si="1520"/>
        <v>23543532.8925894</v>
      </c>
      <c r="AF502" s="1">
        <f t="shared" si="1521"/>
        <v>14.8411932808258</v>
      </c>
      <c r="AG502" s="1">
        <f t="shared" si="1522"/>
        <v>6.93009857300915</v>
      </c>
      <c r="AH502" s="1">
        <f t="shared" si="1523"/>
        <v>4.99329209004846</v>
      </c>
      <c r="AI502" s="1">
        <f t="shared" si="1524"/>
        <v>2.24916398819387</v>
      </c>
      <c r="AJ502" s="1">
        <f t="shared" si="1525"/>
        <v>1.00000000000517</v>
      </c>
      <c r="AK502" s="1">
        <f t="shared" si="1526"/>
        <v>1.00000667809752</v>
      </c>
      <c r="AL502" s="1">
        <f t="shared" si="1527"/>
        <v>0.948817988686457</v>
      </c>
      <c r="AM502" s="27">
        <f t="shared" si="1528"/>
        <v>4644316</v>
      </c>
      <c r="AN502" s="27">
        <f t="shared" si="1529"/>
        <v>214778</v>
      </c>
      <c r="AO502" s="27">
        <f t="shared" si="1530"/>
        <v>63661</v>
      </c>
      <c r="AP502" s="1">
        <f t="shared" si="1531"/>
        <v>2168679</v>
      </c>
      <c r="AQ502" s="1">
        <f t="shared" si="1532"/>
        <v>203785</v>
      </c>
      <c r="AR502"/>
      <c r="AS502" s="1">
        <f t="shared" ref="AS502:AY502" si="1664">ROUNDUP(AS$10*$AP502,0)</f>
        <v>2168679</v>
      </c>
      <c r="AT502" s="1">
        <f t="shared" si="1664"/>
        <v>6506037</v>
      </c>
      <c r="AU502" s="1">
        <f t="shared" si="1664"/>
        <v>3903623</v>
      </c>
      <c r="AV502" s="1">
        <f t="shared" si="1664"/>
        <v>1084340</v>
      </c>
      <c r="AW502" s="1">
        <f t="shared" si="1664"/>
        <v>325302</v>
      </c>
      <c r="AX502" s="1">
        <f t="shared" si="1664"/>
        <v>8674716</v>
      </c>
      <c r="AY502" s="1">
        <f t="shared" si="1664"/>
        <v>19518111</v>
      </c>
      <c r="AZ502" s="1">
        <f t="shared" si="1534"/>
        <v>278658960</v>
      </c>
      <c r="BA502" s="1">
        <f t="shared" si="1535"/>
        <v>139329480</v>
      </c>
      <c r="BC502" s="1">
        <f t="shared" si="1536"/>
        <v>491</v>
      </c>
    </row>
    <row r="503" s="1" customFormat="1" spans="2:55">
      <c r="B503" s="4">
        <v>492</v>
      </c>
      <c r="C503" s="1">
        <f t="shared" ref="C503:I503" si="1665">C$5+(C$6-C$5)*(POWER(C$7,$B503-1)-1)/(POWER(C$7,$B$3-1)-1)</f>
        <v>38868.1551435858</v>
      </c>
      <c r="D503" s="1">
        <f t="shared" si="1665"/>
        <v>11660.4465430757</v>
      </c>
      <c r="E503" s="1">
        <f t="shared" si="1665"/>
        <v>7773.63102871716</v>
      </c>
      <c r="F503" s="1">
        <f t="shared" si="1665"/>
        <v>142680.569514429</v>
      </c>
      <c r="G503" s="1">
        <f t="shared" si="1665"/>
        <v>42804.1708543287</v>
      </c>
      <c r="H503" s="1">
        <f t="shared" si="1665"/>
        <v>28536.1139028858</v>
      </c>
      <c r="I503" s="1">
        <f t="shared" si="1665"/>
        <v>0</v>
      </c>
      <c r="J503" s="1">
        <f>[1]标准模型!$I$65/1*$B503/$B$3</f>
        <v>3.5424</v>
      </c>
      <c r="K503" s="1">
        <f>J503*[1]标准模型!$J$63</f>
        <v>3.5424</v>
      </c>
      <c r="L503" s="1">
        <f t="shared" si="1513"/>
        <v>181548.724658015</v>
      </c>
      <c r="M503" s="1">
        <f t="shared" si="1514"/>
        <v>95770.5832315958</v>
      </c>
      <c r="N503" s="1">
        <f t="shared" si="1515"/>
        <v>63847.0554877306</v>
      </c>
      <c r="O503" s="1">
        <f t="shared" ref="O503:X503" si="1666">O$5+(O$6-O$5)*(POWER(O$7,$B503-1)-1)/(POWER(O$7,$B$3-1)-1)</f>
        <v>0.991985935714287</v>
      </c>
      <c r="P503" s="1">
        <f t="shared" si="1666"/>
        <v>0.390947156545412</v>
      </c>
      <c r="Q503" s="1">
        <f t="shared" si="1666"/>
        <v>0.545592264642858</v>
      </c>
      <c r="R503" s="1">
        <f t="shared" si="1666"/>
        <v>1.19679437428571</v>
      </c>
      <c r="S503" s="1">
        <f t="shared" si="1666"/>
        <v>0.688780310000001</v>
      </c>
      <c r="T503" s="1">
        <f t="shared" si="1666"/>
        <v>3.91874514928572</v>
      </c>
      <c r="U503" s="1">
        <f t="shared" si="1666"/>
        <v>1</v>
      </c>
      <c r="V503" s="1">
        <f t="shared" si="1666"/>
        <v>1.5365590204884</v>
      </c>
      <c r="W503" s="1">
        <f t="shared" si="1666"/>
        <v>1.30276057582418</v>
      </c>
      <c r="X503" s="1">
        <f t="shared" si="1666"/>
        <v>2.57435499428572</v>
      </c>
      <c r="Y503" s="1">
        <f t="shared" si="1539"/>
        <v>16.709914644957</v>
      </c>
      <c r="Z503" s="1">
        <f t="shared" si="1540"/>
        <v>35.805328495698</v>
      </c>
      <c r="AA503" s="1">
        <f t="shared" si="1517"/>
        <v>6500411.72435525</v>
      </c>
      <c r="AB503" s="1">
        <f t="shared" si="1518"/>
        <v>95770.5832315958</v>
      </c>
      <c r="AC503" s="1">
        <f t="shared" si="1519"/>
        <v>63847.0554877306</v>
      </c>
      <c r="AD503" s="1">
        <f>AC503/(AC503+[1]战斗公式!$M$27)</f>
        <v>0.726797900433305</v>
      </c>
      <c r="AE503" s="1">
        <f t="shared" si="1520"/>
        <v>23793417.8934388</v>
      </c>
      <c r="AF503" s="1">
        <f t="shared" si="1521"/>
        <v>14.8679286615558</v>
      </c>
      <c r="AG503" s="1">
        <f t="shared" si="1522"/>
        <v>6.93868285307752</v>
      </c>
      <c r="AH503" s="1">
        <f t="shared" si="1523"/>
        <v>4.99406005360415</v>
      </c>
      <c r="AI503" s="1">
        <f t="shared" si="1524"/>
        <v>2.25476739685803</v>
      </c>
      <c r="AJ503" s="1">
        <f t="shared" si="1525"/>
        <v>1.00000000000447</v>
      </c>
      <c r="AK503" s="1">
        <f t="shared" si="1526"/>
        <v>1.00000587472818</v>
      </c>
      <c r="AL503" s="1">
        <f t="shared" si="1527"/>
        <v>0.948950907183757</v>
      </c>
      <c r="AM503" s="27">
        <f t="shared" si="1528"/>
        <v>4678618</v>
      </c>
      <c r="AN503" s="27">
        <f t="shared" si="1529"/>
        <v>215940</v>
      </c>
      <c r="AO503" s="27">
        <f t="shared" si="1530"/>
        <v>63847</v>
      </c>
      <c r="AP503" s="1">
        <f t="shared" si="1531"/>
        <v>2183467</v>
      </c>
      <c r="AQ503" s="1">
        <f t="shared" si="1532"/>
        <v>204916</v>
      </c>
      <c r="AR503"/>
      <c r="AS503" s="1">
        <f t="shared" ref="AS503:AY503" si="1667">ROUNDUP(AS$10*$AP503,0)</f>
        <v>2183467</v>
      </c>
      <c r="AT503" s="1">
        <f t="shared" si="1667"/>
        <v>6550401</v>
      </c>
      <c r="AU503" s="1">
        <f t="shared" si="1667"/>
        <v>3930241</v>
      </c>
      <c r="AV503" s="1">
        <f t="shared" si="1667"/>
        <v>1091734</v>
      </c>
      <c r="AW503" s="1">
        <f t="shared" si="1667"/>
        <v>327521</v>
      </c>
      <c r="AX503" s="1">
        <f t="shared" si="1667"/>
        <v>8733868</v>
      </c>
      <c r="AY503" s="1">
        <f t="shared" si="1667"/>
        <v>19651203</v>
      </c>
      <c r="AZ503" s="1">
        <f t="shared" si="1534"/>
        <v>280717080</v>
      </c>
      <c r="BA503" s="1">
        <f t="shared" si="1535"/>
        <v>140358540</v>
      </c>
      <c r="BC503" s="1">
        <f t="shared" si="1536"/>
        <v>492</v>
      </c>
    </row>
    <row r="504" s="1" customFormat="1" spans="2:55">
      <c r="B504" s="4">
        <v>493</v>
      </c>
      <c r="C504" s="1">
        <f t="shared" ref="C504:I504" si="1668">C$5+(C$6-C$5)*(POWER(C$7,$B504-1)-1)/(POWER(C$7,$B$3-1)-1)</f>
        <v>38947.1360270654</v>
      </c>
      <c r="D504" s="1">
        <f t="shared" si="1668"/>
        <v>11684.1408081196</v>
      </c>
      <c r="E504" s="1">
        <f t="shared" si="1668"/>
        <v>7789.42720541308</v>
      </c>
      <c r="F504" s="1">
        <f t="shared" si="1668"/>
        <v>142970.49933986</v>
      </c>
      <c r="G504" s="1">
        <f t="shared" si="1668"/>
        <v>42891.1498019581</v>
      </c>
      <c r="H504" s="1">
        <f t="shared" si="1668"/>
        <v>28594.0998679721</v>
      </c>
      <c r="I504" s="1">
        <f t="shared" si="1668"/>
        <v>0</v>
      </c>
      <c r="J504" s="1">
        <f>[1]标准模型!$I$65/1*$B504/$B$3</f>
        <v>3.5496</v>
      </c>
      <c r="K504" s="1">
        <f>J504*[1]标准模型!$J$63</f>
        <v>3.5496</v>
      </c>
      <c r="L504" s="1">
        <f t="shared" si="1513"/>
        <v>181917.635366925</v>
      </c>
      <c r="M504" s="1">
        <f t="shared" si="1514"/>
        <v>96049.316822579</v>
      </c>
      <c r="N504" s="1">
        <f t="shared" si="1515"/>
        <v>64032.8778817194</v>
      </c>
      <c r="O504" s="1">
        <f t="shared" ref="O504:X504" si="1669">O$5+(O$6-O$5)*(POWER(O$7,$B504-1)-1)/(POWER(O$7,$B$3-1)-1)</f>
        <v>0.9929876972561</v>
      </c>
      <c r="P504" s="1">
        <f t="shared" si="1669"/>
        <v>0.39207283440576</v>
      </c>
      <c r="Q504" s="1">
        <f t="shared" si="1669"/>
        <v>0.546143233490855</v>
      </c>
      <c r="R504" s="1">
        <f t="shared" si="1669"/>
        <v>1.19719507890244</v>
      </c>
      <c r="S504" s="1">
        <f t="shared" si="1669"/>
        <v>0.69018277615854</v>
      </c>
      <c r="T504" s="1">
        <f t="shared" si="1669"/>
        <v>3.92265201929879</v>
      </c>
      <c r="U504" s="1">
        <f t="shared" si="1669"/>
        <v>1</v>
      </c>
      <c r="V504" s="1">
        <f t="shared" si="1669"/>
        <v>1.53765153991349</v>
      </c>
      <c r="W504" s="1">
        <f t="shared" si="1669"/>
        <v>1.30337704446529</v>
      </c>
      <c r="X504" s="1">
        <f t="shared" si="1669"/>
        <v>2.57756063121952</v>
      </c>
      <c r="Y504" s="1">
        <f t="shared" si="1539"/>
        <v>16.8078267898941</v>
      </c>
      <c r="Z504" s="1">
        <f t="shared" si="1540"/>
        <v>36.035357664648</v>
      </c>
      <c r="AA504" s="1">
        <f t="shared" si="1517"/>
        <v>6555467.05595418</v>
      </c>
      <c r="AB504" s="1">
        <f t="shared" si="1518"/>
        <v>96049.316822579</v>
      </c>
      <c r="AC504" s="1">
        <f t="shared" si="1519"/>
        <v>64032.8778817194</v>
      </c>
      <c r="AD504" s="1">
        <f>AC504/(AC504+[1]战斗公式!$M$27)</f>
        <v>0.727374583479524</v>
      </c>
      <c r="AE504" s="1">
        <f t="shared" si="1520"/>
        <v>24045692.9497687</v>
      </c>
      <c r="AF504" s="1">
        <f t="shared" si="1521"/>
        <v>14.8946894613899</v>
      </c>
      <c r="AG504" s="1">
        <f t="shared" si="1522"/>
        <v>6.94727003644819</v>
      </c>
      <c r="AH504" s="1">
        <f t="shared" si="1523"/>
        <v>4.99482225743317</v>
      </c>
      <c r="AI504" s="1">
        <f t="shared" si="1524"/>
        <v>2.26038201233952</v>
      </c>
      <c r="AJ504" s="1">
        <f t="shared" si="1525"/>
        <v>1.0000000000038</v>
      </c>
      <c r="AK504" s="1">
        <f t="shared" si="1526"/>
        <v>1.00000508742623</v>
      </c>
      <c r="AL504" s="1">
        <f t="shared" si="1527"/>
        <v>0.949083426925565</v>
      </c>
      <c r="AM504" s="27">
        <f t="shared" si="1528"/>
        <v>4713131</v>
      </c>
      <c r="AN504" s="27">
        <f t="shared" si="1529"/>
        <v>217108</v>
      </c>
      <c r="AO504" s="27">
        <f t="shared" si="1530"/>
        <v>64033</v>
      </c>
      <c r="AP504" s="1">
        <f t="shared" si="1531"/>
        <v>2198338</v>
      </c>
      <c r="AQ504" s="1">
        <f t="shared" si="1532"/>
        <v>206054</v>
      </c>
      <c r="AR504"/>
      <c r="AS504" s="1">
        <f t="shared" ref="AS504:AY504" si="1670">ROUNDUP(AS$10*$AP504,0)</f>
        <v>2198338</v>
      </c>
      <c r="AT504" s="1">
        <f t="shared" si="1670"/>
        <v>6595014</v>
      </c>
      <c r="AU504" s="1">
        <f t="shared" si="1670"/>
        <v>3957009</v>
      </c>
      <c r="AV504" s="1">
        <f t="shared" si="1670"/>
        <v>1099169</v>
      </c>
      <c r="AW504" s="1">
        <f t="shared" si="1670"/>
        <v>329751</v>
      </c>
      <c r="AX504" s="1">
        <f t="shared" si="1670"/>
        <v>8793352</v>
      </c>
      <c r="AY504" s="1">
        <f t="shared" si="1670"/>
        <v>19785042</v>
      </c>
      <c r="AZ504" s="1">
        <f t="shared" si="1534"/>
        <v>282787860</v>
      </c>
      <c r="BA504" s="1">
        <f t="shared" si="1535"/>
        <v>141393930</v>
      </c>
      <c r="BC504" s="1">
        <f t="shared" si="1536"/>
        <v>493</v>
      </c>
    </row>
    <row r="505" s="1" customFormat="1" spans="2:55">
      <c r="B505" s="4">
        <v>494</v>
      </c>
      <c r="C505" s="1">
        <f t="shared" ref="C505:I505" si="1671">C$5+(C$6-C$5)*(POWER(C$7,$B505-1)-1)/(POWER(C$7,$B$3-1)-1)</f>
        <v>39026.116831571</v>
      </c>
      <c r="D505" s="1">
        <f t="shared" si="1671"/>
        <v>11707.8350494713</v>
      </c>
      <c r="E505" s="1">
        <f t="shared" si="1671"/>
        <v>7805.2233663142</v>
      </c>
      <c r="F505" s="1">
        <f t="shared" si="1671"/>
        <v>143260.428875387</v>
      </c>
      <c r="G505" s="1">
        <f t="shared" si="1671"/>
        <v>42978.1286626162</v>
      </c>
      <c r="H505" s="1">
        <f t="shared" si="1671"/>
        <v>28652.0857750774</v>
      </c>
      <c r="I505" s="1">
        <f t="shared" si="1671"/>
        <v>0</v>
      </c>
      <c r="J505" s="1">
        <f>[1]标准模型!$I$65/1*$B505/$B$3</f>
        <v>3.5568</v>
      </c>
      <c r="K505" s="1">
        <f>J505*[1]标准模型!$J$63</f>
        <v>3.5568</v>
      </c>
      <c r="L505" s="1">
        <f t="shared" si="1513"/>
        <v>182286.545706958</v>
      </c>
      <c r="M505" s="1">
        <f t="shared" si="1514"/>
        <v>96328.391416047</v>
      </c>
      <c r="N505" s="1">
        <f t="shared" si="1515"/>
        <v>64218.9276106979</v>
      </c>
      <c r="O505" s="1">
        <f t="shared" ref="O505:X505" si="1672">O$5+(O$6-O$5)*(POWER(O$7,$B505-1)-1)/(POWER(O$7,$B$3-1)-1)</f>
        <v>0.993989457796238</v>
      </c>
      <c r="P505" s="1">
        <f t="shared" si="1672"/>
        <v>0.393200200782898</v>
      </c>
      <c r="Q505" s="1">
        <f t="shared" si="1672"/>
        <v>0.546694201787931</v>
      </c>
      <c r="R505" s="1">
        <f t="shared" si="1672"/>
        <v>1.1975957831185</v>
      </c>
      <c r="S505" s="1">
        <f t="shared" si="1672"/>
        <v>0.691585240914733</v>
      </c>
      <c r="T505" s="1">
        <f t="shared" si="1672"/>
        <v>3.92655888540533</v>
      </c>
      <c r="U505" s="1">
        <f t="shared" si="1672"/>
        <v>1</v>
      </c>
      <c r="V505" s="1">
        <f t="shared" si="1672"/>
        <v>1.53874405824615</v>
      </c>
      <c r="W505" s="1">
        <f t="shared" si="1672"/>
        <v>1.30399351248999</v>
      </c>
      <c r="X505" s="1">
        <f t="shared" si="1672"/>
        <v>2.58076626494796</v>
      </c>
      <c r="Y505" s="1">
        <f t="shared" si="1539"/>
        <v>16.9062370815818</v>
      </c>
      <c r="Z505" s="1">
        <f t="shared" si="1540"/>
        <v>36.2666875145008</v>
      </c>
      <c r="AA505" s="1">
        <f t="shared" si="1517"/>
        <v>6610929.19125201</v>
      </c>
      <c r="AB505" s="1">
        <f t="shared" si="1518"/>
        <v>96328.391416047</v>
      </c>
      <c r="AC505" s="1">
        <f t="shared" si="1519"/>
        <v>64218.9276106979</v>
      </c>
      <c r="AD505" s="1">
        <f>AC505/(AC505+[1]战斗公式!$M$27)</f>
        <v>0.727949538154558</v>
      </c>
      <c r="AE505" s="1">
        <f t="shared" si="1520"/>
        <v>24300378.4901046</v>
      </c>
      <c r="AF505" s="1">
        <f t="shared" si="1521"/>
        <v>14.9214756651722</v>
      </c>
      <c r="AG505" s="1">
        <f t="shared" si="1522"/>
        <v>6.95586011547344</v>
      </c>
      <c r="AH505" s="1">
        <f t="shared" si="1523"/>
        <v>4.99557874473347</v>
      </c>
      <c r="AI505" s="1">
        <f t="shared" si="1524"/>
        <v>2.26600785705198</v>
      </c>
      <c r="AJ505" s="1">
        <f t="shared" si="1525"/>
        <v>1.00000000000317</v>
      </c>
      <c r="AK505" s="1">
        <f t="shared" si="1526"/>
        <v>1.00000431587032</v>
      </c>
      <c r="AL505" s="1">
        <f t="shared" si="1527"/>
        <v>0.949215549108148</v>
      </c>
      <c r="AM505" s="27">
        <f t="shared" si="1528"/>
        <v>4747855</v>
      </c>
      <c r="AN505" s="27">
        <f t="shared" si="1529"/>
        <v>218281</v>
      </c>
      <c r="AO505" s="27">
        <f t="shared" si="1530"/>
        <v>64219</v>
      </c>
      <c r="AP505" s="1">
        <f t="shared" si="1531"/>
        <v>2213290</v>
      </c>
      <c r="AQ505" s="1">
        <f t="shared" si="1532"/>
        <v>207196</v>
      </c>
      <c r="AR505"/>
      <c r="AS505" s="1">
        <f t="shared" ref="AS505:AY505" si="1673">ROUNDUP(AS$10*$AP505,0)</f>
        <v>2213290</v>
      </c>
      <c r="AT505" s="1">
        <f t="shared" si="1673"/>
        <v>6639870</v>
      </c>
      <c r="AU505" s="1">
        <f t="shared" si="1673"/>
        <v>3983922</v>
      </c>
      <c r="AV505" s="1">
        <f t="shared" si="1673"/>
        <v>1106645</v>
      </c>
      <c r="AW505" s="1">
        <f t="shared" si="1673"/>
        <v>331994</v>
      </c>
      <c r="AX505" s="1">
        <f t="shared" si="1673"/>
        <v>8853160</v>
      </c>
      <c r="AY505" s="1">
        <f t="shared" si="1673"/>
        <v>19919610</v>
      </c>
      <c r="AZ505" s="1">
        <f t="shared" si="1534"/>
        <v>284871300</v>
      </c>
      <c r="BA505" s="1">
        <f t="shared" si="1535"/>
        <v>142435650</v>
      </c>
      <c r="BC505" s="1">
        <f t="shared" si="1536"/>
        <v>494</v>
      </c>
    </row>
    <row r="506" s="1" customFormat="1" spans="2:55">
      <c r="B506" s="4">
        <v>495</v>
      </c>
      <c r="C506" s="1">
        <f t="shared" ref="C506:I506" si="1674">C$5+(C$6-C$5)*(POWER(C$7,$B506-1)-1)/(POWER(C$7,$B$3-1)-1)</f>
        <v>39105.0975570937</v>
      </c>
      <c r="D506" s="1">
        <f t="shared" si="1674"/>
        <v>11731.5292671281</v>
      </c>
      <c r="E506" s="1">
        <f t="shared" si="1674"/>
        <v>7821.01951141875</v>
      </c>
      <c r="F506" s="1">
        <f t="shared" si="1674"/>
        <v>143550.358120977</v>
      </c>
      <c r="G506" s="1">
        <f t="shared" si="1674"/>
        <v>43065.1074362931</v>
      </c>
      <c r="H506" s="1">
        <f t="shared" si="1674"/>
        <v>28710.0716241954</v>
      </c>
      <c r="I506" s="1">
        <f t="shared" si="1674"/>
        <v>0</v>
      </c>
      <c r="J506" s="1">
        <f>[1]标准模型!$I$65/1*$B506/$B$3</f>
        <v>3.564</v>
      </c>
      <c r="K506" s="1">
        <f>J506*[1]标准模型!$J$63</f>
        <v>3.564</v>
      </c>
      <c r="L506" s="1">
        <f t="shared" si="1513"/>
        <v>182655.455678071</v>
      </c>
      <c r="M506" s="1">
        <f t="shared" si="1514"/>
        <v>96607.8070114657</v>
      </c>
      <c r="N506" s="1">
        <f t="shared" si="1515"/>
        <v>64405.2046743106</v>
      </c>
      <c r="O506" s="1">
        <f t="shared" ref="O506:X506" si="1675">O$5+(O$6-O$5)*(POWER(O$7,$B506-1)-1)/(POWER(O$7,$B$3-1)-1)</f>
        <v>0.99499121733459</v>
      </c>
      <c r="P506" s="1">
        <f t="shared" si="1675"/>
        <v>0.394329258209602</v>
      </c>
      <c r="Q506" s="1">
        <f t="shared" si="1675"/>
        <v>0.547245169534024</v>
      </c>
      <c r="R506" s="1">
        <f t="shared" si="1675"/>
        <v>1.19799648693384</v>
      </c>
      <c r="S506" s="1">
        <f t="shared" si="1675"/>
        <v>0.692987704268426</v>
      </c>
      <c r="T506" s="1">
        <f t="shared" si="1675"/>
        <v>3.9304657476049</v>
      </c>
      <c r="U506" s="1">
        <f t="shared" si="1675"/>
        <v>1</v>
      </c>
      <c r="V506" s="1">
        <f t="shared" si="1675"/>
        <v>1.53983657548627</v>
      </c>
      <c r="W506" s="1">
        <f t="shared" si="1675"/>
        <v>1.30460997989821</v>
      </c>
      <c r="X506" s="1">
        <f t="shared" si="1675"/>
        <v>2.58397189547069</v>
      </c>
      <c r="Y506" s="1">
        <f t="shared" si="1539"/>
        <v>17.005147654968</v>
      </c>
      <c r="Z506" s="1">
        <f t="shared" si="1540"/>
        <v>36.4993243539286</v>
      </c>
      <c r="AA506" s="1">
        <f t="shared" si="1517"/>
        <v>6666800.72180853</v>
      </c>
      <c r="AB506" s="1">
        <f t="shared" si="1518"/>
        <v>96607.8070114657</v>
      </c>
      <c r="AC506" s="1">
        <f t="shared" si="1519"/>
        <v>64405.2046743106</v>
      </c>
      <c r="AD506" s="1">
        <f>AC506/(AC506+[1]战斗公式!$M$27)</f>
        <v>0.728522770933937</v>
      </c>
      <c r="AE506" s="1">
        <f t="shared" si="1520"/>
        <v>24557495.0972635</v>
      </c>
      <c r="AF506" s="1">
        <f t="shared" si="1521"/>
        <v>14.9482872577539</v>
      </c>
      <c r="AG506" s="1">
        <f t="shared" si="1522"/>
        <v>6.96445308253005</v>
      </c>
      <c r="AH506" s="1">
        <f t="shared" si="1523"/>
        <v>4.99632955837902</v>
      </c>
      <c r="AI506" s="1">
        <f t="shared" si="1524"/>
        <v>2.27164495345385</v>
      </c>
      <c r="AJ506" s="1">
        <f t="shared" si="1525"/>
        <v>1.00000000000257</v>
      </c>
      <c r="AK506" s="1">
        <f t="shared" si="1526"/>
        <v>1.00000355974552</v>
      </c>
      <c r="AL506" s="1">
        <f t="shared" si="1527"/>
        <v>0.949347274924183</v>
      </c>
      <c r="AM506" s="27">
        <f t="shared" si="1528"/>
        <v>4782792</v>
      </c>
      <c r="AN506" s="27">
        <f t="shared" si="1529"/>
        <v>219459</v>
      </c>
      <c r="AO506" s="27">
        <f t="shared" si="1530"/>
        <v>64405</v>
      </c>
      <c r="AP506" s="1">
        <f t="shared" si="1531"/>
        <v>2228326</v>
      </c>
      <c r="AQ506" s="1">
        <f t="shared" si="1532"/>
        <v>208343</v>
      </c>
      <c r="AR506"/>
      <c r="AS506" s="1">
        <f t="shared" ref="AS506:AY506" si="1676">ROUNDUP(AS$10*$AP506,0)</f>
        <v>2228326</v>
      </c>
      <c r="AT506" s="1">
        <f t="shared" si="1676"/>
        <v>6684978</v>
      </c>
      <c r="AU506" s="1">
        <f t="shared" si="1676"/>
        <v>4010987</v>
      </c>
      <c r="AV506" s="1">
        <f t="shared" si="1676"/>
        <v>1114163</v>
      </c>
      <c r="AW506" s="1">
        <f t="shared" si="1676"/>
        <v>334249</v>
      </c>
      <c r="AX506" s="1">
        <f t="shared" si="1676"/>
        <v>8913304</v>
      </c>
      <c r="AY506" s="1">
        <f t="shared" si="1676"/>
        <v>20054934</v>
      </c>
      <c r="AZ506" s="1">
        <f t="shared" si="1534"/>
        <v>286967520</v>
      </c>
      <c r="BA506" s="1">
        <f t="shared" si="1535"/>
        <v>143483760</v>
      </c>
      <c r="BC506" s="1">
        <f t="shared" si="1536"/>
        <v>495</v>
      </c>
    </row>
    <row r="507" s="1" customFormat="1" spans="2:55">
      <c r="B507" s="4">
        <v>496</v>
      </c>
      <c r="C507" s="1">
        <f t="shared" ref="C507:I507" si="1677">C$5+(C$6-C$5)*(POWER(C$7,$B507-1)-1)/(POWER(C$7,$B$3-1)-1)</f>
        <v>39184.0782036336</v>
      </c>
      <c r="D507" s="1">
        <f t="shared" si="1677"/>
        <v>11755.2234610901</v>
      </c>
      <c r="E507" s="1">
        <f t="shared" si="1677"/>
        <v>7836.81564072673</v>
      </c>
      <c r="F507" s="1">
        <f t="shared" si="1677"/>
        <v>143840.28707663</v>
      </c>
      <c r="G507" s="1">
        <f t="shared" si="1677"/>
        <v>43152.0861229889</v>
      </c>
      <c r="H507" s="1">
        <f t="shared" si="1677"/>
        <v>28768.057415326</v>
      </c>
      <c r="I507" s="1">
        <f t="shared" si="1677"/>
        <v>0</v>
      </c>
      <c r="J507" s="1">
        <f>[1]标准模型!$I$65/1*$B507/$B$3</f>
        <v>3.5712</v>
      </c>
      <c r="K507" s="1">
        <f>J507*[1]标准模型!$J$63</f>
        <v>3.5712</v>
      </c>
      <c r="L507" s="1">
        <f t="shared" si="1513"/>
        <v>183024.365280264</v>
      </c>
      <c r="M507" s="1">
        <f t="shared" si="1514"/>
        <v>96887.563608324</v>
      </c>
      <c r="N507" s="1">
        <f t="shared" si="1515"/>
        <v>64591.709072216</v>
      </c>
      <c r="O507" s="1">
        <f t="shared" ref="O507:X507" si="1678">O$5+(O$6-O$5)*(POWER(O$7,$B507-1)-1)/(POWER(O$7,$B$3-1)-1)</f>
        <v>0.995992975871155</v>
      </c>
      <c r="P507" s="1">
        <f t="shared" si="1678"/>
        <v>0.395460009222446</v>
      </c>
      <c r="Q507" s="1">
        <f t="shared" si="1678"/>
        <v>0.547796136729136</v>
      </c>
      <c r="R507" s="1">
        <f t="shared" si="1678"/>
        <v>1.19839719034846</v>
      </c>
      <c r="S507" s="1">
        <f t="shared" si="1678"/>
        <v>0.694390166219617</v>
      </c>
      <c r="T507" s="1">
        <f t="shared" si="1678"/>
        <v>3.93437260589751</v>
      </c>
      <c r="U507" s="1">
        <f t="shared" si="1678"/>
        <v>1</v>
      </c>
      <c r="V507" s="1">
        <f t="shared" si="1678"/>
        <v>1.54092909163384</v>
      </c>
      <c r="W507" s="1">
        <f t="shared" si="1678"/>
        <v>1.30522644668994</v>
      </c>
      <c r="X507" s="1">
        <f t="shared" si="1678"/>
        <v>2.5871775227877</v>
      </c>
      <c r="Y507" s="1">
        <f t="shared" si="1539"/>
        <v>17.1045606525502</v>
      </c>
      <c r="Z507" s="1">
        <f t="shared" si="1540"/>
        <v>36.7332745172836</v>
      </c>
      <c r="AA507" s="1">
        <f t="shared" si="1517"/>
        <v>6723084.25319151</v>
      </c>
      <c r="AB507" s="1">
        <f t="shared" si="1518"/>
        <v>96887.563608324</v>
      </c>
      <c r="AC507" s="1">
        <f t="shared" si="1519"/>
        <v>64591.709072216</v>
      </c>
      <c r="AD507" s="1">
        <f>AC507/(AC507+[1]战斗公式!$M$27)</f>
        <v>0.729094288265324</v>
      </c>
      <c r="AE507" s="1">
        <f t="shared" si="1520"/>
        <v>24817063.5094475</v>
      </c>
      <c r="AF507" s="1">
        <f t="shared" si="1521"/>
        <v>14.9751242240049</v>
      </c>
      <c r="AG507" s="1">
        <f t="shared" si="1522"/>
        <v>6.97304893002244</v>
      </c>
      <c r="AH507" s="1">
        <f t="shared" si="1523"/>
        <v>4.99707474092223</v>
      </c>
      <c r="AI507" s="1">
        <f t="shared" si="1524"/>
        <v>2.27729332404853</v>
      </c>
      <c r="AJ507" s="1">
        <f t="shared" si="1525"/>
        <v>1.00000000000201</v>
      </c>
      <c r="AK507" s="1">
        <f t="shared" si="1526"/>
        <v>1.00000281874322</v>
      </c>
      <c r="AL507" s="1">
        <f t="shared" si="1527"/>
        <v>0.949478605562771</v>
      </c>
      <c r="AM507" s="27">
        <f t="shared" si="1528"/>
        <v>4817943</v>
      </c>
      <c r="AN507" s="27">
        <f t="shared" si="1529"/>
        <v>220641</v>
      </c>
      <c r="AO507" s="27">
        <f t="shared" si="1530"/>
        <v>64592</v>
      </c>
      <c r="AP507" s="1">
        <f t="shared" si="1531"/>
        <v>2243444</v>
      </c>
      <c r="AQ507" s="1">
        <f t="shared" si="1532"/>
        <v>209494</v>
      </c>
      <c r="AR507"/>
      <c r="AS507" s="1">
        <f t="shared" ref="AS507:AY507" si="1679">ROUNDUP(AS$10*$AP507,0)</f>
        <v>2243444</v>
      </c>
      <c r="AT507" s="1">
        <f t="shared" si="1679"/>
        <v>6730332</v>
      </c>
      <c r="AU507" s="1">
        <f t="shared" si="1679"/>
        <v>4038200</v>
      </c>
      <c r="AV507" s="1">
        <f t="shared" si="1679"/>
        <v>1121722</v>
      </c>
      <c r="AW507" s="1">
        <f t="shared" si="1679"/>
        <v>336517</v>
      </c>
      <c r="AX507" s="1">
        <f t="shared" si="1679"/>
        <v>8973776</v>
      </c>
      <c r="AY507" s="1">
        <f t="shared" si="1679"/>
        <v>20190996</v>
      </c>
      <c r="AZ507" s="1">
        <f t="shared" si="1534"/>
        <v>289076580</v>
      </c>
      <c r="BA507" s="1">
        <f t="shared" si="1535"/>
        <v>144538290</v>
      </c>
      <c r="BC507" s="1">
        <f t="shared" si="1536"/>
        <v>496</v>
      </c>
    </row>
    <row r="508" s="1" customFormat="1" spans="2:55">
      <c r="B508" s="4">
        <v>497</v>
      </c>
      <c r="C508" s="1">
        <f t="shared" ref="C508:I508" si="1680">C$5+(C$6-C$5)*(POWER(C$7,$B508-1)-1)/(POWER(C$7,$B$3-1)-1)</f>
        <v>39263.0587711995</v>
      </c>
      <c r="D508" s="1">
        <f t="shared" si="1680"/>
        <v>11778.9176313598</v>
      </c>
      <c r="E508" s="1">
        <f t="shared" si="1680"/>
        <v>7852.61175423989</v>
      </c>
      <c r="F508" s="1">
        <f t="shared" si="1680"/>
        <v>144130.215742378</v>
      </c>
      <c r="G508" s="1">
        <f t="shared" si="1680"/>
        <v>43239.0647227133</v>
      </c>
      <c r="H508" s="1">
        <f t="shared" si="1680"/>
        <v>28826.0431484756</v>
      </c>
      <c r="I508" s="1">
        <f t="shared" si="1680"/>
        <v>0</v>
      </c>
      <c r="J508" s="1">
        <f>[1]标准模型!$I$65/1*$B508/$B$3</f>
        <v>3.5784</v>
      </c>
      <c r="K508" s="1">
        <f>J508*[1]标准模型!$J$63</f>
        <v>3.5784</v>
      </c>
      <c r="L508" s="1">
        <f t="shared" si="1513"/>
        <v>183393.274513577</v>
      </c>
      <c r="M508" s="1">
        <f t="shared" si="1514"/>
        <v>97167.661206131</v>
      </c>
      <c r="N508" s="1">
        <f t="shared" si="1515"/>
        <v>64778.4408040875</v>
      </c>
      <c r="O508" s="1">
        <f t="shared" ref="O508:X508" si="1681">O$5+(O$6-O$5)*(POWER(O$7,$B508-1)-1)/(POWER(O$7,$B$3-1)-1)</f>
        <v>0.996994733406046</v>
      </c>
      <c r="P508" s="1">
        <f t="shared" si="1681"/>
        <v>0.39659245636181</v>
      </c>
      <c r="Q508" s="1">
        <f t="shared" si="1681"/>
        <v>0.548347103373325</v>
      </c>
      <c r="R508" s="1">
        <f t="shared" si="1681"/>
        <v>1.19879789336242</v>
      </c>
      <c r="S508" s="1">
        <f t="shared" si="1681"/>
        <v>0.695792626768464</v>
      </c>
      <c r="T508" s="1">
        <f t="shared" si="1681"/>
        <v>3.93827946028358</v>
      </c>
      <c r="U508" s="1">
        <f t="shared" si="1681"/>
        <v>1</v>
      </c>
      <c r="V508" s="1">
        <f t="shared" si="1681"/>
        <v>1.54202160668899</v>
      </c>
      <c r="W508" s="1">
        <f t="shared" si="1681"/>
        <v>1.30584291286526</v>
      </c>
      <c r="X508" s="1">
        <f t="shared" si="1681"/>
        <v>2.59038314689935</v>
      </c>
      <c r="Y508" s="1">
        <f t="shared" si="1539"/>
        <v>17.2044782243982</v>
      </c>
      <c r="Z508" s="1">
        <f t="shared" si="1540"/>
        <v>36.9685443646858</v>
      </c>
      <c r="AA508" s="1">
        <f t="shared" si="1517"/>
        <v>6779782.40504019</v>
      </c>
      <c r="AB508" s="1">
        <f t="shared" si="1518"/>
        <v>97167.661206131</v>
      </c>
      <c r="AC508" s="1">
        <f t="shared" si="1519"/>
        <v>64778.4408040875</v>
      </c>
      <c r="AD508" s="1">
        <f>AC508/(AC508+[1]战斗公式!$M$27)</f>
        <v>0.729664096568646</v>
      </c>
      <c r="AE508" s="1">
        <f t="shared" si="1520"/>
        <v>25079104.6212689</v>
      </c>
      <c r="AF508" s="1">
        <f t="shared" si="1521"/>
        <v>15.0019865488137</v>
      </c>
      <c r="AG508" s="1">
        <f t="shared" si="1522"/>
        <v>6.98164765038279</v>
      </c>
      <c r="AH508" s="1">
        <f t="shared" si="1523"/>
        <v>4.99781433459637</v>
      </c>
      <c r="AI508" s="1">
        <f t="shared" si="1524"/>
        <v>2.2829529913844</v>
      </c>
      <c r="AJ508" s="1">
        <f t="shared" si="1525"/>
        <v>1.00000000000147</v>
      </c>
      <c r="AK508" s="1">
        <f t="shared" si="1526"/>
        <v>1.00000209256097</v>
      </c>
      <c r="AL508" s="1">
        <f t="shared" si="1527"/>
        <v>0.949609542209442</v>
      </c>
      <c r="AM508" s="27">
        <f t="shared" si="1528"/>
        <v>4853309</v>
      </c>
      <c r="AN508" s="27">
        <f t="shared" si="1529"/>
        <v>221829</v>
      </c>
      <c r="AO508" s="27">
        <f t="shared" si="1530"/>
        <v>64778</v>
      </c>
      <c r="AP508" s="1">
        <f t="shared" si="1531"/>
        <v>2258645</v>
      </c>
      <c r="AQ508" s="1">
        <f t="shared" si="1532"/>
        <v>210651</v>
      </c>
      <c r="AR508"/>
      <c r="AS508" s="1">
        <f t="shared" ref="AS508:AY508" si="1682">ROUNDUP(AS$10*$AP508,0)</f>
        <v>2258645</v>
      </c>
      <c r="AT508" s="1">
        <f t="shared" si="1682"/>
        <v>6775935</v>
      </c>
      <c r="AU508" s="1">
        <f t="shared" si="1682"/>
        <v>4065561</v>
      </c>
      <c r="AV508" s="1">
        <f t="shared" si="1682"/>
        <v>1129323</v>
      </c>
      <c r="AW508" s="1">
        <f t="shared" si="1682"/>
        <v>338797</v>
      </c>
      <c r="AX508" s="1">
        <f t="shared" si="1682"/>
        <v>9034580</v>
      </c>
      <c r="AY508" s="1">
        <f t="shared" si="1682"/>
        <v>20327805</v>
      </c>
      <c r="AZ508" s="1">
        <f t="shared" si="1534"/>
        <v>291198540</v>
      </c>
      <c r="BA508" s="1">
        <f t="shared" si="1535"/>
        <v>145599270</v>
      </c>
      <c r="BC508" s="1">
        <f t="shared" si="1536"/>
        <v>497</v>
      </c>
    </row>
    <row r="509" s="1" customFormat="1" spans="2:55">
      <c r="B509" s="4">
        <v>498</v>
      </c>
      <c r="C509" s="1">
        <f t="shared" ref="C509:I509" si="1683">C$5+(C$6-C$5)*(POWER(C$7,$B509-1)-1)/(POWER(C$7,$B$3-1)-1)</f>
        <v>39342.0392597825</v>
      </c>
      <c r="D509" s="1">
        <f t="shared" si="1683"/>
        <v>11802.6117779347</v>
      </c>
      <c r="E509" s="1">
        <f t="shared" si="1683"/>
        <v>7868.4078519565</v>
      </c>
      <c r="F509" s="1">
        <f t="shared" si="1683"/>
        <v>144420.144118189</v>
      </c>
      <c r="G509" s="1">
        <f t="shared" si="1683"/>
        <v>43326.0432354567</v>
      </c>
      <c r="H509" s="1">
        <f t="shared" si="1683"/>
        <v>28884.0288236378</v>
      </c>
      <c r="I509" s="1">
        <f t="shared" si="1683"/>
        <v>0</v>
      </c>
      <c r="J509" s="1">
        <f>[1]标准模型!$I$65/1*$B509/$B$3</f>
        <v>3.5856</v>
      </c>
      <c r="K509" s="1">
        <f>J509*[1]标准模型!$J$63</f>
        <v>3.5856</v>
      </c>
      <c r="L509" s="1">
        <f t="shared" si="1513"/>
        <v>183762.183377971</v>
      </c>
      <c r="M509" s="1">
        <f t="shared" si="1514"/>
        <v>97448.0998043541</v>
      </c>
      <c r="N509" s="1">
        <f t="shared" si="1515"/>
        <v>64965.3998695695</v>
      </c>
      <c r="O509" s="1">
        <f t="shared" ref="O509:X509" si="1684">O$5+(O$6-O$5)*(POWER(O$7,$B509-1)-1)/(POWER(O$7,$B$3-1)-1)</f>
        <v>0.99799648993915</v>
      </c>
      <c r="P509" s="1">
        <f t="shared" si="1684"/>
        <v>0.397726602171882</v>
      </c>
      <c r="Q509" s="1">
        <f t="shared" si="1684"/>
        <v>0.548898069466533</v>
      </c>
      <c r="R509" s="1">
        <f t="shared" si="1684"/>
        <v>1.19919859597566</v>
      </c>
      <c r="S509" s="1">
        <f t="shared" si="1684"/>
        <v>0.69719508591481</v>
      </c>
      <c r="T509" s="1">
        <f t="shared" si="1684"/>
        <v>3.94218631076269</v>
      </c>
      <c r="U509" s="1">
        <f t="shared" si="1684"/>
        <v>1</v>
      </c>
      <c r="V509" s="1">
        <f t="shared" si="1684"/>
        <v>1.54311412065159</v>
      </c>
      <c r="W509" s="1">
        <f t="shared" si="1684"/>
        <v>1.30645937842409</v>
      </c>
      <c r="X509" s="1">
        <f t="shared" si="1684"/>
        <v>2.59358876780528</v>
      </c>
      <c r="Y509" s="1">
        <f t="shared" si="1539"/>
        <v>17.3049025281483</v>
      </c>
      <c r="Z509" s="1">
        <f t="shared" si="1540"/>
        <v>37.2051402820397</v>
      </c>
      <c r="AA509" s="1">
        <f t="shared" si="1517"/>
        <v>6836897.81111133</v>
      </c>
      <c r="AB509" s="1">
        <f t="shared" si="1518"/>
        <v>97448.0998043541</v>
      </c>
      <c r="AC509" s="1">
        <f t="shared" si="1519"/>
        <v>64965.3998695695</v>
      </c>
      <c r="AD509" s="1">
        <f>AC509/(AC509+[1]战斗公式!$M$27)</f>
        <v>0.730232202236083</v>
      </c>
      <c r="AE509" s="1">
        <f t="shared" si="1520"/>
        <v>25343639.4847043</v>
      </c>
      <c r="AF509" s="1">
        <f t="shared" si="1521"/>
        <v>15.0288742170763</v>
      </c>
      <c r="AG509" s="1">
        <f t="shared" si="1522"/>
        <v>6.99024923606733</v>
      </c>
      <c r="AH509" s="1">
        <f t="shared" si="1523"/>
        <v>4.99854838131795</v>
      </c>
      <c r="AI509" s="1">
        <f t="shared" si="1524"/>
        <v>2.28862397805495</v>
      </c>
      <c r="AJ509" s="1">
        <f t="shared" si="1525"/>
        <v>1.00000000000095</v>
      </c>
      <c r="AK509" s="1">
        <f t="shared" si="1526"/>
        <v>1.00000138090236</v>
      </c>
      <c r="AL509" s="1">
        <f t="shared" si="1527"/>
        <v>0.949740086046173</v>
      </c>
      <c r="AM509" s="27">
        <f t="shared" si="1528"/>
        <v>4888891</v>
      </c>
      <c r="AN509" s="27">
        <f t="shared" si="1529"/>
        <v>223022</v>
      </c>
      <c r="AO509" s="27">
        <f t="shared" si="1530"/>
        <v>64965</v>
      </c>
      <c r="AP509" s="1">
        <f t="shared" si="1531"/>
        <v>2273930</v>
      </c>
      <c r="AQ509" s="1">
        <f t="shared" si="1532"/>
        <v>211813</v>
      </c>
      <c r="AR509"/>
      <c r="AS509" s="1">
        <f t="shared" ref="AS509:AY509" si="1685">ROUNDUP(AS$10*$AP509,0)</f>
        <v>2273930</v>
      </c>
      <c r="AT509" s="1">
        <f t="shared" si="1685"/>
        <v>6821790</v>
      </c>
      <c r="AU509" s="1">
        <f t="shared" si="1685"/>
        <v>4093074</v>
      </c>
      <c r="AV509" s="1">
        <f t="shared" si="1685"/>
        <v>1136965</v>
      </c>
      <c r="AW509" s="1">
        <f t="shared" si="1685"/>
        <v>341090</v>
      </c>
      <c r="AX509" s="1">
        <f t="shared" si="1685"/>
        <v>9095720</v>
      </c>
      <c r="AY509" s="1">
        <f t="shared" si="1685"/>
        <v>20465370</v>
      </c>
      <c r="AZ509" s="1">
        <f t="shared" si="1534"/>
        <v>293333460</v>
      </c>
      <c r="BA509" s="1">
        <f t="shared" si="1535"/>
        <v>146666730</v>
      </c>
      <c r="BC509" s="1">
        <f t="shared" si="1536"/>
        <v>498</v>
      </c>
    </row>
    <row r="510" s="1" customFormat="1" spans="2:55">
      <c r="B510" s="4">
        <v>499</v>
      </c>
      <c r="C510" s="1">
        <f t="shared" ref="C510:I510" si="1686">C$5+(C$6-C$5)*(POWER(C$7,$B510-1)-1)/(POWER(C$7,$B$3-1)-1)</f>
        <v>39421.0196693827</v>
      </c>
      <c r="D510" s="1">
        <f t="shared" si="1686"/>
        <v>11826.3059008148</v>
      </c>
      <c r="E510" s="1">
        <f t="shared" si="1686"/>
        <v>7884.20393387653</v>
      </c>
      <c r="F510" s="1">
        <f t="shared" si="1686"/>
        <v>144710.072204063</v>
      </c>
      <c r="G510" s="1">
        <f t="shared" si="1686"/>
        <v>43413.0216612189</v>
      </c>
      <c r="H510" s="1">
        <f t="shared" si="1686"/>
        <v>28942.0144408126</v>
      </c>
      <c r="I510" s="1">
        <f t="shared" si="1686"/>
        <v>0</v>
      </c>
      <c r="J510" s="1">
        <f>[1]标准模型!$I$65/1*$B510/$B$3</f>
        <v>3.5928</v>
      </c>
      <c r="K510" s="1">
        <f>J510*[1]标准模型!$J$63</f>
        <v>3.5928</v>
      </c>
      <c r="L510" s="1">
        <f t="shared" si="1513"/>
        <v>184131.091873446</v>
      </c>
      <c r="M510" s="1">
        <f t="shared" si="1514"/>
        <v>97728.8794024811</v>
      </c>
      <c r="N510" s="1">
        <f t="shared" si="1515"/>
        <v>65152.5862683207</v>
      </c>
      <c r="O510" s="1">
        <f t="shared" ref="O510:X510" si="1687">O$5+(O$6-O$5)*(POWER(O$7,$B510-1)-1)/(POWER(O$7,$B$3-1)-1)</f>
        <v>0.998998245470468</v>
      </c>
      <c r="P510" s="1">
        <f t="shared" si="1687"/>
        <v>0.398862449200669</v>
      </c>
      <c r="Q510" s="1">
        <f t="shared" si="1687"/>
        <v>0.549449035008758</v>
      </c>
      <c r="R510" s="1">
        <f t="shared" si="1687"/>
        <v>1.19959929818819</v>
      </c>
      <c r="S510" s="1">
        <f t="shared" si="1687"/>
        <v>0.698597543658656</v>
      </c>
      <c r="T510" s="1">
        <f t="shared" si="1687"/>
        <v>3.94609315733483</v>
      </c>
      <c r="U510" s="1">
        <f t="shared" si="1687"/>
        <v>1</v>
      </c>
      <c r="V510" s="1">
        <f t="shared" si="1687"/>
        <v>1.54420663352164</v>
      </c>
      <c r="W510" s="1">
        <f t="shared" si="1687"/>
        <v>1.30707584336644</v>
      </c>
      <c r="X510" s="1">
        <f t="shared" si="1687"/>
        <v>2.5967943855055</v>
      </c>
      <c r="Y510" s="1">
        <f t="shared" si="1539"/>
        <v>17.4058357290541</v>
      </c>
      <c r="Z510" s="1">
        <f t="shared" si="1540"/>
        <v>37.4430686811928</v>
      </c>
      <c r="AA510" s="1">
        <f t="shared" si="1517"/>
        <v>6894433.11936045</v>
      </c>
      <c r="AB510" s="1">
        <f t="shared" si="1518"/>
        <v>97728.8794024811</v>
      </c>
      <c r="AC510" s="1">
        <f t="shared" si="1519"/>
        <v>65152.5862683207</v>
      </c>
      <c r="AD510" s="1">
        <f>AC510/(AC510+[1]战斗公式!$M$27)</f>
        <v>0.730798611632335</v>
      </c>
      <c r="AE510" s="1">
        <f t="shared" si="1520"/>
        <v>25610689.3102063</v>
      </c>
      <c r="AF510" s="1">
        <f t="shared" si="1521"/>
        <v>15.055787213707</v>
      </c>
      <c r="AG510" s="1">
        <f t="shared" si="1522"/>
        <v>6.9988536795598</v>
      </c>
      <c r="AH510" s="1">
        <f t="shared" si="1523"/>
        <v>4.99927692268912</v>
      </c>
      <c r="AI510" s="1">
        <f t="shared" si="1524"/>
        <v>2.29430630669883</v>
      </c>
      <c r="AJ510" s="1">
        <f t="shared" si="1525"/>
        <v>1.00000000000046</v>
      </c>
      <c r="AK510" s="1">
        <f t="shared" si="1526"/>
        <v>1.00000068347693</v>
      </c>
      <c r="AL510" s="1">
        <f t="shared" si="1527"/>
        <v>0.949870238251394</v>
      </c>
      <c r="AM510" s="27">
        <f t="shared" si="1528"/>
        <v>4924689</v>
      </c>
      <c r="AN510" s="27">
        <f t="shared" si="1529"/>
        <v>224220</v>
      </c>
      <c r="AO510" s="27">
        <f t="shared" si="1530"/>
        <v>65153</v>
      </c>
      <c r="AP510" s="1">
        <f t="shared" si="1531"/>
        <v>2289299</v>
      </c>
      <c r="AQ510" s="1">
        <f t="shared" si="1532"/>
        <v>212980</v>
      </c>
      <c r="AR510"/>
      <c r="AS510" s="1">
        <f t="shared" ref="AS510:AY510" si="1688">ROUNDUP(AS$10*$AP510,0)</f>
        <v>2289299</v>
      </c>
      <c r="AT510" s="1">
        <f t="shared" si="1688"/>
        <v>6867897</v>
      </c>
      <c r="AU510" s="1">
        <f t="shared" si="1688"/>
        <v>4120739</v>
      </c>
      <c r="AV510" s="1">
        <f t="shared" si="1688"/>
        <v>1144650</v>
      </c>
      <c r="AW510" s="1">
        <f t="shared" si="1688"/>
        <v>343395</v>
      </c>
      <c r="AX510" s="1">
        <f t="shared" si="1688"/>
        <v>9157196</v>
      </c>
      <c r="AY510" s="1">
        <f t="shared" si="1688"/>
        <v>20603691</v>
      </c>
      <c r="AZ510" s="1">
        <f t="shared" si="1534"/>
        <v>295481340</v>
      </c>
      <c r="BA510" s="1">
        <f t="shared" si="1535"/>
        <v>147740670</v>
      </c>
      <c r="BC510" s="1">
        <f t="shared" si="1536"/>
        <v>499</v>
      </c>
    </row>
    <row r="511" s="1" customFormat="1" spans="2:55">
      <c r="B511" s="4">
        <v>500</v>
      </c>
      <c r="C511" s="1">
        <f t="shared" ref="C511:I511" si="1689">C$5+(C$6-C$5)*(POWER(C$7,$B511-1)-1)/(POWER(C$7,$B$3-1)-1)</f>
        <v>39500</v>
      </c>
      <c r="D511" s="1">
        <f t="shared" si="1689"/>
        <v>11850</v>
      </c>
      <c r="E511" s="1">
        <f t="shared" si="1689"/>
        <v>7900</v>
      </c>
      <c r="F511" s="1">
        <f t="shared" si="1689"/>
        <v>145000</v>
      </c>
      <c r="G511" s="1">
        <f t="shared" si="1689"/>
        <v>43500</v>
      </c>
      <c r="H511" s="1">
        <f t="shared" si="1689"/>
        <v>29000</v>
      </c>
      <c r="I511" s="1">
        <f t="shared" si="1689"/>
        <v>0</v>
      </c>
      <c r="J511" s="1">
        <f>[1]标准模型!$I$65/1*$B511/$B$3</f>
        <v>3.6</v>
      </c>
      <c r="K511" s="1">
        <f>J511*[1]标准模型!$J$63</f>
        <v>3.6</v>
      </c>
      <c r="L511" s="1">
        <f t="shared" si="1513"/>
        <v>184500</v>
      </c>
      <c r="M511" s="1">
        <f t="shared" si="1514"/>
        <v>98010</v>
      </c>
      <c r="N511" s="1">
        <f t="shared" si="1515"/>
        <v>65340</v>
      </c>
      <c r="O511" s="1">
        <f t="shared" ref="O511:X511" si="1690">O$5+(O$6-O$5)*(POWER(O$7,$B511-1)-1)/(POWER(O$7,$B$3-1)-1)</f>
        <v>1</v>
      </c>
      <c r="P511" s="1">
        <f t="shared" si="1690"/>
        <v>0.4</v>
      </c>
      <c r="Q511" s="1">
        <f t="shared" si="1690"/>
        <v>0.55</v>
      </c>
      <c r="R511" s="1">
        <f t="shared" si="1690"/>
        <v>1.2</v>
      </c>
      <c r="S511" s="1">
        <f t="shared" si="1690"/>
        <v>0.7</v>
      </c>
      <c r="T511" s="1">
        <f t="shared" si="1690"/>
        <v>3.95</v>
      </c>
      <c r="U511" s="1">
        <f t="shared" si="1690"/>
        <v>1</v>
      </c>
      <c r="V511" s="1">
        <f t="shared" si="1690"/>
        <v>1.54529914529915</v>
      </c>
      <c r="W511" s="1">
        <f t="shared" si="1690"/>
        <v>1.30769230769231</v>
      </c>
      <c r="X511" s="1">
        <f t="shared" si="1690"/>
        <v>2.6</v>
      </c>
      <c r="Y511" s="1">
        <f t="shared" si="1539"/>
        <v>17.50728</v>
      </c>
      <c r="Z511" s="1">
        <f t="shared" si="1540"/>
        <v>37.682336</v>
      </c>
      <c r="AA511" s="1">
        <f t="shared" si="1517"/>
        <v>6952390.992</v>
      </c>
      <c r="AB511" s="1">
        <f t="shared" si="1518"/>
        <v>98010</v>
      </c>
      <c r="AC511" s="1">
        <f t="shared" si="1519"/>
        <v>65340</v>
      </c>
      <c r="AD511" s="1">
        <f>AC511/(AC511+[1]战斗公式!$M$27)</f>
        <v>0.731363331094694</v>
      </c>
      <c r="AE511" s="1">
        <f t="shared" si="1520"/>
        <v>25880275.46772</v>
      </c>
      <c r="AF511" s="1">
        <f t="shared" si="1521"/>
        <v>15.0827255236346</v>
      </c>
      <c r="AG511" s="1">
        <f t="shared" si="1522"/>
        <v>7.00746097337006</v>
      </c>
      <c r="AH511" s="1">
        <f t="shared" si="1523"/>
        <v>5</v>
      </c>
      <c r="AI511" s="1">
        <f t="shared" si="1524"/>
        <v>2.3</v>
      </c>
      <c r="AJ511" s="1">
        <f t="shared" si="1525"/>
        <v>1</v>
      </c>
      <c r="AK511" s="1">
        <f t="shared" si="1526"/>
        <v>1</v>
      </c>
      <c r="AL511" s="1">
        <f t="shared" si="1527"/>
        <v>0.95</v>
      </c>
      <c r="AM511" s="27">
        <f t="shared" si="1528"/>
        <v>4960706</v>
      </c>
      <c r="AN511" s="27">
        <f t="shared" si="1529"/>
        <v>225423</v>
      </c>
      <c r="AO511" s="27">
        <f t="shared" si="1530"/>
        <v>65340</v>
      </c>
      <c r="AP511" s="1">
        <f t="shared" si="1531"/>
        <v>2304753</v>
      </c>
      <c r="AQ511" s="1">
        <f t="shared" si="1532"/>
        <v>214152</v>
      </c>
      <c r="AR511"/>
      <c r="AS511" s="1">
        <f t="shared" ref="AS511:AY511" si="1691">ROUNDUP(AS$10*$AP511,0)</f>
        <v>2304753</v>
      </c>
      <c r="AT511" s="1">
        <f t="shared" si="1691"/>
        <v>6914259</v>
      </c>
      <c r="AU511" s="1">
        <f t="shared" si="1691"/>
        <v>4148556</v>
      </c>
      <c r="AV511" s="1">
        <f t="shared" si="1691"/>
        <v>1152377</v>
      </c>
      <c r="AW511" s="1">
        <f t="shared" si="1691"/>
        <v>345713</v>
      </c>
      <c r="AX511" s="1">
        <f t="shared" si="1691"/>
        <v>9219012</v>
      </c>
      <c r="AY511" s="1">
        <f t="shared" si="1691"/>
        <v>20742777</v>
      </c>
      <c r="AZ511" s="1">
        <f t="shared" si="1534"/>
        <v>297642360</v>
      </c>
      <c r="BA511" s="1">
        <f t="shared" si="1535"/>
        <v>148821180</v>
      </c>
      <c r="BC511" s="1">
        <f t="shared" si="1536"/>
        <v>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92"/>
  <sheetViews>
    <sheetView workbookViewId="0">
      <selection activeCell="G21" sqref="G21"/>
    </sheetView>
  </sheetViews>
  <sheetFormatPr defaultColWidth="9" defaultRowHeight="16.5"/>
  <cols>
    <col min="1" max="1" width="9" style="1" customWidth="1"/>
    <col min="2" max="2" width="25.375" style="1" customWidth="1"/>
    <col min="3" max="3" width="16.875" style="1" customWidth="1"/>
    <col min="4" max="4" width="14.125" style="1" customWidth="1"/>
    <col min="5" max="5" width="9" style="1" customWidth="1"/>
    <col min="6" max="6" width="14.875" style="1" customWidth="1"/>
    <col min="7" max="7" width="12.75" style="1" customWidth="1"/>
    <col min="8" max="11" width="9" style="1" customWidth="1"/>
    <col min="12" max="12" width="14.125" style="1" customWidth="1"/>
    <col min="13" max="13" width="9" style="1" customWidth="1"/>
    <col min="14" max="14" width="15" style="1" customWidth="1"/>
    <col min="15" max="18" width="9" style="1" customWidth="1"/>
    <col min="19" max="19" width="14.125" style="1" customWidth="1"/>
    <col min="20" max="16384" width="9" style="1" customWidth="1"/>
  </cols>
  <sheetData>
    <row r="2" s="1" customFormat="1" spans="2:19">
      <c r="B2" s="1" t="s">
        <v>93</v>
      </c>
      <c r="C2" s="2">
        <v>2</v>
      </c>
      <c r="G2" s="1" t="s">
        <v>170</v>
      </c>
      <c r="J2" s="1" t="s">
        <v>171</v>
      </c>
      <c r="N2" s="1" t="s">
        <v>172</v>
      </c>
      <c r="Q2" s="1" t="s">
        <v>173</v>
      </c>
    </row>
    <row r="3" s="1" customFormat="1" spans="2:19">
      <c r="B3" s="1" t="s">
        <v>174</v>
      </c>
      <c r="C3" s="3" t="s">
        <v>175</v>
      </c>
      <c r="J3" s="4"/>
      <c r="K3" s="4"/>
      <c r="L3" s="5"/>
      <c r="S3" s="5"/>
    </row>
    <row r="4" s="1" customFormat="1" spans="2:19">
      <c r="B4" s="1" t="s">
        <v>176</v>
      </c>
      <c r="C4" s="6"/>
      <c r="G4" s="1" t="s">
        <v>177</v>
      </c>
      <c r="H4" s="1">
        <f>[1]标准模型!H81</f>
        <v>2</v>
      </c>
      <c r="J4" s="4">
        <v>1</v>
      </c>
      <c r="K4" s="4">
        <v>0.7</v>
      </c>
      <c r="L4" s="7">
        <f t="shared" ref="L4:L6" si="0">$L$7/$K$7*K4</f>
        <v>4.76</v>
      </c>
      <c r="N4" s="8" t="s">
        <v>178</v>
      </c>
      <c r="O4" s="9">
        <v>0.9</v>
      </c>
      <c r="Q4" s="1" t="s">
        <v>179</v>
      </c>
      <c r="R4" s="1">
        <v>12</v>
      </c>
      <c r="S4" s="5">
        <f>$S$5*$R$5/R4</f>
        <v>0.25</v>
      </c>
    </row>
    <row r="5" s="1" customFormat="1" spans="2:19">
      <c r="B5" s="10" t="s">
        <v>180</v>
      </c>
      <c r="C5" s="11">
        <v>1</v>
      </c>
      <c r="G5" s="1" t="s">
        <v>181</v>
      </c>
      <c r="H5" s="1">
        <f>预计投放属性数值!C33</f>
        <v>10</v>
      </c>
      <c r="J5" s="4">
        <v>2</v>
      </c>
      <c r="K5" s="4">
        <v>0.8</v>
      </c>
      <c r="L5" s="7">
        <f t="shared" si="0"/>
        <v>5.44</v>
      </c>
      <c r="N5" s="12" t="s">
        <v>182</v>
      </c>
      <c r="O5" s="9">
        <v>0.95</v>
      </c>
      <c r="Q5" s="1" t="s">
        <v>62</v>
      </c>
      <c r="R5" s="1">
        <v>3</v>
      </c>
      <c r="S5" s="2">
        <v>1</v>
      </c>
    </row>
    <row r="6" s="1" customFormat="1" spans="2:19">
      <c r="B6" s="13" t="s">
        <v>172</v>
      </c>
      <c r="C6" s="14" t="str">
        <f>$C$3</f>
        <v>SSR</v>
      </c>
      <c r="D6" s="1">
        <f>VLOOKUP(C6,$N$4:$O$6,2,0)</f>
        <v>1</v>
      </c>
      <c r="G6" s="1" t="s">
        <v>183</v>
      </c>
      <c r="H6" s="15">
        <v>10</v>
      </c>
      <c r="J6" s="4">
        <v>3</v>
      </c>
      <c r="K6" s="4">
        <v>0.9</v>
      </c>
      <c r="L6" s="7">
        <f t="shared" si="0"/>
        <v>6.12</v>
      </c>
      <c r="N6" s="3" t="s">
        <v>175</v>
      </c>
      <c r="O6" s="9">
        <v>1</v>
      </c>
      <c r="Q6" s="1" t="s">
        <v>63</v>
      </c>
      <c r="R6" s="1">
        <v>2</v>
      </c>
      <c r="S6" s="5">
        <f>$S$5*$R$5/R6</f>
        <v>1.5</v>
      </c>
    </row>
    <row r="7" s="1" customFormat="1" spans="2:19">
      <c r="B7" s="13" t="s">
        <v>184</v>
      </c>
      <c r="C7" s="16">
        <v>1</v>
      </c>
      <c r="G7" s="1" t="s">
        <v>185</v>
      </c>
      <c r="H7" s="17">
        <f>H4*H6/H5</f>
        <v>2</v>
      </c>
      <c r="J7" s="4">
        <v>4</v>
      </c>
      <c r="K7" s="4">
        <v>1</v>
      </c>
      <c r="L7" s="18">
        <v>6.8</v>
      </c>
    </row>
    <row r="8" s="1" customFormat="1" spans="2:19">
      <c r="B8" s="19" t="s">
        <v>186</v>
      </c>
      <c r="C8" s="20">
        <f>C5/C7*D6*C2</f>
        <v>2</v>
      </c>
      <c r="G8" s="1" t="s">
        <v>187</v>
      </c>
      <c r="H8" s="17">
        <f>100%</f>
        <v>1</v>
      </c>
    </row>
    <row r="9" s="1" customFormat="1" spans="2:19">
      <c r="C9" s="6"/>
      <c r="G9" s="1" t="s">
        <v>188</v>
      </c>
      <c r="H9" s="17">
        <f>预计投放属性数值!C47</f>
        <v>16.5</v>
      </c>
    </row>
    <row r="10" s="1" customFormat="1" spans="2:19">
      <c r="B10" s="1" t="s">
        <v>189</v>
      </c>
    </row>
    <row r="11" s="1" customFormat="1" spans="2:19">
      <c r="B11" s="10" t="s">
        <v>190</v>
      </c>
      <c r="C11" s="11">
        <v>0.7</v>
      </c>
    </row>
    <row r="12" s="1" customFormat="1" spans="2:19">
      <c r="B12" s="13" t="s">
        <v>172</v>
      </c>
      <c r="C12" s="14" t="str">
        <f>$C$3</f>
        <v>SSR</v>
      </c>
      <c r="D12" s="1">
        <f>VLOOKUP(C12,$N$4:$O$6,2,0)</f>
        <v>1</v>
      </c>
    </row>
    <row r="13" s="1" customFormat="1" spans="2:19">
      <c r="B13" s="13" t="s">
        <v>184</v>
      </c>
      <c r="C13" s="16">
        <v>1</v>
      </c>
    </row>
    <row r="14" s="1" customFormat="1" spans="2:19">
      <c r="B14" s="19" t="s">
        <v>186</v>
      </c>
      <c r="C14" s="20">
        <f>C11/C13*D12*C2</f>
        <v>1.4</v>
      </c>
    </row>
    <row r="16" s="1" customFormat="1" spans="2:19">
      <c r="B16" s="1" t="s">
        <v>191</v>
      </c>
      <c r="N16" s="1" t="s">
        <v>192</v>
      </c>
      <c r="O16" s="1">
        <v>0.5</v>
      </c>
      <c r="P16" s="1">
        <v>0.65</v>
      </c>
      <c r="Q16" s="1">
        <v>0.8</v>
      </c>
      <c r="R16" s="1">
        <v>1</v>
      </c>
    </row>
    <row r="17" s="1" customFormat="1" spans="2:21">
      <c r="B17" s="10" t="s">
        <v>193</v>
      </c>
      <c r="C17" s="11">
        <v>0.93</v>
      </c>
    </row>
    <row r="18" s="1" customFormat="1" spans="2:21">
      <c r="B18" s="13" t="s">
        <v>172</v>
      </c>
      <c r="C18" s="14" t="str">
        <f>$C$3</f>
        <v>SSR</v>
      </c>
      <c r="D18" s="1">
        <f>VLOOKUP(C18,$N$4:$O$6,2,0)</f>
        <v>1</v>
      </c>
      <c r="N18" s="1" t="s">
        <v>93</v>
      </c>
      <c r="O18" s="1">
        <v>0.5</v>
      </c>
      <c r="P18" s="1">
        <v>0.75</v>
      </c>
      <c r="Q18" s="1">
        <v>1</v>
      </c>
    </row>
    <row r="19" s="1" customFormat="1" spans="2:21">
      <c r="B19" s="13" t="s">
        <v>184</v>
      </c>
      <c r="C19" s="16">
        <v>1</v>
      </c>
      <c r="T19" s="1" t="s">
        <v>194</v>
      </c>
      <c r="U19" s="1" t="s">
        <v>195</v>
      </c>
    </row>
    <row r="20" s="1" customFormat="1" spans="2:21">
      <c r="B20" s="19" t="s">
        <v>186</v>
      </c>
      <c r="C20" s="20">
        <f>C17/C19*D18*C2</f>
        <v>1.86</v>
      </c>
      <c r="O20" s="1">
        <f t="shared" ref="O20:Q20" si="1">MROUND($R$20*O16,5)</f>
        <v>25</v>
      </c>
      <c r="P20" s="1">
        <f t="shared" si="1"/>
        <v>35</v>
      </c>
      <c r="Q20" s="1">
        <f t="shared" si="1"/>
        <v>40</v>
      </c>
      <c r="R20" s="15">
        <v>50</v>
      </c>
      <c r="T20" s="1" t="str">
        <f>_xlfn.CONCAT(O20,$T$19,P20,$T$19,Q20,$T$19,R20,$U$19)</f>
        <v>25%/35%/40%/50%</v>
      </c>
    </row>
    <row r="22" s="1" customFormat="1" spans="2:21">
      <c r="C22" s="6"/>
      <c r="O22" s="1">
        <f t="shared" ref="O22:Q22" si="2">MROUND(O18*$R$20,5)</f>
        <v>25</v>
      </c>
      <c r="P22" s="1">
        <f t="shared" si="2"/>
        <v>40</v>
      </c>
      <c r="Q22" s="1">
        <f t="shared" si="2"/>
        <v>50</v>
      </c>
      <c r="T22" s="1" t="str">
        <f>_xlfn.CONCAT(O22,$T$19,P22,$T$19,Q22,$U$19)</f>
        <v>25%/40%/50%</v>
      </c>
    </row>
    <row r="23" s="1" customFormat="1" spans="2:21">
      <c r="B23" s="1" t="s">
        <v>196</v>
      </c>
      <c r="C23" s="6"/>
    </row>
    <row r="24" s="1" customFormat="1" spans="2:21">
      <c r="B24" s="10" t="s">
        <v>197</v>
      </c>
      <c r="C24" s="11">
        <v>0.75</v>
      </c>
    </row>
    <row r="25" s="1" customFormat="1" spans="2:21">
      <c r="B25" s="13" t="s">
        <v>172</v>
      </c>
      <c r="C25" s="14" t="str">
        <f>$C$3</f>
        <v>SSR</v>
      </c>
      <c r="D25" s="1">
        <f>VLOOKUP(C25,$N$4:$O$6,2,0)</f>
        <v>1</v>
      </c>
    </row>
    <row r="26" s="1" customFormat="1" spans="2:21">
      <c r="B26" s="13" t="s">
        <v>198</v>
      </c>
      <c r="C26" s="21">
        <v>1</v>
      </c>
    </row>
    <row r="27" s="1" customFormat="1" spans="2:21">
      <c r="B27" s="13" t="s">
        <v>199</v>
      </c>
      <c r="C27" s="16">
        <v>1</v>
      </c>
    </row>
    <row r="28" s="1" customFormat="1" spans="2:21">
      <c r="B28" s="13" t="s">
        <v>200</v>
      </c>
      <c r="C28" s="21">
        <v>1.2</v>
      </c>
    </row>
    <row r="29" s="1" customFormat="1" spans="2:21">
      <c r="B29" s="13" t="s">
        <v>184</v>
      </c>
      <c r="C29" s="16">
        <v>1</v>
      </c>
    </row>
    <row r="30" s="1" customFormat="1" spans="2:21">
      <c r="B30" s="19" t="s">
        <v>186</v>
      </c>
      <c r="C30" s="20">
        <f>POWER(C26,C28)/POWER(C27,C28)*C24*D25*C2/C29</f>
        <v>1.5</v>
      </c>
    </row>
    <row r="32" s="1" customFormat="1" spans="2:21">
      <c r="B32" s="1" t="s">
        <v>201</v>
      </c>
      <c r="C32" s="6"/>
    </row>
    <row r="33" s="1" customFormat="1" spans="2:4">
      <c r="B33" s="10" t="s">
        <v>202</v>
      </c>
      <c r="C33" s="11">
        <v>1.2</v>
      </c>
    </row>
    <row r="34" s="1" customFormat="1" spans="2:4">
      <c r="B34" s="13" t="s">
        <v>172</v>
      </c>
      <c r="C34" s="14" t="str">
        <f>$C$3</f>
        <v>SSR</v>
      </c>
      <c r="D34" s="1">
        <f>VLOOKUP(C34,$N$4:$O$6,2,0)</f>
        <v>1</v>
      </c>
    </row>
    <row r="35" s="1" customFormat="1" spans="2:4">
      <c r="B35" s="13" t="s">
        <v>203</v>
      </c>
      <c r="C35" s="16">
        <v>5</v>
      </c>
    </row>
    <row r="36" s="1" customFormat="1" spans="2:4">
      <c r="B36" s="13" t="s">
        <v>204</v>
      </c>
      <c r="C36" s="21">
        <v>5</v>
      </c>
    </row>
    <row r="37" s="1" customFormat="1" spans="2:4">
      <c r="B37" s="13" t="s">
        <v>205</v>
      </c>
      <c r="C37" s="21">
        <v>1.39</v>
      </c>
      <c r="D37" s="1">
        <f>POWER(C35,C37)/POWER(C36,C37)/C35*C36</f>
        <v>1</v>
      </c>
    </row>
    <row r="38" s="1" customFormat="1" spans="2:4">
      <c r="B38" s="13" t="s">
        <v>206</v>
      </c>
      <c r="C38" s="21">
        <v>5</v>
      </c>
    </row>
    <row r="39" s="1" customFormat="1" spans="2:4">
      <c r="B39" s="13" t="s">
        <v>207</v>
      </c>
      <c r="C39" s="16">
        <v>2</v>
      </c>
    </row>
    <row r="40" s="1" customFormat="1" spans="2:4">
      <c r="B40" s="13" t="s">
        <v>208</v>
      </c>
      <c r="C40" s="21">
        <v>1.21</v>
      </c>
      <c r="D40" s="1">
        <f>POWER(C38,C40)/POWER(C39,C40)*C39/C38</f>
        <v>1.21218080273278</v>
      </c>
    </row>
    <row r="41" s="1" customFormat="1" spans="2:4">
      <c r="B41" s="19" t="s">
        <v>209</v>
      </c>
      <c r="C41" s="20">
        <f>C33/C35*D37*D40*D34*C2</f>
        <v>0.581846785311734</v>
      </c>
    </row>
    <row r="44" s="1" customFormat="1" spans="2:4">
      <c r="B44" s="1" t="s">
        <v>210</v>
      </c>
    </row>
    <row r="45" s="1" customFormat="1" spans="2:4">
      <c r="B45" s="10" t="s">
        <v>211</v>
      </c>
      <c r="C45" s="11">
        <v>0.14</v>
      </c>
    </row>
    <row r="46" s="1" customFormat="1" spans="2:4">
      <c r="B46" s="13" t="s">
        <v>172</v>
      </c>
      <c r="C46" s="14" t="str">
        <f>$C$3</f>
        <v>SSR</v>
      </c>
      <c r="D46" s="1">
        <f>VLOOKUP(C46,$N$4:$O$6,2,0)</f>
        <v>1</v>
      </c>
    </row>
    <row r="47" s="1" customFormat="1" spans="2:4">
      <c r="B47" s="13" t="s">
        <v>212</v>
      </c>
      <c r="C47" s="16">
        <v>5</v>
      </c>
    </row>
    <row r="48" s="1" customFormat="1" spans="2:4">
      <c r="B48" s="13" t="s">
        <v>213</v>
      </c>
      <c r="C48" s="21">
        <v>1</v>
      </c>
    </row>
    <row r="49" s="1" customFormat="1" spans="2:4">
      <c r="B49" s="13" t="s">
        <v>214</v>
      </c>
      <c r="C49" s="21">
        <v>1.35</v>
      </c>
      <c r="D49" s="1">
        <f>POWER(C47,C49)/POWER(C48,C49)*C48/C47</f>
        <v>1.75646500494603</v>
      </c>
    </row>
    <row r="50" s="1" customFormat="1" spans="2:4">
      <c r="B50" s="19" t="s">
        <v>215</v>
      </c>
      <c r="C50" s="20">
        <f>C45/C47*C48*D49*D46*C2</f>
        <v>0.0983620402769777</v>
      </c>
    </row>
    <row r="51" s="1" customFormat="1" spans="2:4">
      <c r="C51" s="6"/>
    </row>
    <row r="52" s="1" customFormat="1" spans="2:4">
      <c r="C52" s="6"/>
    </row>
    <row r="53" s="1" customFormat="1" spans="2:4">
      <c r="B53" s="1" t="s">
        <v>216</v>
      </c>
    </row>
    <row r="54" s="1" customFormat="1" spans="2:4">
      <c r="B54" s="10" t="s">
        <v>217</v>
      </c>
      <c r="C54" s="11">
        <f>C45*1.25</f>
        <v>0.175</v>
      </c>
    </row>
    <row r="55" s="1" customFormat="1" spans="2:4">
      <c r="B55" s="13" t="s">
        <v>172</v>
      </c>
      <c r="C55" s="14" t="str">
        <f>$C$3</f>
        <v>SSR</v>
      </c>
      <c r="D55" s="1">
        <f>VLOOKUP(C55,$N$4:$O$6,2,0)</f>
        <v>1</v>
      </c>
    </row>
    <row r="56" s="1" customFormat="1" spans="2:4">
      <c r="B56" s="13" t="s">
        <v>218</v>
      </c>
      <c r="C56" s="16">
        <v>1</v>
      </c>
    </row>
    <row r="57" s="1" customFormat="1" spans="2:4">
      <c r="B57" s="13" t="s">
        <v>219</v>
      </c>
      <c r="C57" s="21">
        <v>1</v>
      </c>
    </row>
    <row r="58" s="1" customFormat="1" spans="2:4">
      <c r="B58" s="13" t="s">
        <v>214</v>
      </c>
      <c r="C58" s="21">
        <v>1.56</v>
      </c>
      <c r="D58" s="1">
        <f>POWER(C56,C58)/POWER(C57,C58)*C57/C56</f>
        <v>1</v>
      </c>
    </row>
    <row r="59" s="1" customFormat="1" spans="2:4">
      <c r="B59" s="13" t="s">
        <v>220</v>
      </c>
      <c r="C59" s="16">
        <v>4</v>
      </c>
    </row>
    <row r="60" s="1" customFormat="1" spans="2:4">
      <c r="B60" s="13" t="s">
        <v>221</v>
      </c>
      <c r="C60" s="21">
        <v>20</v>
      </c>
    </row>
    <row r="61" s="1" customFormat="1" spans="2:4">
      <c r="B61" s="13" t="s">
        <v>222</v>
      </c>
      <c r="C61" s="21">
        <v>2</v>
      </c>
    </row>
    <row r="62" s="1" customFormat="1" spans="2:4">
      <c r="B62" s="13" t="s">
        <v>223</v>
      </c>
      <c r="C62" s="21">
        <f t="array" ref="C62">_xlfn.IFS(C59&gt;=C60,C60,C59&lt;=C61,C61,AND(C59&lt;C60,C59&gt;C61),C59)</f>
        <v>4</v>
      </c>
    </row>
    <row r="63" s="1" customFormat="1" spans="2:4">
      <c r="B63" s="13" t="s">
        <v>224</v>
      </c>
      <c r="C63" s="21">
        <v>5</v>
      </c>
    </row>
    <row r="64" s="1" customFormat="1" spans="2:4">
      <c r="B64" s="13" t="s">
        <v>225</v>
      </c>
      <c r="C64" s="21">
        <v>0.35</v>
      </c>
      <c r="D64" s="1">
        <f>POWER(C62,C64)/POWER(C63,C64)*C63/C62</f>
        <v>1.1560896375234</v>
      </c>
    </row>
    <row r="65" s="1" customFormat="1" spans="2:4">
      <c r="B65" s="19" t="s">
        <v>226</v>
      </c>
      <c r="C65" s="20">
        <f>C54*D55/C56*D58*D64*C2</f>
        <v>0.40463137313319</v>
      </c>
    </row>
    <row r="67" s="1" customFormat="1" spans="2:4">
      <c r="B67" s="1" t="s">
        <v>227</v>
      </c>
    </row>
    <row r="68" s="1" customFormat="1" spans="2:4">
      <c r="B68" s="10" t="s">
        <v>228</v>
      </c>
      <c r="C68" s="11">
        <v>0.6</v>
      </c>
    </row>
    <row r="69" s="1" customFormat="1" spans="2:4">
      <c r="B69" s="13" t="s">
        <v>172</v>
      </c>
      <c r="C69" s="14" t="str">
        <f>$C$3</f>
        <v>SSR</v>
      </c>
      <c r="D69" s="1">
        <f>VLOOKUP(C69,$N$4:$O$6,2,0)</f>
        <v>1</v>
      </c>
    </row>
    <row r="70" s="1" customFormat="1" spans="2:4">
      <c r="B70" s="13" t="s">
        <v>229</v>
      </c>
      <c r="C70" s="21">
        <v>1</v>
      </c>
    </row>
    <row r="71" s="1" customFormat="1" spans="2:4">
      <c r="B71" s="13" t="s">
        <v>230</v>
      </c>
      <c r="C71" s="16">
        <v>1</v>
      </c>
    </row>
    <row r="72" s="1" customFormat="1" spans="2:4">
      <c r="B72" s="13" t="s">
        <v>231</v>
      </c>
      <c r="C72" s="21">
        <v>1</v>
      </c>
    </row>
    <row r="73" s="1" customFormat="1" spans="2:4">
      <c r="B73" s="13" t="s">
        <v>232</v>
      </c>
      <c r="C73" s="21">
        <v>0.35</v>
      </c>
      <c r="D73" s="1">
        <f>POWER(C71,C73)/POWER(C72,C73)*C72/C71</f>
        <v>1</v>
      </c>
    </row>
    <row r="74" s="1" customFormat="1" spans="2:4">
      <c r="B74" s="19" t="s">
        <v>233</v>
      </c>
      <c r="C74" s="22">
        <f>$C$2*C70*C68*D73*D69</f>
        <v>1.2</v>
      </c>
    </row>
    <row r="76" s="1" customFormat="1" spans="2:4">
      <c r="B76" s="1" t="s">
        <v>234</v>
      </c>
    </row>
    <row r="77" s="1" customFormat="1" spans="2:4">
      <c r="B77" s="10" t="s">
        <v>228</v>
      </c>
      <c r="C77" s="11">
        <v>1.4</v>
      </c>
    </row>
    <row r="78" s="1" customFormat="1" spans="2:4">
      <c r="B78" s="13" t="s">
        <v>172</v>
      </c>
      <c r="C78" s="14" t="str">
        <f>$C$3</f>
        <v>SSR</v>
      </c>
      <c r="D78" s="1">
        <f>VLOOKUP(C78,$N$4:$O$6,2,0)</f>
        <v>1</v>
      </c>
    </row>
    <row r="79" s="1" customFormat="1" spans="2:4">
      <c r="B79" s="13" t="s">
        <v>229</v>
      </c>
      <c r="C79" s="21">
        <v>1</v>
      </c>
    </row>
    <row r="80" s="1" customFormat="1" spans="2:4">
      <c r="B80" s="13" t="s">
        <v>230</v>
      </c>
      <c r="C80" s="16">
        <v>1</v>
      </c>
    </row>
    <row r="81" s="1" customFormat="1" spans="2:4">
      <c r="B81" s="13" t="s">
        <v>231</v>
      </c>
      <c r="C81" s="21">
        <v>1</v>
      </c>
    </row>
    <row r="82" s="1" customFormat="1" spans="2:4">
      <c r="B82" s="13" t="s">
        <v>232</v>
      </c>
      <c r="C82" s="21">
        <v>0.35</v>
      </c>
      <c r="D82" s="1">
        <f>POWER(C80,C82)/POWER(C81,C82)*C81/C80</f>
        <v>1</v>
      </c>
    </row>
    <row r="83" s="1" customFormat="1" spans="2:4">
      <c r="B83" s="19" t="s">
        <v>233</v>
      </c>
      <c r="C83" s="22">
        <f>$C$2*C79*C77*D82*D78</f>
        <v>2.8</v>
      </c>
    </row>
    <row r="85" s="1" customFormat="1" spans="2:4">
      <c r="B85" s="1" t="s">
        <v>235</v>
      </c>
    </row>
    <row r="86" s="1" customFormat="1" spans="2:4">
      <c r="B86" s="10" t="s">
        <v>228</v>
      </c>
      <c r="C86" s="11">
        <v>2</v>
      </c>
    </row>
    <row r="87" s="1" customFormat="1" spans="2:4">
      <c r="B87" s="13" t="s">
        <v>172</v>
      </c>
      <c r="C87" s="14" t="str">
        <f>$C$3</f>
        <v>SSR</v>
      </c>
      <c r="D87" s="1">
        <f>VLOOKUP(C87,$N$4:$O$6,2,0)</f>
        <v>1</v>
      </c>
    </row>
    <row r="88" s="1" customFormat="1" spans="2:4">
      <c r="B88" s="13" t="s">
        <v>229</v>
      </c>
      <c r="C88" s="21">
        <v>1</v>
      </c>
    </row>
    <row r="89" s="1" customFormat="1" spans="2:4">
      <c r="B89" s="13" t="s">
        <v>230</v>
      </c>
      <c r="C89" s="16">
        <v>2</v>
      </c>
    </row>
    <row r="90" s="1" customFormat="1" spans="2:4">
      <c r="B90" s="13" t="s">
        <v>231</v>
      </c>
      <c r="C90" s="21">
        <v>1</v>
      </c>
    </row>
    <row r="91" s="1" customFormat="1" spans="2:4">
      <c r="B91" s="13" t="s">
        <v>232</v>
      </c>
      <c r="C91" s="21">
        <v>0.35</v>
      </c>
      <c r="D91" s="1">
        <f>POWER(C89,C91)/POWER(C90,C91)*C90/C89</f>
        <v>0.637280313659631</v>
      </c>
    </row>
    <row r="92" s="1" customFormat="1" spans="2:4">
      <c r="B92" s="19" t="s">
        <v>233</v>
      </c>
      <c r="C92" s="22">
        <f>$C$2*C88*C86*D91*D87</f>
        <v>2.54912125463852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战斗公式</vt:lpstr>
      <vt:lpstr>预计投放属性数值</vt:lpstr>
      <vt:lpstr>怪物标准模型</vt:lpstr>
      <vt:lpstr>技能系数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企业用户_251728386</cp:lastModifiedBy>
  <dcterms:created xsi:type="dcterms:W3CDTF">2023-05-12T11:15:00Z</dcterms:created>
  <dcterms:modified xsi:type="dcterms:W3CDTF">2026-08-17T08:35:32Z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5EA33B2928D84B0BAE975FEE409D175D_12</vt:lpwstr>
  </property>
  <property fmtid="{D5CDD505-2E9C-101B-9397-08002B2CF9AE}" pid="4" name="CalculationRule">
    <vt:i4>0</vt:i4>
  </property>
</Properties>
</file>